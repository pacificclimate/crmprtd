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195" windowHeight="10815"/>
  </bookViews>
  <sheets>
    <sheet name="Data" sheetId="1" r:id="rId1"/>
    <sheet name="Graph" sheetId="2" r:id="rId2"/>
    <sheet name="Meta" sheetId="3" r:id="rId3"/>
  </sheets>
  <calcPr calcId="145621"/>
</workbook>
</file>

<file path=xl/calcChain.xml><?xml version="1.0" encoding="utf-8"?>
<calcChain xmlns="http://schemas.openxmlformats.org/spreadsheetml/2006/main">
  <c r="I5" i="2" l="1"/>
  <c r="G5" i="2"/>
  <c r="AF2565" i="1" l="1"/>
  <c r="AE2565" i="1"/>
  <c r="AD2565" i="1"/>
  <c r="AC2565" i="1"/>
  <c r="AB2565" i="1"/>
  <c r="AA2565" i="1"/>
  <c r="Z2565" i="1"/>
  <c r="Y2565" i="1"/>
  <c r="H5" i="2" l="1"/>
  <c r="F5" i="2"/>
  <c r="B5" i="2" s="1"/>
  <c r="C5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C7" i="2"/>
  <c r="B2563" i="2" l="1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B2477" i="2"/>
  <c r="B2475" i="2"/>
  <c r="B2473" i="2"/>
  <c r="B2471" i="2"/>
  <c r="B2469" i="2"/>
  <c r="B2467" i="2"/>
  <c r="B2465" i="2"/>
  <c r="B2463" i="2"/>
  <c r="B2461" i="2"/>
  <c r="B2459" i="2"/>
  <c r="B2457" i="2"/>
  <c r="B2455" i="2"/>
  <c r="B2453" i="2"/>
  <c r="B2451" i="2"/>
  <c r="B2449" i="2"/>
  <c r="B2447" i="2"/>
  <c r="B2445" i="2"/>
  <c r="B2443" i="2"/>
  <c r="B2441" i="2"/>
  <c r="B2439" i="2"/>
  <c r="B2437" i="2"/>
  <c r="B2435" i="2"/>
  <c r="B2433" i="2"/>
  <c r="B2431" i="2"/>
  <c r="B2429" i="2"/>
  <c r="B2427" i="2"/>
  <c r="B2425" i="2"/>
  <c r="B2423" i="2"/>
  <c r="B2421" i="2"/>
  <c r="B2419" i="2"/>
  <c r="B2417" i="2"/>
  <c r="B2415" i="2"/>
  <c r="B2413" i="2"/>
  <c r="B2411" i="2"/>
  <c r="B2409" i="2"/>
  <c r="B2407" i="2"/>
  <c r="B2405" i="2"/>
  <c r="B2403" i="2"/>
  <c r="B2401" i="2"/>
  <c r="B2399" i="2"/>
  <c r="B2397" i="2"/>
  <c r="B2395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B2476" i="2"/>
  <c r="B2472" i="2"/>
  <c r="B2468" i="2"/>
  <c r="B2464" i="2"/>
  <c r="B2460" i="2"/>
  <c r="B2456" i="2"/>
  <c r="B2452" i="2"/>
  <c r="B2448" i="2"/>
  <c r="B2444" i="2"/>
  <c r="B2440" i="2"/>
  <c r="B2436" i="2"/>
  <c r="B2432" i="2"/>
  <c r="B2428" i="2"/>
  <c r="B2424" i="2"/>
  <c r="B2420" i="2"/>
  <c r="B2416" i="2"/>
  <c r="B2412" i="2"/>
  <c r="B2408" i="2"/>
  <c r="B2404" i="2"/>
  <c r="B2400" i="2"/>
  <c r="B2396" i="2"/>
  <c r="B2393" i="2"/>
  <c r="B2391" i="2"/>
  <c r="B2389" i="2"/>
  <c r="B2387" i="2"/>
  <c r="B2385" i="2"/>
  <c r="B2383" i="2"/>
  <c r="B2381" i="2"/>
  <c r="B2379" i="2"/>
  <c r="B2377" i="2"/>
  <c r="B2375" i="2"/>
  <c r="B2373" i="2"/>
  <c r="B2371" i="2"/>
  <c r="B2369" i="2"/>
  <c r="B2367" i="2"/>
  <c r="B2365" i="2"/>
  <c r="B2363" i="2"/>
  <c r="B2361" i="2"/>
  <c r="B2359" i="2"/>
  <c r="B2357" i="2"/>
  <c r="B2355" i="2"/>
  <c r="B2353" i="2"/>
  <c r="B2351" i="2"/>
  <c r="B2349" i="2"/>
  <c r="B2347" i="2"/>
  <c r="B2345" i="2"/>
  <c r="B2343" i="2"/>
  <c r="B2341" i="2"/>
  <c r="B2339" i="2"/>
  <c r="B2337" i="2"/>
  <c r="B2335" i="2"/>
  <c r="B2333" i="2"/>
  <c r="B2331" i="2"/>
  <c r="B2329" i="2"/>
  <c r="B2327" i="2"/>
  <c r="B2325" i="2"/>
  <c r="B2323" i="2"/>
  <c r="B2321" i="2"/>
  <c r="B2319" i="2"/>
  <c r="B2317" i="2"/>
  <c r="B2315" i="2"/>
  <c r="B2313" i="2"/>
  <c r="B2311" i="2"/>
  <c r="B2309" i="2"/>
  <c r="B2307" i="2"/>
  <c r="B2305" i="2"/>
  <c r="B2303" i="2"/>
  <c r="B2301" i="2"/>
  <c r="B2299" i="2"/>
  <c r="B2297" i="2"/>
  <c r="B2295" i="2"/>
  <c r="B2293" i="2"/>
  <c r="B2291" i="2"/>
  <c r="B2289" i="2"/>
  <c r="B2287" i="2"/>
  <c r="B2285" i="2"/>
  <c r="B2283" i="2"/>
  <c r="B2281" i="2"/>
  <c r="B2279" i="2"/>
  <c r="B2277" i="2"/>
  <c r="B2275" i="2"/>
  <c r="B2273" i="2"/>
  <c r="B2271" i="2"/>
  <c r="B2269" i="2"/>
  <c r="B2267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B2478" i="2"/>
  <c r="B2474" i="2"/>
  <c r="B2470" i="2"/>
  <c r="B2466" i="2"/>
  <c r="B2462" i="2"/>
  <c r="B2458" i="2"/>
  <c r="B2454" i="2"/>
  <c r="B2450" i="2"/>
  <c r="B2446" i="2"/>
  <c r="B2442" i="2"/>
  <c r="B2438" i="2"/>
  <c r="B2434" i="2"/>
  <c r="B2430" i="2"/>
  <c r="B2426" i="2"/>
  <c r="B2422" i="2"/>
  <c r="B2418" i="2"/>
  <c r="B2414" i="2"/>
  <c r="B2410" i="2"/>
  <c r="B2406" i="2"/>
  <c r="B2402" i="2"/>
  <c r="B2398" i="2"/>
  <c r="B2394" i="2"/>
  <c r="B2392" i="2"/>
  <c r="B2390" i="2"/>
  <c r="B2388" i="2"/>
  <c r="B2386" i="2"/>
  <c r="B2384" i="2"/>
  <c r="B2382" i="2"/>
  <c r="B2380" i="2"/>
  <c r="B2378" i="2"/>
  <c r="B2376" i="2"/>
  <c r="B2374" i="2"/>
  <c r="B2372" i="2"/>
  <c r="B2370" i="2"/>
  <c r="B2368" i="2"/>
  <c r="B2366" i="2"/>
  <c r="B2364" i="2"/>
  <c r="B2362" i="2"/>
  <c r="B2360" i="2"/>
  <c r="B2358" i="2"/>
  <c r="B2356" i="2"/>
  <c r="B2354" i="2"/>
  <c r="B2352" i="2"/>
  <c r="B2350" i="2"/>
  <c r="B2348" i="2"/>
  <c r="B2346" i="2"/>
  <c r="B2344" i="2"/>
  <c r="B2342" i="2"/>
  <c r="B2340" i="2"/>
  <c r="B2338" i="2"/>
  <c r="B2336" i="2"/>
  <c r="B2334" i="2"/>
  <c r="B2332" i="2"/>
  <c r="B2330" i="2"/>
  <c r="B2328" i="2"/>
  <c r="B2326" i="2"/>
  <c r="B2324" i="2"/>
  <c r="B2322" i="2"/>
  <c r="B2320" i="2"/>
  <c r="B2318" i="2"/>
  <c r="B2316" i="2"/>
  <c r="B2314" i="2"/>
  <c r="B2312" i="2"/>
  <c r="B2310" i="2"/>
  <c r="B2308" i="2"/>
  <c r="B2306" i="2"/>
  <c r="B2304" i="2"/>
  <c r="B2302" i="2"/>
  <c r="B2300" i="2"/>
  <c r="B2298" i="2"/>
  <c r="B2296" i="2"/>
  <c r="B2294" i="2"/>
  <c r="B2292" i="2"/>
  <c r="B2290" i="2"/>
  <c r="B2288" i="2"/>
  <c r="B2286" i="2"/>
  <c r="B2284" i="2"/>
  <c r="B2282" i="2"/>
  <c r="B2280" i="2"/>
  <c r="B2278" i="2"/>
  <c r="B2276" i="2"/>
  <c r="B2274" i="2"/>
  <c r="B2272" i="2"/>
  <c r="B2270" i="2"/>
  <c r="B2268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0" i="2"/>
  <c r="B2178" i="2"/>
  <c r="B2176" i="2"/>
  <c r="B2174" i="2"/>
  <c r="B2172" i="2"/>
  <c r="B2170" i="2"/>
  <c r="B2168" i="2"/>
  <c r="B2166" i="2"/>
  <c r="B2164" i="2"/>
  <c r="B2162" i="2"/>
  <c r="B2160" i="2"/>
  <c r="B2158" i="2"/>
  <c r="B2156" i="2"/>
  <c r="B2154" i="2"/>
  <c r="B2152" i="2"/>
  <c r="B2150" i="2"/>
  <c r="B2148" i="2"/>
  <c r="B2146" i="2"/>
  <c r="B2144" i="2"/>
  <c r="B2142" i="2"/>
  <c r="B2140" i="2"/>
  <c r="B2138" i="2"/>
  <c r="B2136" i="2"/>
  <c r="B2134" i="2"/>
  <c r="B2132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2181" i="2"/>
  <c r="B2179" i="2"/>
  <c r="B2177" i="2"/>
  <c r="B2175" i="2"/>
  <c r="B2173" i="2"/>
  <c r="B2171" i="2"/>
  <c r="B2169" i="2"/>
  <c r="B2167" i="2"/>
  <c r="B2165" i="2"/>
  <c r="B2163" i="2"/>
  <c r="B2161" i="2"/>
  <c r="B2159" i="2"/>
  <c r="B2157" i="2"/>
  <c r="B2155" i="2"/>
  <c r="B2153" i="2"/>
  <c r="B2151" i="2"/>
  <c r="B2149" i="2"/>
  <c r="B2147" i="2"/>
  <c r="B2145" i="2"/>
  <c r="B2143" i="2"/>
  <c r="B2141" i="2"/>
  <c r="B2139" i="2"/>
  <c r="B2137" i="2"/>
  <c r="B2135" i="2"/>
  <c r="B2133" i="2"/>
  <c r="B2131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8" i="2"/>
  <c r="C2006" i="2"/>
  <c r="C2004" i="2"/>
  <c r="C2002" i="2"/>
  <c r="C2000" i="2"/>
  <c r="C1998" i="2"/>
  <c r="C1996" i="2"/>
  <c r="C1994" i="2"/>
  <c r="C1992" i="2"/>
  <c r="C1990" i="2"/>
  <c r="C1988" i="2"/>
  <c r="C1986" i="2"/>
  <c r="C1984" i="2"/>
  <c r="C1982" i="2"/>
  <c r="C1980" i="2"/>
  <c r="C1978" i="2"/>
  <c r="C1976" i="2"/>
  <c r="C1974" i="2"/>
  <c r="C1972" i="2"/>
  <c r="C1970" i="2"/>
  <c r="C1968" i="2"/>
  <c r="C1966" i="2"/>
  <c r="C1964" i="2"/>
  <c r="C1962" i="2"/>
  <c r="C1960" i="2"/>
  <c r="C1958" i="2"/>
  <c r="C1956" i="2"/>
  <c r="C1954" i="2"/>
  <c r="C1952" i="2"/>
  <c r="C1950" i="2"/>
  <c r="C1948" i="2"/>
  <c r="C1946" i="2"/>
  <c r="C1944" i="2"/>
  <c r="C1942" i="2"/>
  <c r="C1940" i="2"/>
  <c r="C1938" i="2"/>
  <c r="C1936" i="2"/>
  <c r="C1934" i="2"/>
  <c r="C1932" i="2"/>
  <c r="C1930" i="2"/>
  <c r="C1928" i="2"/>
  <c r="C1926" i="2"/>
  <c r="C1924" i="2"/>
  <c r="C1922" i="2"/>
  <c r="C1920" i="2"/>
  <c r="C1918" i="2"/>
  <c r="C1916" i="2"/>
  <c r="C1914" i="2"/>
  <c r="C1912" i="2"/>
  <c r="C1910" i="2"/>
  <c r="C1908" i="2"/>
  <c r="C1906" i="2"/>
  <c r="C1904" i="2"/>
  <c r="C1902" i="2"/>
  <c r="C1900" i="2"/>
  <c r="C1898" i="2"/>
  <c r="C1896" i="2"/>
  <c r="C1894" i="2"/>
  <c r="C1892" i="2"/>
  <c r="C1890" i="2"/>
  <c r="C1888" i="2"/>
  <c r="C1886" i="2"/>
  <c r="C1884" i="2"/>
  <c r="C1882" i="2"/>
  <c r="C1880" i="2"/>
  <c r="C1878" i="2"/>
  <c r="C1876" i="2"/>
  <c r="C1874" i="2"/>
  <c r="C1872" i="2"/>
  <c r="C1870" i="2"/>
  <c r="C1868" i="2"/>
  <c r="C1866" i="2"/>
  <c r="C1864" i="2"/>
  <c r="C1862" i="2"/>
  <c r="C1860" i="2"/>
  <c r="C1858" i="2"/>
  <c r="C1856" i="2"/>
  <c r="C1854" i="2"/>
  <c r="C1852" i="2"/>
  <c r="C1850" i="2"/>
  <c r="C1848" i="2"/>
  <c r="C1846" i="2"/>
  <c r="C1844" i="2"/>
  <c r="C1842" i="2"/>
  <c r="C1840" i="2"/>
  <c r="C1838" i="2"/>
  <c r="C1836" i="2"/>
  <c r="C1834" i="2"/>
  <c r="C1832" i="2"/>
  <c r="C1830" i="2"/>
  <c r="C1828" i="2"/>
  <c r="C1826" i="2"/>
  <c r="C1824" i="2"/>
  <c r="C1822" i="2"/>
  <c r="C1820" i="2"/>
  <c r="C1818" i="2"/>
  <c r="C1816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2007" i="2"/>
  <c r="C2003" i="2"/>
  <c r="C1999" i="2"/>
  <c r="C1995" i="2"/>
  <c r="C1991" i="2"/>
  <c r="C1987" i="2"/>
  <c r="C1983" i="2"/>
  <c r="C1979" i="2"/>
  <c r="C1975" i="2"/>
  <c r="C1971" i="2"/>
  <c r="C1967" i="2"/>
  <c r="C1963" i="2"/>
  <c r="C1959" i="2"/>
  <c r="C1955" i="2"/>
  <c r="C1951" i="2"/>
  <c r="C1947" i="2"/>
  <c r="C1943" i="2"/>
  <c r="C1939" i="2"/>
  <c r="C1935" i="2"/>
  <c r="C1931" i="2"/>
  <c r="C1927" i="2"/>
  <c r="C1923" i="2"/>
  <c r="C1919" i="2"/>
  <c r="C1915" i="2"/>
  <c r="C1911" i="2"/>
  <c r="C1907" i="2"/>
  <c r="C1903" i="2"/>
  <c r="C1899" i="2"/>
  <c r="C1895" i="2"/>
  <c r="C1891" i="2"/>
  <c r="C1887" i="2"/>
  <c r="C1883" i="2"/>
  <c r="C1879" i="2"/>
  <c r="C1875" i="2"/>
  <c r="C1871" i="2"/>
  <c r="C1867" i="2"/>
  <c r="C1863" i="2"/>
  <c r="C1859" i="2"/>
  <c r="C1855" i="2"/>
  <c r="C1851" i="2"/>
  <c r="C1847" i="2"/>
  <c r="C1843" i="2"/>
  <c r="C1839" i="2"/>
  <c r="C1835" i="2"/>
  <c r="C1831" i="2"/>
  <c r="C1827" i="2"/>
  <c r="C1823" i="2"/>
  <c r="C1819" i="2"/>
  <c r="C1815" i="2"/>
  <c r="B1813" i="2"/>
  <c r="B1811" i="2"/>
  <c r="B1809" i="2"/>
  <c r="B1807" i="2"/>
  <c r="B1805" i="2"/>
  <c r="B1803" i="2"/>
  <c r="B1801" i="2"/>
  <c r="B1799" i="2"/>
  <c r="B1797" i="2"/>
  <c r="B1795" i="2"/>
  <c r="B1793" i="2"/>
  <c r="B1791" i="2"/>
  <c r="B1789" i="2"/>
  <c r="B1787" i="2"/>
  <c r="B1785" i="2"/>
  <c r="B1783" i="2"/>
  <c r="B1781" i="2"/>
  <c r="B1779" i="2"/>
  <c r="B1777" i="2"/>
  <c r="B1775" i="2"/>
  <c r="B1773" i="2"/>
  <c r="B1771" i="2"/>
  <c r="B1769" i="2"/>
  <c r="B1767" i="2"/>
  <c r="B1765" i="2"/>
  <c r="B1763" i="2"/>
  <c r="B1761" i="2"/>
  <c r="B1759" i="2"/>
  <c r="B1757" i="2"/>
  <c r="B1755" i="2"/>
  <c r="B1753" i="2"/>
  <c r="B1751" i="2"/>
  <c r="B1749" i="2"/>
  <c r="B1747" i="2"/>
  <c r="B1745" i="2"/>
  <c r="B1743" i="2"/>
  <c r="B1741" i="2"/>
  <c r="B1739" i="2"/>
  <c r="B1737" i="2"/>
  <c r="B1735" i="2"/>
  <c r="B1733" i="2"/>
  <c r="B1731" i="2"/>
  <c r="B1729" i="2"/>
  <c r="B1727" i="2"/>
  <c r="B1725" i="2"/>
  <c r="B1723" i="2"/>
  <c r="B1721" i="2"/>
  <c r="B1719" i="2"/>
  <c r="B1717" i="2"/>
  <c r="B1715" i="2"/>
  <c r="B1713" i="2"/>
  <c r="B1711" i="2"/>
  <c r="B1709" i="2"/>
  <c r="B1707" i="2"/>
  <c r="B1705" i="2"/>
  <c r="B1703" i="2"/>
  <c r="B1701" i="2"/>
  <c r="B1699" i="2"/>
  <c r="B1697" i="2"/>
  <c r="B1695" i="2"/>
  <c r="B1693" i="2"/>
  <c r="B1691" i="2"/>
  <c r="B1689" i="2"/>
  <c r="B1687" i="2"/>
  <c r="B1685" i="2"/>
  <c r="B1683" i="2"/>
  <c r="B1681" i="2"/>
  <c r="B1679" i="2"/>
  <c r="B1677" i="2"/>
  <c r="B1675" i="2"/>
  <c r="B1673" i="2"/>
  <c r="B1671" i="2"/>
  <c r="B1669" i="2"/>
  <c r="B1667" i="2"/>
  <c r="B1665" i="2"/>
  <c r="B1663" i="2"/>
  <c r="B1661" i="2"/>
  <c r="B1659" i="2"/>
  <c r="B1657" i="2"/>
  <c r="B1655" i="2"/>
  <c r="B1653" i="2"/>
  <c r="B1651" i="2"/>
  <c r="B1649" i="2"/>
  <c r="B1647" i="2"/>
  <c r="B1645" i="2"/>
  <c r="B1643" i="2"/>
  <c r="B1641" i="2"/>
  <c r="B1639" i="2"/>
  <c r="B1637" i="2"/>
  <c r="B1635" i="2"/>
  <c r="B1633" i="2"/>
  <c r="B1631" i="2"/>
  <c r="B1629" i="2"/>
  <c r="B1627" i="2"/>
  <c r="B1625" i="2"/>
  <c r="B1623" i="2"/>
  <c r="B1621" i="2"/>
  <c r="B1619" i="2"/>
  <c r="B1617" i="2"/>
  <c r="B1615" i="2"/>
  <c r="B1613" i="2"/>
  <c r="B1611" i="2"/>
  <c r="B1609" i="2"/>
  <c r="B1607" i="2"/>
  <c r="B1605" i="2"/>
  <c r="B1603" i="2"/>
  <c r="B1601" i="2"/>
  <c r="B1599" i="2"/>
  <c r="B1597" i="2"/>
  <c r="B1595" i="2"/>
  <c r="B1593" i="2"/>
  <c r="B1591" i="2"/>
  <c r="B1589" i="2"/>
  <c r="B1587" i="2"/>
  <c r="B1585" i="2"/>
  <c r="B1583" i="2"/>
  <c r="B1581" i="2"/>
  <c r="B1579" i="2"/>
  <c r="B1577" i="2"/>
  <c r="B1575" i="2"/>
  <c r="B1573" i="2"/>
  <c r="B1571" i="2"/>
  <c r="B1569" i="2"/>
  <c r="B1567" i="2"/>
  <c r="B1565" i="2"/>
  <c r="B1563" i="2"/>
  <c r="B1561" i="2"/>
  <c r="B1559" i="2"/>
  <c r="B1557" i="2"/>
  <c r="B1555" i="2"/>
  <c r="B1553" i="2"/>
  <c r="B1551" i="2"/>
  <c r="B1549" i="2"/>
  <c r="B1547" i="2"/>
  <c r="B1545" i="2"/>
  <c r="B1543" i="2"/>
  <c r="B1541" i="2"/>
  <c r="B1539" i="2"/>
  <c r="B1537" i="2"/>
  <c r="B1535" i="2"/>
  <c r="B1533" i="2"/>
  <c r="B1531" i="2"/>
  <c r="B1529" i="2"/>
  <c r="B1527" i="2"/>
  <c r="B1525" i="2"/>
  <c r="B1523" i="2"/>
  <c r="B1521" i="2"/>
  <c r="B1519" i="2"/>
  <c r="B1517" i="2"/>
  <c r="B1515" i="2"/>
  <c r="B1513" i="2"/>
  <c r="B1511" i="2"/>
  <c r="B1509" i="2"/>
  <c r="B1507" i="2"/>
  <c r="B1505" i="2"/>
  <c r="B1503" i="2"/>
  <c r="B1501" i="2"/>
  <c r="B1499" i="2"/>
  <c r="B1497" i="2"/>
  <c r="B1495" i="2"/>
  <c r="B1493" i="2"/>
  <c r="B1491" i="2"/>
  <c r="B1489" i="2"/>
  <c r="B1487" i="2"/>
  <c r="B1485" i="2"/>
  <c r="B1483" i="2"/>
  <c r="B1481" i="2"/>
  <c r="B1479" i="2"/>
  <c r="B1477" i="2"/>
  <c r="B1475" i="2"/>
  <c r="B1473" i="2"/>
  <c r="B1471" i="2"/>
  <c r="B1469" i="2"/>
  <c r="B1467" i="2"/>
  <c r="B1465" i="2"/>
  <c r="B1463" i="2"/>
  <c r="B1461" i="2"/>
  <c r="B1459" i="2"/>
  <c r="B1457" i="2"/>
  <c r="B1455" i="2"/>
  <c r="B1453" i="2"/>
  <c r="B1451" i="2"/>
  <c r="B1449" i="2"/>
  <c r="B1447" i="2"/>
  <c r="B1445" i="2"/>
  <c r="B1443" i="2"/>
  <c r="B1441" i="2"/>
  <c r="B1439" i="2"/>
  <c r="B1437" i="2"/>
  <c r="B1435" i="2"/>
  <c r="B1433" i="2"/>
  <c r="B1431" i="2"/>
  <c r="B1429" i="2"/>
  <c r="B1427" i="2"/>
  <c r="B1425" i="2"/>
  <c r="B1423" i="2"/>
  <c r="B1421" i="2"/>
  <c r="B1419" i="2"/>
  <c r="B1417" i="2"/>
  <c r="B1415" i="2"/>
  <c r="B1413" i="2"/>
  <c r="B1411" i="2"/>
  <c r="B1409" i="2"/>
  <c r="B1407" i="2"/>
  <c r="B1405" i="2"/>
  <c r="B1403" i="2"/>
  <c r="B1401" i="2"/>
  <c r="B1399" i="2"/>
  <c r="B1397" i="2"/>
  <c r="B1395" i="2"/>
  <c r="B1393" i="2"/>
  <c r="B1391" i="2"/>
  <c r="B1389" i="2"/>
  <c r="B1387" i="2"/>
  <c r="B1385" i="2"/>
  <c r="B1383" i="2"/>
  <c r="B1381" i="2"/>
  <c r="B1379" i="2"/>
  <c r="B1377" i="2"/>
  <c r="B1375" i="2"/>
  <c r="B1373" i="2"/>
  <c r="B1371" i="2"/>
  <c r="B1369" i="2"/>
  <c r="B1367" i="2"/>
  <c r="B1365" i="2"/>
  <c r="B1363" i="2"/>
  <c r="B1361" i="2"/>
  <c r="B1359" i="2"/>
  <c r="B1357" i="2"/>
  <c r="B1355" i="2"/>
  <c r="B1353" i="2"/>
  <c r="B1351" i="2"/>
  <c r="B1349" i="2"/>
  <c r="B1347" i="2"/>
  <c r="B1345" i="2"/>
  <c r="B1343" i="2"/>
  <c r="B1341" i="2"/>
  <c r="B1339" i="2"/>
  <c r="B1337" i="2"/>
  <c r="B1335" i="2"/>
  <c r="B1333" i="2"/>
  <c r="B1331" i="2"/>
  <c r="B1329" i="2"/>
  <c r="B1327" i="2"/>
  <c r="B1325" i="2"/>
  <c r="B1323" i="2"/>
  <c r="B1321" i="2"/>
  <c r="B1319" i="2"/>
  <c r="B1317" i="2"/>
  <c r="B1315" i="2"/>
  <c r="B1313" i="2"/>
  <c r="B1311" i="2"/>
  <c r="B1309" i="2"/>
  <c r="B1307" i="2"/>
  <c r="B1305" i="2"/>
  <c r="B1303" i="2"/>
  <c r="B1301" i="2"/>
  <c r="B1299" i="2"/>
  <c r="B1297" i="2"/>
  <c r="B1295" i="2"/>
  <c r="B1293" i="2"/>
  <c r="B1291" i="2"/>
  <c r="B1289" i="2"/>
  <c r="B1287" i="2"/>
  <c r="B1285" i="2"/>
  <c r="B1283" i="2"/>
  <c r="B1281" i="2"/>
  <c r="B1279" i="2"/>
  <c r="B1277" i="2"/>
  <c r="B1275" i="2"/>
  <c r="B1273" i="2"/>
  <c r="B1271" i="2"/>
  <c r="B1269" i="2"/>
  <c r="B1267" i="2"/>
  <c r="B1265" i="2"/>
  <c r="B1263" i="2"/>
  <c r="B1261" i="2"/>
  <c r="B1259" i="2"/>
  <c r="B1257" i="2"/>
  <c r="B1255" i="2"/>
  <c r="B1253" i="2"/>
  <c r="B1251" i="2"/>
  <c r="B1249" i="2"/>
  <c r="B1247" i="2"/>
  <c r="B1245" i="2"/>
  <c r="B1243" i="2"/>
  <c r="B1241" i="2"/>
  <c r="B1239" i="2"/>
  <c r="B1237" i="2"/>
  <c r="B1235" i="2"/>
  <c r="B1233" i="2"/>
  <c r="B1231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05" i="2"/>
  <c r="C1997" i="2"/>
  <c r="C1989" i="2"/>
  <c r="C1981" i="2"/>
  <c r="C1973" i="2"/>
  <c r="C1965" i="2"/>
  <c r="C1957" i="2"/>
  <c r="C1949" i="2"/>
  <c r="C1941" i="2"/>
  <c r="C1933" i="2"/>
  <c r="C1925" i="2"/>
  <c r="C1917" i="2"/>
  <c r="C1909" i="2"/>
  <c r="C1901" i="2"/>
  <c r="C1893" i="2"/>
  <c r="C1885" i="2"/>
  <c r="C1877" i="2"/>
  <c r="C1869" i="2"/>
  <c r="C1861" i="2"/>
  <c r="C1853" i="2"/>
  <c r="C1845" i="2"/>
  <c r="C1837" i="2"/>
  <c r="C1829" i="2"/>
  <c r="C1821" i="2"/>
  <c r="B1814" i="2"/>
  <c r="B1810" i="2"/>
  <c r="B1806" i="2"/>
  <c r="B1802" i="2"/>
  <c r="B1798" i="2"/>
  <c r="B1794" i="2"/>
  <c r="B1790" i="2"/>
  <c r="B1786" i="2"/>
  <c r="B1782" i="2"/>
  <c r="B1778" i="2"/>
  <c r="B1774" i="2"/>
  <c r="B1770" i="2"/>
  <c r="B1766" i="2"/>
  <c r="B1762" i="2"/>
  <c r="B1758" i="2"/>
  <c r="B1754" i="2"/>
  <c r="B1750" i="2"/>
  <c r="B1746" i="2"/>
  <c r="B1742" i="2"/>
  <c r="B1738" i="2"/>
  <c r="B1734" i="2"/>
  <c r="B1730" i="2"/>
  <c r="B1726" i="2"/>
  <c r="B1722" i="2"/>
  <c r="B1718" i="2"/>
  <c r="B1714" i="2"/>
  <c r="B1710" i="2"/>
  <c r="B1706" i="2"/>
  <c r="B1702" i="2"/>
  <c r="B1698" i="2"/>
  <c r="B1694" i="2"/>
  <c r="B1690" i="2"/>
  <c r="B1686" i="2"/>
  <c r="B1682" i="2"/>
  <c r="B1678" i="2"/>
  <c r="B1674" i="2"/>
  <c r="B1670" i="2"/>
  <c r="B1666" i="2"/>
  <c r="B1662" i="2"/>
  <c r="B1658" i="2"/>
  <c r="B1654" i="2"/>
  <c r="B1650" i="2"/>
  <c r="B1646" i="2"/>
  <c r="B1642" i="2"/>
  <c r="B1638" i="2"/>
  <c r="B1634" i="2"/>
  <c r="B1630" i="2"/>
  <c r="B1626" i="2"/>
  <c r="B1622" i="2"/>
  <c r="B1618" i="2"/>
  <c r="B1614" i="2"/>
  <c r="B1610" i="2"/>
  <c r="B1606" i="2"/>
  <c r="B1602" i="2"/>
  <c r="B1598" i="2"/>
  <c r="B1594" i="2"/>
  <c r="B1590" i="2"/>
  <c r="B1586" i="2"/>
  <c r="B1582" i="2"/>
  <c r="B1578" i="2"/>
  <c r="B1574" i="2"/>
  <c r="B1570" i="2"/>
  <c r="B1566" i="2"/>
  <c r="B1562" i="2"/>
  <c r="B1558" i="2"/>
  <c r="B1554" i="2"/>
  <c r="B1550" i="2"/>
  <c r="B1546" i="2"/>
  <c r="B1542" i="2"/>
  <c r="B1538" i="2"/>
  <c r="B1534" i="2"/>
  <c r="B1530" i="2"/>
  <c r="B1526" i="2"/>
  <c r="B1522" i="2"/>
  <c r="B1518" i="2"/>
  <c r="B1514" i="2"/>
  <c r="B1510" i="2"/>
  <c r="B1506" i="2"/>
  <c r="B1502" i="2"/>
  <c r="B1498" i="2"/>
  <c r="B1494" i="2"/>
  <c r="B1490" i="2"/>
  <c r="B1486" i="2"/>
  <c r="B1482" i="2"/>
  <c r="B1478" i="2"/>
  <c r="B1474" i="2"/>
  <c r="B1470" i="2"/>
  <c r="B1466" i="2"/>
  <c r="B1462" i="2"/>
  <c r="B1458" i="2"/>
  <c r="B1454" i="2"/>
  <c r="B1450" i="2"/>
  <c r="B1446" i="2"/>
  <c r="B1442" i="2"/>
  <c r="B1438" i="2"/>
  <c r="B1434" i="2"/>
  <c r="B1430" i="2"/>
  <c r="B1426" i="2"/>
  <c r="B1422" i="2"/>
  <c r="B1418" i="2"/>
  <c r="B1414" i="2"/>
  <c r="B1410" i="2"/>
  <c r="B1406" i="2"/>
  <c r="B1402" i="2"/>
  <c r="B1398" i="2"/>
  <c r="B1394" i="2"/>
  <c r="B1390" i="2"/>
  <c r="B1386" i="2"/>
  <c r="B1382" i="2"/>
  <c r="B1378" i="2"/>
  <c r="B1374" i="2"/>
  <c r="B1370" i="2"/>
  <c r="B1366" i="2"/>
  <c r="B1362" i="2"/>
  <c r="B1358" i="2"/>
  <c r="B1354" i="2"/>
  <c r="B1350" i="2"/>
  <c r="B1346" i="2"/>
  <c r="B1342" i="2"/>
  <c r="B1338" i="2"/>
  <c r="B1334" i="2"/>
  <c r="B1330" i="2"/>
  <c r="B1326" i="2"/>
  <c r="B1322" i="2"/>
  <c r="B1318" i="2"/>
  <c r="B1314" i="2"/>
  <c r="B1310" i="2"/>
  <c r="B1306" i="2"/>
  <c r="B1302" i="2"/>
  <c r="B1298" i="2"/>
  <c r="B1294" i="2"/>
  <c r="B1290" i="2"/>
  <c r="B1286" i="2"/>
  <c r="B1282" i="2"/>
  <c r="B1278" i="2"/>
  <c r="B1274" i="2"/>
  <c r="B1270" i="2"/>
  <c r="B1266" i="2"/>
  <c r="B1262" i="2"/>
  <c r="B1258" i="2"/>
  <c r="B1254" i="2"/>
  <c r="B1250" i="2"/>
  <c r="B1246" i="2"/>
  <c r="B1242" i="2"/>
  <c r="B1238" i="2"/>
  <c r="B1234" i="2"/>
  <c r="B1230" i="2"/>
  <c r="B1228" i="2"/>
  <c r="B1226" i="2"/>
  <c r="B1224" i="2"/>
  <c r="B1222" i="2"/>
  <c r="B1220" i="2"/>
  <c r="B1218" i="2"/>
  <c r="B1216" i="2"/>
  <c r="B1214" i="2"/>
  <c r="B1212" i="2"/>
  <c r="B1210" i="2"/>
  <c r="B1208" i="2"/>
  <c r="B1206" i="2"/>
  <c r="B1204" i="2"/>
  <c r="B1202" i="2"/>
  <c r="B1200" i="2"/>
  <c r="B1198" i="2"/>
  <c r="B1196" i="2"/>
  <c r="B1194" i="2"/>
  <c r="B1192" i="2"/>
  <c r="B1190" i="2"/>
  <c r="B1188" i="2"/>
  <c r="B1186" i="2"/>
  <c r="B1184" i="2"/>
  <c r="B1182" i="2"/>
  <c r="B1180" i="2"/>
  <c r="B1178" i="2"/>
  <c r="B1176" i="2"/>
  <c r="B1174" i="2"/>
  <c r="B1172" i="2"/>
  <c r="B1170" i="2"/>
  <c r="B1168" i="2"/>
  <c r="B1166" i="2"/>
  <c r="B1164" i="2"/>
  <c r="B1162" i="2"/>
  <c r="B1160" i="2"/>
  <c r="B1158" i="2"/>
  <c r="B1156" i="2"/>
  <c r="B1154" i="2"/>
  <c r="B1152" i="2"/>
  <c r="B1150" i="2"/>
  <c r="B1148" i="2"/>
  <c r="B1146" i="2"/>
  <c r="B1144" i="2"/>
  <c r="B1142" i="2"/>
  <c r="B1140" i="2"/>
  <c r="B1138" i="2"/>
  <c r="B1136" i="2"/>
  <c r="B1134" i="2"/>
  <c r="B1132" i="2"/>
  <c r="B1130" i="2"/>
  <c r="B1128" i="2"/>
  <c r="B1126" i="2"/>
  <c r="B1124" i="2"/>
  <c r="B1122" i="2"/>
  <c r="B1120" i="2"/>
  <c r="B1118" i="2"/>
  <c r="B1116" i="2"/>
  <c r="B1114" i="2"/>
  <c r="B1112" i="2"/>
  <c r="B1110" i="2"/>
  <c r="B1108" i="2"/>
  <c r="B1106" i="2"/>
  <c r="B1104" i="2"/>
  <c r="B1102" i="2"/>
  <c r="B1100" i="2"/>
  <c r="B1098" i="2"/>
  <c r="B1096" i="2"/>
  <c r="B1094" i="2"/>
  <c r="B1092" i="2"/>
  <c r="B1090" i="2"/>
  <c r="B1088" i="2"/>
  <c r="B1086" i="2"/>
  <c r="B1084" i="2"/>
  <c r="B1082" i="2"/>
  <c r="B1080" i="2"/>
  <c r="B1078" i="2"/>
  <c r="B1076" i="2"/>
  <c r="B1074" i="2"/>
  <c r="B1072" i="2"/>
  <c r="B1070" i="2"/>
  <c r="B1068" i="2"/>
  <c r="B1066" i="2"/>
  <c r="B1064" i="2"/>
  <c r="B1062" i="2"/>
  <c r="B1060" i="2"/>
  <c r="B1058" i="2"/>
  <c r="B1056" i="2"/>
  <c r="B1054" i="2"/>
  <c r="B1052" i="2"/>
  <c r="B1050" i="2"/>
  <c r="B1048" i="2"/>
  <c r="B1046" i="2"/>
  <c r="B1044" i="2"/>
  <c r="B1042" i="2"/>
  <c r="B1040" i="2"/>
  <c r="B1038" i="2"/>
  <c r="B1036" i="2"/>
  <c r="B1034" i="2"/>
  <c r="B1032" i="2"/>
  <c r="B1030" i="2"/>
  <c r="B1028" i="2"/>
  <c r="B1026" i="2"/>
  <c r="B1024" i="2"/>
  <c r="B1022" i="2"/>
  <c r="B1020" i="2"/>
  <c r="B1018" i="2"/>
  <c r="B1016" i="2"/>
  <c r="B1014" i="2"/>
  <c r="B1012" i="2"/>
  <c r="B1010" i="2"/>
  <c r="B1008" i="2"/>
  <c r="B1006" i="2"/>
  <c r="B1004" i="2"/>
  <c r="B1002" i="2"/>
  <c r="B1000" i="2"/>
  <c r="B998" i="2"/>
  <c r="B996" i="2"/>
  <c r="B994" i="2"/>
  <c r="B992" i="2"/>
  <c r="B990" i="2"/>
  <c r="B988" i="2"/>
  <c r="B986" i="2"/>
  <c r="B984" i="2"/>
  <c r="B982" i="2"/>
  <c r="B980" i="2"/>
  <c r="B978" i="2"/>
  <c r="B976" i="2"/>
  <c r="B974" i="2"/>
  <c r="B972" i="2"/>
  <c r="B970" i="2"/>
  <c r="B968" i="2"/>
  <c r="B966" i="2"/>
  <c r="B964" i="2"/>
  <c r="B962" i="2"/>
  <c r="B960" i="2"/>
  <c r="B958" i="2"/>
  <c r="B956" i="2"/>
  <c r="B954" i="2"/>
  <c r="B952" i="2"/>
  <c r="B950" i="2"/>
  <c r="B948" i="2"/>
  <c r="B946" i="2"/>
  <c r="B944" i="2"/>
  <c r="B942" i="2"/>
  <c r="B940" i="2"/>
  <c r="B938" i="2"/>
  <c r="B936" i="2"/>
  <c r="B934" i="2"/>
  <c r="B932" i="2"/>
  <c r="B930" i="2"/>
  <c r="B928" i="2"/>
  <c r="B926" i="2"/>
  <c r="B924" i="2"/>
  <c r="B922" i="2"/>
  <c r="B920" i="2"/>
  <c r="B918" i="2"/>
  <c r="B916" i="2"/>
  <c r="B914" i="2"/>
  <c r="B912" i="2"/>
  <c r="B910" i="2"/>
  <c r="B908" i="2"/>
  <c r="B906" i="2"/>
  <c r="B904" i="2"/>
  <c r="B902" i="2"/>
  <c r="B900" i="2"/>
  <c r="B898" i="2"/>
  <c r="B896" i="2"/>
  <c r="B894" i="2"/>
  <c r="B892" i="2"/>
  <c r="B890" i="2"/>
  <c r="B888" i="2"/>
  <c r="B886" i="2"/>
  <c r="B884" i="2"/>
  <c r="B882" i="2"/>
  <c r="B880" i="2"/>
  <c r="B878" i="2"/>
  <c r="B876" i="2"/>
  <c r="B874" i="2"/>
  <c r="B872" i="2"/>
  <c r="B870" i="2"/>
  <c r="B868" i="2"/>
  <c r="B866" i="2"/>
  <c r="B864" i="2"/>
  <c r="B862" i="2"/>
  <c r="B860" i="2"/>
  <c r="B858" i="2"/>
  <c r="B856" i="2"/>
  <c r="B854" i="2"/>
  <c r="B852" i="2"/>
  <c r="B850" i="2"/>
  <c r="B848" i="2"/>
  <c r="B846" i="2"/>
  <c r="B844" i="2"/>
  <c r="B842" i="2"/>
  <c r="B840" i="2"/>
  <c r="B838" i="2"/>
  <c r="B836" i="2"/>
  <c r="B834" i="2"/>
  <c r="B832" i="2"/>
  <c r="B830" i="2"/>
  <c r="B828" i="2"/>
  <c r="B826" i="2"/>
  <c r="B824" i="2"/>
  <c r="B822" i="2"/>
  <c r="B820" i="2"/>
  <c r="B818" i="2"/>
  <c r="B816" i="2"/>
  <c r="B814" i="2"/>
  <c r="B812" i="2"/>
  <c r="B810" i="2"/>
  <c r="B808" i="2"/>
  <c r="B806" i="2"/>
  <c r="B804" i="2"/>
  <c r="B802" i="2"/>
  <c r="B800" i="2"/>
  <c r="B798" i="2"/>
  <c r="B796" i="2"/>
  <c r="B794" i="2"/>
  <c r="B792" i="2"/>
  <c r="B790" i="2"/>
  <c r="B788" i="2"/>
  <c r="B786" i="2"/>
  <c r="B784" i="2"/>
  <c r="B782" i="2"/>
  <c r="B780" i="2"/>
  <c r="B778" i="2"/>
  <c r="B776" i="2"/>
  <c r="B774" i="2"/>
  <c r="B772" i="2"/>
  <c r="B770" i="2"/>
  <c r="B768" i="2"/>
  <c r="B766" i="2"/>
  <c r="B764" i="2"/>
  <c r="B762" i="2"/>
  <c r="B760" i="2"/>
  <c r="B758" i="2"/>
  <c r="B756" i="2"/>
  <c r="B754" i="2"/>
  <c r="B752" i="2"/>
  <c r="B750" i="2"/>
  <c r="B748" i="2"/>
  <c r="B746" i="2"/>
  <c r="B744" i="2"/>
  <c r="B742" i="2"/>
  <c r="B740" i="2"/>
  <c r="B738" i="2"/>
  <c r="B736" i="2"/>
  <c r="B734" i="2"/>
  <c r="B732" i="2"/>
  <c r="B730" i="2"/>
  <c r="B728" i="2"/>
  <c r="B726" i="2"/>
  <c r="B724" i="2"/>
  <c r="B722" i="2"/>
  <c r="B720" i="2"/>
  <c r="B718" i="2"/>
  <c r="B716" i="2"/>
  <c r="B714" i="2"/>
  <c r="B712" i="2"/>
  <c r="B710" i="2"/>
  <c r="B708" i="2"/>
  <c r="B706" i="2"/>
  <c r="B704" i="2"/>
  <c r="B702" i="2"/>
  <c r="B700" i="2"/>
  <c r="B698" i="2"/>
  <c r="B696" i="2"/>
  <c r="B694" i="2"/>
  <c r="B692" i="2"/>
  <c r="B690" i="2"/>
  <c r="B688" i="2"/>
  <c r="B686" i="2"/>
  <c r="B684" i="2"/>
  <c r="B682" i="2"/>
  <c r="B680" i="2"/>
  <c r="B678" i="2"/>
  <c r="B676" i="2"/>
  <c r="B674" i="2"/>
  <c r="B672" i="2"/>
  <c r="B670" i="2"/>
  <c r="B668" i="2"/>
  <c r="B666" i="2"/>
  <c r="B664" i="2"/>
  <c r="B662" i="2"/>
  <c r="B660" i="2"/>
  <c r="B658" i="2"/>
  <c r="B656" i="2"/>
  <c r="B654" i="2"/>
  <c r="B652" i="2"/>
  <c r="B650" i="2"/>
  <c r="B648" i="2"/>
  <c r="B646" i="2"/>
  <c r="B644" i="2"/>
  <c r="B642" i="2"/>
  <c r="B640" i="2"/>
  <c r="B638" i="2"/>
  <c r="B636" i="2"/>
  <c r="B634" i="2"/>
  <c r="B632" i="2"/>
  <c r="B630" i="2"/>
  <c r="B628" i="2"/>
  <c r="B626" i="2"/>
  <c r="B624" i="2"/>
  <c r="B622" i="2"/>
  <c r="B620" i="2"/>
  <c r="B618" i="2"/>
  <c r="B616" i="2"/>
  <c r="B614" i="2"/>
  <c r="B612" i="2"/>
  <c r="B610" i="2"/>
  <c r="B608" i="2"/>
  <c r="B606" i="2"/>
  <c r="B604" i="2"/>
  <c r="B602" i="2"/>
  <c r="B600" i="2"/>
  <c r="B598" i="2"/>
  <c r="B596" i="2"/>
  <c r="B594" i="2"/>
  <c r="B592" i="2"/>
  <c r="B590" i="2"/>
  <c r="B588" i="2"/>
  <c r="B586" i="2"/>
  <c r="B584" i="2"/>
  <c r="B582" i="2"/>
  <c r="B580" i="2"/>
  <c r="B578" i="2"/>
  <c r="B576" i="2"/>
  <c r="B574" i="2"/>
  <c r="B572" i="2"/>
  <c r="B570" i="2"/>
  <c r="B568" i="2"/>
  <c r="B566" i="2"/>
  <c r="B564" i="2"/>
  <c r="B562" i="2"/>
  <c r="B560" i="2"/>
  <c r="B558" i="2"/>
  <c r="B556" i="2"/>
  <c r="B554" i="2"/>
  <c r="B552" i="2"/>
  <c r="B550" i="2"/>
  <c r="B548" i="2"/>
  <c r="B546" i="2"/>
  <c r="B544" i="2"/>
  <c r="B542" i="2"/>
  <c r="B540" i="2"/>
  <c r="B538" i="2"/>
  <c r="B536" i="2"/>
  <c r="B534" i="2"/>
  <c r="B532" i="2"/>
  <c r="B530" i="2"/>
  <c r="B528" i="2"/>
  <c r="B526" i="2"/>
  <c r="B524" i="2"/>
  <c r="B522" i="2"/>
  <c r="B520" i="2"/>
  <c r="B518" i="2"/>
  <c r="B516" i="2"/>
  <c r="B514" i="2"/>
  <c r="B512" i="2"/>
  <c r="B510" i="2"/>
  <c r="B508" i="2"/>
  <c r="B506" i="2"/>
  <c r="B504" i="2"/>
  <c r="B502" i="2"/>
  <c r="B500" i="2"/>
  <c r="B498" i="2"/>
  <c r="B496" i="2"/>
  <c r="B494" i="2"/>
  <c r="B492" i="2"/>
  <c r="B490" i="2"/>
  <c r="B488" i="2"/>
  <c r="B486" i="2"/>
  <c r="B484" i="2"/>
  <c r="B482" i="2"/>
  <c r="B480" i="2"/>
  <c r="B478" i="2"/>
  <c r="B476" i="2"/>
  <c r="B474" i="2"/>
  <c r="B472" i="2"/>
  <c r="B470" i="2"/>
  <c r="B468" i="2"/>
  <c r="B466" i="2"/>
  <c r="B464" i="2"/>
  <c r="B462" i="2"/>
  <c r="B460" i="2"/>
  <c r="B458" i="2"/>
  <c r="B456" i="2"/>
  <c r="B454" i="2"/>
  <c r="B452" i="2"/>
  <c r="B450" i="2"/>
  <c r="B448" i="2"/>
  <c r="B446" i="2"/>
  <c r="B444" i="2"/>
  <c r="B442" i="2"/>
  <c r="B440" i="2"/>
  <c r="B438" i="2"/>
  <c r="B436" i="2"/>
  <c r="B434" i="2"/>
  <c r="B432" i="2"/>
  <c r="B430" i="2"/>
  <c r="B428" i="2"/>
  <c r="B426" i="2"/>
  <c r="B424" i="2"/>
  <c r="B422" i="2"/>
  <c r="B420" i="2"/>
  <c r="B418" i="2"/>
  <c r="B416" i="2"/>
  <c r="B414" i="2"/>
  <c r="B412" i="2"/>
  <c r="B410" i="2"/>
  <c r="B408" i="2"/>
  <c r="B406" i="2"/>
  <c r="B404" i="2"/>
  <c r="B402" i="2"/>
  <c r="B400" i="2"/>
  <c r="B398" i="2"/>
  <c r="B396" i="2"/>
  <c r="B394" i="2"/>
  <c r="B392" i="2"/>
  <c r="B390" i="2"/>
  <c r="B388" i="2"/>
  <c r="B386" i="2"/>
  <c r="B384" i="2"/>
  <c r="B382" i="2"/>
  <c r="B380" i="2"/>
  <c r="B378" i="2"/>
  <c r="B376" i="2"/>
  <c r="B374" i="2"/>
  <c r="B372" i="2"/>
  <c r="B370" i="2"/>
  <c r="B368" i="2"/>
  <c r="B366" i="2"/>
  <c r="B364" i="2"/>
  <c r="B362" i="2"/>
  <c r="B360" i="2"/>
  <c r="B358" i="2"/>
  <c r="B356" i="2"/>
  <c r="B354" i="2"/>
  <c r="B352" i="2"/>
  <c r="B350" i="2"/>
  <c r="B348" i="2"/>
  <c r="B346" i="2"/>
  <c r="B344" i="2"/>
  <c r="B342" i="2"/>
  <c r="B340" i="2"/>
  <c r="B338" i="2"/>
  <c r="B336" i="2"/>
  <c r="B334" i="2"/>
  <c r="B332" i="2"/>
  <c r="B330" i="2"/>
  <c r="B328" i="2"/>
  <c r="B326" i="2"/>
  <c r="B324" i="2"/>
  <c r="B322" i="2"/>
  <c r="B320" i="2"/>
  <c r="B318" i="2"/>
  <c r="B316" i="2"/>
  <c r="B314" i="2"/>
  <c r="B312" i="2"/>
  <c r="B310" i="2"/>
  <c r="B308" i="2"/>
  <c r="B306" i="2"/>
  <c r="B304" i="2"/>
  <c r="B302" i="2"/>
  <c r="B300" i="2"/>
  <c r="B298" i="2"/>
  <c r="B296" i="2"/>
  <c r="B294" i="2"/>
  <c r="B292" i="2"/>
  <c r="B290" i="2"/>
  <c r="B288" i="2"/>
  <c r="B286" i="2"/>
  <c r="B284" i="2"/>
  <c r="B282" i="2"/>
  <c r="B280" i="2"/>
  <c r="B278" i="2"/>
  <c r="B276" i="2"/>
  <c r="B274" i="2"/>
  <c r="B272" i="2"/>
  <c r="B270" i="2"/>
  <c r="B268" i="2"/>
  <c r="B266" i="2"/>
  <c r="B264" i="2"/>
  <c r="B262" i="2"/>
  <c r="B260" i="2"/>
  <c r="B258" i="2"/>
  <c r="B256" i="2"/>
  <c r="B254" i="2"/>
  <c r="B252" i="2"/>
  <c r="B250" i="2"/>
  <c r="B248" i="2"/>
  <c r="B246" i="2"/>
  <c r="B244" i="2"/>
  <c r="B242" i="2"/>
  <c r="B240" i="2"/>
  <c r="B238" i="2"/>
  <c r="B236" i="2"/>
  <c r="B234" i="2"/>
  <c r="B232" i="2"/>
  <c r="B230" i="2"/>
  <c r="B228" i="2"/>
  <c r="B226" i="2"/>
  <c r="B224" i="2"/>
  <c r="B222" i="2"/>
  <c r="B220" i="2"/>
  <c r="B218" i="2"/>
  <c r="B216" i="2"/>
  <c r="B214" i="2"/>
  <c r="B212" i="2"/>
  <c r="B210" i="2"/>
  <c r="B208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C2009" i="2"/>
  <c r="C2001" i="2"/>
  <c r="C1993" i="2"/>
  <c r="C1985" i="2"/>
  <c r="C1977" i="2"/>
  <c r="C1969" i="2"/>
  <c r="C1961" i="2"/>
  <c r="C1953" i="2"/>
  <c r="C1945" i="2"/>
  <c r="C1937" i="2"/>
  <c r="C1929" i="2"/>
  <c r="C1921" i="2"/>
  <c r="C1913" i="2"/>
  <c r="C1905" i="2"/>
  <c r="C1897" i="2"/>
  <c r="C1889" i="2"/>
  <c r="C1881" i="2"/>
  <c r="C1873" i="2"/>
  <c r="C1865" i="2"/>
  <c r="C1857" i="2"/>
  <c r="C1849" i="2"/>
  <c r="C1841" i="2"/>
  <c r="C1833" i="2"/>
  <c r="C1825" i="2"/>
  <c r="C1817" i="2"/>
  <c r="B1812" i="2"/>
  <c r="B1808" i="2"/>
  <c r="B1804" i="2"/>
  <c r="B1800" i="2"/>
  <c r="B1796" i="2"/>
  <c r="B1792" i="2"/>
  <c r="B1788" i="2"/>
  <c r="B1784" i="2"/>
  <c r="B1780" i="2"/>
  <c r="B1776" i="2"/>
  <c r="B1772" i="2"/>
  <c r="B1768" i="2"/>
  <c r="B1764" i="2"/>
  <c r="B1760" i="2"/>
  <c r="B1756" i="2"/>
  <c r="B1752" i="2"/>
  <c r="B1748" i="2"/>
  <c r="B1744" i="2"/>
  <c r="B1740" i="2"/>
  <c r="B1736" i="2"/>
  <c r="B1732" i="2"/>
  <c r="B1728" i="2"/>
  <c r="B1724" i="2"/>
  <c r="B1720" i="2"/>
  <c r="B1716" i="2"/>
  <c r="B1712" i="2"/>
  <c r="B1708" i="2"/>
  <c r="B1704" i="2"/>
  <c r="B1700" i="2"/>
  <c r="B1696" i="2"/>
  <c r="B1692" i="2"/>
  <c r="B1688" i="2"/>
  <c r="B1684" i="2"/>
  <c r="B1680" i="2"/>
  <c r="B1676" i="2"/>
  <c r="B1672" i="2"/>
  <c r="B1668" i="2"/>
  <c r="B1664" i="2"/>
  <c r="B1660" i="2"/>
  <c r="B1656" i="2"/>
  <c r="B1652" i="2"/>
  <c r="B1648" i="2"/>
  <c r="B1644" i="2"/>
  <c r="B1640" i="2"/>
  <c r="B1636" i="2"/>
  <c r="B1632" i="2"/>
  <c r="B1628" i="2"/>
  <c r="B1624" i="2"/>
  <c r="B1620" i="2"/>
  <c r="B1616" i="2"/>
  <c r="B1612" i="2"/>
  <c r="B1608" i="2"/>
  <c r="B1604" i="2"/>
  <c r="B1600" i="2"/>
  <c r="B1596" i="2"/>
  <c r="B1592" i="2"/>
  <c r="B1588" i="2"/>
  <c r="B1584" i="2"/>
  <c r="B1580" i="2"/>
  <c r="B1576" i="2"/>
  <c r="B1572" i="2"/>
  <c r="B1568" i="2"/>
  <c r="B1564" i="2"/>
  <c r="B1560" i="2"/>
  <c r="B1556" i="2"/>
  <c r="B1552" i="2"/>
  <c r="B1548" i="2"/>
  <c r="B1544" i="2"/>
  <c r="B1540" i="2"/>
  <c r="B1536" i="2"/>
  <c r="B1532" i="2"/>
  <c r="B1528" i="2"/>
  <c r="B1524" i="2"/>
  <c r="B1520" i="2"/>
  <c r="B1516" i="2"/>
  <c r="B1512" i="2"/>
  <c r="B1508" i="2"/>
  <c r="B1504" i="2"/>
  <c r="B1500" i="2"/>
  <c r="B1496" i="2"/>
  <c r="B1492" i="2"/>
  <c r="B1488" i="2"/>
  <c r="B1484" i="2"/>
  <c r="B1480" i="2"/>
  <c r="B1476" i="2"/>
  <c r="B1472" i="2"/>
  <c r="B1468" i="2"/>
  <c r="B1464" i="2"/>
  <c r="B1460" i="2"/>
  <c r="B1456" i="2"/>
  <c r="B1452" i="2"/>
  <c r="B1448" i="2"/>
  <c r="B1444" i="2"/>
  <c r="B1440" i="2"/>
  <c r="B1436" i="2"/>
  <c r="B1432" i="2"/>
  <c r="B1428" i="2"/>
  <c r="B1424" i="2"/>
  <c r="B1420" i="2"/>
  <c r="B1416" i="2"/>
  <c r="B1412" i="2"/>
  <c r="B1408" i="2"/>
  <c r="B1404" i="2"/>
  <c r="B1400" i="2"/>
  <c r="B1396" i="2"/>
  <c r="B1392" i="2"/>
  <c r="B1388" i="2"/>
  <c r="B1384" i="2"/>
  <c r="B1380" i="2"/>
  <c r="B1376" i="2"/>
  <c r="B1372" i="2"/>
  <c r="B1368" i="2"/>
  <c r="B1364" i="2"/>
  <c r="B1360" i="2"/>
  <c r="B1356" i="2"/>
  <c r="B1352" i="2"/>
  <c r="B1348" i="2"/>
  <c r="B1344" i="2"/>
  <c r="B1340" i="2"/>
  <c r="B1336" i="2"/>
  <c r="B1332" i="2"/>
  <c r="B1328" i="2"/>
  <c r="B1324" i="2"/>
  <c r="B1320" i="2"/>
  <c r="B1316" i="2"/>
  <c r="B1312" i="2"/>
  <c r="B1308" i="2"/>
  <c r="B1304" i="2"/>
  <c r="B1300" i="2"/>
  <c r="B1296" i="2"/>
  <c r="B1292" i="2"/>
  <c r="B1288" i="2"/>
  <c r="B1284" i="2"/>
  <c r="B1280" i="2"/>
  <c r="B1276" i="2"/>
  <c r="B1272" i="2"/>
  <c r="B1268" i="2"/>
  <c r="B1264" i="2"/>
  <c r="B1260" i="2"/>
  <c r="B1256" i="2"/>
  <c r="B1252" i="2"/>
  <c r="B1248" i="2"/>
  <c r="B1244" i="2"/>
  <c r="B1240" i="2"/>
  <c r="B1236" i="2"/>
  <c r="B1232" i="2"/>
  <c r="B1229" i="2"/>
  <c r="B1227" i="2"/>
  <c r="B1225" i="2"/>
  <c r="B1223" i="2"/>
  <c r="B1221" i="2"/>
  <c r="B1219" i="2"/>
  <c r="B1217" i="2"/>
  <c r="B1215" i="2"/>
  <c r="B1213" i="2"/>
  <c r="B1211" i="2"/>
  <c r="B1209" i="2"/>
  <c r="B1207" i="2"/>
  <c r="B1205" i="2"/>
  <c r="B1203" i="2"/>
  <c r="B1201" i="2"/>
  <c r="B1199" i="2"/>
  <c r="B1197" i="2"/>
  <c r="B1195" i="2"/>
  <c r="B1193" i="2"/>
  <c r="B1191" i="2"/>
  <c r="B1189" i="2"/>
  <c r="B1187" i="2"/>
  <c r="B1185" i="2"/>
  <c r="B1183" i="2"/>
  <c r="B1181" i="2"/>
  <c r="B1179" i="2"/>
  <c r="B1177" i="2"/>
  <c r="B1175" i="2"/>
  <c r="B1173" i="2"/>
  <c r="B1171" i="2"/>
  <c r="B1169" i="2"/>
  <c r="B1167" i="2"/>
  <c r="B1165" i="2"/>
  <c r="B1163" i="2"/>
  <c r="B1161" i="2"/>
  <c r="B1159" i="2"/>
  <c r="B1157" i="2"/>
  <c r="B1155" i="2"/>
  <c r="B1153" i="2"/>
  <c r="B1151" i="2"/>
  <c r="B1149" i="2"/>
  <c r="B1147" i="2"/>
  <c r="B1145" i="2"/>
  <c r="B1143" i="2"/>
  <c r="B1141" i="2"/>
  <c r="B1139" i="2"/>
  <c r="B1137" i="2"/>
  <c r="B1135" i="2"/>
  <c r="B1133" i="2"/>
  <c r="B1131" i="2"/>
  <c r="B1129" i="2"/>
  <c r="B1127" i="2"/>
  <c r="B1125" i="2"/>
  <c r="B1123" i="2"/>
  <c r="B1121" i="2"/>
  <c r="B1119" i="2"/>
  <c r="B1117" i="2"/>
  <c r="B1115" i="2"/>
  <c r="B1113" i="2"/>
  <c r="B1111" i="2"/>
  <c r="B1109" i="2"/>
  <c r="B1107" i="2"/>
  <c r="B1105" i="2"/>
  <c r="B1103" i="2"/>
  <c r="B1101" i="2"/>
  <c r="B1099" i="2"/>
  <c r="B1097" i="2"/>
  <c r="B1095" i="2"/>
  <c r="B1093" i="2"/>
  <c r="B1091" i="2"/>
  <c r="B1089" i="2"/>
  <c r="B1087" i="2"/>
  <c r="B1085" i="2"/>
  <c r="B1083" i="2"/>
  <c r="B1081" i="2"/>
  <c r="B1079" i="2"/>
  <c r="B1077" i="2"/>
  <c r="B1075" i="2"/>
  <c r="B1073" i="2"/>
  <c r="B1071" i="2"/>
  <c r="B1069" i="2"/>
  <c r="B1067" i="2"/>
  <c r="B1065" i="2"/>
  <c r="B1063" i="2"/>
  <c r="B1061" i="2"/>
  <c r="B1059" i="2"/>
  <c r="B1057" i="2"/>
  <c r="B1055" i="2"/>
  <c r="B1053" i="2"/>
  <c r="B1051" i="2"/>
  <c r="B1049" i="2"/>
  <c r="B1047" i="2"/>
  <c r="B1045" i="2"/>
  <c r="B1043" i="2"/>
  <c r="B1041" i="2"/>
  <c r="B1039" i="2"/>
  <c r="B1037" i="2"/>
  <c r="B1035" i="2"/>
  <c r="B1033" i="2"/>
  <c r="B1031" i="2"/>
  <c r="B1029" i="2"/>
  <c r="B1027" i="2"/>
  <c r="B1025" i="2"/>
  <c r="B1023" i="2"/>
  <c r="B1021" i="2"/>
  <c r="B1019" i="2"/>
  <c r="B1017" i="2"/>
  <c r="B1015" i="2"/>
  <c r="B1013" i="2"/>
  <c r="B1011" i="2"/>
  <c r="B1009" i="2"/>
  <c r="B1007" i="2"/>
  <c r="B1005" i="2"/>
  <c r="B1003" i="2"/>
  <c r="B1001" i="2"/>
  <c r="B999" i="2"/>
  <c r="B997" i="2"/>
  <c r="B995" i="2"/>
  <c r="B993" i="2"/>
  <c r="B991" i="2"/>
  <c r="B989" i="2"/>
  <c r="B987" i="2"/>
  <c r="B985" i="2"/>
  <c r="B983" i="2"/>
  <c r="B981" i="2"/>
  <c r="B979" i="2"/>
  <c r="B977" i="2"/>
  <c r="B975" i="2"/>
  <c r="B973" i="2"/>
  <c r="B971" i="2"/>
  <c r="B969" i="2"/>
  <c r="B967" i="2"/>
  <c r="B965" i="2"/>
  <c r="B963" i="2"/>
  <c r="B961" i="2"/>
  <c r="B959" i="2"/>
  <c r="B957" i="2"/>
  <c r="B955" i="2"/>
  <c r="B953" i="2"/>
  <c r="B951" i="2"/>
  <c r="B949" i="2"/>
  <c r="B947" i="2"/>
  <c r="B945" i="2"/>
  <c r="B943" i="2"/>
  <c r="B941" i="2"/>
  <c r="B939" i="2"/>
  <c r="B937" i="2"/>
  <c r="B935" i="2"/>
  <c r="B933" i="2"/>
  <c r="B931" i="2"/>
  <c r="B929" i="2"/>
  <c r="B927" i="2"/>
  <c r="B925" i="2"/>
  <c r="B923" i="2"/>
  <c r="B921" i="2"/>
  <c r="B919" i="2"/>
  <c r="B917" i="2"/>
  <c r="B915" i="2"/>
  <c r="B913" i="2"/>
  <c r="B911" i="2"/>
  <c r="B909" i="2"/>
  <c r="B907" i="2"/>
  <c r="B905" i="2"/>
  <c r="B903" i="2"/>
  <c r="B901" i="2"/>
  <c r="B899" i="2"/>
  <c r="B897" i="2"/>
  <c r="B895" i="2"/>
  <c r="B893" i="2"/>
  <c r="B891" i="2"/>
  <c r="B889" i="2"/>
  <c r="B887" i="2"/>
  <c r="B885" i="2"/>
  <c r="B883" i="2"/>
  <c r="B881" i="2"/>
  <c r="B879" i="2"/>
  <c r="B877" i="2"/>
  <c r="B875" i="2"/>
  <c r="B873" i="2"/>
  <c r="B871" i="2"/>
  <c r="B869" i="2"/>
  <c r="B867" i="2"/>
  <c r="B865" i="2"/>
  <c r="B863" i="2"/>
  <c r="B861" i="2"/>
  <c r="B859" i="2"/>
  <c r="B857" i="2"/>
  <c r="B855" i="2"/>
  <c r="B853" i="2"/>
  <c r="B851" i="2"/>
  <c r="B849" i="2"/>
  <c r="B847" i="2"/>
  <c r="B845" i="2"/>
  <c r="B843" i="2"/>
  <c r="B841" i="2"/>
  <c r="B839" i="2"/>
  <c r="B837" i="2"/>
  <c r="B835" i="2"/>
  <c r="B833" i="2"/>
  <c r="B831" i="2"/>
  <c r="B829" i="2"/>
  <c r="B827" i="2"/>
  <c r="B825" i="2"/>
  <c r="B823" i="2"/>
  <c r="B821" i="2"/>
  <c r="B819" i="2"/>
  <c r="B817" i="2"/>
  <c r="B815" i="2"/>
  <c r="B813" i="2"/>
  <c r="B811" i="2"/>
  <c r="B809" i="2"/>
  <c r="B807" i="2"/>
  <c r="B805" i="2"/>
  <c r="B803" i="2"/>
  <c r="B801" i="2"/>
  <c r="B799" i="2"/>
  <c r="B797" i="2"/>
  <c r="B795" i="2"/>
  <c r="B793" i="2"/>
  <c r="B791" i="2"/>
  <c r="B789" i="2"/>
  <c r="B787" i="2"/>
  <c r="B785" i="2"/>
  <c r="B783" i="2"/>
  <c r="B781" i="2"/>
  <c r="B779" i="2"/>
  <c r="B777" i="2"/>
  <c r="B775" i="2"/>
  <c r="B773" i="2"/>
  <c r="B771" i="2"/>
  <c r="B769" i="2"/>
  <c r="B767" i="2"/>
  <c r="B765" i="2"/>
  <c r="B763" i="2"/>
  <c r="B761" i="2"/>
  <c r="B759" i="2"/>
  <c r="B757" i="2"/>
  <c r="B755" i="2"/>
  <c r="B753" i="2"/>
  <c r="B751" i="2"/>
  <c r="B749" i="2"/>
  <c r="B747" i="2"/>
  <c r="B745" i="2"/>
  <c r="B743" i="2"/>
  <c r="B741" i="2"/>
  <c r="B739" i="2"/>
  <c r="B737" i="2"/>
  <c r="B735" i="2"/>
  <c r="B733" i="2"/>
  <c r="B731" i="2"/>
  <c r="B729" i="2"/>
  <c r="B727" i="2"/>
  <c r="B725" i="2"/>
  <c r="B723" i="2"/>
  <c r="B721" i="2"/>
  <c r="B719" i="2"/>
  <c r="B717" i="2"/>
  <c r="B715" i="2"/>
  <c r="B713" i="2"/>
  <c r="B711" i="2"/>
  <c r="B709" i="2"/>
  <c r="B707" i="2"/>
  <c r="B705" i="2"/>
  <c r="B703" i="2"/>
  <c r="B701" i="2"/>
  <c r="B699" i="2"/>
  <c r="B697" i="2"/>
  <c r="B695" i="2"/>
  <c r="B693" i="2"/>
  <c r="B691" i="2"/>
  <c r="B689" i="2"/>
  <c r="B687" i="2"/>
  <c r="B685" i="2"/>
  <c r="B683" i="2"/>
  <c r="B681" i="2"/>
  <c r="B679" i="2"/>
  <c r="B677" i="2"/>
  <c r="B675" i="2"/>
  <c r="B673" i="2"/>
  <c r="B671" i="2"/>
  <c r="B669" i="2"/>
  <c r="B667" i="2"/>
  <c r="B665" i="2"/>
  <c r="B663" i="2"/>
  <c r="B661" i="2"/>
  <c r="B659" i="2"/>
  <c r="B657" i="2"/>
  <c r="B655" i="2"/>
  <c r="B653" i="2"/>
  <c r="B651" i="2"/>
  <c r="B649" i="2"/>
  <c r="B647" i="2"/>
  <c r="B645" i="2"/>
  <c r="B643" i="2"/>
  <c r="B641" i="2"/>
  <c r="B639" i="2"/>
  <c r="B637" i="2"/>
  <c r="B635" i="2"/>
  <c r="B633" i="2"/>
  <c r="B631" i="2"/>
  <c r="B629" i="2"/>
  <c r="B627" i="2"/>
  <c r="B625" i="2"/>
  <c r="B623" i="2"/>
  <c r="B621" i="2"/>
  <c r="B619" i="2"/>
  <c r="B617" i="2"/>
  <c r="B615" i="2"/>
  <c r="B613" i="2"/>
  <c r="B611" i="2"/>
  <c r="B609" i="2"/>
  <c r="B607" i="2"/>
  <c r="B605" i="2"/>
  <c r="B603" i="2"/>
  <c r="B601" i="2"/>
  <c r="B599" i="2"/>
  <c r="B597" i="2"/>
  <c r="B595" i="2"/>
  <c r="B593" i="2"/>
  <c r="B591" i="2"/>
  <c r="B589" i="2"/>
  <c r="B587" i="2"/>
  <c r="B585" i="2"/>
  <c r="B583" i="2"/>
  <c r="B581" i="2"/>
  <c r="B579" i="2"/>
  <c r="B577" i="2"/>
  <c r="B575" i="2"/>
  <c r="B573" i="2"/>
  <c r="B571" i="2"/>
  <c r="B569" i="2"/>
  <c r="B567" i="2"/>
  <c r="B565" i="2"/>
  <c r="B563" i="2"/>
  <c r="B561" i="2"/>
  <c r="B559" i="2"/>
  <c r="B557" i="2"/>
  <c r="B555" i="2"/>
  <c r="B553" i="2"/>
  <c r="B551" i="2"/>
  <c r="B549" i="2"/>
  <c r="B547" i="2"/>
  <c r="B545" i="2"/>
  <c r="B543" i="2"/>
  <c r="B541" i="2"/>
  <c r="B539" i="2"/>
  <c r="B537" i="2"/>
  <c r="B535" i="2"/>
  <c r="B533" i="2"/>
  <c r="B531" i="2"/>
  <c r="B529" i="2"/>
  <c r="B527" i="2"/>
  <c r="B525" i="2"/>
  <c r="B523" i="2"/>
  <c r="B521" i="2"/>
  <c r="B519" i="2"/>
  <c r="B517" i="2"/>
  <c r="B515" i="2"/>
  <c r="B513" i="2"/>
  <c r="B511" i="2"/>
  <c r="B509" i="2"/>
  <c r="B507" i="2"/>
  <c r="B505" i="2"/>
  <c r="B503" i="2"/>
  <c r="B501" i="2"/>
  <c r="B499" i="2"/>
  <c r="B497" i="2"/>
  <c r="B495" i="2"/>
  <c r="B493" i="2"/>
  <c r="B491" i="2"/>
  <c r="B489" i="2"/>
  <c r="B487" i="2"/>
  <c r="B485" i="2"/>
  <c r="B483" i="2"/>
  <c r="B481" i="2"/>
  <c r="B479" i="2"/>
  <c r="B477" i="2"/>
  <c r="B475" i="2"/>
  <c r="B473" i="2"/>
  <c r="B471" i="2"/>
  <c r="B469" i="2"/>
  <c r="B467" i="2"/>
  <c r="B465" i="2"/>
  <c r="B463" i="2"/>
  <c r="B461" i="2"/>
  <c r="B459" i="2"/>
  <c r="B457" i="2"/>
  <c r="B455" i="2"/>
  <c r="B453" i="2"/>
  <c r="B451" i="2"/>
  <c r="B449" i="2"/>
  <c r="B447" i="2"/>
  <c r="B445" i="2"/>
  <c r="B443" i="2"/>
  <c r="B441" i="2"/>
  <c r="B439" i="2"/>
  <c r="B437" i="2"/>
  <c r="B435" i="2"/>
  <c r="B433" i="2"/>
  <c r="B431" i="2"/>
  <c r="B429" i="2"/>
  <c r="B427" i="2"/>
  <c r="B425" i="2"/>
  <c r="B423" i="2"/>
  <c r="B421" i="2"/>
  <c r="B419" i="2"/>
  <c r="B417" i="2"/>
  <c r="B415" i="2"/>
  <c r="B413" i="2"/>
  <c r="B411" i="2"/>
  <c r="B409" i="2"/>
  <c r="B407" i="2"/>
  <c r="B405" i="2"/>
  <c r="B403" i="2"/>
  <c r="B401" i="2"/>
  <c r="B399" i="2"/>
  <c r="B397" i="2"/>
  <c r="B395" i="2"/>
  <c r="B393" i="2"/>
  <c r="B391" i="2"/>
  <c r="B389" i="2"/>
  <c r="B387" i="2"/>
  <c r="B385" i="2"/>
  <c r="B383" i="2"/>
  <c r="B381" i="2"/>
  <c r="B379" i="2"/>
  <c r="B377" i="2"/>
  <c r="B375" i="2"/>
  <c r="B373" i="2"/>
  <c r="B371" i="2"/>
  <c r="B369" i="2"/>
  <c r="B367" i="2"/>
  <c r="B365" i="2"/>
  <c r="B363" i="2"/>
  <c r="B361" i="2"/>
  <c r="B359" i="2"/>
  <c r="B357" i="2"/>
  <c r="B355" i="2"/>
  <c r="B353" i="2"/>
  <c r="B351" i="2"/>
  <c r="B349" i="2"/>
  <c r="B347" i="2"/>
  <c r="B345" i="2"/>
  <c r="B343" i="2"/>
  <c r="B341" i="2"/>
  <c r="B339" i="2"/>
  <c r="B337" i="2"/>
  <c r="B335" i="2"/>
  <c r="B333" i="2"/>
  <c r="B331" i="2"/>
  <c r="B329" i="2"/>
  <c r="B327" i="2"/>
  <c r="B325" i="2"/>
  <c r="B323" i="2"/>
  <c r="B321" i="2"/>
  <c r="B319" i="2"/>
  <c r="B317" i="2"/>
  <c r="B315" i="2"/>
  <c r="B313" i="2"/>
  <c r="B311" i="2"/>
  <c r="B309" i="2"/>
  <c r="B307" i="2"/>
  <c r="B305" i="2"/>
  <c r="B303" i="2"/>
  <c r="B301" i="2"/>
  <c r="B299" i="2"/>
  <c r="B297" i="2"/>
  <c r="B295" i="2"/>
  <c r="B293" i="2"/>
  <c r="B291" i="2"/>
  <c r="B289" i="2"/>
  <c r="B287" i="2"/>
  <c r="B285" i="2"/>
  <c r="B283" i="2"/>
  <c r="B281" i="2"/>
  <c r="B279" i="2"/>
  <c r="B277" i="2"/>
  <c r="B275" i="2"/>
  <c r="B273" i="2"/>
  <c r="B271" i="2"/>
  <c r="B269" i="2"/>
  <c r="B267" i="2"/>
  <c r="B265" i="2"/>
  <c r="B263" i="2"/>
  <c r="B261" i="2"/>
  <c r="B259" i="2"/>
  <c r="B257" i="2"/>
  <c r="B255" i="2"/>
  <c r="B253" i="2"/>
  <c r="B251" i="2"/>
  <c r="B249" i="2"/>
  <c r="B247" i="2"/>
  <c r="B245" i="2"/>
  <c r="B243" i="2"/>
  <c r="B241" i="2"/>
  <c r="B239" i="2"/>
  <c r="B237" i="2"/>
  <c r="B235" i="2"/>
  <c r="B233" i="2"/>
  <c r="B231" i="2"/>
  <c r="B229" i="2"/>
  <c r="B227" i="2"/>
  <c r="B225" i="2"/>
  <c r="B223" i="2"/>
  <c r="B221" i="2"/>
  <c r="B219" i="2"/>
  <c r="B217" i="2"/>
  <c r="B215" i="2"/>
  <c r="B213" i="2"/>
  <c r="B211" i="2"/>
  <c r="B209" i="2"/>
  <c r="B207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B7" i="2"/>
</calcChain>
</file>

<file path=xl/sharedStrings.xml><?xml version="1.0" encoding="utf-8"?>
<sst xmlns="http://schemas.openxmlformats.org/spreadsheetml/2006/main" count="38722" uniqueCount="63">
  <si>
    <t>Date</t>
  </si>
  <si>
    <t>Solar</t>
  </si>
  <si>
    <t>Tave</t>
  </si>
  <si>
    <t>Tmax</t>
  </si>
  <si>
    <t>Tmin</t>
  </si>
  <si>
    <t>Wind</t>
  </si>
  <si>
    <t>WindMax</t>
  </si>
  <si>
    <t>Precip</t>
  </si>
  <si>
    <t>SnowD</t>
  </si>
  <si>
    <t>Tsnow</t>
  </si>
  <si>
    <t>IRTSurfA</t>
  </si>
  <si>
    <t>IRTSurX</t>
  </si>
  <si>
    <t>IRTSurmin</t>
  </si>
  <si>
    <t>Tsoil005</t>
  </si>
  <si>
    <t>Tsoil15</t>
  </si>
  <si>
    <t>Tsoil50</t>
  </si>
  <si>
    <t>SoilH2O</t>
  </si>
  <si>
    <t>Vapres</t>
  </si>
  <si>
    <t>vpdX</t>
  </si>
  <si>
    <t>MJ/m2/d</t>
  </si>
  <si>
    <t>C</t>
  </si>
  <si>
    <t>%</t>
  </si>
  <si>
    <t>m/s</t>
  </si>
  <si>
    <t>mm</t>
  </si>
  <si>
    <t>m</t>
  </si>
  <si>
    <t>m3/m3</t>
  </si>
  <si>
    <t>kPa</t>
  </si>
  <si>
    <t>NAN</t>
  </si>
  <si>
    <t>N-NE</t>
  </si>
  <si>
    <t>NE-E</t>
  </si>
  <si>
    <t>E-SE</t>
  </si>
  <si>
    <t>SE-S</t>
  </si>
  <si>
    <t>S-SW</t>
  </si>
  <si>
    <t>SW-W</t>
  </si>
  <si>
    <t>W-NW</t>
  </si>
  <si>
    <t>NW-N</t>
  </si>
  <si>
    <t>Wind Direction (fraction of day)</t>
  </si>
  <si>
    <t>ClrSky</t>
  </si>
  <si>
    <t>Key</t>
  </si>
  <si>
    <t>Reflect</t>
  </si>
  <si>
    <t>Key1</t>
  </si>
  <si>
    <t>Select col#</t>
  </si>
  <si>
    <t>Daily time series</t>
  </si>
  <si>
    <t>Last edit 17/12/25</t>
  </si>
  <si>
    <t>Units</t>
  </si>
  <si>
    <t>Data worksheet</t>
  </si>
  <si>
    <t xml:space="preserve">Data source is daily spreadsheets by year. </t>
  </si>
  <si>
    <t>Data edits are noted in these spreadsheets</t>
  </si>
  <si>
    <t>Clear sky radiation calculated on 10 min time step for lat, long and elevation of site</t>
  </si>
  <si>
    <t>Graph worksheet</t>
  </si>
  <si>
    <t>NAN indicates missing data</t>
  </si>
  <si>
    <t xml:space="preserve">Select one or a pair of variables to review using column number of desired variable </t>
  </si>
  <si>
    <t>Chose 0 for second variable if only showing one.</t>
  </si>
  <si>
    <t>Penticton Creek Site P1 2019-2025 Daily data</t>
  </si>
  <si>
    <t>P1 Daily data 2019 -2025</t>
  </si>
  <si>
    <t>Last edit 29/12/25</t>
  </si>
  <si>
    <t>Site</t>
  </si>
  <si>
    <t>P1</t>
  </si>
  <si>
    <t>RHave</t>
  </si>
  <si>
    <t>RHmin</t>
  </si>
  <si>
    <t>IRTSurfX</t>
  </si>
  <si>
    <t>IRTSurfN</t>
  </si>
  <si>
    <t>Last edit 2/01/26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</si>
</sst>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9]d/mmm/yy;@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15" fontId="1" fillId="0" borderId="0" xfId="0" applyNumberFormat="1" applyFont="1"/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327059140522194E-2"/>
          <c:y val="2.3723332660340535E-2"/>
          <c:w val="0.91791517810961076"/>
          <c:h val="0.85426273638872063"/>
        </c:manualLayout>
      </c:layout>
      <c:lineChart>
        <c:grouping val="standard"/>
        <c:varyColors val="0"/>
        <c:ser>
          <c:idx val="0"/>
          <c:order val="0"/>
          <c:tx>
            <c:strRef>
              <c:f>Graph!$F$5</c:f>
              <c:strCache>
                <c:ptCount val="1"/>
                <c:pt idx="0">
                  <c:v>Tmax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Graph!$B$7:$B$2562</c:f>
              <c:numCache>
                <c:formatCode>General</c:formatCode>
                <c:ptCount val="2556"/>
                <c:pt idx="0">
                  <c:v>-0.7</c:v>
                </c:pt>
                <c:pt idx="1">
                  <c:v>-6.9</c:v>
                </c:pt>
                <c:pt idx="2">
                  <c:v>0.5</c:v>
                </c:pt>
                <c:pt idx="3">
                  <c:v>0.8</c:v>
                </c:pt>
                <c:pt idx="4">
                  <c:v>0.6</c:v>
                </c:pt>
                <c:pt idx="5">
                  <c:v>-1.2</c:v>
                </c:pt>
                <c:pt idx="6">
                  <c:v>-4.8</c:v>
                </c:pt>
                <c:pt idx="7">
                  <c:v>-6</c:v>
                </c:pt>
                <c:pt idx="8">
                  <c:v>0.6</c:v>
                </c:pt>
                <c:pt idx="9">
                  <c:v>2.1</c:v>
                </c:pt>
                <c:pt idx="10">
                  <c:v>0.5</c:v>
                </c:pt>
                <c:pt idx="11">
                  <c:v>0.7</c:v>
                </c:pt>
                <c:pt idx="12">
                  <c:v>3</c:v>
                </c:pt>
                <c:pt idx="13">
                  <c:v>4.8</c:v>
                </c:pt>
                <c:pt idx="14">
                  <c:v>1.7</c:v>
                </c:pt>
                <c:pt idx="15">
                  <c:v>-0.2</c:v>
                </c:pt>
                <c:pt idx="16">
                  <c:v>-0.3</c:v>
                </c:pt>
                <c:pt idx="17">
                  <c:v>-0.9</c:v>
                </c:pt>
                <c:pt idx="18">
                  <c:v>1.5</c:v>
                </c:pt>
                <c:pt idx="19">
                  <c:v>-2.8</c:v>
                </c:pt>
                <c:pt idx="20">
                  <c:v>-4.7</c:v>
                </c:pt>
                <c:pt idx="21">
                  <c:v>-5.9</c:v>
                </c:pt>
                <c:pt idx="22">
                  <c:v>-1.4</c:v>
                </c:pt>
                <c:pt idx="23">
                  <c:v>2.4</c:v>
                </c:pt>
                <c:pt idx="24">
                  <c:v>3.5</c:v>
                </c:pt>
                <c:pt idx="25">
                  <c:v>10.3</c:v>
                </c:pt>
                <c:pt idx="26">
                  <c:v>4.5999999999999996</c:v>
                </c:pt>
                <c:pt idx="27">
                  <c:v>-0.9</c:v>
                </c:pt>
                <c:pt idx="28">
                  <c:v>4.2</c:v>
                </c:pt>
                <c:pt idx="29">
                  <c:v>4</c:v>
                </c:pt>
                <c:pt idx="30">
                  <c:v>1.7</c:v>
                </c:pt>
                <c:pt idx="31">
                  <c:v>0.7</c:v>
                </c:pt>
                <c:pt idx="32">
                  <c:v>0.9</c:v>
                </c:pt>
                <c:pt idx="33">
                  <c:v>-8.5</c:v>
                </c:pt>
                <c:pt idx="34">
                  <c:v>-18.5</c:v>
                </c:pt>
                <c:pt idx="35">
                  <c:v>-13.3</c:v>
                </c:pt>
                <c:pt idx="36">
                  <c:v>-11.3</c:v>
                </c:pt>
                <c:pt idx="37">
                  <c:v>-7</c:v>
                </c:pt>
                <c:pt idx="38">
                  <c:v>-11.3</c:v>
                </c:pt>
                <c:pt idx="39">
                  <c:v>-15</c:v>
                </c:pt>
                <c:pt idx="40">
                  <c:v>-11.6</c:v>
                </c:pt>
                <c:pt idx="41">
                  <c:v>-10.5</c:v>
                </c:pt>
                <c:pt idx="42">
                  <c:v>-8</c:v>
                </c:pt>
                <c:pt idx="43">
                  <c:v>-5.3</c:v>
                </c:pt>
                <c:pt idx="44">
                  <c:v>-4.0999999999999996</c:v>
                </c:pt>
                <c:pt idx="45">
                  <c:v>-1.1000000000000001</c:v>
                </c:pt>
                <c:pt idx="46">
                  <c:v>-2.7</c:v>
                </c:pt>
                <c:pt idx="47">
                  <c:v>-6.7</c:v>
                </c:pt>
                <c:pt idx="48">
                  <c:v>-6.7</c:v>
                </c:pt>
                <c:pt idx="49">
                  <c:v>-4.5999999999999996</c:v>
                </c:pt>
                <c:pt idx="50">
                  <c:v>-6.3</c:v>
                </c:pt>
                <c:pt idx="51">
                  <c:v>-5.0999999999999996</c:v>
                </c:pt>
                <c:pt idx="52">
                  <c:v>-7.2</c:v>
                </c:pt>
                <c:pt idx="53">
                  <c:v>-4.7</c:v>
                </c:pt>
                <c:pt idx="54">
                  <c:v>-6.4</c:v>
                </c:pt>
                <c:pt idx="55">
                  <c:v>-10.1</c:v>
                </c:pt>
                <c:pt idx="56">
                  <c:v>-6.9</c:v>
                </c:pt>
                <c:pt idx="57">
                  <c:v>-4.0999999999999996</c:v>
                </c:pt>
                <c:pt idx="58">
                  <c:v>-5.3</c:v>
                </c:pt>
                <c:pt idx="59">
                  <c:v>-2.8</c:v>
                </c:pt>
                <c:pt idx="60">
                  <c:v>-8.5</c:v>
                </c:pt>
                <c:pt idx="61">
                  <c:v>-5.7</c:v>
                </c:pt>
                <c:pt idx="62">
                  <c:v>-3.9</c:v>
                </c:pt>
                <c:pt idx="63">
                  <c:v>-1.6</c:v>
                </c:pt>
                <c:pt idx="64">
                  <c:v>0.2</c:v>
                </c:pt>
                <c:pt idx="65">
                  <c:v>-2.2999999999999998</c:v>
                </c:pt>
                <c:pt idx="66">
                  <c:v>-1.6</c:v>
                </c:pt>
                <c:pt idx="67">
                  <c:v>-2.9</c:v>
                </c:pt>
                <c:pt idx="68">
                  <c:v>1.9</c:v>
                </c:pt>
                <c:pt idx="69">
                  <c:v>-0.6</c:v>
                </c:pt>
                <c:pt idx="70">
                  <c:v>-3.1</c:v>
                </c:pt>
                <c:pt idx="71">
                  <c:v>1</c:v>
                </c:pt>
                <c:pt idx="72">
                  <c:v>3.5</c:v>
                </c:pt>
                <c:pt idx="73">
                  <c:v>6.6</c:v>
                </c:pt>
                <c:pt idx="74">
                  <c:v>9.1</c:v>
                </c:pt>
                <c:pt idx="75">
                  <c:v>9.4</c:v>
                </c:pt>
                <c:pt idx="76">
                  <c:v>14</c:v>
                </c:pt>
                <c:pt idx="77">
                  <c:v>16.2</c:v>
                </c:pt>
                <c:pt idx="78">
                  <c:v>17.5</c:v>
                </c:pt>
                <c:pt idx="79">
                  <c:v>17.100000000000001</c:v>
                </c:pt>
                <c:pt idx="80">
                  <c:v>14.8</c:v>
                </c:pt>
                <c:pt idx="81">
                  <c:v>8.1999999999999993</c:v>
                </c:pt>
                <c:pt idx="82">
                  <c:v>9.8000000000000007</c:v>
                </c:pt>
                <c:pt idx="83">
                  <c:v>7.6</c:v>
                </c:pt>
                <c:pt idx="84">
                  <c:v>3.8</c:v>
                </c:pt>
                <c:pt idx="85">
                  <c:v>6.7</c:v>
                </c:pt>
                <c:pt idx="86">
                  <c:v>7.6</c:v>
                </c:pt>
                <c:pt idx="87">
                  <c:v>9.6</c:v>
                </c:pt>
                <c:pt idx="88">
                  <c:v>11.2</c:v>
                </c:pt>
                <c:pt idx="89">
                  <c:v>9.6</c:v>
                </c:pt>
                <c:pt idx="90">
                  <c:v>9.3000000000000007</c:v>
                </c:pt>
                <c:pt idx="91">
                  <c:v>10.8</c:v>
                </c:pt>
                <c:pt idx="92">
                  <c:v>5.7</c:v>
                </c:pt>
                <c:pt idx="93">
                  <c:v>9.6</c:v>
                </c:pt>
                <c:pt idx="94">
                  <c:v>6.2</c:v>
                </c:pt>
                <c:pt idx="95">
                  <c:v>2.2000000000000002</c:v>
                </c:pt>
                <c:pt idx="96">
                  <c:v>7</c:v>
                </c:pt>
                <c:pt idx="97">
                  <c:v>5.9</c:v>
                </c:pt>
                <c:pt idx="98">
                  <c:v>6.3</c:v>
                </c:pt>
                <c:pt idx="99">
                  <c:v>1.5</c:v>
                </c:pt>
                <c:pt idx="100">
                  <c:v>3.4</c:v>
                </c:pt>
                <c:pt idx="101">
                  <c:v>5.6</c:v>
                </c:pt>
                <c:pt idx="102">
                  <c:v>2.1</c:v>
                </c:pt>
                <c:pt idx="103">
                  <c:v>4</c:v>
                </c:pt>
                <c:pt idx="104">
                  <c:v>5.0999999999999996</c:v>
                </c:pt>
                <c:pt idx="105">
                  <c:v>8</c:v>
                </c:pt>
                <c:pt idx="106">
                  <c:v>9.1</c:v>
                </c:pt>
                <c:pt idx="107">
                  <c:v>7.7</c:v>
                </c:pt>
                <c:pt idx="108">
                  <c:v>8.5</c:v>
                </c:pt>
                <c:pt idx="109">
                  <c:v>7.2</c:v>
                </c:pt>
                <c:pt idx="110">
                  <c:v>12.8</c:v>
                </c:pt>
                <c:pt idx="111">
                  <c:v>10.199999999999999</c:v>
                </c:pt>
                <c:pt idx="112">
                  <c:v>9.4</c:v>
                </c:pt>
                <c:pt idx="113">
                  <c:v>8.1</c:v>
                </c:pt>
                <c:pt idx="114">
                  <c:v>11.5</c:v>
                </c:pt>
                <c:pt idx="115">
                  <c:v>9.6</c:v>
                </c:pt>
                <c:pt idx="116">
                  <c:v>0.4</c:v>
                </c:pt>
                <c:pt idx="117">
                  <c:v>5.8</c:v>
                </c:pt>
                <c:pt idx="118">
                  <c:v>6.2</c:v>
                </c:pt>
                <c:pt idx="119">
                  <c:v>6.8</c:v>
                </c:pt>
                <c:pt idx="120">
                  <c:v>7.8</c:v>
                </c:pt>
                <c:pt idx="121">
                  <c:v>9.3000000000000007</c:v>
                </c:pt>
                <c:pt idx="122">
                  <c:v>13.6</c:v>
                </c:pt>
                <c:pt idx="123">
                  <c:v>13.6</c:v>
                </c:pt>
                <c:pt idx="124">
                  <c:v>13.1</c:v>
                </c:pt>
                <c:pt idx="125">
                  <c:v>15</c:v>
                </c:pt>
                <c:pt idx="126">
                  <c:v>14.2</c:v>
                </c:pt>
                <c:pt idx="127">
                  <c:v>14.8</c:v>
                </c:pt>
                <c:pt idx="128">
                  <c:v>17.899999999999999</c:v>
                </c:pt>
                <c:pt idx="129">
                  <c:v>20</c:v>
                </c:pt>
                <c:pt idx="130">
                  <c:v>21.5</c:v>
                </c:pt>
                <c:pt idx="131">
                  <c:v>19.899999999999999</c:v>
                </c:pt>
                <c:pt idx="132">
                  <c:v>18.100000000000001</c:v>
                </c:pt>
                <c:pt idx="133">
                  <c:v>12.1</c:v>
                </c:pt>
                <c:pt idx="134">
                  <c:v>15.1</c:v>
                </c:pt>
                <c:pt idx="135">
                  <c:v>12.2</c:v>
                </c:pt>
                <c:pt idx="136">
                  <c:v>7.6</c:v>
                </c:pt>
                <c:pt idx="137">
                  <c:v>10.9</c:v>
                </c:pt>
                <c:pt idx="138">
                  <c:v>11.7</c:v>
                </c:pt>
                <c:pt idx="139">
                  <c:v>11.6</c:v>
                </c:pt>
                <c:pt idx="140">
                  <c:v>9.8000000000000007</c:v>
                </c:pt>
                <c:pt idx="141">
                  <c:v>14.8</c:v>
                </c:pt>
                <c:pt idx="142">
                  <c:v>15.9</c:v>
                </c:pt>
                <c:pt idx="143">
                  <c:v>16.3</c:v>
                </c:pt>
                <c:pt idx="144">
                  <c:v>10</c:v>
                </c:pt>
                <c:pt idx="145">
                  <c:v>15.5</c:v>
                </c:pt>
                <c:pt idx="146">
                  <c:v>19.399999999999999</c:v>
                </c:pt>
                <c:pt idx="147">
                  <c:v>22.3</c:v>
                </c:pt>
                <c:pt idx="148">
                  <c:v>23.3</c:v>
                </c:pt>
                <c:pt idx="149">
                  <c:v>21.7</c:v>
                </c:pt>
                <c:pt idx="150">
                  <c:v>21.8</c:v>
                </c:pt>
                <c:pt idx="151">
                  <c:v>23.8</c:v>
                </c:pt>
                <c:pt idx="152">
                  <c:v>23.4</c:v>
                </c:pt>
                <c:pt idx="153">
                  <c:v>16.7</c:v>
                </c:pt>
                <c:pt idx="154">
                  <c:v>16</c:v>
                </c:pt>
                <c:pt idx="155">
                  <c:v>14.8</c:v>
                </c:pt>
                <c:pt idx="156">
                  <c:v>10.3</c:v>
                </c:pt>
                <c:pt idx="157">
                  <c:v>8</c:v>
                </c:pt>
                <c:pt idx="158">
                  <c:v>11.4</c:v>
                </c:pt>
                <c:pt idx="159">
                  <c:v>16.399999999999999</c:v>
                </c:pt>
                <c:pt idx="160">
                  <c:v>14.1</c:v>
                </c:pt>
                <c:pt idx="161">
                  <c:v>20.399999999999999</c:v>
                </c:pt>
                <c:pt idx="162">
                  <c:v>25.4</c:v>
                </c:pt>
                <c:pt idx="163">
                  <c:v>23.4</c:v>
                </c:pt>
                <c:pt idx="164">
                  <c:v>22.5</c:v>
                </c:pt>
                <c:pt idx="165">
                  <c:v>22.7</c:v>
                </c:pt>
                <c:pt idx="166">
                  <c:v>22.1</c:v>
                </c:pt>
                <c:pt idx="167">
                  <c:v>24</c:v>
                </c:pt>
                <c:pt idx="168">
                  <c:v>19.7</c:v>
                </c:pt>
                <c:pt idx="169">
                  <c:v>9.4</c:v>
                </c:pt>
                <c:pt idx="170">
                  <c:v>4.5</c:v>
                </c:pt>
                <c:pt idx="171">
                  <c:v>15.8</c:v>
                </c:pt>
                <c:pt idx="172">
                  <c:v>15.9</c:v>
                </c:pt>
                <c:pt idx="173">
                  <c:v>14.1</c:v>
                </c:pt>
                <c:pt idx="174">
                  <c:v>13.1</c:v>
                </c:pt>
                <c:pt idx="175">
                  <c:v>14.7</c:v>
                </c:pt>
                <c:pt idx="176">
                  <c:v>18.2</c:v>
                </c:pt>
                <c:pt idx="177">
                  <c:v>15.7</c:v>
                </c:pt>
                <c:pt idx="178">
                  <c:v>13.9</c:v>
                </c:pt>
                <c:pt idx="179">
                  <c:v>14.6</c:v>
                </c:pt>
                <c:pt idx="180">
                  <c:v>19.3</c:v>
                </c:pt>
                <c:pt idx="181">
                  <c:v>21.8</c:v>
                </c:pt>
                <c:pt idx="182">
                  <c:v>16</c:v>
                </c:pt>
                <c:pt idx="183">
                  <c:v>20.5</c:v>
                </c:pt>
                <c:pt idx="184">
                  <c:v>16.3</c:v>
                </c:pt>
                <c:pt idx="185">
                  <c:v>16.899999999999999</c:v>
                </c:pt>
                <c:pt idx="186">
                  <c:v>17</c:v>
                </c:pt>
                <c:pt idx="187">
                  <c:v>16</c:v>
                </c:pt>
                <c:pt idx="188">
                  <c:v>17.3</c:v>
                </c:pt>
                <c:pt idx="189">
                  <c:v>21.9</c:v>
                </c:pt>
                <c:pt idx="190">
                  <c:v>19.399999999999999</c:v>
                </c:pt>
                <c:pt idx="191">
                  <c:v>19.3</c:v>
                </c:pt>
                <c:pt idx="192">
                  <c:v>20.9</c:v>
                </c:pt>
                <c:pt idx="193">
                  <c:v>20.399999999999999</c:v>
                </c:pt>
                <c:pt idx="194">
                  <c:v>18.5</c:v>
                </c:pt>
                <c:pt idx="195">
                  <c:v>19.399999999999999</c:v>
                </c:pt>
                <c:pt idx="196">
                  <c:v>19.5</c:v>
                </c:pt>
                <c:pt idx="197">
                  <c:v>15.3</c:v>
                </c:pt>
                <c:pt idx="198">
                  <c:v>12.2</c:v>
                </c:pt>
                <c:pt idx="199">
                  <c:v>14.5</c:v>
                </c:pt>
                <c:pt idx="200">
                  <c:v>16.100000000000001</c:v>
                </c:pt>
                <c:pt idx="201">
                  <c:v>23.5</c:v>
                </c:pt>
                <c:pt idx="202">
                  <c:v>28</c:v>
                </c:pt>
                <c:pt idx="203">
                  <c:v>24.7</c:v>
                </c:pt>
                <c:pt idx="204">
                  <c:v>14.2</c:v>
                </c:pt>
                <c:pt idx="205">
                  <c:v>21.8</c:v>
                </c:pt>
                <c:pt idx="206">
                  <c:v>26.6</c:v>
                </c:pt>
                <c:pt idx="207">
                  <c:v>18.8</c:v>
                </c:pt>
                <c:pt idx="208">
                  <c:v>20.399999999999999</c:v>
                </c:pt>
                <c:pt idx="209">
                  <c:v>24.6</c:v>
                </c:pt>
                <c:pt idx="210">
                  <c:v>22.1</c:v>
                </c:pt>
                <c:pt idx="211">
                  <c:v>24.3</c:v>
                </c:pt>
                <c:pt idx="212">
                  <c:v>25.1</c:v>
                </c:pt>
                <c:pt idx="213">
                  <c:v>22.5</c:v>
                </c:pt>
                <c:pt idx="214">
                  <c:v>19.100000000000001</c:v>
                </c:pt>
                <c:pt idx="215">
                  <c:v>22.2</c:v>
                </c:pt>
                <c:pt idx="216">
                  <c:v>26.8</c:v>
                </c:pt>
                <c:pt idx="217">
                  <c:v>29.5</c:v>
                </c:pt>
                <c:pt idx="218">
                  <c:v>29.2</c:v>
                </c:pt>
                <c:pt idx="219">
                  <c:v>27.9</c:v>
                </c:pt>
                <c:pt idx="220">
                  <c:v>25.6</c:v>
                </c:pt>
                <c:pt idx="221">
                  <c:v>20.8</c:v>
                </c:pt>
                <c:pt idx="222">
                  <c:v>12.8</c:v>
                </c:pt>
                <c:pt idx="223">
                  <c:v>19.7</c:v>
                </c:pt>
                <c:pt idx="224">
                  <c:v>19.3</c:v>
                </c:pt>
                <c:pt idx="225">
                  <c:v>21.2</c:v>
                </c:pt>
                <c:pt idx="226">
                  <c:v>22.3</c:v>
                </c:pt>
                <c:pt idx="227">
                  <c:v>16.5</c:v>
                </c:pt>
                <c:pt idx="228">
                  <c:v>18.399999999999999</c:v>
                </c:pt>
                <c:pt idx="229">
                  <c:v>23</c:v>
                </c:pt>
                <c:pt idx="230">
                  <c:v>22.3</c:v>
                </c:pt>
                <c:pt idx="231">
                  <c:v>25.8</c:v>
                </c:pt>
                <c:pt idx="232">
                  <c:v>21.2</c:v>
                </c:pt>
                <c:pt idx="233">
                  <c:v>18.7</c:v>
                </c:pt>
                <c:pt idx="234">
                  <c:v>15.9</c:v>
                </c:pt>
                <c:pt idx="235">
                  <c:v>16.8</c:v>
                </c:pt>
                <c:pt idx="236">
                  <c:v>14.9</c:v>
                </c:pt>
                <c:pt idx="237">
                  <c:v>17.100000000000001</c:v>
                </c:pt>
                <c:pt idx="238">
                  <c:v>24.5</c:v>
                </c:pt>
                <c:pt idx="239">
                  <c:v>25.1</c:v>
                </c:pt>
                <c:pt idx="240">
                  <c:v>26.5</c:v>
                </c:pt>
                <c:pt idx="241">
                  <c:v>23</c:v>
                </c:pt>
                <c:pt idx="242">
                  <c:v>23</c:v>
                </c:pt>
                <c:pt idx="243">
                  <c:v>21.8</c:v>
                </c:pt>
                <c:pt idx="244">
                  <c:v>21</c:v>
                </c:pt>
                <c:pt idx="245">
                  <c:v>25.3</c:v>
                </c:pt>
                <c:pt idx="246">
                  <c:v>22.1</c:v>
                </c:pt>
                <c:pt idx="247">
                  <c:v>24.6</c:v>
                </c:pt>
                <c:pt idx="248">
                  <c:v>24.4</c:v>
                </c:pt>
                <c:pt idx="249">
                  <c:v>22.9</c:v>
                </c:pt>
                <c:pt idx="250">
                  <c:v>12.8</c:v>
                </c:pt>
                <c:pt idx="251">
                  <c:v>14.4</c:v>
                </c:pt>
                <c:pt idx="252">
                  <c:v>13.4</c:v>
                </c:pt>
                <c:pt idx="253">
                  <c:v>14.7</c:v>
                </c:pt>
                <c:pt idx="254">
                  <c:v>16.7</c:v>
                </c:pt>
                <c:pt idx="255">
                  <c:v>13.6</c:v>
                </c:pt>
                <c:pt idx="256">
                  <c:v>12.1</c:v>
                </c:pt>
                <c:pt idx="257">
                  <c:v>8.6999999999999993</c:v>
                </c:pt>
                <c:pt idx="258">
                  <c:v>10.199999999999999</c:v>
                </c:pt>
                <c:pt idx="259">
                  <c:v>8.6999999999999993</c:v>
                </c:pt>
                <c:pt idx="260">
                  <c:v>9</c:v>
                </c:pt>
                <c:pt idx="261">
                  <c:v>12.8</c:v>
                </c:pt>
                <c:pt idx="262">
                  <c:v>11.9</c:v>
                </c:pt>
                <c:pt idx="263">
                  <c:v>16.600000000000001</c:v>
                </c:pt>
                <c:pt idx="264">
                  <c:v>11.2</c:v>
                </c:pt>
                <c:pt idx="265">
                  <c:v>7.6</c:v>
                </c:pt>
                <c:pt idx="266">
                  <c:v>10.6</c:v>
                </c:pt>
                <c:pt idx="267">
                  <c:v>9.6999999999999993</c:v>
                </c:pt>
                <c:pt idx="268">
                  <c:v>9.3000000000000007</c:v>
                </c:pt>
                <c:pt idx="269">
                  <c:v>4.0999999999999996</c:v>
                </c:pt>
                <c:pt idx="270">
                  <c:v>1.2</c:v>
                </c:pt>
                <c:pt idx="271">
                  <c:v>0</c:v>
                </c:pt>
                <c:pt idx="272">
                  <c:v>2</c:v>
                </c:pt>
                <c:pt idx="273">
                  <c:v>6.7</c:v>
                </c:pt>
                <c:pt idx="274">
                  <c:v>5.0999999999999996</c:v>
                </c:pt>
                <c:pt idx="275">
                  <c:v>7.1</c:v>
                </c:pt>
                <c:pt idx="276">
                  <c:v>6.1</c:v>
                </c:pt>
                <c:pt idx="277">
                  <c:v>7.9</c:v>
                </c:pt>
                <c:pt idx="278">
                  <c:v>9.5</c:v>
                </c:pt>
                <c:pt idx="279">
                  <c:v>8.5</c:v>
                </c:pt>
                <c:pt idx="280">
                  <c:v>2.6</c:v>
                </c:pt>
                <c:pt idx="281">
                  <c:v>-1.3</c:v>
                </c:pt>
                <c:pt idx="282">
                  <c:v>5.6</c:v>
                </c:pt>
                <c:pt idx="283">
                  <c:v>6.1</c:v>
                </c:pt>
                <c:pt idx="284">
                  <c:v>7.1</c:v>
                </c:pt>
                <c:pt idx="285">
                  <c:v>2.1</c:v>
                </c:pt>
                <c:pt idx="286">
                  <c:v>6.4</c:v>
                </c:pt>
                <c:pt idx="287">
                  <c:v>4.0999999999999996</c:v>
                </c:pt>
                <c:pt idx="288">
                  <c:v>9</c:v>
                </c:pt>
                <c:pt idx="289">
                  <c:v>5.7</c:v>
                </c:pt>
                <c:pt idx="290">
                  <c:v>2.2000000000000002</c:v>
                </c:pt>
                <c:pt idx="291">
                  <c:v>3</c:v>
                </c:pt>
                <c:pt idx="292">
                  <c:v>1.9</c:v>
                </c:pt>
                <c:pt idx="293">
                  <c:v>1</c:v>
                </c:pt>
                <c:pt idx="294">
                  <c:v>5.7</c:v>
                </c:pt>
                <c:pt idx="295">
                  <c:v>4.9000000000000004</c:v>
                </c:pt>
                <c:pt idx="296">
                  <c:v>11</c:v>
                </c:pt>
                <c:pt idx="297">
                  <c:v>8.9</c:v>
                </c:pt>
                <c:pt idx="298">
                  <c:v>0.9</c:v>
                </c:pt>
                <c:pt idx="299">
                  <c:v>0.9</c:v>
                </c:pt>
                <c:pt idx="300">
                  <c:v>-1.7</c:v>
                </c:pt>
                <c:pt idx="301">
                  <c:v>-1.7</c:v>
                </c:pt>
                <c:pt idx="302">
                  <c:v>2.5</c:v>
                </c:pt>
                <c:pt idx="303">
                  <c:v>2.2999999999999998</c:v>
                </c:pt>
                <c:pt idx="304">
                  <c:v>7</c:v>
                </c:pt>
                <c:pt idx="305">
                  <c:v>8.9</c:v>
                </c:pt>
                <c:pt idx="306">
                  <c:v>6.1</c:v>
                </c:pt>
                <c:pt idx="307">
                  <c:v>11.2</c:v>
                </c:pt>
                <c:pt idx="308">
                  <c:v>7.9</c:v>
                </c:pt>
                <c:pt idx="309">
                  <c:v>6.3</c:v>
                </c:pt>
                <c:pt idx="310">
                  <c:v>5.8</c:v>
                </c:pt>
                <c:pt idx="311">
                  <c:v>2.2999999999999998</c:v>
                </c:pt>
                <c:pt idx="312">
                  <c:v>6.1</c:v>
                </c:pt>
                <c:pt idx="313">
                  <c:v>2.9</c:v>
                </c:pt>
                <c:pt idx="314">
                  <c:v>1.9</c:v>
                </c:pt>
                <c:pt idx="315">
                  <c:v>1.7</c:v>
                </c:pt>
                <c:pt idx="316">
                  <c:v>4.0999999999999996</c:v>
                </c:pt>
                <c:pt idx="317">
                  <c:v>0.7</c:v>
                </c:pt>
                <c:pt idx="318">
                  <c:v>2.2000000000000002</c:v>
                </c:pt>
                <c:pt idx="319">
                  <c:v>0.9</c:v>
                </c:pt>
                <c:pt idx="320">
                  <c:v>5.4</c:v>
                </c:pt>
                <c:pt idx="321">
                  <c:v>3.5</c:v>
                </c:pt>
                <c:pt idx="322">
                  <c:v>0.1</c:v>
                </c:pt>
                <c:pt idx="323">
                  <c:v>-1.4</c:v>
                </c:pt>
                <c:pt idx="324">
                  <c:v>5.2</c:v>
                </c:pt>
                <c:pt idx="325">
                  <c:v>6.9</c:v>
                </c:pt>
                <c:pt idx="326">
                  <c:v>2.4</c:v>
                </c:pt>
                <c:pt idx="327">
                  <c:v>0.5</c:v>
                </c:pt>
                <c:pt idx="328">
                  <c:v>-3.9</c:v>
                </c:pt>
                <c:pt idx="329">
                  <c:v>-5.3</c:v>
                </c:pt>
                <c:pt idx="330">
                  <c:v>-7.8</c:v>
                </c:pt>
                <c:pt idx="331">
                  <c:v>-7.9</c:v>
                </c:pt>
                <c:pt idx="332">
                  <c:v>-7.3</c:v>
                </c:pt>
                <c:pt idx="333">
                  <c:v>-3</c:v>
                </c:pt>
                <c:pt idx="334">
                  <c:v>-7.2</c:v>
                </c:pt>
                <c:pt idx="335">
                  <c:v>-0.5</c:v>
                </c:pt>
                <c:pt idx="336">
                  <c:v>4.5</c:v>
                </c:pt>
                <c:pt idx="337">
                  <c:v>2.5</c:v>
                </c:pt>
                <c:pt idx="338">
                  <c:v>0.1</c:v>
                </c:pt>
                <c:pt idx="339">
                  <c:v>-0.3</c:v>
                </c:pt>
                <c:pt idx="340">
                  <c:v>0.4</c:v>
                </c:pt>
                <c:pt idx="341">
                  <c:v>-1.9</c:v>
                </c:pt>
                <c:pt idx="342">
                  <c:v>1.9</c:v>
                </c:pt>
                <c:pt idx="343">
                  <c:v>-3</c:v>
                </c:pt>
                <c:pt idx="344">
                  <c:v>-1.2</c:v>
                </c:pt>
                <c:pt idx="345">
                  <c:v>-1.6</c:v>
                </c:pt>
                <c:pt idx="346">
                  <c:v>-1.6</c:v>
                </c:pt>
                <c:pt idx="347">
                  <c:v>-2.9</c:v>
                </c:pt>
                <c:pt idx="348">
                  <c:v>-5</c:v>
                </c:pt>
                <c:pt idx="349">
                  <c:v>-6.9</c:v>
                </c:pt>
                <c:pt idx="350">
                  <c:v>-5.6</c:v>
                </c:pt>
                <c:pt idx="351">
                  <c:v>-4.9000000000000004</c:v>
                </c:pt>
                <c:pt idx="352">
                  <c:v>-2.5</c:v>
                </c:pt>
                <c:pt idx="353">
                  <c:v>1.2</c:v>
                </c:pt>
                <c:pt idx="354">
                  <c:v>1.5</c:v>
                </c:pt>
                <c:pt idx="355">
                  <c:v>-1.9</c:v>
                </c:pt>
                <c:pt idx="356">
                  <c:v>-0.1</c:v>
                </c:pt>
                <c:pt idx="357">
                  <c:v>-3.8</c:v>
                </c:pt>
                <c:pt idx="358">
                  <c:v>-3.3</c:v>
                </c:pt>
                <c:pt idx="359">
                  <c:v>-6.9</c:v>
                </c:pt>
                <c:pt idx="360">
                  <c:v>-4.7</c:v>
                </c:pt>
                <c:pt idx="361">
                  <c:v>-3.9</c:v>
                </c:pt>
                <c:pt idx="362">
                  <c:v>1.1000000000000001</c:v>
                </c:pt>
                <c:pt idx="363">
                  <c:v>-3.3</c:v>
                </c:pt>
                <c:pt idx="364">
                  <c:v>-0.5</c:v>
                </c:pt>
                <c:pt idx="365">
                  <c:v>0.8</c:v>
                </c:pt>
                <c:pt idx="366">
                  <c:v>-2.4</c:v>
                </c:pt>
                <c:pt idx="367">
                  <c:v>0.2</c:v>
                </c:pt>
                <c:pt idx="368">
                  <c:v>0</c:v>
                </c:pt>
                <c:pt idx="369">
                  <c:v>-3.1</c:v>
                </c:pt>
                <c:pt idx="370">
                  <c:v>-3.3</c:v>
                </c:pt>
                <c:pt idx="371">
                  <c:v>0.6</c:v>
                </c:pt>
                <c:pt idx="372">
                  <c:v>-0.9</c:v>
                </c:pt>
                <c:pt idx="373">
                  <c:v>-8</c:v>
                </c:pt>
                <c:pt idx="374">
                  <c:v>-7.6</c:v>
                </c:pt>
                <c:pt idx="375">
                  <c:v>-2.8</c:v>
                </c:pt>
                <c:pt idx="376">
                  <c:v>-4.8</c:v>
                </c:pt>
                <c:pt idx="377">
                  <c:v>-21.9</c:v>
                </c:pt>
                <c:pt idx="378">
                  <c:v>-21</c:v>
                </c:pt>
                <c:pt idx="379">
                  <c:v>-9.8000000000000007</c:v>
                </c:pt>
                <c:pt idx="380">
                  <c:v>-4.5</c:v>
                </c:pt>
                <c:pt idx="381">
                  <c:v>-6.4</c:v>
                </c:pt>
                <c:pt idx="382">
                  <c:v>-6.1</c:v>
                </c:pt>
                <c:pt idx="383">
                  <c:v>-0.2</c:v>
                </c:pt>
                <c:pt idx="384">
                  <c:v>0</c:v>
                </c:pt>
                <c:pt idx="385">
                  <c:v>0.2</c:v>
                </c:pt>
                <c:pt idx="386">
                  <c:v>-0.3</c:v>
                </c:pt>
                <c:pt idx="387">
                  <c:v>1.4</c:v>
                </c:pt>
                <c:pt idx="388">
                  <c:v>3.3</c:v>
                </c:pt>
                <c:pt idx="389">
                  <c:v>-0.9</c:v>
                </c:pt>
                <c:pt idx="390">
                  <c:v>1.5</c:v>
                </c:pt>
                <c:pt idx="391">
                  <c:v>0.4</c:v>
                </c:pt>
                <c:pt idx="392">
                  <c:v>1.4</c:v>
                </c:pt>
                <c:pt idx="393">
                  <c:v>-1.2</c:v>
                </c:pt>
                <c:pt idx="394">
                  <c:v>-1.9</c:v>
                </c:pt>
                <c:pt idx="395">
                  <c:v>2.2999999999999998</c:v>
                </c:pt>
                <c:pt idx="396">
                  <c:v>2.4</c:v>
                </c:pt>
                <c:pt idx="397">
                  <c:v>-3.7</c:v>
                </c:pt>
                <c:pt idx="398">
                  <c:v>-8.6</c:v>
                </c:pt>
                <c:pt idx="399">
                  <c:v>-5.2</c:v>
                </c:pt>
                <c:pt idx="400">
                  <c:v>-0.7</c:v>
                </c:pt>
                <c:pt idx="401">
                  <c:v>-0.8</c:v>
                </c:pt>
                <c:pt idx="402">
                  <c:v>-3.5</c:v>
                </c:pt>
                <c:pt idx="403">
                  <c:v>-4</c:v>
                </c:pt>
                <c:pt idx="404">
                  <c:v>-2.2999999999999998</c:v>
                </c:pt>
                <c:pt idx="405">
                  <c:v>-1.3</c:v>
                </c:pt>
                <c:pt idx="406">
                  <c:v>0.2</c:v>
                </c:pt>
                <c:pt idx="407">
                  <c:v>2.6</c:v>
                </c:pt>
                <c:pt idx="408">
                  <c:v>-0.8</c:v>
                </c:pt>
                <c:pt idx="409">
                  <c:v>-0.8</c:v>
                </c:pt>
                <c:pt idx="410">
                  <c:v>-1.1000000000000001</c:v>
                </c:pt>
                <c:pt idx="411">
                  <c:v>-2.8</c:v>
                </c:pt>
                <c:pt idx="412">
                  <c:v>-4.4000000000000004</c:v>
                </c:pt>
                <c:pt idx="413">
                  <c:v>-2.9</c:v>
                </c:pt>
                <c:pt idx="414">
                  <c:v>-1.2</c:v>
                </c:pt>
                <c:pt idx="415">
                  <c:v>-0.6</c:v>
                </c:pt>
                <c:pt idx="416">
                  <c:v>3.4</c:v>
                </c:pt>
                <c:pt idx="417">
                  <c:v>-1.4</c:v>
                </c:pt>
                <c:pt idx="418">
                  <c:v>-0.3</c:v>
                </c:pt>
                <c:pt idx="419">
                  <c:v>-2.6</c:v>
                </c:pt>
                <c:pt idx="420">
                  <c:v>-2.4</c:v>
                </c:pt>
                <c:pt idx="421">
                  <c:v>2.9</c:v>
                </c:pt>
                <c:pt idx="422">
                  <c:v>4.3</c:v>
                </c:pt>
                <c:pt idx="423">
                  <c:v>6.8</c:v>
                </c:pt>
                <c:pt idx="424">
                  <c:v>-2</c:v>
                </c:pt>
                <c:pt idx="425">
                  <c:v>-1.8</c:v>
                </c:pt>
                <c:pt idx="426">
                  <c:v>0.9</c:v>
                </c:pt>
                <c:pt idx="427">
                  <c:v>7</c:v>
                </c:pt>
                <c:pt idx="428">
                  <c:v>-0.4</c:v>
                </c:pt>
                <c:pt idx="429">
                  <c:v>5.9</c:v>
                </c:pt>
                <c:pt idx="430">
                  <c:v>3.1</c:v>
                </c:pt>
                <c:pt idx="431">
                  <c:v>-0.2</c:v>
                </c:pt>
                <c:pt idx="432">
                  <c:v>-1.3</c:v>
                </c:pt>
                <c:pt idx="433">
                  <c:v>1.1000000000000001</c:v>
                </c:pt>
                <c:pt idx="434">
                  <c:v>-1.2</c:v>
                </c:pt>
                <c:pt idx="435">
                  <c:v>-1</c:v>
                </c:pt>
                <c:pt idx="436">
                  <c:v>-2.4</c:v>
                </c:pt>
                <c:pt idx="437">
                  <c:v>-7.8</c:v>
                </c:pt>
                <c:pt idx="438">
                  <c:v>-11.5</c:v>
                </c:pt>
                <c:pt idx="439">
                  <c:v>-6.1</c:v>
                </c:pt>
                <c:pt idx="440">
                  <c:v>6.2</c:v>
                </c:pt>
                <c:pt idx="441">
                  <c:v>6.1</c:v>
                </c:pt>
                <c:pt idx="442">
                  <c:v>5.6</c:v>
                </c:pt>
                <c:pt idx="443">
                  <c:v>7.7</c:v>
                </c:pt>
                <c:pt idx="444">
                  <c:v>8.1</c:v>
                </c:pt>
                <c:pt idx="445">
                  <c:v>6.3</c:v>
                </c:pt>
                <c:pt idx="446">
                  <c:v>7.6</c:v>
                </c:pt>
                <c:pt idx="447">
                  <c:v>4</c:v>
                </c:pt>
                <c:pt idx="448">
                  <c:v>1.5</c:v>
                </c:pt>
                <c:pt idx="449">
                  <c:v>0.5</c:v>
                </c:pt>
                <c:pt idx="450">
                  <c:v>0.5</c:v>
                </c:pt>
                <c:pt idx="451">
                  <c:v>2.4</c:v>
                </c:pt>
                <c:pt idx="452">
                  <c:v>5.9</c:v>
                </c:pt>
                <c:pt idx="453">
                  <c:v>6.5</c:v>
                </c:pt>
                <c:pt idx="454">
                  <c:v>1.9</c:v>
                </c:pt>
                <c:pt idx="455">
                  <c:v>2.1</c:v>
                </c:pt>
                <c:pt idx="456">
                  <c:v>-2.9</c:v>
                </c:pt>
                <c:pt idx="457">
                  <c:v>0.3</c:v>
                </c:pt>
                <c:pt idx="458">
                  <c:v>-1.5</c:v>
                </c:pt>
                <c:pt idx="459">
                  <c:v>-0.8</c:v>
                </c:pt>
                <c:pt idx="460">
                  <c:v>1.2</c:v>
                </c:pt>
                <c:pt idx="461">
                  <c:v>6.6</c:v>
                </c:pt>
                <c:pt idx="462">
                  <c:v>7.9</c:v>
                </c:pt>
                <c:pt idx="463">
                  <c:v>10</c:v>
                </c:pt>
                <c:pt idx="464">
                  <c:v>15.3</c:v>
                </c:pt>
                <c:pt idx="465">
                  <c:v>11.3</c:v>
                </c:pt>
                <c:pt idx="466">
                  <c:v>1.9</c:v>
                </c:pt>
                <c:pt idx="467">
                  <c:v>1.8</c:v>
                </c:pt>
                <c:pt idx="468">
                  <c:v>7.1</c:v>
                </c:pt>
                <c:pt idx="469">
                  <c:v>6.6</c:v>
                </c:pt>
                <c:pt idx="470">
                  <c:v>7.1</c:v>
                </c:pt>
                <c:pt idx="471">
                  <c:v>11.1</c:v>
                </c:pt>
                <c:pt idx="472">
                  <c:v>6.8</c:v>
                </c:pt>
                <c:pt idx="473">
                  <c:v>8.6999999999999993</c:v>
                </c:pt>
                <c:pt idx="474">
                  <c:v>11.1</c:v>
                </c:pt>
                <c:pt idx="475">
                  <c:v>15.6</c:v>
                </c:pt>
                <c:pt idx="476">
                  <c:v>10.5</c:v>
                </c:pt>
                <c:pt idx="477">
                  <c:v>6.2</c:v>
                </c:pt>
                <c:pt idx="478">
                  <c:v>7</c:v>
                </c:pt>
                <c:pt idx="479">
                  <c:v>11.3</c:v>
                </c:pt>
                <c:pt idx="480">
                  <c:v>9</c:v>
                </c:pt>
                <c:pt idx="481">
                  <c:v>8.1</c:v>
                </c:pt>
                <c:pt idx="482">
                  <c:v>7.5</c:v>
                </c:pt>
                <c:pt idx="483">
                  <c:v>11.4</c:v>
                </c:pt>
                <c:pt idx="484">
                  <c:v>15.6</c:v>
                </c:pt>
                <c:pt idx="485">
                  <c:v>9.4</c:v>
                </c:pt>
                <c:pt idx="486">
                  <c:v>13.2</c:v>
                </c:pt>
                <c:pt idx="487">
                  <c:v>12.6</c:v>
                </c:pt>
                <c:pt idx="488">
                  <c:v>4.3</c:v>
                </c:pt>
                <c:pt idx="489">
                  <c:v>10.5</c:v>
                </c:pt>
                <c:pt idx="490">
                  <c:v>13.5</c:v>
                </c:pt>
                <c:pt idx="491">
                  <c:v>7.1</c:v>
                </c:pt>
                <c:pt idx="492">
                  <c:v>9.5</c:v>
                </c:pt>
                <c:pt idx="493">
                  <c:v>15.9</c:v>
                </c:pt>
                <c:pt idx="494">
                  <c:v>17.899999999999999</c:v>
                </c:pt>
                <c:pt idx="495">
                  <c:v>17.899999999999999</c:v>
                </c:pt>
                <c:pt idx="496">
                  <c:v>15.7</c:v>
                </c:pt>
                <c:pt idx="497">
                  <c:v>10.3</c:v>
                </c:pt>
                <c:pt idx="498">
                  <c:v>13.6</c:v>
                </c:pt>
                <c:pt idx="499">
                  <c:v>11.8</c:v>
                </c:pt>
                <c:pt idx="500">
                  <c:v>13.6</c:v>
                </c:pt>
                <c:pt idx="501">
                  <c:v>10.5</c:v>
                </c:pt>
                <c:pt idx="502">
                  <c:v>10.3</c:v>
                </c:pt>
                <c:pt idx="503">
                  <c:v>13.7</c:v>
                </c:pt>
                <c:pt idx="504">
                  <c:v>15.7</c:v>
                </c:pt>
                <c:pt idx="505">
                  <c:v>13.5</c:v>
                </c:pt>
                <c:pt idx="506">
                  <c:v>5.7</c:v>
                </c:pt>
                <c:pt idx="507">
                  <c:v>1.9</c:v>
                </c:pt>
                <c:pt idx="508">
                  <c:v>13</c:v>
                </c:pt>
                <c:pt idx="509">
                  <c:v>14.4</c:v>
                </c:pt>
                <c:pt idx="510">
                  <c:v>9.5</c:v>
                </c:pt>
                <c:pt idx="511">
                  <c:v>12.2</c:v>
                </c:pt>
                <c:pt idx="512">
                  <c:v>15.7</c:v>
                </c:pt>
                <c:pt idx="513">
                  <c:v>20.3</c:v>
                </c:pt>
                <c:pt idx="514">
                  <c:v>24.4</c:v>
                </c:pt>
                <c:pt idx="515">
                  <c:v>18.5</c:v>
                </c:pt>
                <c:pt idx="516">
                  <c:v>8.1999999999999993</c:v>
                </c:pt>
                <c:pt idx="517">
                  <c:v>12.7</c:v>
                </c:pt>
                <c:pt idx="518">
                  <c:v>16.100000000000001</c:v>
                </c:pt>
                <c:pt idx="519">
                  <c:v>14.6</c:v>
                </c:pt>
                <c:pt idx="520">
                  <c:v>13.2</c:v>
                </c:pt>
                <c:pt idx="521">
                  <c:v>14.5</c:v>
                </c:pt>
                <c:pt idx="522">
                  <c:v>12.8</c:v>
                </c:pt>
                <c:pt idx="523">
                  <c:v>9.9</c:v>
                </c:pt>
                <c:pt idx="524">
                  <c:v>9.9</c:v>
                </c:pt>
                <c:pt idx="525">
                  <c:v>6.8</c:v>
                </c:pt>
                <c:pt idx="526">
                  <c:v>17</c:v>
                </c:pt>
                <c:pt idx="527">
                  <c:v>16.3</c:v>
                </c:pt>
                <c:pt idx="528">
                  <c:v>18.2</c:v>
                </c:pt>
                <c:pt idx="529">
                  <c:v>5.3</c:v>
                </c:pt>
                <c:pt idx="530">
                  <c:v>4.5999999999999996</c:v>
                </c:pt>
                <c:pt idx="531">
                  <c:v>10.4</c:v>
                </c:pt>
                <c:pt idx="532">
                  <c:v>14.6</c:v>
                </c:pt>
                <c:pt idx="533">
                  <c:v>16.100000000000001</c:v>
                </c:pt>
                <c:pt idx="534">
                  <c:v>20.5</c:v>
                </c:pt>
                <c:pt idx="535">
                  <c:v>21.7</c:v>
                </c:pt>
                <c:pt idx="536">
                  <c:v>16.2</c:v>
                </c:pt>
                <c:pt idx="537">
                  <c:v>19.399999999999999</c:v>
                </c:pt>
                <c:pt idx="538">
                  <c:v>21.8</c:v>
                </c:pt>
                <c:pt idx="539">
                  <c:v>23.1</c:v>
                </c:pt>
                <c:pt idx="540">
                  <c:v>17.5</c:v>
                </c:pt>
                <c:pt idx="541">
                  <c:v>22.9</c:v>
                </c:pt>
                <c:pt idx="542">
                  <c:v>19.8</c:v>
                </c:pt>
                <c:pt idx="543">
                  <c:v>13.9</c:v>
                </c:pt>
                <c:pt idx="544">
                  <c:v>13.2</c:v>
                </c:pt>
                <c:pt idx="545">
                  <c:v>19.5</c:v>
                </c:pt>
                <c:pt idx="546">
                  <c:v>12</c:v>
                </c:pt>
                <c:pt idx="547">
                  <c:v>9.4</c:v>
                </c:pt>
                <c:pt idx="548">
                  <c:v>13.8</c:v>
                </c:pt>
                <c:pt idx="549">
                  <c:v>13.2</c:v>
                </c:pt>
                <c:pt idx="550">
                  <c:v>15.7</c:v>
                </c:pt>
                <c:pt idx="551">
                  <c:v>20.5</c:v>
                </c:pt>
                <c:pt idx="552">
                  <c:v>22.6</c:v>
                </c:pt>
                <c:pt idx="553">
                  <c:v>12.7</c:v>
                </c:pt>
                <c:pt idx="554">
                  <c:v>17.600000000000001</c:v>
                </c:pt>
                <c:pt idx="555">
                  <c:v>13.1</c:v>
                </c:pt>
                <c:pt idx="556">
                  <c:v>19.3</c:v>
                </c:pt>
                <c:pt idx="557">
                  <c:v>18.8</c:v>
                </c:pt>
                <c:pt idx="558">
                  <c:v>13.8</c:v>
                </c:pt>
                <c:pt idx="559">
                  <c:v>16.100000000000001</c:v>
                </c:pt>
                <c:pt idx="560">
                  <c:v>21.1</c:v>
                </c:pt>
                <c:pt idx="561">
                  <c:v>22.2</c:v>
                </c:pt>
                <c:pt idx="562">
                  <c:v>18.7</c:v>
                </c:pt>
                <c:pt idx="563">
                  <c:v>18.8</c:v>
                </c:pt>
                <c:pt idx="564">
                  <c:v>21.3</c:v>
                </c:pt>
                <c:pt idx="565">
                  <c:v>21.6</c:v>
                </c:pt>
                <c:pt idx="566">
                  <c:v>24.2</c:v>
                </c:pt>
                <c:pt idx="567">
                  <c:v>26.5</c:v>
                </c:pt>
                <c:pt idx="568">
                  <c:v>25</c:v>
                </c:pt>
                <c:pt idx="569">
                  <c:v>20.5</c:v>
                </c:pt>
                <c:pt idx="570">
                  <c:v>15.3</c:v>
                </c:pt>
                <c:pt idx="571">
                  <c:v>18.600000000000001</c:v>
                </c:pt>
                <c:pt idx="572">
                  <c:v>24.3</c:v>
                </c:pt>
                <c:pt idx="573">
                  <c:v>30.3</c:v>
                </c:pt>
                <c:pt idx="574">
                  <c:v>28.4</c:v>
                </c:pt>
                <c:pt idx="575">
                  <c:v>29.1</c:v>
                </c:pt>
                <c:pt idx="576">
                  <c:v>31.7</c:v>
                </c:pt>
                <c:pt idx="577">
                  <c:v>32.1</c:v>
                </c:pt>
                <c:pt idx="578">
                  <c:v>29.5</c:v>
                </c:pt>
                <c:pt idx="579">
                  <c:v>26.9</c:v>
                </c:pt>
                <c:pt idx="580">
                  <c:v>20.9</c:v>
                </c:pt>
                <c:pt idx="581">
                  <c:v>25.9</c:v>
                </c:pt>
                <c:pt idx="582">
                  <c:v>27.1</c:v>
                </c:pt>
                <c:pt idx="583">
                  <c:v>19.5</c:v>
                </c:pt>
                <c:pt idx="584">
                  <c:v>15.9</c:v>
                </c:pt>
                <c:pt idx="585">
                  <c:v>17.100000000000001</c:v>
                </c:pt>
                <c:pt idx="586">
                  <c:v>18.399999999999999</c:v>
                </c:pt>
                <c:pt idx="587">
                  <c:v>21.9</c:v>
                </c:pt>
                <c:pt idx="588">
                  <c:v>20.9</c:v>
                </c:pt>
                <c:pt idx="589">
                  <c:v>17</c:v>
                </c:pt>
                <c:pt idx="590">
                  <c:v>18.2</c:v>
                </c:pt>
                <c:pt idx="591">
                  <c:v>22.4</c:v>
                </c:pt>
                <c:pt idx="592">
                  <c:v>28.1</c:v>
                </c:pt>
                <c:pt idx="593">
                  <c:v>31.5</c:v>
                </c:pt>
                <c:pt idx="594">
                  <c:v>31.1</c:v>
                </c:pt>
                <c:pt idx="595">
                  <c:v>29.9</c:v>
                </c:pt>
                <c:pt idx="596">
                  <c:v>25.6</c:v>
                </c:pt>
                <c:pt idx="597">
                  <c:v>21.7</c:v>
                </c:pt>
                <c:pt idx="598">
                  <c:v>22.2</c:v>
                </c:pt>
                <c:pt idx="599">
                  <c:v>19.399999999999999</c:v>
                </c:pt>
                <c:pt idx="600">
                  <c:v>22.4</c:v>
                </c:pt>
                <c:pt idx="601">
                  <c:v>17.399999999999999</c:v>
                </c:pt>
                <c:pt idx="602">
                  <c:v>20.3</c:v>
                </c:pt>
                <c:pt idx="603">
                  <c:v>21.7</c:v>
                </c:pt>
                <c:pt idx="604">
                  <c:v>20.8</c:v>
                </c:pt>
                <c:pt idx="605">
                  <c:v>25.8</c:v>
                </c:pt>
                <c:pt idx="606">
                  <c:v>15</c:v>
                </c:pt>
                <c:pt idx="607">
                  <c:v>14.9</c:v>
                </c:pt>
                <c:pt idx="608">
                  <c:v>13.6</c:v>
                </c:pt>
                <c:pt idx="609">
                  <c:v>23.4</c:v>
                </c:pt>
                <c:pt idx="610">
                  <c:v>19.2</c:v>
                </c:pt>
                <c:pt idx="611">
                  <c:v>24.6</c:v>
                </c:pt>
                <c:pt idx="612">
                  <c:v>27.9</c:v>
                </c:pt>
                <c:pt idx="613">
                  <c:v>24.9</c:v>
                </c:pt>
                <c:pt idx="614">
                  <c:v>23.8</c:v>
                </c:pt>
                <c:pt idx="615">
                  <c:v>15.8</c:v>
                </c:pt>
                <c:pt idx="616">
                  <c:v>17.5</c:v>
                </c:pt>
                <c:pt idx="617">
                  <c:v>22.6</c:v>
                </c:pt>
                <c:pt idx="618">
                  <c:v>25.9</c:v>
                </c:pt>
                <c:pt idx="619">
                  <c:v>26.9</c:v>
                </c:pt>
                <c:pt idx="620">
                  <c:v>25.2</c:v>
                </c:pt>
                <c:pt idx="621">
                  <c:v>18.399999999999999</c:v>
                </c:pt>
                <c:pt idx="622">
                  <c:v>20.3</c:v>
                </c:pt>
                <c:pt idx="623">
                  <c:v>21.8</c:v>
                </c:pt>
                <c:pt idx="624">
                  <c:v>23</c:v>
                </c:pt>
                <c:pt idx="625">
                  <c:v>23.9</c:v>
                </c:pt>
                <c:pt idx="626">
                  <c:v>22.7</c:v>
                </c:pt>
                <c:pt idx="627">
                  <c:v>13</c:v>
                </c:pt>
                <c:pt idx="628">
                  <c:v>16.600000000000001</c:v>
                </c:pt>
                <c:pt idx="629">
                  <c:v>16.399999999999999</c:v>
                </c:pt>
                <c:pt idx="630">
                  <c:v>18.5</c:v>
                </c:pt>
                <c:pt idx="631">
                  <c:v>12.8</c:v>
                </c:pt>
                <c:pt idx="632">
                  <c:v>10.1</c:v>
                </c:pt>
                <c:pt idx="633">
                  <c:v>6</c:v>
                </c:pt>
                <c:pt idx="634">
                  <c:v>6.7</c:v>
                </c:pt>
                <c:pt idx="635">
                  <c:v>12.8</c:v>
                </c:pt>
                <c:pt idx="636">
                  <c:v>20.100000000000001</c:v>
                </c:pt>
                <c:pt idx="637">
                  <c:v>22.6</c:v>
                </c:pt>
                <c:pt idx="638">
                  <c:v>21.7</c:v>
                </c:pt>
                <c:pt idx="639">
                  <c:v>18.899999999999999</c:v>
                </c:pt>
                <c:pt idx="640">
                  <c:v>21.5</c:v>
                </c:pt>
                <c:pt idx="641">
                  <c:v>21.1</c:v>
                </c:pt>
                <c:pt idx="642">
                  <c:v>16.3</c:v>
                </c:pt>
                <c:pt idx="643">
                  <c:v>19.7</c:v>
                </c:pt>
                <c:pt idx="644">
                  <c:v>18.600000000000001</c:v>
                </c:pt>
                <c:pt idx="645">
                  <c:v>20.5</c:v>
                </c:pt>
                <c:pt idx="646">
                  <c:v>10.8</c:v>
                </c:pt>
                <c:pt idx="647">
                  <c:v>9.3000000000000007</c:v>
                </c:pt>
                <c:pt idx="648">
                  <c:v>9</c:v>
                </c:pt>
                <c:pt idx="649">
                  <c:v>4.5999999999999996</c:v>
                </c:pt>
                <c:pt idx="650">
                  <c:v>3.9</c:v>
                </c:pt>
                <c:pt idx="651">
                  <c:v>2.6</c:v>
                </c:pt>
                <c:pt idx="652">
                  <c:v>4.3</c:v>
                </c:pt>
                <c:pt idx="653">
                  <c:v>4.7</c:v>
                </c:pt>
                <c:pt idx="654">
                  <c:v>9</c:v>
                </c:pt>
                <c:pt idx="655">
                  <c:v>-0.3</c:v>
                </c:pt>
                <c:pt idx="656">
                  <c:v>3.6</c:v>
                </c:pt>
                <c:pt idx="657">
                  <c:v>4.9000000000000004</c:v>
                </c:pt>
                <c:pt idx="658">
                  <c:v>2.2999999999999998</c:v>
                </c:pt>
                <c:pt idx="659">
                  <c:v>-2</c:v>
                </c:pt>
                <c:pt idx="660">
                  <c:v>-0.5</c:v>
                </c:pt>
                <c:pt idx="661">
                  <c:v>-4.5</c:v>
                </c:pt>
                <c:pt idx="662">
                  <c:v>-6.5</c:v>
                </c:pt>
                <c:pt idx="663">
                  <c:v>-3.1</c:v>
                </c:pt>
                <c:pt idx="664">
                  <c:v>4.4000000000000004</c:v>
                </c:pt>
                <c:pt idx="665">
                  <c:v>4.5</c:v>
                </c:pt>
                <c:pt idx="666">
                  <c:v>8</c:v>
                </c:pt>
                <c:pt idx="667">
                  <c:v>9.9</c:v>
                </c:pt>
                <c:pt idx="668">
                  <c:v>5.2</c:v>
                </c:pt>
                <c:pt idx="669">
                  <c:v>6</c:v>
                </c:pt>
                <c:pt idx="670">
                  <c:v>7.8</c:v>
                </c:pt>
                <c:pt idx="671">
                  <c:v>9.4</c:v>
                </c:pt>
                <c:pt idx="672">
                  <c:v>3.4</c:v>
                </c:pt>
                <c:pt idx="673">
                  <c:v>6.3</c:v>
                </c:pt>
                <c:pt idx="674">
                  <c:v>6.1</c:v>
                </c:pt>
                <c:pt idx="675">
                  <c:v>-0.5</c:v>
                </c:pt>
                <c:pt idx="676">
                  <c:v>-5.0999999999999996</c:v>
                </c:pt>
                <c:pt idx="677">
                  <c:v>-6.1</c:v>
                </c:pt>
                <c:pt idx="678">
                  <c:v>-4.9000000000000004</c:v>
                </c:pt>
                <c:pt idx="679">
                  <c:v>-4.0999999999999996</c:v>
                </c:pt>
                <c:pt idx="680">
                  <c:v>-5.3</c:v>
                </c:pt>
                <c:pt idx="681">
                  <c:v>-4.5999999999999996</c:v>
                </c:pt>
                <c:pt idx="682">
                  <c:v>-1.8</c:v>
                </c:pt>
                <c:pt idx="683">
                  <c:v>-0.7</c:v>
                </c:pt>
                <c:pt idx="684">
                  <c:v>-0.3</c:v>
                </c:pt>
                <c:pt idx="685">
                  <c:v>-0.9</c:v>
                </c:pt>
                <c:pt idx="686">
                  <c:v>4.7</c:v>
                </c:pt>
                <c:pt idx="687">
                  <c:v>0</c:v>
                </c:pt>
                <c:pt idx="688">
                  <c:v>-1.2</c:v>
                </c:pt>
                <c:pt idx="689">
                  <c:v>-2.2999999999999998</c:v>
                </c:pt>
                <c:pt idx="690">
                  <c:v>2.2000000000000002</c:v>
                </c:pt>
                <c:pt idx="691">
                  <c:v>-3.5</c:v>
                </c:pt>
                <c:pt idx="692">
                  <c:v>-2.1</c:v>
                </c:pt>
                <c:pt idx="693">
                  <c:v>-2.4</c:v>
                </c:pt>
                <c:pt idx="694">
                  <c:v>-1.3</c:v>
                </c:pt>
                <c:pt idx="695">
                  <c:v>1.3</c:v>
                </c:pt>
                <c:pt idx="696">
                  <c:v>-1.6</c:v>
                </c:pt>
                <c:pt idx="697">
                  <c:v>-0.3</c:v>
                </c:pt>
                <c:pt idx="698">
                  <c:v>-2.2000000000000002</c:v>
                </c:pt>
                <c:pt idx="699">
                  <c:v>-1.2</c:v>
                </c:pt>
                <c:pt idx="700">
                  <c:v>0.3</c:v>
                </c:pt>
                <c:pt idx="701">
                  <c:v>4.0999999999999996</c:v>
                </c:pt>
                <c:pt idx="702">
                  <c:v>1.3</c:v>
                </c:pt>
                <c:pt idx="703">
                  <c:v>7.2</c:v>
                </c:pt>
                <c:pt idx="704">
                  <c:v>3.1</c:v>
                </c:pt>
                <c:pt idx="705">
                  <c:v>5.5</c:v>
                </c:pt>
                <c:pt idx="706">
                  <c:v>-2.1</c:v>
                </c:pt>
                <c:pt idx="707">
                  <c:v>1.1000000000000001</c:v>
                </c:pt>
                <c:pt idx="708">
                  <c:v>0.1</c:v>
                </c:pt>
                <c:pt idx="709">
                  <c:v>-2.7</c:v>
                </c:pt>
                <c:pt idx="710">
                  <c:v>-3.3</c:v>
                </c:pt>
                <c:pt idx="711">
                  <c:v>-2.8</c:v>
                </c:pt>
                <c:pt idx="712">
                  <c:v>-6.7</c:v>
                </c:pt>
                <c:pt idx="713">
                  <c:v>-1.7</c:v>
                </c:pt>
                <c:pt idx="714">
                  <c:v>-3.7</c:v>
                </c:pt>
                <c:pt idx="715">
                  <c:v>-1.9</c:v>
                </c:pt>
                <c:pt idx="716">
                  <c:v>-1.6</c:v>
                </c:pt>
                <c:pt idx="717">
                  <c:v>-1.6</c:v>
                </c:pt>
                <c:pt idx="718">
                  <c:v>-1</c:v>
                </c:pt>
                <c:pt idx="719">
                  <c:v>0.9</c:v>
                </c:pt>
                <c:pt idx="720">
                  <c:v>-1.9</c:v>
                </c:pt>
                <c:pt idx="721">
                  <c:v>-6.7</c:v>
                </c:pt>
                <c:pt idx="722">
                  <c:v>-5</c:v>
                </c:pt>
                <c:pt idx="723">
                  <c:v>-6.2</c:v>
                </c:pt>
                <c:pt idx="724">
                  <c:v>-4</c:v>
                </c:pt>
                <c:pt idx="725">
                  <c:v>-2.8</c:v>
                </c:pt>
                <c:pt idx="726">
                  <c:v>-2.8</c:v>
                </c:pt>
                <c:pt idx="727">
                  <c:v>-3.4</c:v>
                </c:pt>
                <c:pt idx="728">
                  <c:v>-5.0999999999999996</c:v>
                </c:pt>
                <c:pt idx="729">
                  <c:v>-6</c:v>
                </c:pt>
                <c:pt idx="730">
                  <c:v>0</c:v>
                </c:pt>
                <c:pt idx="731">
                  <c:v>-0.1</c:v>
                </c:pt>
                <c:pt idx="732">
                  <c:v>-0.7</c:v>
                </c:pt>
                <c:pt idx="733">
                  <c:v>-1.5</c:v>
                </c:pt>
                <c:pt idx="734">
                  <c:v>-0.2</c:v>
                </c:pt>
                <c:pt idx="735">
                  <c:v>-2.8</c:v>
                </c:pt>
                <c:pt idx="736">
                  <c:v>0.6</c:v>
                </c:pt>
                <c:pt idx="737">
                  <c:v>-0.8</c:v>
                </c:pt>
                <c:pt idx="738">
                  <c:v>-2.1</c:v>
                </c:pt>
                <c:pt idx="739">
                  <c:v>-4.8</c:v>
                </c:pt>
                <c:pt idx="740">
                  <c:v>-3</c:v>
                </c:pt>
                <c:pt idx="741">
                  <c:v>-1.4</c:v>
                </c:pt>
                <c:pt idx="742">
                  <c:v>2.2000000000000002</c:v>
                </c:pt>
                <c:pt idx="743">
                  <c:v>2.7</c:v>
                </c:pt>
                <c:pt idx="744">
                  <c:v>-1.5</c:v>
                </c:pt>
                <c:pt idx="745">
                  <c:v>2.2000000000000002</c:v>
                </c:pt>
                <c:pt idx="746">
                  <c:v>-1.7</c:v>
                </c:pt>
                <c:pt idx="747">
                  <c:v>2.2000000000000002</c:v>
                </c:pt>
                <c:pt idx="748">
                  <c:v>-0.5</c:v>
                </c:pt>
                <c:pt idx="749">
                  <c:v>-2.1</c:v>
                </c:pt>
                <c:pt idx="750">
                  <c:v>-1.2</c:v>
                </c:pt>
                <c:pt idx="751">
                  <c:v>-4.8</c:v>
                </c:pt>
                <c:pt idx="752">
                  <c:v>-5.0999999999999996</c:v>
                </c:pt>
                <c:pt idx="753">
                  <c:v>0.6</c:v>
                </c:pt>
                <c:pt idx="754">
                  <c:v>-8.6999999999999993</c:v>
                </c:pt>
                <c:pt idx="755">
                  <c:v>-6</c:v>
                </c:pt>
                <c:pt idx="756">
                  <c:v>-6.8</c:v>
                </c:pt>
                <c:pt idx="757">
                  <c:v>-3.5</c:v>
                </c:pt>
                <c:pt idx="758">
                  <c:v>-1.9</c:v>
                </c:pt>
                <c:pt idx="759">
                  <c:v>-1.6</c:v>
                </c:pt>
                <c:pt idx="760">
                  <c:v>-1.4</c:v>
                </c:pt>
                <c:pt idx="761">
                  <c:v>1</c:v>
                </c:pt>
                <c:pt idx="762">
                  <c:v>2</c:v>
                </c:pt>
                <c:pt idx="763">
                  <c:v>1.2</c:v>
                </c:pt>
                <c:pt idx="764">
                  <c:v>-3.2</c:v>
                </c:pt>
                <c:pt idx="765">
                  <c:v>-2.8</c:v>
                </c:pt>
                <c:pt idx="766">
                  <c:v>-1.3</c:v>
                </c:pt>
                <c:pt idx="767">
                  <c:v>-2.7</c:v>
                </c:pt>
                <c:pt idx="768">
                  <c:v>-7.3</c:v>
                </c:pt>
                <c:pt idx="769">
                  <c:v>-11.2</c:v>
                </c:pt>
                <c:pt idx="770">
                  <c:v>-8.9</c:v>
                </c:pt>
                <c:pt idx="771">
                  <c:v>-13.5</c:v>
                </c:pt>
                <c:pt idx="772">
                  <c:v>-14.5</c:v>
                </c:pt>
                <c:pt idx="773">
                  <c:v>-12.1</c:v>
                </c:pt>
                <c:pt idx="774">
                  <c:v>-10.3</c:v>
                </c:pt>
                <c:pt idx="775">
                  <c:v>-9.6999999999999993</c:v>
                </c:pt>
                <c:pt idx="776">
                  <c:v>-5.0999999999999996</c:v>
                </c:pt>
                <c:pt idx="777">
                  <c:v>-3.3</c:v>
                </c:pt>
                <c:pt idx="778">
                  <c:v>-6.2</c:v>
                </c:pt>
                <c:pt idx="779">
                  <c:v>-7.8</c:v>
                </c:pt>
                <c:pt idx="780">
                  <c:v>-0.6</c:v>
                </c:pt>
                <c:pt idx="781">
                  <c:v>-2.8</c:v>
                </c:pt>
                <c:pt idx="782">
                  <c:v>1.8</c:v>
                </c:pt>
                <c:pt idx="783">
                  <c:v>2.1</c:v>
                </c:pt>
                <c:pt idx="784">
                  <c:v>-3.5</c:v>
                </c:pt>
                <c:pt idx="785">
                  <c:v>-0.6</c:v>
                </c:pt>
                <c:pt idx="786">
                  <c:v>-2.5</c:v>
                </c:pt>
                <c:pt idx="787">
                  <c:v>-1.7</c:v>
                </c:pt>
                <c:pt idx="788">
                  <c:v>-2.7</c:v>
                </c:pt>
                <c:pt idx="789">
                  <c:v>3</c:v>
                </c:pt>
                <c:pt idx="790">
                  <c:v>6.2</c:v>
                </c:pt>
                <c:pt idx="791">
                  <c:v>2</c:v>
                </c:pt>
                <c:pt idx="792">
                  <c:v>7.5</c:v>
                </c:pt>
                <c:pt idx="793">
                  <c:v>9</c:v>
                </c:pt>
                <c:pt idx="794">
                  <c:v>8.6</c:v>
                </c:pt>
                <c:pt idx="795">
                  <c:v>3.2</c:v>
                </c:pt>
                <c:pt idx="796">
                  <c:v>-0.5</c:v>
                </c:pt>
                <c:pt idx="797">
                  <c:v>3.6</c:v>
                </c:pt>
                <c:pt idx="798">
                  <c:v>2.5</c:v>
                </c:pt>
                <c:pt idx="799">
                  <c:v>0.5</c:v>
                </c:pt>
                <c:pt idx="800">
                  <c:v>3.1</c:v>
                </c:pt>
                <c:pt idx="801">
                  <c:v>8.1999999999999993</c:v>
                </c:pt>
                <c:pt idx="802">
                  <c:v>11.5</c:v>
                </c:pt>
                <c:pt idx="803">
                  <c:v>6</c:v>
                </c:pt>
                <c:pt idx="804">
                  <c:v>1.4</c:v>
                </c:pt>
                <c:pt idx="805">
                  <c:v>6.6</c:v>
                </c:pt>
                <c:pt idx="806">
                  <c:v>8.3000000000000007</c:v>
                </c:pt>
                <c:pt idx="807">
                  <c:v>11.3</c:v>
                </c:pt>
                <c:pt idx="808">
                  <c:v>4.2</c:v>
                </c:pt>
                <c:pt idx="809">
                  <c:v>2.7</c:v>
                </c:pt>
                <c:pt idx="810">
                  <c:v>-2.2000000000000002</c:v>
                </c:pt>
                <c:pt idx="811">
                  <c:v>0.2</c:v>
                </c:pt>
                <c:pt idx="812">
                  <c:v>3.6</c:v>
                </c:pt>
                <c:pt idx="813">
                  <c:v>2.4</c:v>
                </c:pt>
                <c:pt idx="814">
                  <c:v>3.1</c:v>
                </c:pt>
                <c:pt idx="815">
                  <c:v>3.7</c:v>
                </c:pt>
                <c:pt idx="816">
                  <c:v>7.1</c:v>
                </c:pt>
                <c:pt idx="817">
                  <c:v>6</c:v>
                </c:pt>
                <c:pt idx="818">
                  <c:v>-3.4</c:v>
                </c:pt>
                <c:pt idx="819">
                  <c:v>1.9</c:v>
                </c:pt>
                <c:pt idx="820">
                  <c:v>9</c:v>
                </c:pt>
                <c:pt idx="821">
                  <c:v>10</c:v>
                </c:pt>
                <c:pt idx="822">
                  <c:v>9.8000000000000007</c:v>
                </c:pt>
                <c:pt idx="823">
                  <c:v>10.1</c:v>
                </c:pt>
                <c:pt idx="824">
                  <c:v>3.3</c:v>
                </c:pt>
                <c:pt idx="825">
                  <c:v>6.9</c:v>
                </c:pt>
                <c:pt idx="826">
                  <c:v>9.3000000000000007</c:v>
                </c:pt>
                <c:pt idx="827">
                  <c:v>4.3</c:v>
                </c:pt>
                <c:pt idx="828">
                  <c:v>2</c:v>
                </c:pt>
                <c:pt idx="829">
                  <c:v>2.2999999999999998</c:v>
                </c:pt>
                <c:pt idx="830">
                  <c:v>-1.6</c:v>
                </c:pt>
                <c:pt idx="831">
                  <c:v>3</c:v>
                </c:pt>
                <c:pt idx="832">
                  <c:v>4.9000000000000004</c:v>
                </c:pt>
                <c:pt idx="833">
                  <c:v>6.9</c:v>
                </c:pt>
                <c:pt idx="834">
                  <c:v>11.6</c:v>
                </c:pt>
                <c:pt idx="835">
                  <c:v>14.4</c:v>
                </c:pt>
                <c:pt idx="836">
                  <c:v>16.600000000000001</c:v>
                </c:pt>
                <c:pt idx="837">
                  <c:v>18.100000000000001</c:v>
                </c:pt>
                <c:pt idx="838">
                  <c:v>16.100000000000001</c:v>
                </c:pt>
                <c:pt idx="839">
                  <c:v>9.9</c:v>
                </c:pt>
                <c:pt idx="840">
                  <c:v>12.2</c:v>
                </c:pt>
                <c:pt idx="841">
                  <c:v>14.3</c:v>
                </c:pt>
                <c:pt idx="842">
                  <c:v>7.2</c:v>
                </c:pt>
                <c:pt idx="843">
                  <c:v>7.4</c:v>
                </c:pt>
                <c:pt idx="844">
                  <c:v>5.0999999999999996</c:v>
                </c:pt>
                <c:pt idx="845">
                  <c:v>5.0999999999999996</c:v>
                </c:pt>
                <c:pt idx="846">
                  <c:v>8.8000000000000007</c:v>
                </c:pt>
                <c:pt idx="847">
                  <c:v>6.8</c:v>
                </c:pt>
                <c:pt idx="848">
                  <c:v>11.4</c:v>
                </c:pt>
                <c:pt idx="849">
                  <c:v>15.9</c:v>
                </c:pt>
                <c:pt idx="850">
                  <c:v>13</c:v>
                </c:pt>
                <c:pt idx="851">
                  <c:v>6.8</c:v>
                </c:pt>
                <c:pt idx="852">
                  <c:v>10.3</c:v>
                </c:pt>
                <c:pt idx="853">
                  <c:v>7.3</c:v>
                </c:pt>
                <c:pt idx="854">
                  <c:v>9.6999999999999993</c:v>
                </c:pt>
                <c:pt idx="855">
                  <c:v>13.6</c:v>
                </c:pt>
                <c:pt idx="856">
                  <c:v>18.3</c:v>
                </c:pt>
                <c:pt idx="857">
                  <c:v>6.3</c:v>
                </c:pt>
                <c:pt idx="858">
                  <c:v>6.7</c:v>
                </c:pt>
                <c:pt idx="859">
                  <c:v>9.8000000000000007</c:v>
                </c:pt>
                <c:pt idx="860">
                  <c:v>12</c:v>
                </c:pt>
                <c:pt idx="861">
                  <c:v>12.5</c:v>
                </c:pt>
                <c:pt idx="862">
                  <c:v>9.6</c:v>
                </c:pt>
                <c:pt idx="863">
                  <c:v>13.8</c:v>
                </c:pt>
                <c:pt idx="864">
                  <c:v>16.600000000000001</c:v>
                </c:pt>
                <c:pt idx="865">
                  <c:v>19.399999999999999</c:v>
                </c:pt>
                <c:pt idx="866">
                  <c:v>21.4</c:v>
                </c:pt>
                <c:pt idx="867">
                  <c:v>14.2</c:v>
                </c:pt>
                <c:pt idx="868">
                  <c:v>4.7</c:v>
                </c:pt>
                <c:pt idx="869">
                  <c:v>6.9</c:v>
                </c:pt>
                <c:pt idx="870">
                  <c:v>7.2</c:v>
                </c:pt>
                <c:pt idx="871">
                  <c:v>12.4</c:v>
                </c:pt>
                <c:pt idx="872">
                  <c:v>17.3</c:v>
                </c:pt>
                <c:pt idx="873">
                  <c:v>16.7</c:v>
                </c:pt>
                <c:pt idx="874">
                  <c:v>11.9</c:v>
                </c:pt>
                <c:pt idx="875">
                  <c:v>13.8</c:v>
                </c:pt>
                <c:pt idx="876">
                  <c:v>16.2</c:v>
                </c:pt>
                <c:pt idx="877">
                  <c:v>12</c:v>
                </c:pt>
                <c:pt idx="878">
                  <c:v>10.199999999999999</c:v>
                </c:pt>
                <c:pt idx="879">
                  <c:v>16.600000000000001</c:v>
                </c:pt>
                <c:pt idx="880">
                  <c:v>18.8</c:v>
                </c:pt>
                <c:pt idx="881">
                  <c:v>22.2</c:v>
                </c:pt>
                <c:pt idx="882">
                  <c:v>25.3</c:v>
                </c:pt>
                <c:pt idx="883">
                  <c:v>28.2</c:v>
                </c:pt>
                <c:pt idx="884">
                  <c:v>23.1</c:v>
                </c:pt>
                <c:pt idx="885">
                  <c:v>18.899999999999999</c:v>
                </c:pt>
                <c:pt idx="886">
                  <c:v>8.8000000000000007</c:v>
                </c:pt>
                <c:pt idx="887">
                  <c:v>6.2</c:v>
                </c:pt>
                <c:pt idx="888">
                  <c:v>7.6</c:v>
                </c:pt>
                <c:pt idx="889">
                  <c:v>12.4</c:v>
                </c:pt>
                <c:pt idx="890">
                  <c:v>12.1</c:v>
                </c:pt>
                <c:pt idx="891">
                  <c:v>11.5</c:v>
                </c:pt>
                <c:pt idx="892">
                  <c:v>8.3000000000000007</c:v>
                </c:pt>
                <c:pt idx="893">
                  <c:v>17</c:v>
                </c:pt>
                <c:pt idx="894">
                  <c:v>14</c:v>
                </c:pt>
                <c:pt idx="895">
                  <c:v>16.600000000000001</c:v>
                </c:pt>
                <c:pt idx="896">
                  <c:v>12.1</c:v>
                </c:pt>
                <c:pt idx="897">
                  <c:v>16</c:v>
                </c:pt>
                <c:pt idx="898">
                  <c:v>20.100000000000001</c:v>
                </c:pt>
                <c:pt idx="899">
                  <c:v>22.5</c:v>
                </c:pt>
                <c:pt idx="900">
                  <c:v>15.8</c:v>
                </c:pt>
                <c:pt idx="901">
                  <c:v>22.6</c:v>
                </c:pt>
                <c:pt idx="902">
                  <c:v>25.8</c:v>
                </c:pt>
                <c:pt idx="903">
                  <c:v>25</c:v>
                </c:pt>
                <c:pt idx="904">
                  <c:v>26.9</c:v>
                </c:pt>
                <c:pt idx="905">
                  <c:v>20.9</c:v>
                </c:pt>
                <c:pt idx="906">
                  <c:v>25.3</c:v>
                </c:pt>
                <c:pt idx="907">
                  <c:v>31.1</c:v>
                </c:pt>
                <c:pt idx="908">
                  <c:v>34.1</c:v>
                </c:pt>
                <c:pt idx="909">
                  <c:v>35.299999999999997</c:v>
                </c:pt>
                <c:pt idx="910">
                  <c:v>37.299999999999997</c:v>
                </c:pt>
                <c:pt idx="911">
                  <c:v>36</c:v>
                </c:pt>
                <c:pt idx="912">
                  <c:v>30.4</c:v>
                </c:pt>
                <c:pt idx="913">
                  <c:v>25.8</c:v>
                </c:pt>
                <c:pt idx="914">
                  <c:v>27.9</c:v>
                </c:pt>
                <c:pt idx="915">
                  <c:v>25.1</c:v>
                </c:pt>
                <c:pt idx="916">
                  <c:v>23.4</c:v>
                </c:pt>
                <c:pt idx="917">
                  <c:v>28</c:v>
                </c:pt>
                <c:pt idx="918">
                  <c:v>21.9</c:v>
                </c:pt>
                <c:pt idx="919">
                  <c:v>23.1</c:v>
                </c:pt>
                <c:pt idx="920">
                  <c:v>25.6</c:v>
                </c:pt>
                <c:pt idx="921">
                  <c:v>26.1</c:v>
                </c:pt>
                <c:pt idx="922">
                  <c:v>25.5</c:v>
                </c:pt>
                <c:pt idx="923">
                  <c:v>26.4</c:v>
                </c:pt>
                <c:pt idx="924">
                  <c:v>28.4</c:v>
                </c:pt>
                <c:pt idx="925">
                  <c:v>28.5</c:v>
                </c:pt>
                <c:pt idx="926">
                  <c:v>24.5</c:v>
                </c:pt>
                <c:pt idx="927">
                  <c:v>24.5</c:v>
                </c:pt>
                <c:pt idx="928">
                  <c:v>23.1</c:v>
                </c:pt>
                <c:pt idx="929">
                  <c:v>25.7</c:v>
                </c:pt>
                <c:pt idx="930">
                  <c:v>28</c:v>
                </c:pt>
                <c:pt idx="931">
                  <c:v>24.2</c:v>
                </c:pt>
                <c:pt idx="932">
                  <c:v>19.8</c:v>
                </c:pt>
                <c:pt idx="933">
                  <c:v>19.5</c:v>
                </c:pt>
                <c:pt idx="934">
                  <c:v>21.7</c:v>
                </c:pt>
                <c:pt idx="935">
                  <c:v>26.4</c:v>
                </c:pt>
                <c:pt idx="936">
                  <c:v>27.2</c:v>
                </c:pt>
                <c:pt idx="937">
                  <c:v>27.2</c:v>
                </c:pt>
                <c:pt idx="938">
                  <c:v>27.3</c:v>
                </c:pt>
                <c:pt idx="939">
                  <c:v>26.2</c:v>
                </c:pt>
                <c:pt idx="940">
                  <c:v>28.4</c:v>
                </c:pt>
                <c:pt idx="941">
                  <c:v>32.200000000000003</c:v>
                </c:pt>
                <c:pt idx="942">
                  <c:v>33.700000000000003</c:v>
                </c:pt>
                <c:pt idx="943">
                  <c:v>21.5</c:v>
                </c:pt>
                <c:pt idx="944">
                  <c:v>26.7</c:v>
                </c:pt>
                <c:pt idx="945">
                  <c:v>28.7</c:v>
                </c:pt>
                <c:pt idx="946">
                  <c:v>28.1</c:v>
                </c:pt>
                <c:pt idx="947">
                  <c:v>28.4</c:v>
                </c:pt>
                <c:pt idx="948">
                  <c:v>22.5</c:v>
                </c:pt>
                <c:pt idx="949">
                  <c:v>18</c:v>
                </c:pt>
                <c:pt idx="950">
                  <c:v>13.8</c:v>
                </c:pt>
                <c:pt idx="951">
                  <c:v>21.9</c:v>
                </c:pt>
                <c:pt idx="952">
                  <c:v>22.7</c:v>
                </c:pt>
                <c:pt idx="953">
                  <c:v>27.1</c:v>
                </c:pt>
                <c:pt idx="954">
                  <c:v>23.8</c:v>
                </c:pt>
                <c:pt idx="955">
                  <c:v>28.5</c:v>
                </c:pt>
                <c:pt idx="956">
                  <c:v>28.5</c:v>
                </c:pt>
                <c:pt idx="957">
                  <c:v>27.6</c:v>
                </c:pt>
                <c:pt idx="958">
                  <c:v>17.2</c:v>
                </c:pt>
                <c:pt idx="959">
                  <c:v>9.3000000000000007</c:v>
                </c:pt>
                <c:pt idx="960">
                  <c:v>21.2</c:v>
                </c:pt>
                <c:pt idx="961">
                  <c:v>17.399999999999999</c:v>
                </c:pt>
                <c:pt idx="962">
                  <c:v>17.899999999999999</c:v>
                </c:pt>
                <c:pt idx="963">
                  <c:v>14.7</c:v>
                </c:pt>
                <c:pt idx="964">
                  <c:v>13.3</c:v>
                </c:pt>
                <c:pt idx="965">
                  <c:v>11</c:v>
                </c:pt>
                <c:pt idx="966">
                  <c:v>17.8</c:v>
                </c:pt>
                <c:pt idx="967">
                  <c:v>21</c:v>
                </c:pt>
                <c:pt idx="968">
                  <c:v>15.1</c:v>
                </c:pt>
                <c:pt idx="969">
                  <c:v>14.6</c:v>
                </c:pt>
                <c:pt idx="970">
                  <c:v>21</c:v>
                </c:pt>
                <c:pt idx="971">
                  <c:v>22.6</c:v>
                </c:pt>
                <c:pt idx="972">
                  <c:v>18.8</c:v>
                </c:pt>
                <c:pt idx="973">
                  <c:v>9.5</c:v>
                </c:pt>
                <c:pt idx="974">
                  <c:v>11.4</c:v>
                </c:pt>
                <c:pt idx="975">
                  <c:v>15.5</c:v>
                </c:pt>
                <c:pt idx="976">
                  <c:v>20.399999999999999</c:v>
                </c:pt>
                <c:pt idx="977">
                  <c:v>19</c:v>
                </c:pt>
                <c:pt idx="978">
                  <c:v>14.8</c:v>
                </c:pt>
                <c:pt idx="979">
                  <c:v>19.399999999999999</c:v>
                </c:pt>
                <c:pt idx="980">
                  <c:v>25.6</c:v>
                </c:pt>
                <c:pt idx="981">
                  <c:v>20.100000000000001</c:v>
                </c:pt>
                <c:pt idx="982">
                  <c:v>22.8</c:v>
                </c:pt>
                <c:pt idx="983">
                  <c:v>20.2</c:v>
                </c:pt>
                <c:pt idx="984">
                  <c:v>19.399999999999999</c:v>
                </c:pt>
                <c:pt idx="985">
                  <c:v>14.8</c:v>
                </c:pt>
                <c:pt idx="986">
                  <c:v>16.5</c:v>
                </c:pt>
                <c:pt idx="987">
                  <c:v>13.8</c:v>
                </c:pt>
                <c:pt idx="988">
                  <c:v>7.9</c:v>
                </c:pt>
                <c:pt idx="989">
                  <c:v>11.5</c:v>
                </c:pt>
                <c:pt idx="990">
                  <c:v>9.1999999999999993</c:v>
                </c:pt>
                <c:pt idx="991">
                  <c:v>8.4</c:v>
                </c:pt>
                <c:pt idx="992">
                  <c:v>9.1</c:v>
                </c:pt>
                <c:pt idx="993">
                  <c:v>12.2</c:v>
                </c:pt>
                <c:pt idx="994">
                  <c:v>17.3</c:v>
                </c:pt>
                <c:pt idx="995">
                  <c:v>14.2</c:v>
                </c:pt>
                <c:pt idx="996">
                  <c:v>16.3</c:v>
                </c:pt>
                <c:pt idx="997">
                  <c:v>21.4</c:v>
                </c:pt>
                <c:pt idx="998">
                  <c:v>22</c:v>
                </c:pt>
                <c:pt idx="999">
                  <c:v>17.600000000000001</c:v>
                </c:pt>
                <c:pt idx="1000">
                  <c:v>11.6</c:v>
                </c:pt>
                <c:pt idx="1001">
                  <c:v>7.9</c:v>
                </c:pt>
                <c:pt idx="1002">
                  <c:v>8.6</c:v>
                </c:pt>
                <c:pt idx="1003">
                  <c:v>12.1</c:v>
                </c:pt>
                <c:pt idx="1004">
                  <c:v>11.1</c:v>
                </c:pt>
                <c:pt idx="1005">
                  <c:v>9.3000000000000007</c:v>
                </c:pt>
                <c:pt idx="1006">
                  <c:v>13.7</c:v>
                </c:pt>
                <c:pt idx="1007">
                  <c:v>15.2</c:v>
                </c:pt>
                <c:pt idx="1008">
                  <c:v>12.3</c:v>
                </c:pt>
                <c:pt idx="1009">
                  <c:v>8</c:v>
                </c:pt>
                <c:pt idx="1010">
                  <c:v>7</c:v>
                </c:pt>
                <c:pt idx="1011">
                  <c:v>9</c:v>
                </c:pt>
                <c:pt idx="1012">
                  <c:v>8.3000000000000007</c:v>
                </c:pt>
                <c:pt idx="1013">
                  <c:v>3.7</c:v>
                </c:pt>
                <c:pt idx="1014">
                  <c:v>1.4</c:v>
                </c:pt>
                <c:pt idx="1015">
                  <c:v>2.7</c:v>
                </c:pt>
                <c:pt idx="1016">
                  <c:v>3</c:v>
                </c:pt>
                <c:pt idx="1017">
                  <c:v>4.2</c:v>
                </c:pt>
                <c:pt idx="1018">
                  <c:v>3.8</c:v>
                </c:pt>
                <c:pt idx="1019">
                  <c:v>11.5</c:v>
                </c:pt>
                <c:pt idx="1020">
                  <c:v>12.9</c:v>
                </c:pt>
                <c:pt idx="1021">
                  <c:v>12.8</c:v>
                </c:pt>
                <c:pt idx="1022">
                  <c:v>13.2</c:v>
                </c:pt>
                <c:pt idx="1023">
                  <c:v>8</c:v>
                </c:pt>
                <c:pt idx="1024">
                  <c:v>7.7</c:v>
                </c:pt>
                <c:pt idx="1025">
                  <c:v>7.7</c:v>
                </c:pt>
                <c:pt idx="1026">
                  <c:v>6.4</c:v>
                </c:pt>
                <c:pt idx="1027">
                  <c:v>2.8</c:v>
                </c:pt>
                <c:pt idx="1028">
                  <c:v>2.8</c:v>
                </c:pt>
                <c:pt idx="1029">
                  <c:v>4.5</c:v>
                </c:pt>
                <c:pt idx="1030">
                  <c:v>4</c:v>
                </c:pt>
                <c:pt idx="1031">
                  <c:v>1.7</c:v>
                </c:pt>
                <c:pt idx="1032">
                  <c:v>1</c:v>
                </c:pt>
                <c:pt idx="1033">
                  <c:v>1.8</c:v>
                </c:pt>
                <c:pt idx="1034">
                  <c:v>4</c:v>
                </c:pt>
                <c:pt idx="1035">
                  <c:v>5.3</c:v>
                </c:pt>
                <c:pt idx="1036">
                  <c:v>0.8</c:v>
                </c:pt>
                <c:pt idx="1037">
                  <c:v>3.4</c:v>
                </c:pt>
                <c:pt idx="1038">
                  <c:v>6</c:v>
                </c:pt>
                <c:pt idx="1039">
                  <c:v>2.2000000000000002</c:v>
                </c:pt>
                <c:pt idx="1040">
                  <c:v>-0.2</c:v>
                </c:pt>
                <c:pt idx="1041">
                  <c:v>-0.9</c:v>
                </c:pt>
                <c:pt idx="1042">
                  <c:v>0.9</c:v>
                </c:pt>
                <c:pt idx="1043">
                  <c:v>0.9</c:v>
                </c:pt>
                <c:pt idx="1044">
                  <c:v>1.4</c:v>
                </c:pt>
                <c:pt idx="1045">
                  <c:v>-0.8</c:v>
                </c:pt>
                <c:pt idx="1046">
                  <c:v>5</c:v>
                </c:pt>
                <c:pt idx="1047">
                  <c:v>1.2</c:v>
                </c:pt>
                <c:pt idx="1048">
                  <c:v>4.4000000000000004</c:v>
                </c:pt>
                <c:pt idx="1049">
                  <c:v>5.0999999999999996</c:v>
                </c:pt>
                <c:pt idx="1050">
                  <c:v>-2.6</c:v>
                </c:pt>
                <c:pt idx="1051">
                  <c:v>-4.8</c:v>
                </c:pt>
                <c:pt idx="1052">
                  <c:v>-5.3</c:v>
                </c:pt>
                <c:pt idx="1053">
                  <c:v>-1.4</c:v>
                </c:pt>
                <c:pt idx="1054">
                  <c:v>0.4</c:v>
                </c:pt>
                <c:pt idx="1055">
                  <c:v>-3.1</c:v>
                </c:pt>
                <c:pt idx="1056">
                  <c:v>-1.2</c:v>
                </c:pt>
                <c:pt idx="1057">
                  <c:v>-0.7</c:v>
                </c:pt>
                <c:pt idx="1058">
                  <c:v>-1.3</c:v>
                </c:pt>
                <c:pt idx="1059">
                  <c:v>-1.1000000000000001</c:v>
                </c:pt>
                <c:pt idx="1060">
                  <c:v>2.8</c:v>
                </c:pt>
                <c:pt idx="1061">
                  <c:v>0.6</c:v>
                </c:pt>
                <c:pt idx="1062">
                  <c:v>4.0999999999999996</c:v>
                </c:pt>
                <c:pt idx="1063">
                  <c:v>4.0999999999999996</c:v>
                </c:pt>
                <c:pt idx="1064">
                  <c:v>4.9000000000000004</c:v>
                </c:pt>
                <c:pt idx="1065">
                  <c:v>9</c:v>
                </c:pt>
                <c:pt idx="1066">
                  <c:v>3.8</c:v>
                </c:pt>
                <c:pt idx="1067">
                  <c:v>-3.8</c:v>
                </c:pt>
                <c:pt idx="1068">
                  <c:v>-4.5999999999999996</c:v>
                </c:pt>
                <c:pt idx="1069">
                  <c:v>-8.1999999999999993</c:v>
                </c:pt>
                <c:pt idx="1070">
                  <c:v>-5.5</c:v>
                </c:pt>
                <c:pt idx="1071">
                  <c:v>-1</c:v>
                </c:pt>
                <c:pt idx="1072">
                  <c:v>-4.4000000000000004</c:v>
                </c:pt>
                <c:pt idx="1073">
                  <c:v>-5.7</c:v>
                </c:pt>
                <c:pt idx="1074">
                  <c:v>-4.9000000000000004</c:v>
                </c:pt>
                <c:pt idx="1075">
                  <c:v>-1</c:v>
                </c:pt>
                <c:pt idx="1076">
                  <c:v>-3.5</c:v>
                </c:pt>
                <c:pt idx="1077">
                  <c:v>-3.3</c:v>
                </c:pt>
                <c:pt idx="1078">
                  <c:v>-3.9</c:v>
                </c:pt>
                <c:pt idx="1079">
                  <c:v>-7</c:v>
                </c:pt>
                <c:pt idx="1080">
                  <c:v>-7.5</c:v>
                </c:pt>
                <c:pt idx="1081">
                  <c:v>-9.1</c:v>
                </c:pt>
                <c:pt idx="1082">
                  <c:v>-8</c:v>
                </c:pt>
                <c:pt idx="1083">
                  <c:v>-6.9</c:v>
                </c:pt>
                <c:pt idx="1084">
                  <c:v>-11.1</c:v>
                </c:pt>
                <c:pt idx="1085">
                  <c:v>-2.1</c:v>
                </c:pt>
                <c:pt idx="1086">
                  <c:v>-3</c:v>
                </c:pt>
                <c:pt idx="1087">
                  <c:v>-3</c:v>
                </c:pt>
                <c:pt idx="1088">
                  <c:v>-6</c:v>
                </c:pt>
                <c:pt idx="1089">
                  <c:v>-9.9</c:v>
                </c:pt>
                <c:pt idx="1090">
                  <c:v>-22.3</c:v>
                </c:pt>
                <c:pt idx="1091">
                  <c:v>-14</c:v>
                </c:pt>
                <c:pt idx="1092">
                  <c:v>-13.2</c:v>
                </c:pt>
                <c:pt idx="1093">
                  <c:v>-17.8</c:v>
                </c:pt>
                <c:pt idx="1094">
                  <c:v>-12.2</c:v>
                </c:pt>
                <c:pt idx="1095">
                  <c:v>-18</c:v>
                </c:pt>
                <c:pt idx="1096">
                  <c:v>-17.5</c:v>
                </c:pt>
                <c:pt idx="1097">
                  <c:v>-9.1</c:v>
                </c:pt>
                <c:pt idx="1098">
                  <c:v>-4.5999999999999996</c:v>
                </c:pt>
                <c:pt idx="1099">
                  <c:v>-5.9</c:v>
                </c:pt>
                <c:pt idx="1100">
                  <c:v>-10.1</c:v>
                </c:pt>
                <c:pt idx="1101">
                  <c:v>-7.8</c:v>
                </c:pt>
                <c:pt idx="1102">
                  <c:v>-1.4</c:v>
                </c:pt>
                <c:pt idx="1103">
                  <c:v>-5.7</c:v>
                </c:pt>
                <c:pt idx="1104">
                  <c:v>-4.7</c:v>
                </c:pt>
                <c:pt idx="1105">
                  <c:v>-4.0999999999999996</c:v>
                </c:pt>
                <c:pt idx="1106">
                  <c:v>0.4</c:v>
                </c:pt>
                <c:pt idx="1107">
                  <c:v>1.8</c:v>
                </c:pt>
                <c:pt idx="1108">
                  <c:v>4.4000000000000004</c:v>
                </c:pt>
                <c:pt idx="1109">
                  <c:v>2.2000000000000002</c:v>
                </c:pt>
                <c:pt idx="1110">
                  <c:v>2.8</c:v>
                </c:pt>
                <c:pt idx="1111">
                  <c:v>4.0999999999999996</c:v>
                </c:pt>
                <c:pt idx="1112">
                  <c:v>5.5</c:v>
                </c:pt>
                <c:pt idx="1113">
                  <c:v>0.6</c:v>
                </c:pt>
                <c:pt idx="1114">
                  <c:v>1.6</c:v>
                </c:pt>
                <c:pt idx="1115">
                  <c:v>1.7</c:v>
                </c:pt>
                <c:pt idx="1116">
                  <c:v>4.4000000000000004</c:v>
                </c:pt>
                <c:pt idx="1117">
                  <c:v>7.9</c:v>
                </c:pt>
                <c:pt idx="1118">
                  <c:v>7.1</c:v>
                </c:pt>
                <c:pt idx="1119">
                  <c:v>0.2</c:v>
                </c:pt>
                <c:pt idx="1120">
                  <c:v>4.5</c:v>
                </c:pt>
                <c:pt idx="1121">
                  <c:v>3.6</c:v>
                </c:pt>
                <c:pt idx="1122">
                  <c:v>1</c:v>
                </c:pt>
                <c:pt idx="1123">
                  <c:v>-4.2</c:v>
                </c:pt>
                <c:pt idx="1124">
                  <c:v>-2.8</c:v>
                </c:pt>
                <c:pt idx="1125">
                  <c:v>-3.7</c:v>
                </c:pt>
                <c:pt idx="1126">
                  <c:v>-5.0999999999999996</c:v>
                </c:pt>
                <c:pt idx="1127">
                  <c:v>-6.7</c:v>
                </c:pt>
                <c:pt idx="1128">
                  <c:v>-9.1</c:v>
                </c:pt>
                <c:pt idx="1129">
                  <c:v>-1.2</c:v>
                </c:pt>
                <c:pt idx="1130">
                  <c:v>1</c:v>
                </c:pt>
                <c:pt idx="1131">
                  <c:v>3.9</c:v>
                </c:pt>
                <c:pt idx="1132">
                  <c:v>9.1</c:v>
                </c:pt>
                <c:pt idx="1133">
                  <c:v>3.5</c:v>
                </c:pt>
                <c:pt idx="1134">
                  <c:v>2.1</c:v>
                </c:pt>
                <c:pt idx="1135">
                  <c:v>8.5</c:v>
                </c:pt>
                <c:pt idx="1136">
                  <c:v>7.1</c:v>
                </c:pt>
                <c:pt idx="1137">
                  <c:v>4.5</c:v>
                </c:pt>
                <c:pt idx="1138">
                  <c:v>8.3000000000000007</c:v>
                </c:pt>
                <c:pt idx="1139">
                  <c:v>8.6</c:v>
                </c:pt>
                <c:pt idx="1140">
                  <c:v>-0.9</c:v>
                </c:pt>
                <c:pt idx="1141">
                  <c:v>2.7</c:v>
                </c:pt>
                <c:pt idx="1142">
                  <c:v>1</c:v>
                </c:pt>
                <c:pt idx="1143">
                  <c:v>3</c:v>
                </c:pt>
                <c:pt idx="1144">
                  <c:v>5.9</c:v>
                </c:pt>
                <c:pt idx="1145">
                  <c:v>1.2</c:v>
                </c:pt>
                <c:pt idx="1146">
                  <c:v>-2.2000000000000002</c:v>
                </c:pt>
                <c:pt idx="1147">
                  <c:v>-9.1999999999999993</c:v>
                </c:pt>
                <c:pt idx="1148">
                  <c:v>-14.4</c:v>
                </c:pt>
                <c:pt idx="1149">
                  <c:v>-9.5</c:v>
                </c:pt>
                <c:pt idx="1150">
                  <c:v>-6</c:v>
                </c:pt>
                <c:pt idx="1151">
                  <c:v>-1.2</c:v>
                </c:pt>
                <c:pt idx="1152">
                  <c:v>-3.7</c:v>
                </c:pt>
                <c:pt idx="1153">
                  <c:v>3.9</c:v>
                </c:pt>
                <c:pt idx="1154">
                  <c:v>1.5</c:v>
                </c:pt>
                <c:pt idx="1155">
                  <c:v>6.5</c:v>
                </c:pt>
                <c:pt idx="1156">
                  <c:v>4.2</c:v>
                </c:pt>
                <c:pt idx="1157">
                  <c:v>2.6</c:v>
                </c:pt>
                <c:pt idx="1158">
                  <c:v>2.2000000000000002</c:v>
                </c:pt>
                <c:pt idx="1159">
                  <c:v>1.4</c:v>
                </c:pt>
                <c:pt idx="1160">
                  <c:v>2.7</c:v>
                </c:pt>
                <c:pt idx="1161">
                  <c:v>4.2</c:v>
                </c:pt>
                <c:pt idx="1162">
                  <c:v>-2.1</c:v>
                </c:pt>
                <c:pt idx="1163">
                  <c:v>-5.9</c:v>
                </c:pt>
                <c:pt idx="1164">
                  <c:v>-0.1</c:v>
                </c:pt>
                <c:pt idx="1165">
                  <c:v>-1.1000000000000001</c:v>
                </c:pt>
                <c:pt idx="1166">
                  <c:v>2.7</c:v>
                </c:pt>
                <c:pt idx="1167">
                  <c:v>7.5</c:v>
                </c:pt>
                <c:pt idx="1168">
                  <c:v>5</c:v>
                </c:pt>
                <c:pt idx="1169">
                  <c:v>2.2000000000000002</c:v>
                </c:pt>
                <c:pt idx="1170">
                  <c:v>4.2</c:v>
                </c:pt>
                <c:pt idx="1171">
                  <c:v>1</c:v>
                </c:pt>
                <c:pt idx="1172">
                  <c:v>5</c:v>
                </c:pt>
                <c:pt idx="1173">
                  <c:v>1.6</c:v>
                </c:pt>
                <c:pt idx="1174">
                  <c:v>0.7</c:v>
                </c:pt>
                <c:pt idx="1175">
                  <c:v>3.4</c:v>
                </c:pt>
                <c:pt idx="1176">
                  <c:v>8.5</c:v>
                </c:pt>
                <c:pt idx="1177">
                  <c:v>7.7</c:v>
                </c:pt>
                <c:pt idx="1178">
                  <c:v>4.7</c:v>
                </c:pt>
                <c:pt idx="1179">
                  <c:v>7.9</c:v>
                </c:pt>
                <c:pt idx="1180">
                  <c:v>9.6</c:v>
                </c:pt>
                <c:pt idx="1181">
                  <c:v>11.4</c:v>
                </c:pt>
                <c:pt idx="1182">
                  <c:v>8.3000000000000007</c:v>
                </c:pt>
                <c:pt idx="1183">
                  <c:v>12.5</c:v>
                </c:pt>
                <c:pt idx="1184">
                  <c:v>5.0999999999999996</c:v>
                </c:pt>
                <c:pt idx="1185">
                  <c:v>2.9</c:v>
                </c:pt>
                <c:pt idx="1186">
                  <c:v>4.9000000000000004</c:v>
                </c:pt>
                <c:pt idx="1187">
                  <c:v>3.1</c:v>
                </c:pt>
                <c:pt idx="1188">
                  <c:v>6.7</c:v>
                </c:pt>
                <c:pt idx="1189">
                  <c:v>1.3</c:v>
                </c:pt>
                <c:pt idx="1190">
                  <c:v>1.8</c:v>
                </c:pt>
                <c:pt idx="1191">
                  <c:v>6.5</c:v>
                </c:pt>
                <c:pt idx="1192">
                  <c:v>12.4</c:v>
                </c:pt>
                <c:pt idx="1193">
                  <c:v>6.4</c:v>
                </c:pt>
                <c:pt idx="1194">
                  <c:v>-0.2</c:v>
                </c:pt>
                <c:pt idx="1195">
                  <c:v>0.4</c:v>
                </c:pt>
                <c:pt idx="1196">
                  <c:v>0.5</c:v>
                </c:pt>
                <c:pt idx="1197">
                  <c:v>0.8</c:v>
                </c:pt>
                <c:pt idx="1198">
                  <c:v>-0.1</c:v>
                </c:pt>
                <c:pt idx="1199">
                  <c:v>0.1</c:v>
                </c:pt>
                <c:pt idx="1200">
                  <c:v>-0.2</c:v>
                </c:pt>
                <c:pt idx="1201">
                  <c:v>2.2000000000000002</c:v>
                </c:pt>
                <c:pt idx="1202">
                  <c:v>6.8</c:v>
                </c:pt>
                <c:pt idx="1203">
                  <c:v>1.7</c:v>
                </c:pt>
                <c:pt idx="1204">
                  <c:v>2.6</c:v>
                </c:pt>
                <c:pt idx="1205">
                  <c:v>5.6</c:v>
                </c:pt>
                <c:pt idx="1206">
                  <c:v>4.3</c:v>
                </c:pt>
                <c:pt idx="1207">
                  <c:v>8.1999999999999993</c:v>
                </c:pt>
                <c:pt idx="1208">
                  <c:v>10.8</c:v>
                </c:pt>
                <c:pt idx="1209">
                  <c:v>12.3</c:v>
                </c:pt>
                <c:pt idx="1210">
                  <c:v>11.3</c:v>
                </c:pt>
                <c:pt idx="1211">
                  <c:v>3.4</c:v>
                </c:pt>
                <c:pt idx="1212">
                  <c:v>5.2</c:v>
                </c:pt>
                <c:pt idx="1213">
                  <c:v>6.9</c:v>
                </c:pt>
                <c:pt idx="1214">
                  <c:v>9.3000000000000007</c:v>
                </c:pt>
                <c:pt idx="1215">
                  <c:v>5.6</c:v>
                </c:pt>
                <c:pt idx="1216">
                  <c:v>12.3</c:v>
                </c:pt>
                <c:pt idx="1217">
                  <c:v>11.8</c:v>
                </c:pt>
                <c:pt idx="1218">
                  <c:v>11.7</c:v>
                </c:pt>
                <c:pt idx="1219">
                  <c:v>10</c:v>
                </c:pt>
                <c:pt idx="1220">
                  <c:v>7.3</c:v>
                </c:pt>
                <c:pt idx="1221">
                  <c:v>7</c:v>
                </c:pt>
                <c:pt idx="1222">
                  <c:v>5.9</c:v>
                </c:pt>
                <c:pt idx="1223">
                  <c:v>4.4000000000000004</c:v>
                </c:pt>
                <c:pt idx="1224">
                  <c:v>4.0999999999999996</c:v>
                </c:pt>
                <c:pt idx="1225">
                  <c:v>6.9</c:v>
                </c:pt>
                <c:pt idx="1226">
                  <c:v>10.3</c:v>
                </c:pt>
                <c:pt idx="1227">
                  <c:v>5.3</c:v>
                </c:pt>
                <c:pt idx="1228">
                  <c:v>4.5</c:v>
                </c:pt>
                <c:pt idx="1229">
                  <c:v>5.7</c:v>
                </c:pt>
                <c:pt idx="1230">
                  <c:v>6.5</c:v>
                </c:pt>
                <c:pt idx="1231">
                  <c:v>12.3</c:v>
                </c:pt>
                <c:pt idx="1232">
                  <c:v>7.2</c:v>
                </c:pt>
                <c:pt idx="1233">
                  <c:v>8.3000000000000007</c:v>
                </c:pt>
                <c:pt idx="1234">
                  <c:v>2.7</c:v>
                </c:pt>
                <c:pt idx="1235">
                  <c:v>8.1</c:v>
                </c:pt>
                <c:pt idx="1236">
                  <c:v>8.1</c:v>
                </c:pt>
                <c:pt idx="1237">
                  <c:v>13.4</c:v>
                </c:pt>
                <c:pt idx="1238">
                  <c:v>9.6999999999999993</c:v>
                </c:pt>
                <c:pt idx="1239">
                  <c:v>12.3</c:v>
                </c:pt>
                <c:pt idx="1240">
                  <c:v>13.7</c:v>
                </c:pt>
                <c:pt idx="1241">
                  <c:v>15.1</c:v>
                </c:pt>
                <c:pt idx="1242">
                  <c:v>10.1</c:v>
                </c:pt>
                <c:pt idx="1243">
                  <c:v>11.1</c:v>
                </c:pt>
                <c:pt idx="1244">
                  <c:v>13.3</c:v>
                </c:pt>
                <c:pt idx="1245">
                  <c:v>12.2</c:v>
                </c:pt>
                <c:pt idx="1246">
                  <c:v>13.1</c:v>
                </c:pt>
                <c:pt idx="1247">
                  <c:v>15.2</c:v>
                </c:pt>
                <c:pt idx="1248">
                  <c:v>13.4</c:v>
                </c:pt>
                <c:pt idx="1249">
                  <c:v>12.7</c:v>
                </c:pt>
                <c:pt idx="1250">
                  <c:v>10</c:v>
                </c:pt>
                <c:pt idx="1251">
                  <c:v>12.9</c:v>
                </c:pt>
                <c:pt idx="1252">
                  <c:v>12.9</c:v>
                </c:pt>
                <c:pt idx="1253">
                  <c:v>16.8</c:v>
                </c:pt>
                <c:pt idx="1254">
                  <c:v>15.9</c:v>
                </c:pt>
                <c:pt idx="1255">
                  <c:v>11.3</c:v>
                </c:pt>
                <c:pt idx="1256">
                  <c:v>17.8</c:v>
                </c:pt>
                <c:pt idx="1257">
                  <c:v>15.1</c:v>
                </c:pt>
                <c:pt idx="1258">
                  <c:v>15</c:v>
                </c:pt>
                <c:pt idx="1259">
                  <c:v>5.2</c:v>
                </c:pt>
                <c:pt idx="1260">
                  <c:v>9.1999999999999993</c:v>
                </c:pt>
                <c:pt idx="1261">
                  <c:v>16.7</c:v>
                </c:pt>
                <c:pt idx="1262">
                  <c:v>12.4</c:v>
                </c:pt>
                <c:pt idx="1263">
                  <c:v>10.7</c:v>
                </c:pt>
                <c:pt idx="1264">
                  <c:v>13.2</c:v>
                </c:pt>
                <c:pt idx="1265">
                  <c:v>10.3</c:v>
                </c:pt>
                <c:pt idx="1266">
                  <c:v>16.899999999999999</c:v>
                </c:pt>
                <c:pt idx="1267">
                  <c:v>17.100000000000001</c:v>
                </c:pt>
                <c:pt idx="1268">
                  <c:v>18.100000000000001</c:v>
                </c:pt>
                <c:pt idx="1269">
                  <c:v>12</c:v>
                </c:pt>
                <c:pt idx="1270">
                  <c:v>15.2</c:v>
                </c:pt>
                <c:pt idx="1271">
                  <c:v>20.399999999999999</c:v>
                </c:pt>
                <c:pt idx="1272">
                  <c:v>24</c:v>
                </c:pt>
                <c:pt idx="1273">
                  <c:v>27.9</c:v>
                </c:pt>
                <c:pt idx="1274">
                  <c:v>19.8</c:v>
                </c:pt>
                <c:pt idx="1275">
                  <c:v>13.1</c:v>
                </c:pt>
                <c:pt idx="1276">
                  <c:v>17</c:v>
                </c:pt>
                <c:pt idx="1277">
                  <c:v>21</c:v>
                </c:pt>
                <c:pt idx="1278">
                  <c:v>22.8</c:v>
                </c:pt>
                <c:pt idx="1279">
                  <c:v>16.3</c:v>
                </c:pt>
                <c:pt idx="1280">
                  <c:v>11.3</c:v>
                </c:pt>
                <c:pt idx="1281">
                  <c:v>17.7</c:v>
                </c:pt>
                <c:pt idx="1282">
                  <c:v>17.899999999999999</c:v>
                </c:pt>
                <c:pt idx="1283">
                  <c:v>19.399999999999999</c:v>
                </c:pt>
                <c:pt idx="1284">
                  <c:v>19</c:v>
                </c:pt>
                <c:pt idx="1285">
                  <c:v>18.3</c:v>
                </c:pt>
                <c:pt idx="1286">
                  <c:v>18</c:v>
                </c:pt>
                <c:pt idx="1287">
                  <c:v>25.9</c:v>
                </c:pt>
                <c:pt idx="1288">
                  <c:v>27.4</c:v>
                </c:pt>
                <c:pt idx="1289">
                  <c:v>21</c:v>
                </c:pt>
                <c:pt idx="1290">
                  <c:v>25.5</c:v>
                </c:pt>
                <c:pt idx="1291">
                  <c:v>25.7</c:v>
                </c:pt>
                <c:pt idx="1292">
                  <c:v>23.6</c:v>
                </c:pt>
                <c:pt idx="1293">
                  <c:v>20.5</c:v>
                </c:pt>
                <c:pt idx="1294">
                  <c:v>19.399999999999999</c:v>
                </c:pt>
                <c:pt idx="1295">
                  <c:v>23.8</c:v>
                </c:pt>
                <c:pt idx="1296">
                  <c:v>25.8</c:v>
                </c:pt>
                <c:pt idx="1297">
                  <c:v>26.9</c:v>
                </c:pt>
                <c:pt idx="1298">
                  <c:v>24.3</c:v>
                </c:pt>
                <c:pt idx="1299">
                  <c:v>23.6</c:v>
                </c:pt>
                <c:pt idx="1300">
                  <c:v>26.2</c:v>
                </c:pt>
                <c:pt idx="1301">
                  <c:v>24.8</c:v>
                </c:pt>
                <c:pt idx="1302">
                  <c:v>26.5</c:v>
                </c:pt>
                <c:pt idx="1303">
                  <c:v>30</c:v>
                </c:pt>
                <c:pt idx="1304">
                  <c:v>31.2</c:v>
                </c:pt>
                <c:pt idx="1305">
                  <c:v>29.9</c:v>
                </c:pt>
                <c:pt idx="1306">
                  <c:v>30.3</c:v>
                </c:pt>
                <c:pt idx="1307">
                  <c:v>30</c:v>
                </c:pt>
                <c:pt idx="1308">
                  <c:v>27</c:v>
                </c:pt>
                <c:pt idx="1309">
                  <c:v>23.3</c:v>
                </c:pt>
                <c:pt idx="1310">
                  <c:v>26</c:v>
                </c:pt>
                <c:pt idx="1311">
                  <c:v>14.6</c:v>
                </c:pt>
                <c:pt idx="1312">
                  <c:v>15.5</c:v>
                </c:pt>
                <c:pt idx="1313">
                  <c:v>21</c:v>
                </c:pt>
                <c:pt idx="1314">
                  <c:v>27.4</c:v>
                </c:pt>
                <c:pt idx="1315">
                  <c:v>29</c:v>
                </c:pt>
                <c:pt idx="1316">
                  <c:v>26.6</c:v>
                </c:pt>
                <c:pt idx="1317">
                  <c:v>28.2</c:v>
                </c:pt>
                <c:pt idx="1318">
                  <c:v>28.4</c:v>
                </c:pt>
                <c:pt idx="1319">
                  <c:v>29.4</c:v>
                </c:pt>
                <c:pt idx="1320">
                  <c:v>20.3</c:v>
                </c:pt>
                <c:pt idx="1321">
                  <c:v>22.2</c:v>
                </c:pt>
                <c:pt idx="1322">
                  <c:v>25.3</c:v>
                </c:pt>
                <c:pt idx="1323">
                  <c:v>26.6</c:v>
                </c:pt>
                <c:pt idx="1324">
                  <c:v>28</c:v>
                </c:pt>
                <c:pt idx="1325">
                  <c:v>29.9</c:v>
                </c:pt>
                <c:pt idx="1326">
                  <c:v>26.1</c:v>
                </c:pt>
                <c:pt idx="1327">
                  <c:v>26.5</c:v>
                </c:pt>
                <c:pt idx="1328">
                  <c:v>26.8</c:v>
                </c:pt>
                <c:pt idx="1329">
                  <c:v>23.3</c:v>
                </c:pt>
                <c:pt idx="1330">
                  <c:v>23.2</c:v>
                </c:pt>
                <c:pt idx="1331">
                  <c:v>24.4</c:v>
                </c:pt>
                <c:pt idx="1332">
                  <c:v>24.7</c:v>
                </c:pt>
                <c:pt idx="1333">
                  <c:v>23.9</c:v>
                </c:pt>
                <c:pt idx="1334">
                  <c:v>12.3</c:v>
                </c:pt>
                <c:pt idx="1335">
                  <c:v>17.7</c:v>
                </c:pt>
                <c:pt idx="1336">
                  <c:v>25.1</c:v>
                </c:pt>
                <c:pt idx="1337">
                  <c:v>28.6</c:v>
                </c:pt>
                <c:pt idx="1338">
                  <c:v>27.8</c:v>
                </c:pt>
                <c:pt idx="1339">
                  <c:v>27</c:v>
                </c:pt>
                <c:pt idx="1340">
                  <c:v>30.1</c:v>
                </c:pt>
                <c:pt idx="1341">
                  <c:v>26.6</c:v>
                </c:pt>
                <c:pt idx="1342">
                  <c:v>22.4</c:v>
                </c:pt>
                <c:pt idx="1343">
                  <c:v>17.2</c:v>
                </c:pt>
                <c:pt idx="1344">
                  <c:v>25</c:v>
                </c:pt>
                <c:pt idx="1345">
                  <c:v>20</c:v>
                </c:pt>
                <c:pt idx="1346">
                  <c:v>14.2</c:v>
                </c:pt>
                <c:pt idx="1347">
                  <c:v>17.2</c:v>
                </c:pt>
                <c:pt idx="1348">
                  <c:v>23.7</c:v>
                </c:pt>
                <c:pt idx="1349">
                  <c:v>23.6</c:v>
                </c:pt>
                <c:pt idx="1350">
                  <c:v>16.100000000000001</c:v>
                </c:pt>
                <c:pt idx="1351">
                  <c:v>18.600000000000001</c:v>
                </c:pt>
                <c:pt idx="1352">
                  <c:v>15.8</c:v>
                </c:pt>
                <c:pt idx="1353">
                  <c:v>17.100000000000001</c:v>
                </c:pt>
                <c:pt idx="1354">
                  <c:v>12.8</c:v>
                </c:pt>
                <c:pt idx="1355">
                  <c:v>11</c:v>
                </c:pt>
                <c:pt idx="1356">
                  <c:v>16.399999999999999</c:v>
                </c:pt>
                <c:pt idx="1357">
                  <c:v>13.3</c:v>
                </c:pt>
                <c:pt idx="1358">
                  <c:v>13</c:v>
                </c:pt>
                <c:pt idx="1359">
                  <c:v>19.8</c:v>
                </c:pt>
                <c:pt idx="1360">
                  <c:v>17.7</c:v>
                </c:pt>
                <c:pt idx="1361">
                  <c:v>13.2</c:v>
                </c:pt>
                <c:pt idx="1362">
                  <c:v>17.100000000000001</c:v>
                </c:pt>
                <c:pt idx="1363">
                  <c:v>22.5</c:v>
                </c:pt>
                <c:pt idx="1364">
                  <c:v>23</c:v>
                </c:pt>
                <c:pt idx="1365">
                  <c:v>25.6</c:v>
                </c:pt>
                <c:pt idx="1366">
                  <c:v>22.8</c:v>
                </c:pt>
                <c:pt idx="1367">
                  <c:v>11.4</c:v>
                </c:pt>
                <c:pt idx="1368">
                  <c:v>16.899999999999999</c:v>
                </c:pt>
                <c:pt idx="1369">
                  <c:v>20.9</c:v>
                </c:pt>
                <c:pt idx="1370">
                  <c:v>20.8</c:v>
                </c:pt>
                <c:pt idx="1371">
                  <c:v>22.7</c:v>
                </c:pt>
                <c:pt idx="1372">
                  <c:v>21.3</c:v>
                </c:pt>
                <c:pt idx="1373">
                  <c:v>20.399999999999999</c:v>
                </c:pt>
                <c:pt idx="1374">
                  <c:v>19.3</c:v>
                </c:pt>
                <c:pt idx="1375">
                  <c:v>20.3</c:v>
                </c:pt>
                <c:pt idx="1376">
                  <c:v>19.899999999999999</c:v>
                </c:pt>
                <c:pt idx="1377">
                  <c:v>18.5</c:v>
                </c:pt>
                <c:pt idx="1378">
                  <c:v>15.6</c:v>
                </c:pt>
                <c:pt idx="1379">
                  <c:v>14.4</c:v>
                </c:pt>
                <c:pt idx="1380">
                  <c:v>15.4</c:v>
                </c:pt>
                <c:pt idx="1381">
                  <c:v>20.8</c:v>
                </c:pt>
                <c:pt idx="1382">
                  <c:v>17.8</c:v>
                </c:pt>
                <c:pt idx="1383">
                  <c:v>18.5</c:v>
                </c:pt>
                <c:pt idx="1384">
                  <c:v>19.3</c:v>
                </c:pt>
                <c:pt idx="1385">
                  <c:v>19</c:v>
                </c:pt>
                <c:pt idx="1386">
                  <c:v>21.9</c:v>
                </c:pt>
                <c:pt idx="1387">
                  <c:v>20.5</c:v>
                </c:pt>
                <c:pt idx="1388">
                  <c:v>11.9</c:v>
                </c:pt>
                <c:pt idx="1389">
                  <c:v>4.8</c:v>
                </c:pt>
                <c:pt idx="1390">
                  <c:v>0.7</c:v>
                </c:pt>
                <c:pt idx="1391">
                  <c:v>4.8</c:v>
                </c:pt>
                <c:pt idx="1392">
                  <c:v>0.9</c:v>
                </c:pt>
                <c:pt idx="1393">
                  <c:v>3</c:v>
                </c:pt>
                <c:pt idx="1394">
                  <c:v>1.5</c:v>
                </c:pt>
                <c:pt idx="1395">
                  <c:v>5.3</c:v>
                </c:pt>
                <c:pt idx="1396">
                  <c:v>5.7</c:v>
                </c:pt>
                <c:pt idx="1397">
                  <c:v>5.3</c:v>
                </c:pt>
                <c:pt idx="1398">
                  <c:v>3.4</c:v>
                </c:pt>
                <c:pt idx="1399">
                  <c:v>3.8</c:v>
                </c:pt>
                <c:pt idx="1400">
                  <c:v>0</c:v>
                </c:pt>
                <c:pt idx="1401">
                  <c:v>-4</c:v>
                </c:pt>
                <c:pt idx="1402">
                  <c:v>-2.5</c:v>
                </c:pt>
                <c:pt idx="1403">
                  <c:v>0.4</c:v>
                </c:pt>
                <c:pt idx="1404">
                  <c:v>-0.6</c:v>
                </c:pt>
                <c:pt idx="1405">
                  <c:v>-5.4</c:v>
                </c:pt>
                <c:pt idx="1406">
                  <c:v>-5.7</c:v>
                </c:pt>
                <c:pt idx="1407">
                  <c:v>-5.6</c:v>
                </c:pt>
                <c:pt idx="1408">
                  <c:v>-4.2</c:v>
                </c:pt>
                <c:pt idx="1409">
                  <c:v>-2.8</c:v>
                </c:pt>
                <c:pt idx="1410">
                  <c:v>-7.9</c:v>
                </c:pt>
                <c:pt idx="1411">
                  <c:v>-0.3</c:v>
                </c:pt>
                <c:pt idx="1412">
                  <c:v>-1.7</c:v>
                </c:pt>
                <c:pt idx="1413">
                  <c:v>3.2</c:v>
                </c:pt>
                <c:pt idx="1414">
                  <c:v>5.9</c:v>
                </c:pt>
                <c:pt idx="1415">
                  <c:v>4.8</c:v>
                </c:pt>
                <c:pt idx="1416">
                  <c:v>-2.9</c:v>
                </c:pt>
                <c:pt idx="1417">
                  <c:v>0.2</c:v>
                </c:pt>
                <c:pt idx="1418">
                  <c:v>-3.1</c:v>
                </c:pt>
                <c:pt idx="1419">
                  <c:v>-2.2000000000000002</c:v>
                </c:pt>
                <c:pt idx="1420">
                  <c:v>-0.5</c:v>
                </c:pt>
                <c:pt idx="1421">
                  <c:v>-2</c:v>
                </c:pt>
                <c:pt idx="1422">
                  <c:v>2</c:v>
                </c:pt>
                <c:pt idx="1423">
                  <c:v>-1.7</c:v>
                </c:pt>
                <c:pt idx="1424">
                  <c:v>0.6</c:v>
                </c:pt>
                <c:pt idx="1425">
                  <c:v>-1.1000000000000001</c:v>
                </c:pt>
                <c:pt idx="1426">
                  <c:v>-3.8</c:v>
                </c:pt>
                <c:pt idx="1427">
                  <c:v>-9</c:v>
                </c:pt>
                <c:pt idx="1428">
                  <c:v>-10.5</c:v>
                </c:pt>
                <c:pt idx="1429">
                  <c:v>-4.0999999999999996</c:v>
                </c:pt>
                <c:pt idx="1430">
                  <c:v>-10.6</c:v>
                </c:pt>
                <c:pt idx="1431">
                  <c:v>-9.8000000000000007</c:v>
                </c:pt>
                <c:pt idx="1432">
                  <c:v>-7.3</c:v>
                </c:pt>
                <c:pt idx="1433">
                  <c:v>-3.8</c:v>
                </c:pt>
                <c:pt idx="1434">
                  <c:v>-6.5</c:v>
                </c:pt>
                <c:pt idx="1435">
                  <c:v>-4.7</c:v>
                </c:pt>
                <c:pt idx="1436">
                  <c:v>-3.3</c:v>
                </c:pt>
                <c:pt idx="1437">
                  <c:v>-4.5999999999999996</c:v>
                </c:pt>
                <c:pt idx="1438">
                  <c:v>-7.1</c:v>
                </c:pt>
                <c:pt idx="1439">
                  <c:v>-3.5</c:v>
                </c:pt>
                <c:pt idx="1440">
                  <c:v>0.2</c:v>
                </c:pt>
                <c:pt idx="1441">
                  <c:v>-3.7</c:v>
                </c:pt>
                <c:pt idx="1442">
                  <c:v>-2.4</c:v>
                </c:pt>
                <c:pt idx="1443">
                  <c:v>-4.5</c:v>
                </c:pt>
                <c:pt idx="1444">
                  <c:v>-4</c:v>
                </c:pt>
                <c:pt idx="1445">
                  <c:v>2.9</c:v>
                </c:pt>
                <c:pt idx="1446">
                  <c:v>-4.9000000000000004</c:v>
                </c:pt>
                <c:pt idx="1447">
                  <c:v>-12.9</c:v>
                </c:pt>
                <c:pt idx="1448">
                  <c:v>-18.3</c:v>
                </c:pt>
                <c:pt idx="1449">
                  <c:v>-15.1</c:v>
                </c:pt>
                <c:pt idx="1450">
                  <c:v>-26.1</c:v>
                </c:pt>
                <c:pt idx="1451">
                  <c:v>-20.2</c:v>
                </c:pt>
                <c:pt idx="1452">
                  <c:v>-12.9</c:v>
                </c:pt>
                <c:pt idx="1453">
                  <c:v>-2.4</c:v>
                </c:pt>
                <c:pt idx="1454">
                  <c:v>0.9</c:v>
                </c:pt>
                <c:pt idx="1455">
                  <c:v>2.4</c:v>
                </c:pt>
                <c:pt idx="1456">
                  <c:v>1</c:v>
                </c:pt>
                <c:pt idx="1457">
                  <c:v>-0.6</c:v>
                </c:pt>
                <c:pt idx="1458">
                  <c:v>-4.3</c:v>
                </c:pt>
                <c:pt idx="1459">
                  <c:v>-2.1</c:v>
                </c:pt>
                <c:pt idx="1460">
                  <c:v>-0.8</c:v>
                </c:pt>
                <c:pt idx="1461">
                  <c:v>-0.9</c:v>
                </c:pt>
                <c:pt idx="1462">
                  <c:v>-5.9</c:v>
                </c:pt>
                <c:pt idx="1463">
                  <c:v>-6.6</c:v>
                </c:pt>
                <c:pt idx="1464">
                  <c:v>-4.8</c:v>
                </c:pt>
                <c:pt idx="1465">
                  <c:v>0.3</c:v>
                </c:pt>
                <c:pt idx="1466">
                  <c:v>-0.1</c:v>
                </c:pt>
                <c:pt idx="1467">
                  <c:v>1.2</c:v>
                </c:pt>
                <c:pt idx="1468">
                  <c:v>0.2</c:v>
                </c:pt>
                <c:pt idx="1469">
                  <c:v>-2.2000000000000002</c:v>
                </c:pt>
                <c:pt idx="1470">
                  <c:v>-0.5</c:v>
                </c:pt>
                <c:pt idx="1471">
                  <c:v>0.9</c:v>
                </c:pt>
                <c:pt idx="1472">
                  <c:v>-0.1</c:v>
                </c:pt>
                <c:pt idx="1473">
                  <c:v>2.7</c:v>
                </c:pt>
                <c:pt idx="1474">
                  <c:v>1.6</c:v>
                </c:pt>
                <c:pt idx="1475">
                  <c:v>2.9</c:v>
                </c:pt>
                <c:pt idx="1476">
                  <c:v>1.2</c:v>
                </c:pt>
                <c:pt idx="1477">
                  <c:v>-1.3</c:v>
                </c:pt>
                <c:pt idx="1478">
                  <c:v>-1.5</c:v>
                </c:pt>
                <c:pt idx="1479">
                  <c:v>-2.4</c:v>
                </c:pt>
                <c:pt idx="1480">
                  <c:v>-0.8</c:v>
                </c:pt>
                <c:pt idx="1481">
                  <c:v>-4.9000000000000004</c:v>
                </c:pt>
                <c:pt idx="1482">
                  <c:v>-4.8</c:v>
                </c:pt>
                <c:pt idx="1483">
                  <c:v>-0.7</c:v>
                </c:pt>
                <c:pt idx="1484">
                  <c:v>-0.6</c:v>
                </c:pt>
                <c:pt idx="1485">
                  <c:v>3.6</c:v>
                </c:pt>
                <c:pt idx="1486">
                  <c:v>4.2</c:v>
                </c:pt>
                <c:pt idx="1487">
                  <c:v>-1.2</c:v>
                </c:pt>
                <c:pt idx="1488">
                  <c:v>-5.3</c:v>
                </c:pt>
                <c:pt idx="1489">
                  <c:v>-10.5</c:v>
                </c:pt>
                <c:pt idx="1490">
                  <c:v>-6.8</c:v>
                </c:pt>
                <c:pt idx="1491">
                  <c:v>-6.5</c:v>
                </c:pt>
                <c:pt idx="1492">
                  <c:v>-2.1</c:v>
                </c:pt>
                <c:pt idx="1493">
                  <c:v>-3.6</c:v>
                </c:pt>
                <c:pt idx="1494">
                  <c:v>-0.5</c:v>
                </c:pt>
                <c:pt idx="1495">
                  <c:v>-0.8</c:v>
                </c:pt>
                <c:pt idx="1496">
                  <c:v>-0.1</c:v>
                </c:pt>
                <c:pt idx="1497">
                  <c:v>1.8</c:v>
                </c:pt>
                <c:pt idx="1498">
                  <c:v>-0.6</c:v>
                </c:pt>
                <c:pt idx="1499">
                  <c:v>-0.4</c:v>
                </c:pt>
                <c:pt idx="1500">
                  <c:v>-3.5</c:v>
                </c:pt>
                <c:pt idx="1501">
                  <c:v>2.8</c:v>
                </c:pt>
                <c:pt idx="1502">
                  <c:v>2.5</c:v>
                </c:pt>
                <c:pt idx="1503">
                  <c:v>3</c:v>
                </c:pt>
                <c:pt idx="1504">
                  <c:v>-1.8</c:v>
                </c:pt>
                <c:pt idx="1505">
                  <c:v>-5.3</c:v>
                </c:pt>
                <c:pt idx="1506">
                  <c:v>-1.2</c:v>
                </c:pt>
                <c:pt idx="1507">
                  <c:v>-0.8</c:v>
                </c:pt>
                <c:pt idx="1508">
                  <c:v>-1</c:v>
                </c:pt>
                <c:pt idx="1509">
                  <c:v>1.7</c:v>
                </c:pt>
                <c:pt idx="1510">
                  <c:v>-0.9</c:v>
                </c:pt>
                <c:pt idx="1511">
                  <c:v>0.2</c:v>
                </c:pt>
                <c:pt idx="1512">
                  <c:v>-2.2999999999999998</c:v>
                </c:pt>
                <c:pt idx="1513">
                  <c:v>-10</c:v>
                </c:pt>
                <c:pt idx="1514">
                  <c:v>-12.9</c:v>
                </c:pt>
                <c:pt idx="1515">
                  <c:v>-7.6</c:v>
                </c:pt>
                <c:pt idx="1516">
                  <c:v>-10.199999999999999</c:v>
                </c:pt>
                <c:pt idx="1517">
                  <c:v>-2</c:v>
                </c:pt>
                <c:pt idx="1518">
                  <c:v>-5.0999999999999996</c:v>
                </c:pt>
                <c:pt idx="1519">
                  <c:v>-5</c:v>
                </c:pt>
                <c:pt idx="1520">
                  <c:v>-5.0999999999999996</c:v>
                </c:pt>
                <c:pt idx="1521">
                  <c:v>-1.5</c:v>
                </c:pt>
                <c:pt idx="1522">
                  <c:v>-3.4</c:v>
                </c:pt>
                <c:pt idx="1523">
                  <c:v>-2.2000000000000002</c:v>
                </c:pt>
                <c:pt idx="1524">
                  <c:v>-2</c:v>
                </c:pt>
                <c:pt idx="1525">
                  <c:v>0.4</c:v>
                </c:pt>
                <c:pt idx="1526">
                  <c:v>1.2</c:v>
                </c:pt>
                <c:pt idx="1527">
                  <c:v>1.1000000000000001</c:v>
                </c:pt>
                <c:pt idx="1528">
                  <c:v>-2.2999999999999998</c:v>
                </c:pt>
                <c:pt idx="1529">
                  <c:v>-2.6</c:v>
                </c:pt>
                <c:pt idx="1530">
                  <c:v>1.8</c:v>
                </c:pt>
                <c:pt idx="1531">
                  <c:v>0.1</c:v>
                </c:pt>
                <c:pt idx="1532">
                  <c:v>0.8</c:v>
                </c:pt>
                <c:pt idx="1533">
                  <c:v>0</c:v>
                </c:pt>
                <c:pt idx="1534">
                  <c:v>-0.7</c:v>
                </c:pt>
                <c:pt idx="1535">
                  <c:v>3.9</c:v>
                </c:pt>
                <c:pt idx="1536">
                  <c:v>5.7</c:v>
                </c:pt>
                <c:pt idx="1537">
                  <c:v>7.3</c:v>
                </c:pt>
                <c:pt idx="1538">
                  <c:v>8.3000000000000007</c:v>
                </c:pt>
                <c:pt idx="1539">
                  <c:v>5.8</c:v>
                </c:pt>
                <c:pt idx="1540">
                  <c:v>8.6</c:v>
                </c:pt>
                <c:pt idx="1541">
                  <c:v>9.1999999999999993</c:v>
                </c:pt>
                <c:pt idx="1542">
                  <c:v>4.8</c:v>
                </c:pt>
                <c:pt idx="1543">
                  <c:v>0</c:v>
                </c:pt>
                <c:pt idx="1544">
                  <c:v>0.5</c:v>
                </c:pt>
                <c:pt idx="1545">
                  <c:v>1.3</c:v>
                </c:pt>
                <c:pt idx="1546">
                  <c:v>1.6</c:v>
                </c:pt>
                <c:pt idx="1547">
                  <c:v>6.1</c:v>
                </c:pt>
                <c:pt idx="1548">
                  <c:v>7.7</c:v>
                </c:pt>
                <c:pt idx="1549">
                  <c:v>7.4</c:v>
                </c:pt>
                <c:pt idx="1550">
                  <c:v>2.2000000000000002</c:v>
                </c:pt>
                <c:pt idx="1551">
                  <c:v>1.2</c:v>
                </c:pt>
                <c:pt idx="1552">
                  <c:v>2.2000000000000002</c:v>
                </c:pt>
                <c:pt idx="1553">
                  <c:v>2.6</c:v>
                </c:pt>
                <c:pt idx="1554">
                  <c:v>2.8</c:v>
                </c:pt>
                <c:pt idx="1555">
                  <c:v>5.8</c:v>
                </c:pt>
                <c:pt idx="1556">
                  <c:v>4.3</c:v>
                </c:pt>
                <c:pt idx="1557">
                  <c:v>2.8</c:v>
                </c:pt>
                <c:pt idx="1558">
                  <c:v>2.8</c:v>
                </c:pt>
                <c:pt idx="1559">
                  <c:v>6.5</c:v>
                </c:pt>
                <c:pt idx="1560">
                  <c:v>3</c:v>
                </c:pt>
                <c:pt idx="1561">
                  <c:v>2</c:v>
                </c:pt>
                <c:pt idx="1562">
                  <c:v>1.5</c:v>
                </c:pt>
                <c:pt idx="1563">
                  <c:v>4.0999999999999996</c:v>
                </c:pt>
                <c:pt idx="1564">
                  <c:v>6.6</c:v>
                </c:pt>
                <c:pt idx="1565">
                  <c:v>7.1</c:v>
                </c:pt>
                <c:pt idx="1566">
                  <c:v>6.6</c:v>
                </c:pt>
                <c:pt idx="1567">
                  <c:v>5.3</c:v>
                </c:pt>
                <c:pt idx="1568">
                  <c:v>3.3</c:v>
                </c:pt>
                <c:pt idx="1569">
                  <c:v>5.0999999999999996</c:v>
                </c:pt>
                <c:pt idx="1570">
                  <c:v>5</c:v>
                </c:pt>
                <c:pt idx="1571">
                  <c:v>2.9</c:v>
                </c:pt>
                <c:pt idx="1572">
                  <c:v>7.2</c:v>
                </c:pt>
                <c:pt idx="1573">
                  <c:v>3.5</c:v>
                </c:pt>
                <c:pt idx="1574">
                  <c:v>8.1</c:v>
                </c:pt>
                <c:pt idx="1575">
                  <c:v>10.6</c:v>
                </c:pt>
                <c:pt idx="1576">
                  <c:v>11.6</c:v>
                </c:pt>
                <c:pt idx="1577">
                  <c:v>13.5</c:v>
                </c:pt>
                <c:pt idx="1578">
                  <c:v>20.100000000000001</c:v>
                </c:pt>
                <c:pt idx="1579">
                  <c:v>21.8</c:v>
                </c:pt>
                <c:pt idx="1580">
                  <c:v>21.4</c:v>
                </c:pt>
                <c:pt idx="1581">
                  <c:v>15.3</c:v>
                </c:pt>
                <c:pt idx="1582">
                  <c:v>19.5</c:v>
                </c:pt>
                <c:pt idx="1583">
                  <c:v>21.5</c:v>
                </c:pt>
                <c:pt idx="1584">
                  <c:v>22.5</c:v>
                </c:pt>
                <c:pt idx="1585">
                  <c:v>11.2</c:v>
                </c:pt>
                <c:pt idx="1586">
                  <c:v>6.2</c:v>
                </c:pt>
                <c:pt idx="1587">
                  <c:v>8.1</c:v>
                </c:pt>
                <c:pt idx="1588">
                  <c:v>11.5</c:v>
                </c:pt>
                <c:pt idx="1589">
                  <c:v>11.1</c:v>
                </c:pt>
                <c:pt idx="1590">
                  <c:v>13.4</c:v>
                </c:pt>
                <c:pt idx="1591">
                  <c:v>16.7</c:v>
                </c:pt>
                <c:pt idx="1592">
                  <c:v>20</c:v>
                </c:pt>
                <c:pt idx="1593">
                  <c:v>22.7</c:v>
                </c:pt>
                <c:pt idx="1594">
                  <c:v>22.9</c:v>
                </c:pt>
                <c:pt idx="1595">
                  <c:v>24.2</c:v>
                </c:pt>
                <c:pt idx="1596">
                  <c:v>21.7</c:v>
                </c:pt>
                <c:pt idx="1597">
                  <c:v>21</c:v>
                </c:pt>
                <c:pt idx="1598">
                  <c:v>23.3</c:v>
                </c:pt>
                <c:pt idx="1599">
                  <c:v>24.3</c:v>
                </c:pt>
                <c:pt idx="1600">
                  <c:v>25</c:v>
                </c:pt>
                <c:pt idx="1601">
                  <c:v>16.100000000000001</c:v>
                </c:pt>
                <c:pt idx="1602">
                  <c:v>5</c:v>
                </c:pt>
                <c:pt idx="1603">
                  <c:v>10.7</c:v>
                </c:pt>
                <c:pt idx="1604">
                  <c:v>12.4</c:v>
                </c:pt>
                <c:pt idx="1605">
                  <c:v>14.8</c:v>
                </c:pt>
                <c:pt idx="1606">
                  <c:v>19</c:v>
                </c:pt>
                <c:pt idx="1607">
                  <c:v>18.3</c:v>
                </c:pt>
                <c:pt idx="1608">
                  <c:v>19.399999999999999</c:v>
                </c:pt>
                <c:pt idx="1609">
                  <c:v>19.899999999999999</c:v>
                </c:pt>
                <c:pt idx="1610">
                  <c:v>19.600000000000001</c:v>
                </c:pt>
                <c:pt idx="1611">
                  <c:v>17.2</c:v>
                </c:pt>
                <c:pt idx="1612">
                  <c:v>18.2</c:v>
                </c:pt>
                <c:pt idx="1613">
                  <c:v>21.3</c:v>
                </c:pt>
                <c:pt idx="1614">
                  <c:v>22.6</c:v>
                </c:pt>
                <c:pt idx="1615">
                  <c:v>21</c:v>
                </c:pt>
                <c:pt idx="1616">
                  <c:v>16.399999999999999</c:v>
                </c:pt>
                <c:pt idx="1617">
                  <c:v>21.4</c:v>
                </c:pt>
                <c:pt idx="1618">
                  <c:v>25.4</c:v>
                </c:pt>
                <c:pt idx="1619">
                  <c:v>27.2</c:v>
                </c:pt>
                <c:pt idx="1620">
                  <c:v>17.8</c:v>
                </c:pt>
                <c:pt idx="1621">
                  <c:v>16.100000000000001</c:v>
                </c:pt>
                <c:pt idx="1622">
                  <c:v>18.399999999999999</c:v>
                </c:pt>
                <c:pt idx="1623">
                  <c:v>24.7</c:v>
                </c:pt>
                <c:pt idx="1624">
                  <c:v>21.2</c:v>
                </c:pt>
                <c:pt idx="1625">
                  <c:v>7</c:v>
                </c:pt>
                <c:pt idx="1626">
                  <c:v>17.2</c:v>
                </c:pt>
                <c:pt idx="1627">
                  <c:v>14.9</c:v>
                </c:pt>
                <c:pt idx="1628">
                  <c:v>16.3</c:v>
                </c:pt>
                <c:pt idx="1629">
                  <c:v>8.6999999999999993</c:v>
                </c:pt>
                <c:pt idx="1630">
                  <c:v>5.4</c:v>
                </c:pt>
                <c:pt idx="1631">
                  <c:v>7.6</c:v>
                </c:pt>
                <c:pt idx="1632">
                  <c:v>11.3</c:v>
                </c:pt>
                <c:pt idx="1633">
                  <c:v>15.3</c:v>
                </c:pt>
                <c:pt idx="1634">
                  <c:v>18.3</c:v>
                </c:pt>
                <c:pt idx="1635">
                  <c:v>16.2</c:v>
                </c:pt>
                <c:pt idx="1636">
                  <c:v>18.3</c:v>
                </c:pt>
                <c:pt idx="1637">
                  <c:v>22.1</c:v>
                </c:pt>
                <c:pt idx="1638">
                  <c:v>23</c:v>
                </c:pt>
                <c:pt idx="1639">
                  <c:v>23.5</c:v>
                </c:pt>
                <c:pt idx="1640">
                  <c:v>23.7</c:v>
                </c:pt>
                <c:pt idx="1641">
                  <c:v>25.6</c:v>
                </c:pt>
                <c:pt idx="1642">
                  <c:v>19.8</c:v>
                </c:pt>
                <c:pt idx="1643">
                  <c:v>17.8</c:v>
                </c:pt>
                <c:pt idx="1644">
                  <c:v>18.3</c:v>
                </c:pt>
                <c:pt idx="1645">
                  <c:v>21.7</c:v>
                </c:pt>
                <c:pt idx="1646">
                  <c:v>22.8</c:v>
                </c:pt>
                <c:pt idx="1647">
                  <c:v>25.1</c:v>
                </c:pt>
                <c:pt idx="1648">
                  <c:v>25.9</c:v>
                </c:pt>
                <c:pt idx="1649">
                  <c:v>26</c:v>
                </c:pt>
                <c:pt idx="1650">
                  <c:v>28.4</c:v>
                </c:pt>
                <c:pt idx="1651">
                  <c:v>22.1</c:v>
                </c:pt>
                <c:pt idx="1652">
                  <c:v>21.1</c:v>
                </c:pt>
                <c:pt idx="1653">
                  <c:v>20.8</c:v>
                </c:pt>
                <c:pt idx="1654">
                  <c:v>21.2</c:v>
                </c:pt>
                <c:pt idx="1655">
                  <c:v>25.3</c:v>
                </c:pt>
                <c:pt idx="1656">
                  <c:v>25.9</c:v>
                </c:pt>
                <c:pt idx="1657">
                  <c:v>27.1</c:v>
                </c:pt>
                <c:pt idx="1658">
                  <c:v>18.600000000000001</c:v>
                </c:pt>
                <c:pt idx="1659">
                  <c:v>20.6</c:v>
                </c:pt>
                <c:pt idx="1660">
                  <c:v>24.6</c:v>
                </c:pt>
                <c:pt idx="1661">
                  <c:v>28.8</c:v>
                </c:pt>
                <c:pt idx="1662">
                  <c:v>28.7</c:v>
                </c:pt>
                <c:pt idx="1663">
                  <c:v>26.2</c:v>
                </c:pt>
                <c:pt idx="1664">
                  <c:v>26.7</c:v>
                </c:pt>
                <c:pt idx="1665">
                  <c:v>22</c:v>
                </c:pt>
                <c:pt idx="1666">
                  <c:v>14.5</c:v>
                </c:pt>
                <c:pt idx="1667">
                  <c:v>17.7</c:v>
                </c:pt>
                <c:pt idx="1668">
                  <c:v>20.9</c:v>
                </c:pt>
                <c:pt idx="1669">
                  <c:v>24.7</c:v>
                </c:pt>
                <c:pt idx="1670">
                  <c:v>25.8</c:v>
                </c:pt>
                <c:pt idx="1671">
                  <c:v>23.1</c:v>
                </c:pt>
                <c:pt idx="1672">
                  <c:v>23.3</c:v>
                </c:pt>
                <c:pt idx="1673">
                  <c:v>24.7</c:v>
                </c:pt>
                <c:pt idx="1674">
                  <c:v>25.7</c:v>
                </c:pt>
                <c:pt idx="1675">
                  <c:v>24.5</c:v>
                </c:pt>
                <c:pt idx="1676">
                  <c:v>24.9</c:v>
                </c:pt>
                <c:pt idx="1677">
                  <c:v>26</c:v>
                </c:pt>
                <c:pt idx="1678">
                  <c:v>25.8</c:v>
                </c:pt>
                <c:pt idx="1679">
                  <c:v>22</c:v>
                </c:pt>
                <c:pt idx="1680">
                  <c:v>20.5</c:v>
                </c:pt>
                <c:pt idx="1681">
                  <c:v>19.100000000000001</c:v>
                </c:pt>
                <c:pt idx="1682">
                  <c:v>19</c:v>
                </c:pt>
                <c:pt idx="1683">
                  <c:v>21.5</c:v>
                </c:pt>
                <c:pt idx="1684">
                  <c:v>21.4</c:v>
                </c:pt>
                <c:pt idx="1685">
                  <c:v>27.3</c:v>
                </c:pt>
                <c:pt idx="1686">
                  <c:v>30.6</c:v>
                </c:pt>
                <c:pt idx="1687">
                  <c:v>32.4</c:v>
                </c:pt>
                <c:pt idx="1688">
                  <c:v>27.3</c:v>
                </c:pt>
                <c:pt idx="1689">
                  <c:v>29</c:v>
                </c:pt>
                <c:pt idx="1690">
                  <c:v>18.600000000000001</c:v>
                </c:pt>
                <c:pt idx="1691">
                  <c:v>16.5</c:v>
                </c:pt>
                <c:pt idx="1692">
                  <c:v>20.3</c:v>
                </c:pt>
                <c:pt idx="1693">
                  <c:v>23.6</c:v>
                </c:pt>
                <c:pt idx="1694">
                  <c:v>17.399999999999999</c:v>
                </c:pt>
                <c:pt idx="1695">
                  <c:v>13.4</c:v>
                </c:pt>
                <c:pt idx="1696">
                  <c:v>16.7</c:v>
                </c:pt>
                <c:pt idx="1697">
                  <c:v>21.2</c:v>
                </c:pt>
                <c:pt idx="1698">
                  <c:v>25</c:v>
                </c:pt>
                <c:pt idx="1699">
                  <c:v>27.8</c:v>
                </c:pt>
                <c:pt idx="1700">
                  <c:v>28.2</c:v>
                </c:pt>
                <c:pt idx="1701">
                  <c:v>19.2</c:v>
                </c:pt>
                <c:pt idx="1702">
                  <c:v>11.3</c:v>
                </c:pt>
                <c:pt idx="1703">
                  <c:v>11.7</c:v>
                </c:pt>
                <c:pt idx="1704">
                  <c:v>17.899999999999999</c:v>
                </c:pt>
                <c:pt idx="1705">
                  <c:v>24.7</c:v>
                </c:pt>
                <c:pt idx="1706">
                  <c:v>18.5</c:v>
                </c:pt>
                <c:pt idx="1707">
                  <c:v>17.600000000000001</c:v>
                </c:pt>
                <c:pt idx="1708">
                  <c:v>16.899999999999999</c:v>
                </c:pt>
                <c:pt idx="1709">
                  <c:v>17.3</c:v>
                </c:pt>
                <c:pt idx="1710">
                  <c:v>18.2</c:v>
                </c:pt>
                <c:pt idx="1711">
                  <c:v>21</c:v>
                </c:pt>
                <c:pt idx="1712">
                  <c:v>22.2</c:v>
                </c:pt>
                <c:pt idx="1713">
                  <c:v>24.1</c:v>
                </c:pt>
                <c:pt idx="1714">
                  <c:v>20.2</c:v>
                </c:pt>
                <c:pt idx="1715">
                  <c:v>17.899999999999999</c:v>
                </c:pt>
                <c:pt idx="1716">
                  <c:v>17.5</c:v>
                </c:pt>
                <c:pt idx="1717">
                  <c:v>21.9</c:v>
                </c:pt>
                <c:pt idx="1718">
                  <c:v>25.1</c:v>
                </c:pt>
                <c:pt idx="1719">
                  <c:v>24.7</c:v>
                </c:pt>
                <c:pt idx="1720">
                  <c:v>18.600000000000001</c:v>
                </c:pt>
                <c:pt idx="1721">
                  <c:v>12</c:v>
                </c:pt>
                <c:pt idx="1722">
                  <c:v>8.5</c:v>
                </c:pt>
                <c:pt idx="1723">
                  <c:v>7.1</c:v>
                </c:pt>
                <c:pt idx="1724">
                  <c:v>12.8</c:v>
                </c:pt>
                <c:pt idx="1725">
                  <c:v>18.600000000000001</c:v>
                </c:pt>
                <c:pt idx="1726">
                  <c:v>11.2</c:v>
                </c:pt>
                <c:pt idx="1727">
                  <c:v>11</c:v>
                </c:pt>
                <c:pt idx="1728">
                  <c:v>11.1</c:v>
                </c:pt>
                <c:pt idx="1729">
                  <c:v>9.6</c:v>
                </c:pt>
                <c:pt idx="1730">
                  <c:v>5.3</c:v>
                </c:pt>
                <c:pt idx="1731">
                  <c:v>7.6</c:v>
                </c:pt>
                <c:pt idx="1732">
                  <c:v>3.9</c:v>
                </c:pt>
                <c:pt idx="1733">
                  <c:v>7.7</c:v>
                </c:pt>
                <c:pt idx="1734">
                  <c:v>12.2</c:v>
                </c:pt>
                <c:pt idx="1735">
                  <c:v>11</c:v>
                </c:pt>
                <c:pt idx="1736">
                  <c:v>12.8</c:v>
                </c:pt>
                <c:pt idx="1737">
                  <c:v>13.8</c:v>
                </c:pt>
                <c:pt idx="1738">
                  <c:v>12.2</c:v>
                </c:pt>
                <c:pt idx="1739">
                  <c:v>19</c:v>
                </c:pt>
                <c:pt idx="1740">
                  <c:v>20.3</c:v>
                </c:pt>
                <c:pt idx="1741">
                  <c:v>20.3</c:v>
                </c:pt>
                <c:pt idx="1742">
                  <c:v>16.8</c:v>
                </c:pt>
                <c:pt idx="1743">
                  <c:v>8.1999999999999993</c:v>
                </c:pt>
                <c:pt idx="1744">
                  <c:v>7.7</c:v>
                </c:pt>
                <c:pt idx="1745">
                  <c:v>12.3</c:v>
                </c:pt>
                <c:pt idx="1746">
                  <c:v>10.6</c:v>
                </c:pt>
                <c:pt idx="1747">
                  <c:v>11.1</c:v>
                </c:pt>
                <c:pt idx="1748">
                  <c:v>10</c:v>
                </c:pt>
                <c:pt idx="1749">
                  <c:v>11.7</c:v>
                </c:pt>
                <c:pt idx="1750">
                  <c:v>8.6</c:v>
                </c:pt>
                <c:pt idx="1751">
                  <c:v>8.5</c:v>
                </c:pt>
                <c:pt idx="1752">
                  <c:v>15.8</c:v>
                </c:pt>
                <c:pt idx="1753">
                  <c:v>9.3000000000000007</c:v>
                </c:pt>
                <c:pt idx="1754">
                  <c:v>11.2</c:v>
                </c:pt>
                <c:pt idx="1755">
                  <c:v>9.3000000000000007</c:v>
                </c:pt>
                <c:pt idx="1756">
                  <c:v>5.4</c:v>
                </c:pt>
                <c:pt idx="1757">
                  <c:v>0.6</c:v>
                </c:pt>
                <c:pt idx="1758">
                  <c:v>-3.6</c:v>
                </c:pt>
                <c:pt idx="1759">
                  <c:v>-3.8</c:v>
                </c:pt>
                <c:pt idx="1760">
                  <c:v>-4.4000000000000004</c:v>
                </c:pt>
                <c:pt idx="1761">
                  <c:v>0.9</c:v>
                </c:pt>
                <c:pt idx="1762">
                  <c:v>3.6</c:v>
                </c:pt>
                <c:pt idx="1763">
                  <c:v>9.1</c:v>
                </c:pt>
                <c:pt idx="1764">
                  <c:v>3.6</c:v>
                </c:pt>
                <c:pt idx="1765">
                  <c:v>6.5</c:v>
                </c:pt>
                <c:pt idx="1766">
                  <c:v>1.9</c:v>
                </c:pt>
                <c:pt idx="1767">
                  <c:v>5.7</c:v>
                </c:pt>
                <c:pt idx="1768">
                  <c:v>3.8</c:v>
                </c:pt>
                <c:pt idx="1769">
                  <c:v>2.2000000000000002</c:v>
                </c:pt>
                <c:pt idx="1770">
                  <c:v>2.2999999999999998</c:v>
                </c:pt>
                <c:pt idx="1771">
                  <c:v>1.4</c:v>
                </c:pt>
                <c:pt idx="1772">
                  <c:v>3.3</c:v>
                </c:pt>
                <c:pt idx="1773">
                  <c:v>-0.8</c:v>
                </c:pt>
                <c:pt idx="1774">
                  <c:v>2</c:v>
                </c:pt>
                <c:pt idx="1775">
                  <c:v>0.6</c:v>
                </c:pt>
                <c:pt idx="1776">
                  <c:v>0.1</c:v>
                </c:pt>
                <c:pt idx="1777">
                  <c:v>1.7</c:v>
                </c:pt>
                <c:pt idx="1778">
                  <c:v>1.6</c:v>
                </c:pt>
                <c:pt idx="1779">
                  <c:v>-0.4</c:v>
                </c:pt>
                <c:pt idx="1780">
                  <c:v>0.6</c:v>
                </c:pt>
                <c:pt idx="1781">
                  <c:v>1.3</c:v>
                </c:pt>
                <c:pt idx="1782">
                  <c:v>2.9</c:v>
                </c:pt>
                <c:pt idx="1783">
                  <c:v>1.2</c:v>
                </c:pt>
                <c:pt idx="1784">
                  <c:v>-0.8</c:v>
                </c:pt>
                <c:pt idx="1785">
                  <c:v>-0.6</c:v>
                </c:pt>
                <c:pt idx="1786">
                  <c:v>1.7</c:v>
                </c:pt>
                <c:pt idx="1787">
                  <c:v>-2.8</c:v>
                </c:pt>
                <c:pt idx="1788">
                  <c:v>-3.4</c:v>
                </c:pt>
                <c:pt idx="1789">
                  <c:v>-0.9</c:v>
                </c:pt>
                <c:pt idx="1790">
                  <c:v>2</c:v>
                </c:pt>
                <c:pt idx="1791">
                  <c:v>-4.3</c:v>
                </c:pt>
                <c:pt idx="1792">
                  <c:v>-6.4</c:v>
                </c:pt>
                <c:pt idx="1793">
                  <c:v>-4.3</c:v>
                </c:pt>
                <c:pt idx="1794">
                  <c:v>-8.9</c:v>
                </c:pt>
                <c:pt idx="1795">
                  <c:v>-6.6</c:v>
                </c:pt>
                <c:pt idx="1796">
                  <c:v>-3</c:v>
                </c:pt>
                <c:pt idx="1797">
                  <c:v>-2.2000000000000002</c:v>
                </c:pt>
                <c:pt idx="1798">
                  <c:v>-0.2</c:v>
                </c:pt>
                <c:pt idx="1799">
                  <c:v>4.4000000000000004</c:v>
                </c:pt>
                <c:pt idx="1800">
                  <c:v>1.9</c:v>
                </c:pt>
                <c:pt idx="1801">
                  <c:v>-0.8</c:v>
                </c:pt>
                <c:pt idx="1802">
                  <c:v>-3.9</c:v>
                </c:pt>
                <c:pt idx="1803">
                  <c:v>-4.9000000000000004</c:v>
                </c:pt>
                <c:pt idx="1804">
                  <c:v>0.1</c:v>
                </c:pt>
                <c:pt idx="1805">
                  <c:v>-0.1</c:v>
                </c:pt>
                <c:pt idx="1806">
                  <c:v>-0.3</c:v>
                </c:pt>
                <c:pt idx="1807">
                  <c:v>-5.3</c:v>
                </c:pt>
                <c:pt idx="1808">
                  <c:v>-2.4</c:v>
                </c:pt>
                <c:pt idx="1809">
                  <c:v>-1.7</c:v>
                </c:pt>
                <c:pt idx="1810">
                  <c:v>-0.4</c:v>
                </c:pt>
                <c:pt idx="1811">
                  <c:v>0.6</c:v>
                </c:pt>
                <c:pt idx="1812">
                  <c:v>-0.4</c:v>
                </c:pt>
                <c:pt idx="1813">
                  <c:v>0.8</c:v>
                </c:pt>
                <c:pt idx="1814">
                  <c:v>1</c:v>
                </c:pt>
                <c:pt idx="1815">
                  <c:v>1.3</c:v>
                </c:pt>
                <c:pt idx="1816">
                  <c:v>0.6</c:v>
                </c:pt>
                <c:pt idx="1817">
                  <c:v>-2.4</c:v>
                </c:pt>
                <c:pt idx="1818">
                  <c:v>-7.8</c:v>
                </c:pt>
                <c:pt idx="1819">
                  <c:v>-4.8</c:v>
                </c:pt>
                <c:pt idx="1820">
                  <c:v>-3.1</c:v>
                </c:pt>
                <c:pt idx="1821">
                  <c:v>1.3</c:v>
                </c:pt>
                <c:pt idx="1822">
                  <c:v>1.1000000000000001</c:v>
                </c:pt>
                <c:pt idx="1823">
                  <c:v>2.8</c:v>
                </c:pt>
                <c:pt idx="1824">
                  <c:v>3.6</c:v>
                </c:pt>
                <c:pt idx="1825">
                  <c:v>0.3</c:v>
                </c:pt>
                <c:pt idx="1826">
                  <c:v>-1.4</c:v>
                </c:pt>
                <c:pt idx="1827">
                  <c:v>-2.1</c:v>
                </c:pt>
                <c:pt idx="1828">
                  <c:v>1</c:v>
                </c:pt>
                <c:pt idx="1829">
                  <c:v>-2</c:v>
                </c:pt>
                <c:pt idx="1830">
                  <c:v>-3</c:v>
                </c:pt>
                <c:pt idx="1831">
                  <c:v>-3</c:v>
                </c:pt>
                <c:pt idx="1832">
                  <c:v>-7.8</c:v>
                </c:pt>
                <c:pt idx="1833">
                  <c:v>-7.6</c:v>
                </c:pt>
                <c:pt idx="1834">
                  <c:v>-3.8</c:v>
                </c:pt>
                <c:pt idx="1835">
                  <c:v>-5</c:v>
                </c:pt>
                <c:pt idx="1836">
                  <c:v>-12.9</c:v>
                </c:pt>
                <c:pt idx="1837">
                  <c:v>-28.8</c:v>
                </c:pt>
                <c:pt idx="1838">
                  <c:v>-22.3</c:v>
                </c:pt>
                <c:pt idx="1839">
                  <c:v>-13.8</c:v>
                </c:pt>
                <c:pt idx="1840">
                  <c:v>-11.5</c:v>
                </c:pt>
                <c:pt idx="1841">
                  <c:v>-13.7</c:v>
                </c:pt>
                <c:pt idx="1842">
                  <c:v>-12.4</c:v>
                </c:pt>
                <c:pt idx="1843">
                  <c:v>-10</c:v>
                </c:pt>
                <c:pt idx="1844">
                  <c:v>-5.3</c:v>
                </c:pt>
                <c:pt idx="1845">
                  <c:v>0.2</c:v>
                </c:pt>
                <c:pt idx="1846">
                  <c:v>0</c:v>
                </c:pt>
                <c:pt idx="1847">
                  <c:v>1.5</c:v>
                </c:pt>
                <c:pt idx="1848">
                  <c:v>3.3</c:v>
                </c:pt>
                <c:pt idx="1849">
                  <c:v>-0.3</c:v>
                </c:pt>
                <c:pt idx="1850">
                  <c:v>0</c:v>
                </c:pt>
                <c:pt idx="1851">
                  <c:v>1.5</c:v>
                </c:pt>
                <c:pt idx="1852">
                  <c:v>0.8</c:v>
                </c:pt>
                <c:pt idx="1853">
                  <c:v>5.4</c:v>
                </c:pt>
                <c:pt idx="1854">
                  <c:v>8</c:v>
                </c:pt>
                <c:pt idx="1855">
                  <c:v>5.4</c:v>
                </c:pt>
                <c:pt idx="1856">
                  <c:v>5.0999999999999996</c:v>
                </c:pt>
                <c:pt idx="1857">
                  <c:v>4.5</c:v>
                </c:pt>
                <c:pt idx="1858">
                  <c:v>5.7</c:v>
                </c:pt>
                <c:pt idx="1859">
                  <c:v>0</c:v>
                </c:pt>
                <c:pt idx="1860">
                  <c:v>0.4</c:v>
                </c:pt>
                <c:pt idx="1861">
                  <c:v>-0.5</c:v>
                </c:pt>
                <c:pt idx="1862">
                  <c:v>1.1000000000000001</c:v>
                </c:pt>
                <c:pt idx="1863">
                  <c:v>0</c:v>
                </c:pt>
                <c:pt idx="1864">
                  <c:v>-2.4</c:v>
                </c:pt>
                <c:pt idx="1865">
                  <c:v>-4.5</c:v>
                </c:pt>
                <c:pt idx="1866">
                  <c:v>-1.1000000000000001</c:v>
                </c:pt>
                <c:pt idx="1867">
                  <c:v>-2.2000000000000002</c:v>
                </c:pt>
                <c:pt idx="1868">
                  <c:v>-0.8</c:v>
                </c:pt>
                <c:pt idx="1869">
                  <c:v>-3.9</c:v>
                </c:pt>
                <c:pt idx="1870">
                  <c:v>-3.1</c:v>
                </c:pt>
                <c:pt idx="1871">
                  <c:v>-4.5999999999999996</c:v>
                </c:pt>
                <c:pt idx="1872">
                  <c:v>-1.6</c:v>
                </c:pt>
                <c:pt idx="1873">
                  <c:v>1.8</c:v>
                </c:pt>
                <c:pt idx="1874">
                  <c:v>0.4</c:v>
                </c:pt>
                <c:pt idx="1875">
                  <c:v>1.7</c:v>
                </c:pt>
                <c:pt idx="1876">
                  <c:v>4</c:v>
                </c:pt>
                <c:pt idx="1877">
                  <c:v>1.6</c:v>
                </c:pt>
                <c:pt idx="1878">
                  <c:v>3.1</c:v>
                </c:pt>
                <c:pt idx="1879">
                  <c:v>4.9000000000000004</c:v>
                </c:pt>
                <c:pt idx="1880">
                  <c:v>1.5</c:v>
                </c:pt>
                <c:pt idx="1881">
                  <c:v>4.3</c:v>
                </c:pt>
                <c:pt idx="1882">
                  <c:v>-3.8</c:v>
                </c:pt>
                <c:pt idx="1883">
                  <c:v>-7.9</c:v>
                </c:pt>
                <c:pt idx="1884">
                  <c:v>0.7</c:v>
                </c:pt>
                <c:pt idx="1885">
                  <c:v>0.7</c:v>
                </c:pt>
                <c:pt idx="1886">
                  <c:v>-1.3</c:v>
                </c:pt>
                <c:pt idx="1887">
                  <c:v>-3.1</c:v>
                </c:pt>
                <c:pt idx="1888">
                  <c:v>-1.2</c:v>
                </c:pt>
                <c:pt idx="1889">
                  <c:v>-4.8</c:v>
                </c:pt>
                <c:pt idx="1890">
                  <c:v>-5.2</c:v>
                </c:pt>
                <c:pt idx="1891">
                  <c:v>-2.4</c:v>
                </c:pt>
                <c:pt idx="1892">
                  <c:v>1.2</c:v>
                </c:pt>
                <c:pt idx="1893">
                  <c:v>2.5</c:v>
                </c:pt>
                <c:pt idx="1894">
                  <c:v>3.7</c:v>
                </c:pt>
                <c:pt idx="1895">
                  <c:v>3.7</c:v>
                </c:pt>
                <c:pt idx="1896">
                  <c:v>1.8</c:v>
                </c:pt>
                <c:pt idx="1897">
                  <c:v>5.0999999999999996</c:v>
                </c:pt>
                <c:pt idx="1898">
                  <c:v>4.0999999999999996</c:v>
                </c:pt>
                <c:pt idx="1899">
                  <c:v>9.4</c:v>
                </c:pt>
                <c:pt idx="1900">
                  <c:v>12.9</c:v>
                </c:pt>
                <c:pt idx="1901">
                  <c:v>16.600000000000001</c:v>
                </c:pt>
                <c:pt idx="1902">
                  <c:v>17</c:v>
                </c:pt>
                <c:pt idx="1903">
                  <c:v>16.5</c:v>
                </c:pt>
                <c:pt idx="1904">
                  <c:v>14.4</c:v>
                </c:pt>
                <c:pt idx="1905">
                  <c:v>10.4</c:v>
                </c:pt>
                <c:pt idx="1906">
                  <c:v>5.0999999999999996</c:v>
                </c:pt>
                <c:pt idx="1907">
                  <c:v>4.0999999999999996</c:v>
                </c:pt>
                <c:pt idx="1908">
                  <c:v>1.5</c:v>
                </c:pt>
                <c:pt idx="1909">
                  <c:v>5.8</c:v>
                </c:pt>
                <c:pt idx="1910">
                  <c:v>5.0999999999999996</c:v>
                </c:pt>
                <c:pt idx="1911">
                  <c:v>5.0999999999999996</c:v>
                </c:pt>
                <c:pt idx="1912">
                  <c:v>0.2</c:v>
                </c:pt>
                <c:pt idx="1913">
                  <c:v>3.2</c:v>
                </c:pt>
                <c:pt idx="1914">
                  <c:v>4.4000000000000004</c:v>
                </c:pt>
                <c:pt idx="1915">
                  <c:v>3.9</c:v>
                </c:pt>
                <c:pt idx="1916">
                  <c:v>6.6</c:v>
                </c:pt>
                <c:pt idx="1917">
                  <c:v>12.2</c:v>
                </c:pt>
                <c:pt idx="1918">
                  <c:v>14.7</c:v>
                </c:pt>
                <c:pt idx="1919">
                  <c:v>4.7</c:v>
                </c:pt>
                <c:pt idx="1920">
                  <c:v>-0.5</c:v>
                </c:pt>
                <c:pt idx="1921">
                  <c:v>0.8</c:v>
                </c:pt>
                <c:pt idx="1922">
                  <c:v>3.4</c:v>
                </c:pt>
                <c:pt idx="1923">
                  <c:v>6</c:v>
                </c:pt>
                <c:pt idx="1924">
                  <c:v>2.8</c:v>
                </c:pt>
                <c:pt idx="1925">
                  <c:v>4.7</c:v>
                </c:pt>
                <c:pt idx="1926">
                  <c:v>8.9</c:v>
                </c:pt>
                <c:pt idx="1927">
                  <c:v>7.9</c:v>
                </c:pt>
                <c:pt idx="1928">
                  <c:v>9.8000000000000007</c:v>
                </c:pt>
                <c:pt idx="1929">
                  <c:v>14.3</c:v>
                </c:pt>
                <c:pt idx="1930">
                  <c:v>15.2</c:v>
                </c:pt>
                <c:pt idx="1931">
                  <c:v>8.6999999999999993</c:v>
                </c:pt>
                <c:pt idx="1932">
                  <c:v>2.1</c:v>
                </c:pt>
                <c:pt idx="1933">
                  <c:v>3.5</c:v>
                </c:pt>
                <c:pt idx="1934">
                  <c:v>4.9000000000000004</c:v>
                </c:pt>
                <c:pt idx="1935">
                  <c:v>7.4</c:v>
                </c:pt>
                <c:pt idx="1936">
                  <c:v>10.9</c:v>
                </c:pt>
                <c:pt idx="1937">
                  <c:v>4.5999999999999996</c:v>
                </c:pt>
                <c:pt idx="1938">
                  <c:v>7.8</c:v>
                </c:pt>
                <c:pt idx="1939">
                  <c:v>12</c:v>
                </c:pt>
                <c:pt idx="1940">
                  <c:v>8.5</c:v>
                </c:pt>
                <c:pt idx="1941">
                  <c:v>4.4000000000000004</c:v>
                </c:pt>
                <c:pt idx="1942">
                  <c:v>7.6</c:v>
                </c:pt>
                <c:pt idx="1943">
                  <c:v>7.4</c:v>
                </c:pt>
                <c:pt idx="1944">
                  <c:v>5</c:v>
                </c:pt>
                <c:pt idx="1945">
                  <c:v>3</c:v>
                </c:pt>
                <c:pt idx="1946">
                  <c:v>5.2</c:v>
                </c:pt>
                <c:pt idx="1947">
                  <c:v>7.7</c:v>
                </c:pt>
                <c:pt idx="1948">
                  <c:v>9.9</c:v>
                </c:pt>
                <c:pt idx="1949">
                  <c:v>11.1</c:v>
                </c:pt>
                <c:pt idx="1950">
                  <c:v>10.5</c:v>
                </c:pt>
                <c:pt idx="1951">
                  <c:v>12.6</c:v>
                </c:pt>
                <c:pt idx="1952">
                  <c:v>7.8</c:v>
                </c:pt>
                <c:pt idx="1953">
                  <c:v>6.6</c:v>
                </c:pt>
                <c:pt idx="1954">
                  <c:v>13.2</c:v>
                </c:pt>
                <c:pt idx="1955">
                  <c:v>17.5</c:v>
                </c:pt>
                <c:pt idx="1956">
                  <c:v>22.1</c:v>
                </c:pt>
                <c:pt idx="1957">
                  <c:v>21.4</c:v>
                </c:pt>
                <c:pt idx="1958">
                  <c:v>20.399999999999999</c:v>
                </c:pt>
                <c:pt idx="1959">
                  <c:v>11.6</c:v>
                </c:pt>
                <c:pt idx="1960">
                  <c:v>15.4</c:v>
                </c:pt>
                <c:pt idx="1961">
                  <c:v>14.9</c:v>
                </c:pt>
                <c:pt idx="1962">
                  <c:v>12.4</c:v>
                </c:pt>
                <c:pt idx="1963">
                  <c:v>4.8</c:v>
                </c:pt>
                <c:pt idx="1964">
                  <c:v>7.2</c:v>
                </c:pt>
                <c:pt idx="1965">
                  <c:v>7</c:v>
                </c:pt>
                <c:pt idx="1966">
                  <c:v>11.7</c:v>
                </c:pt>
                <c:pt idx="1967">
                  <c:v>4.8</c:v>
                </c:pt>
                <c:pt idx="1968">
                  <c:v>6.1</c:v>
                </c:pt>
                <c:pt idx="1969">
                  <c:v>12.2</c:v>
                </c:pt>
                <c:pt idx="1970">
                  <c:v>11.1</c:v>
                </c:pt>
                <c:pt idx="1971">
                  <c:v>8.5</c:v>
                </c:pt>
                <c:pt idx="1972">
                  <c:v>8.4</c:v>
                </c:pt>
                <c:pt idx="1973">
                  <c:v>14.1</c:v>
                </c:pt>
                <c:pt idx="1974">
                  <c:v>13.1</c:v>
                </c:pt>
                <c:pt idx="1975">
                  <c:v>7.9</c:v>
                </c:pt>
                <c:pt idx="1976">
                  <c:v>8.6</c:v>
                </c:pt>
                <c:pt idx="1977">
                  <c:v>15.4</c:v>
                </c:pt>
                <c:pt idx="1978">
                  <c:v>12.6</c:v>
                </c:pt>
                <c:pt idx="1979">
                  <c:v>11</c:v>
                </c:pt>
                <c:pt idx="1980">
                  <c:v>8.6999999999999993</c:v>
                </c:pt>
                <c:pt idx="1981">
                  <c:v>11.9</c:v>
                </c:pt>
                <c:pt idx="1982">
                  <c:v>13.5</c:v>
                </c:pt>
                <c:pt idx="1983">
                  <c:v>16.2</c:v>
                </c:pt>
                <c:pt idx="1984">
                  <c:v>17.5</c:v>
                </c:pt>
                <c:pt idx="1985">
                  <c:v>20.399999999999999</c:v>
                </c:pt>
                <c:pt idx="1986">
                  <c:v>21</c:v>
                </c:pt>
                <c:pt idx="1987">
                  <c:v>19.8</c:v>
                </c:pt>
                <c:pt idx="1988">
                  <c:v>16.899999999999999</c:v>
                </c:pt>
                <c:pt idx="1989">
                  <c:v>15.5</c:v>
                </c:pt>
                <c:pt idx="1990">
                  <c:v>19.399999999999999</c:v>
                </c:pt>
                <c:pt idx="1991">
                  <c:v>13.9</c:v>
                </c:pt>
                <c:pt idx="1992">
                  <c:v>6.9</c:v>
                </c:pt>
                <c:pt idx="1993">
                  <c:v>4.0999999999999996</c:v>
                </c:pt>
                <c:pt idx="1994">
                  <c:v>9.6</c:v>
                </c:pt>
                <c:pt idx="1995">
                  <c:v>11.9</c:v>
                </c:pt>
                <c:pt idx="1996">
                  <c:v>15.4</c:v>
                </c:pt>
                <c:pt idx="1997">
                  <c:v>18.2</c:v>
                </c:pt>
                <c:pt idx="1998">
                  <c:v>21.8</c:v>
                </c:pt>
                <c:pt idx="1999">
                  <c:v>21.9</c:v>
                </c:pt>
                <c:pt idx="2000">
                  <c:v>15.1</c:v>
                </c:pt>
                <c:pt idx="2001">
                  <c:v>16.5</c:v>
                </c:pt>
                <c:pt idx="2002">
                  <c:v>21.7</c:v>
                </c:pt>
                <c:pt idx="2003">
                  <c:v>21.7</c:v>
                </c:pt>
                <c:pt idx="2004">
                  <c:v>11.9</c:v>
                </c:pt>
                <c:pt idx="2005">
                  <c:v>18.100000000000001</c:v>
                </c:pt>
                <c:pt idx="2006">
                  <c:v>17.8</c:v>
                </c:pt>
                <c:pt idx="2007">
                  <c:v>14.3</c:v>
                </c:pt>
                <c:pt idx="2008">
                  <c:v>16.399999999999999</c:v>
                </c:pt>
                <c:pt idx="2009">
                  <c:v>16.3</c:v>
                </c:pt>
                <c:pt idx="2010">
                  <c:v>17.600000000000001</c:v>
                </c:pt>
                <c:pt idx="2011">
                  <c:v>22.8</c:v>
                </c:pt>
                <c:pt idx="2012">
                  <c:v>24.7</c:v>
                </c:pt>
                <c:pt idx="2013">
                  <c:v>23.9</c:v>
                </c:pt>
                <c:pt idx="2014">
                  <c:v>28.8</c:v>
                </c:pt>
                <c:pt idx="2015">
                  <c:v>29.8</c:v>
                </c:pt>
                <c:pt idx="2016">
                  <c:v>31.6</c:v>
                </c:pt>
                <c:pt idx="2017">
                  <c:v>30.1</c:v>
                </c:pt>
                <c:pt idx="2018">
                  <c:v>25.3</c:v>
                </c:pt>
                <c:pt idx="2019">
                  <c:v>25.9</c:v>
                </c:pt>
                <c:pt idx="2020">
                  <c:v>28.1</c:v>
                </c:pt>
                <c:pt idx="2021">
                  <c:v>26.9</c:v>
                </c:pt>
                <c:pt idx="2022">
                  <c:v>27.8</c:v>
                </c:pt>
                <c:pt idx="2023">
                  <c:v>29.6</c:v>
                </c:pt>
                <c:pt idx="2024">
                  <c:v>30.5</c:v>
                </c:pt>
                <c:pt idx="2025">
                  <c:v>30.4</c:v>
                </c:pt>
                <c:pt idx="2026">
                  <c:v>29</c:v>
                </c:pt>
                <c:pt idx="2027">
                  <c:v>31.2</c:v>
                </c:pt>
                <c:pt idx="2028">
                  <c:v>33</c:v>
                </c:pt>
                <c:pt idx="2029">
                  <c:v>29.7</c:v>
                </c:pt>
                <c:pt idx="2030">
                  <c:v>24.3</c:v>
                </c:pt>
                <c:pt idx="2031">
                  <c:v>25.1</c:v>
                </c:pt>
                <c:pt idx="2032">
                  <c:v>13.1</c:v>
                </c:pt>
                <c:pt idx="2033">
                  <c:v>19.899999999999999</c:v>
                </c:pt>
                <c:pt idx="2034">
                  <c:v>21.2</c:v>
                </c:pt>
                <c:pt idx="2035">
                  <c:v>23.5</c:v>
                </c:pt>
                <c:pt idx="2036">
                  <c:v>13.6</c:v>
                </c:pt>
                <c:pt idx="2037">
                  <c:v>18.100000000000001</c:v>
                </c:pt>
                <c:pt idx="2038">
                  <c:v>24.9</c:v>
                </c:pt>
                <c:pt idx="2039">
                  <c:v>29.8</c:v>
                </c:pt>
                <c:pt idx="2040">
                  <c:v>30.7</c:v>
                </c:pt>
                <c:pt idx="2041">
                  <c:v>29.5</c:v>
                </c:pt>
                <c:pt idx="2042">
                  <c:v>27.8</c:v>
                </c:pt>
                <c:pt idx="2043">
                  <c:v>26.3</c:v>
                </c:pt>
                <c:pt idx="2044">
                  <c:v>22.3</c:v>
                </c:pt>
                <c:pt idx="2045">
                  <c:v>21.9</c:v>
                </c:pt>
                <c:pt idx="2046">
                  <c:v>25.7</c:v>
                </c:pt>
                <c:pt idx="2047">
                  <c:v>24.1</c:v>
                </c:pt>
                <c:pt idx="2048">
                  <c:v>23.5</c:v>
                </c:pt>
                <c:pt idx="2049">
                  <c:v>23.9</c:v>
                </c:pt>
                <c:pt idx="2050">
                  <c:v>23.8</c:v>
                </c:pt>
                <c:pt idx="2051">
                  <c:v>21</c:v>
                </c:pt>
                <c:pt idx="2052">
                  <c:v>24.3</c:v>
                </c:pt>
                <c:pt idx="2053">
                  <c:v>25.8</c:v>
                </c:pt>
                <c:pt idx="2054">
                  <c:v>13.8</c:v>
                </c:pt>
                <c:pt idx="2055">
                  <c:v>20.8</c:v>
                </c:pt>
                <c:pt idx="2056">
                  <c:v>22.1</c:v>
                </c:pt>
                <c:pt idx="2057">
                  <c:v>19.8</c:v>
                </c:pt>
                <c:pt idx="2058">
                  <c:v>19.7</c:v>
                </c:pt>
                <c:pt idx="2059">
                  <c:v>16.399999999999999</c:v>
                </c:pt>
                <c:pt idx="2060">
                  <c:v>18.899999999999999</c:v>
                </c:pt>
                <c:pt idx="2061">
                  <c:v>23.5</c:v>
                </c:pt>
                <c:pt idx="2062">
                  <c:v>7.9</c:v>
                </c:pt>
                <c:pt idx="2063">
                  <c:v>16.5</c:v>
                </c:pt>
                <c:pt idx="2064">
                  <c:v>17.7</c:v>
                </c:pt>
                <c:pt idx="2065">
                  <c:v>10.3</c:v>
                </c:pt>
                <c:pt idx="2066">
                  <c:v>14.1</c:v>
                </c:pt>
                <c:pt idx="2067">
                  <c:v>22.6</c:v>
                </c:pt>
                <c:pt idx="2068">
                  <c:v>24.6</c:v>
                </c:pt>
                <c:pt idx="2069">
                  <c:v>26.8</c:v>
                </c:pt>
                <c:pt idx="2070">
                  <c:v>29.5</c:v>
                </c:pt>
                <c:pt idx="2071">
                  <c:v>23.4</c:v>
                </c:pt>
                <c:pt idx="2072">
                  <c:v>22.7</c:v>
                </c:pt>
                <c:pt idx="2073">
                  <c:v>23.6</c:v>
                </c:pt>
                <c:pt idx="2074">
                  <c:v>27.3</c:v>
                </c:pt>
                <c:pt idx="2075">
                  <c:v>28.6</c:v>
                </c:pt>
                <c:pt idx="2076">
                  <c:v>28.9</c:v>
                </c:pt>
                <c:pt idx="2077">
                  <c:v>27</c:v>
                </c:pt>
                <c:pt idx="2078">
                  <c:v>17.399999999999999</c:v>
                </c:pt>
                <c:pt idx="2079">
                  <c:v>17.3</c:v>
                </c:pt>
                <c:pt idx="2080">
                  <c:v>10.8</c:v>
                </c:pt>
                <c:pt idx="2081">
                  <c:v>14.8</c:v>
                </c:pt>
                <c:pt idx="2082">
                  <c:v>17.8</c:v>
                </c:pt>
                <c:pt idx="2083">
                  <c:v>13.9</c:v>
                </c:pt>
                <c:pt idx="2084">
                  <c:v>13.6</c:v>
                </c:pt>
                <c:pt idx="2085">
                  <c:v>15.2</c:v>
                </c:pt>
                <c:pt idx="2086">
                  <c:v>19.399999999999999</c:v>
                </c:pt>
                <c:pt idx="2087">
                  <c:v>15.7</c:v>
                </c:pt>
                <c:pt idx="2088">
                  <c:v>15.8</c:v>
                </c:pt>
                <c:pt idx="2089">
                  <c:v>10.9</c:v>
                </c:pt>
                <c:pt idx="2090">
                  <c:v>16.7</c:v>
                </c:pt>
                <c:pt idx="2091">
                  <c:v>14.4</c:v>
                </c:pt>
                <c:pt idx="2092">
                  <c:v>19.399999999999999</c:v>
                </c:pt>
                <c:pt idx="2093">
                  <c:v>22.9</c:v>
                </c:pt>
                <c:pt idx="2094">
                  <c:v>20</c:v>
                </c:pt>
                <c:pt idx="2095">
                  <c:v>8</c:v>
                </c:pt>
                <c:pt idx="2096">
                  <c:v>14.5</c:v>
                </c:pt>
                <c:pt idx="2097">
                  <c:v>17.600000000000001</c:v>
                </c:pt>
                <c:pt idx="2098">
                  <c:v>8</c:v>
                </c:pt>
                <c:pt idx="2099">
                  <c:v>10.4</c:v>
                </c:pt>
                <c:pt idx="2100">
                  <c:v>9.1</c:v>
                </c:pt>
                <c:pt idx="2101">
                  <c:v>9.5</c:v>
                </c:pt>
                <c:pt idx="2102">
                  <c:v>11.2</c:v>
                </c:pt>
                <c:pt idx="2103">
                  <c:v>8.1999999999999993</c:v>
                </c:pt>
                <c:pt idx="2104">
                  <c:v>13.4</c:v>
                </c:pt>
                <c:pt idx="2105">
                  <c:v>16.5</c:v>
                </c:pt>
                <c:pt idx="2106">
                  <c:v>18</c:v>
                </c:pt>
                <c:pt idx="2107">
                  <c:v>17</c:v>
                </c:pt>
                <c:pt idx="2108">
                  <c:v>10.6</c:v>
                </c:pt>
                <c:pt idx="2109">
                  <c:v>9.8000000000000007</c:v>
                </c:pt>
                <c:pt idx="2110">
                  <c:v>13.3</c:v>
                </c:pt>
                <c:pt idx="2111">
                  <c:v>17.399999999999999</c:v>
                </c:pt>
                <c:pt idx="2112">
                  <c:v>18.899999999999999</c:v>
                </c:pt>
                <c:pt idx="2113">
                  <c:v>16.8</c:v>
                </c:pt>
                <c:pt idx="2114">
                  <c:v>11.8</c:v>
                </c:pt>
                <c:pt idx="2115">
                  <c:v>7</c:v>
                </c:pt>
                <c:pt idx="2116">
                  <c:v>3.8</c:v>
                </c:pt>
                <c:pt idx="2117">
                  <c:v>0.3</c:v>
                </c:pt>
                <c:pt idx="2118">
                  <c:v>5.5</c:v>
                </c:pt>
                <c:pt idx="2119">
                  <c:v>10</c:v>
                </c:pt>
                <c:pt idx="2120">
                  <c:v>5.8</c:v>
                </c:pt>
                <c:pt idx="2121">
                  <c:v>5.0999999999999996</c:v>
                </c:pt>
                <c:pt idx="2122">
                  <c:v>4.7</c:v>
                </c:pt>
                <c:pt idx="2123">
                  <c:v>3.2</c:v>
                </c:pt>
                <c:pt idx="2124">
                  <c:v>2.1</c:v>
                </c:pt>
                <c:pt idx="2125">
                  <c:v>7.8</c:v>
                </c:pt>
                <c:pt idx="2126">
                  <c:v>4.8</c:v>
                </c:pt>
                <c:pt idx="2127">
                  <c:v>2.1</c:v>
                </c:pt>
                <c:pt idx="2128">
                  <c:v>3.3</c:v>
                </c:pt>
                <c:pt idx="2129">
                  <c:v>0.1</c:v>
                </c:pt>
                <c:pt idx="2130">
                  <c:v>1.3</c:v>
                </c:pt>
                <c:pt idx="2131">
                  <c:v>-0.2</c:v>
                </c:pt>
                <c:pt idx="2132">
                  <c:v>1.1000000000000001</c:v>
                </c:pt>
                <c:pt idx="2133">
                  <c:v>0.7</c:v>
                </c:pt>
                <c:pt idx="2134">
                  <c:v>0.6</c:v>
                </c:pt>
                <c:pt idx="2135">
                  <c:v>-2.9</c:v>
                </c:pt>
                <c:pt idx="2136">
                  <c:v>0.8</c:v>
                </c:pt>
                <c:pt idx="2137">
                  <c:v>1</c:v>
                </c:pt>
                <c:pt idx="2138">
                  <c:v>1.8</c:v>
                </c:pt>
                <c:pt idx="2139">
                  <c:v>2.8</c:v>
                </c:pt>
                <c:pt idx="2140">
                  <c:v>1.4</c:v>
                </c:pt>
                <c:pt idx="2141">
                  <c:v>2.4</c:v>
                </c:pt>
                <c:pt idx="2142">
                  <c:v>2.1</c:v>
                </c:pt>
                <c:pt idx="2143">
                  <c:v>0.5</c:v>
                </c:pt>
                <c:pt idx="2144">
                  <c:v>0.9</c:v>
                </c:pt>
                <c:pt idx="2145">
                  <c:v>0</c:v>
                </c:pt>
                <c:pt idx="2146">
                  <c:v>-3.3</c:v>
                </c:pt>
                <c:pt idx="2147">
                  <c:v>0</c:v>
                </c:pt>
                <c:pt idx="2148">
                  <c:v>-3.4</c:v>
                </c:pt>
                <c:pt idx="2149">
                  <c:v>-4.0999999999999996</c:v>
                </c:pt>
                <c:pt idx="2150">
                  <c:v>-1.8</c:v>
                </c:pt>
                <c:pt idx="2151">
                  <c:v>-1</c:v>
                </c:pt>
                <c:pt idx="2152">
                  <c:v>1.4</c:v>
                </c:pt>
                <c:pt idx="2153">
                  <c:v>0.2</c:v>
                </c:pt>
                <c:pt idx="2154">
                  <c:v>-2.2000000000000002</c:v>
                </c:pt>
                <c:pt idx="2155">
                  <c:v>-0.2</c:v>
                </c:pt>
                <c:pt idx="2156">
                  <c:v>-2.2999999999999998</c:v>
                </c:pt>
                <c:pt idx="2157">
                  <c:v>-3.9</c:v>
                </c:pt>
                <c:pt idx="2158">
                  <c:v>-5.0999999999999996</c:v>
                </c:pt>
                <c:pt idx="2159">
                  <c:v>-2</c:v>
                </c:pt>
                <c:pt idx="2160">
                  <c:v>-0.6</c:v>
                </c:pt>
                <c:pt idx="2161">
                  <c:v>-0.8</c:v>
                </c:pt>
                <c:pt idx="2162">
                  <c:v>-1.5</c:v>
                </c:pt>
                <c:pt idx="2163">
                  <c:v>3</c:v>
                </c:pt>
                <c:pt idx="2164">
                  <c:v>2.2999999999999998</c:v>
                </c:pt>
                <c:pt idx="2165">
                  <c:v>3.4</c:v>
                </c:pt>
                <c:pt idx="2166">
                  <c:v>-2.1</c:v>
                </c:pt>
                <c:pt idx="2167">
                  <c:v>2</c:v>
                </c:pt>
                <c:pt idx="2168">
                  <c:v>-1.6</c:v>
                </c:pt>
                <c:pt idx="2169">
                  <c:v>-1.1000000000000001</c:v>
                </c:pt>
                <c:pt idx="2170">
                  <c:v>-0.2</c:v>
                </c:pt>
                <c:pt idx="2171">
                  <c:v>-2.7</c:v>
                </c:pt>
                <c:pt idx="2172">
                  <c:v>-1.3</c:v>
                </c:pt>
                <c:pt idx="2173">
                  <c:v>-3</c:v>
                </c:pt>
                <c:pt idx="2174">
                  <c:v>0.9</c:v>
                </c:pt>
                <c:pt idx="2175">
                  <c:v>-2.4</c:v>
                </c:pt>
                <c:pt idx="2176">
                  <c:v>-4.5999999999999996</c:v>
                </c:pt>
                <c:pt idx="2177">
                  <c:v>-4.0999999999999996</c:v>
                </c:pt>
                <c:pt idx="2178">
                  <c:v>0.5</c:v>
                </c:pt>
                <c:pt idx="2179">
                  <c:v>0.6</c:v>
                </c:pt>
                <c:pt idx="2180">
                  <c:v>0.4</c:v>
                </c:pt>
                <c:pt idx="2181">
                  <c:v>1.9</c:v>
                </c:pt>
                <c:pt idx="2182">
                  <c:v>-0.9</c:v>
                </c:pt>
                <c:pt idx="2183">
                  <c:v>0.5</c:v>
                </c:pt>
                <c:pt idx="2184">
                  <c:v>0.7</c:v>
                </c:pt>
                <c:pt idx="2185">
                  <c:v>-4.2</c:v>
                </c:pt>
                <c:pt idx="2186">
                  <c:v>-0.8</c:v>
                </c:pt>
                <c:pt idx="2187">
                  <c:v>-1.9</c:v>
                </c:pt>
                <c:pt idx="2188">
                  <c:v>0.1</c:v>
                </c:pt>
                <c:pt idx="2189">
                  <c:v>0.1</c:v>
                </c:pt>
                <c:pt idx="2190">
                  <c:v>-2.6</c:v>
                </c:pt>
                <c:pt idx="2191">
                  <c:v>-2.8</c:v>
                </c:pt>
                <c:pt idx="2192">
                  <c:v>-4.9000000000000004</c:v>
                </c:pt>
                <c:pt idx="2193">
                  <c:v>-5.7</c:v>
                </c:pt>
                <c:pt idx="2194">
                  <c:v>-2.5</c:v>
                </c:pt>
                <c:pt idx="2195">
                  <c:v>0</c:v>
                </c:pt>
                <c:pt idx="2196">
                  <c:v>0.5</c:v>
                </c:pt>
                <c:pt idx="2197">
                  <c:v>-1.1000000000000001</c:v>
                </c:pt>
                <c:pt idx="2198">
                  <c:v>-4.8</c:v>
                </c:pt>
                <c:pt idx="2199">
                  <c:v>1.3</c:v>
                </c:pt>
                <c:pt idx="2200">
                  <c:v>-1.4</c:v>
                </c:pt>
                <c:pt idx="2201">
                  <c:v>-1.6</c:v>
                </c:pt>
                <c:pt idx="2202">
                  <c:v>-2.7</c:v>
                </c:pt>
                <c:pt idx="2203">
                  <c:v>-3.5</c:v>
                </c:pt>
                <c:pt idx="2204">
                  <c:v>-0.3</c:v>
                </c:pt>
                <c:pt idx="2205">
                  <c:v>3.6</c:v>
                </c:pt>
                <c:pt idx="2206">
                  <c:v>4.0999999999999996</c:v>
                </c:pt>
                <c:pt idx="2207">
                  <c:v>0.5</c:v>
                </c:pt>
                <c:pt idx="2208">
                  <c:v>-6</c:v>
                </c:pt>
                <c:pt idx="2209">
                  <c:v>-6.4</c:v>
                </c:pt>
                <c:pt idx="2210">
                  <c:v>-8.5</c:v>
                </c:pt>
                <c:pt idx="2211">
                  <c:v>-7.2</c:v>
                </c:pt>
                <c:pt idx="2212">
                  <c:v>-2.8</c:v>
                </c:pt>
                <c:pt idx="2213">
                  <c:v>-0.7</c:v>
                </c:pt>
                <c:pt idx="2214">
                  <c:v>-0.9</c:v>
                </c:pt>
                <c:pt idx="2215">
                  <c:v>-6.4</c:v>
                </c:pt>
                <c:pt idx="2216">
                  <c:v>-7.4</c:v>
                </c:pt>
                <c:pt idx="2217">
                  <c:v>-0.3</c:v>
                </c:pt>
                <c:pt idx="2218">
                  <c:v>4</c:v>
                </c:pt>
                <c:pt idx="2219">
                  <c:v>7.1</c:v>
                </c:pt>
                <c:pt idx="2220">
                  <c:v>5.2</c:v>
                </c:pt>
                <c:pt idx="2221">
                  <c:v>3.1</c:v>
                </c:pt>
                <c:pt idx="2222">
                  <c:v>-1.3</c:v>
                </c:pt>
                <c:pt idx="2223">
                  <c:v>-2.9</c:v>
                </c:pt>
                <c:pt idx="2224">
                  <c:v>-5.4</c:v>
                </c:pt>
                <c:pt idx="2225">
                  <c:v>-8.9</c:v>
                </c:pt>
                <c:pt idx="2226">
                  <c:v>-9.9</c:v>
                </c:pt>
                <c:pt idx="2227">
                  <c:v>-11.4</c:v>
                </c:pt>
                <c:pt idx="2228">
                  <c:v>-8.6</c:v>
                </c:pt>
                <c:pt idx="2229">
                  <c:v>-5</c:v>
                </c:pt>
                <c:pt idx="2230">
                  <c:v>-8.6999999999999993</c:v>
                </c:pt>
                <c:pt idx="2231">
                  <c:v>-9.4</c:v>
                </c:pt>
                <c:pt idx="2232">
                  <c:v>-13.3</c:v>
                </c:pt>
                <c:pt idx="2233">
                  <c:v>-12.1</c:v>
                </c:pt>
                <c:pt idx="2234">
                  <c:v>-7.5</c:v>
                </c:pt>
                <c:pt idx="2235">
                  <c:v>-5.9</c:v>
                </c:pt>
                <c:pt idx="2236">
                  <c:v>-4.0999999999999996</c:v>
                </c:pt>
                <c:pt idx="2237">
                  <c:v>-2.2999999999999998</c:v>
                </c:pt>
                <c:pt idx="2238">
                  <c:v>-3.7</c:v>
                </c:pt>
                <c:pt idx="2239">
                  <c:v>-1.4</c:v>
                </c:pt>
                <c:pt idx="2240">
                  <c:v>-2.2000000000000002</c:v>
                </c:pt>
                <c:pt idx="2241">
                  <c:v>-2.4</c:v>
                </c:pt>
                <c:pt idx="2242">
                  <c:v>1.9</c:v>
                </c:pt>
                <c:pt idx="2243">
                  <c:v>-0.6</c:v>
                </c:pt>
                <c:pt idx="2244">
                  <c:v>1.7</c:v>
                </c:pt>
                <c:pt idx="2245">
                  <c:v>4.0999999999999996</c:v>
                </c:pt>
                <c:pt idx="2246">
                  <c:v>-0.2</c:v>
                </c:pt>
                <c:pt idx="2247">
                  <c:v>1.8</c:v>
                </c:pt>
                <c:pt idx="2248">
                  <c:v>3.5</c:v>
                </c:pt>
                <c:pt idx="2249">
                  <c:v>5.7</c:v>
                </c:pt>
                <c:pt idx="2250">
                  <c:v>9.5</c:v>
                </c:pt>
                <c:pt idx="2251">
                  <c:v>9.3000000000000007</c:v>
                </c:pt>
                <c:pt idx="2252">
                  <c:v>8.1</c:v>
                </c:pt>
                <c:pt idx="2253">
                  <c:v>3.7</c:v>
                </c:pt>
                <c:pt idx="2254">
                  <c:v>5.2</c:v>
                </c:pt>
                <c:pt idx="2255">
                  <c:v>3.2</c:v>
                </c:pt>
                <c:pt idx="2256">
                  <c:v>1.5</c:v>
                </c:pt>
                <c:pt idx="2257">
                  <c:v>5.8</c:v>
                </c:pt>
                <c:pt idx="2258">
                  <c:v>5.0999999999999996</c:v>
                </c:pt>
                <c:pt idx="2259">
                  <c:v>6.4</c:v>
                </c:pt>
                <c:pt idx="2260">
                  <c:v>1.4</c:v>
                </c:pt>
                <c:pt idx="2261">
                  <c:v>-1.1000000000000001</c:v>
                </c:pt>
                <c:pt idx="2262">
                  <c:v>1.3</c:v>
                </c:pt>
                <c:pt idx="2263">
                  <c:v>-0.4</c:v>
                </c:pt>
                <c:pt idx="2264">
                  <c:v>-0.7</c:v>
                </c:pt>
                <c:pt idx="2265">
                  <c:v>-0.6</c:v>
                </c:pt>
                <c:pt idx="2266">
                  <c:v>-0.1</c:v>
                </c:pt>
                <c:pt idx="2267">
                  <c:v>1</c:v>
                </c:pt>
                <c:pt idx="2268">
                  <c:v>0.6</c:v>
                </c:pt>
                <c:pt idx="2269">
                  <c:v>0.3</c:v>
                </c:pt>
                <c:pt idx="2270">
                  <c:v>4.2</c:v>
                </c:pt>
                <c:pt idx="2271">
                  <c:v>4.2</c:v>
                </c:pt>
                <c:pt idx="2272">
                  <c:v>0.7</c:v>
                </c:pt>
                <c:pt idx="2273">
                  <c:v>2.2999999999999998</c:v>
                </c:pt>
                <c:pt idx="2274">
                  <c:v>4.9000000000000004</c:v>
                </c:pt>
                <c:pt idx="2275">
                  <c:v>13.6</c:v>
                </c:pt>
                <c:pt idx="2276">
                  <c:v>15.9</c:v>
                </c:pt>
                <c:pt idx="2277">
                  <c:v>7.7</c:v>
                </c:pt>
                <c:pt idx="2278">
                  <c:v>7.7</c:v>
                </c:pt>
                <c:pt idx="2279">
                  <c:v>7.1</c:v>
                </c:pt>
                <c:pt idx="2280">
                  <c:v>8.5</c:v>
                </c:pt>
                <c:pt idx="2281">
                  <c:v>3.5</c:v>
                </c:pt>
                <c:pt idx="2282">
                  <c:v>5.9</c:v>
                </c:pt>
                <c:pt idx="2283">
                  <c:v>4</c:v>
                </c:pt>
                <c:pt idx="2284">
                  <c:v>4.5999999999999996</c:v>
                </c:pt>
                <c:pt idx="2285">
                  <c:v>9.1999999999999993</c:v>
                </c:pt>
                <c:pt idx="2286">
                  <c:v>12.8</c:v>
                </c:pt>
                <c:pt idx="2287">
                  <c:v>13.7</c:v>
                </c:pt>
                <c:pt idx="2288">
                  <c:v>8.1</c:v>
                </c:pt>
                <c:pt idx="2289">
                  <c:v>4.9000000000000004</c:v>
                </c:pt>
                <c:pt idx="2290">
                  <c:v>7.8</c:v>
                </c:pt>
                <c:pt idx="2291">
                  <c:v>9.1999999999999993</c:v>
                </c:pt>
                <c:pt idx="2292">
                  <c:v>8.8000000000000007</c:v>
                </c:pt>
                <c:pt idx="2293">
                  <c:v>2.5</c:v>
                </c:pt>
                <c:pt idx="2294">
                  <c:v>7.9</c:v>
                </c:pt>
                <c:pt idx="2295">
                  <c:v>11.6</c:v>
                </c:pt>
                <c:pt idx="2296">
                  <c:v>13.9</c:v>
                </c:pt>
                <c:pt idx="2297">
                  <c:v>4.7</c:v>
                </c:pt>
                <c:pt idx="2298">
                  <c:v>7.9</c:v>
                </c:pt>
                <c:pt idx="2299">
                  <c:v>16.100000000000001</c:v>
                </c:pt>
                <c:pt idx="2300">
                  <c:v>9.6</c:v>
                </c:pt>
                <c:pt idx="2301">
                  <c:v>5.2</c:v>
                </c:pt>
                <c:pt idx="2302">
                  <c:v>3.5</c:v>
                </c:pt>
                <c:pt idx="2303">
                  <c:v>6.1</c:v>
                </c:pt>
                <c:pt idx="2304">
                  <c:v>9</c:v>
                </c:pt>
                <c:pt idx="2305">
                  <c:v>13.8</c:v>
                </c:pt>
                <c:pt idx="2306">
                  <c:v>16.5</c:v>
                </c:pt>
                <c:pt idx="2307">
                  <c:v>15.3</c:v>
                </c:pt>
                <c:pt idx="2308">
                  <c:v>13</c:v>
                </c:pt>
                <c:pt idx="2309">
                  <c:v>8.5</c:v>
                </c:pt>
                <c:pt idx="2310">
                  <c:v>10</c:v>
                </c:pt>
                <c:pt idx="2311">
                  <c:v>12.8</c:v>
                </c:pt>
                <c:pt idx="2312">
                  <c:v>17.2</c:v>
                </c:pt>
                <c:pt idx="2313">
                  <c:v>20</c:v>
                </c:pt>
                <c:pt idx="2314">
                  <c:v>10.1</c:v>
                </c:pt>
                <c:pt idx="2315">
                  <c:v>7</c:v>
                </c:pt>
                <c:pt idx="2316">
                  <c:v>12.6</c:v>
                </c:pt>
                <c:pt idx="2317">
                  <c:v>17</c:v>
                </c:pt>
                <c:pt idx="2318">
                  <c:v>16.899999999999999</c:v>
                </c:pt>
                <c:pt idx="2319">
                  <c:v>11.5</c:v>
                </c:pt>
                <c:pt idx="2320">
                  <c:v>15.8</c:v>
                </c:pt>
                <c:pt idx="2321">
                  <c:v>11.7</c:v>
                </c:pt>
                <c:pt idx="2322">
                  <c:v>11.8</c:v>
                </c:pt>
                <c:pt idx="2323">
                  <c:v>6.7</c:v>
                </c:pt>
                <c:pt idx="2324">
                  <c:v>12.1</c:v>
                </c:pt>
                <c:pt idx="2325">
                  <c:v>9.6</c:v>
                </c:pt>
                <c:pt idx="2326">
                  <c:v>10.3</c:v>
                </c:pt>
                <c:pt idx="2327">
                  <c:v>7.5</c:v>
                </c:pt>
                <c:pt idx="2328">
                  <c:v>10.6</c:v>
                </c:pt>
                <c:pt idx="2329">
                  <c:v>5.4</c:v>
                </c:pt>
                <c:pt idx="2330">
                  <c:v>2.6</c:v>
                </c:pt>
                <c:pt idx="2331">
                  <c:v>8.4</c:v>
                </c:pt>
                <c:pt idx="2332">
                  <c:v>10.9</c:v>
                </c:pt>
                <c:pt idx="2333">
                  <c:v>12.2</c:v>
                </c:pt>
                <c:pt idx="2334">
                  <c:v>15.2</c:v>
                </c:pt>
                <c:pt idx="2335">
                  <c:v>18.3</c:v>
                </c:pt>
                <c:pt idx="2336">
                  <c:v>22.1</c:v>
                </c:pt>
                <c:pt idx="2337">
                  <c:v>13.8</c:v>
                </c:pt>
                <c:pt idx="2338">
                  <c:v>19.600000000000001</c:v>
                </c:pt>
                <c:pt idx="2339">
                  <c:v>24.8</c:v>
                </c:pt>
                <c:pt idx="2340">
                  <c:v>15.9</c:v>
                </c:pt>
                <c:pt idx="2341">
                  <c:v>21.9</c:v>
                </c:pt>
                <c:pt idx="2342">
                  <c:v>22</c:v>
                </c:pt>
                <c:pt idx="2343">
                  <c:v>10.8</c:v>
                </c:pt>
                <c:pt idx="2344">
                  <c:v>13.9</c:v>
                </c:pt>
                <c:pt idx="2345">
                  <c:v>16.3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Graph!$G$5</c:f>
              <c:strCache>
                <c:ptCount val="1"/>
                <c:pt idx="0">
                  <c:v>Tmin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Graph!$C$7:$C$2562</c:f>
              <c:numCache>
                <c:formatCode>General</c:formatCode>
                <c:ptCount val="2556"/>
                <c:pt idx="0">
                  <c:v>-9.5</c:v>
                </c:pt>
                <c:pt idx="1">
                  <c:v>-9.6</c:v>
                </c:pt>
                <c:pt idx="2">
                  <c:v>-7.1</c:v>
                </c:pt>
                <c:pt idx="3">
                  <c:v>-9.9</c:v>
                </c:pt>
                <c:pt idx="4">
                  <c:v>-6.9</c:v>
                </c:pt>
                <c:pt idx="5">
                  <c:v>-14.2</c:v>
                </c:pt>
                <c:pt idx="6">
                  <c:v>-18.2</c:v>
                </c:pt>
                <c:pt idx="7">
                  <c:v>-19.100000000000001</c:v>
                </c:pt>
                <c:pt idx="8">
                  <c:v>-6.1</c:v>
                </c:pt>
                <c:pt idx="9">
                  <c:v>-3.7</c:v>
                </c:pt>
                <c:pt idx="10">
                  <c:v>-4.0999999999999996</c:v>
                </c:pt>
                <c:pt idx="11">
                  <c:v>-8.5</c:v>
                </c:pt>
                <c:pt idx="12">
                  <c:v>-10.5</c:v>
                </c:pt>
                <c:pt idx="13">
                  <c:v>-14</c:v>
                </c:pt>
                <c:pt idx="14">
                  <c:v>-12.4</c:v>
                </c:pt>
                <c:pt idx="15">
                  <c:v>-8.1999999999999993</c:v>
                </c:pt>
                <c:pt idx="16">
                  <c:v>-4.0999999999999996</c:v>
                </c:pt>
                <c:pt idx="17">
                  <c:v>-5.8</c:v>
                </c:pt>
                <c:pt idx="18">
                  <c:v>-9.1</c:v>
                </c:pt>
                <c:pt idx="19">
                  <c:v>-12.7</c:v>
                </c:pt>
                <c:pt idx="20">
                  <c:v>-15.7</c:v>
                </c:pt>
                <c:pt idx="21">
                  <c:v>-12.8</c:v>
                </c:pt>
                <c:pt idx="22">
                  <c:v>-10.4</c:v>
                </c:pt>
                <c:pt idx="23">
                  <c:v>-10.5</c:v>
                </c:pt>
                <c:pt idx="24">
                  <c:v>-8.9</c:v>
                </c:pt>
                <c:pt idx="25">
                  <c:v>-6.2</c:v>
                </c:pt>
                <c:pt idx="26">
                  <c:v>-12.6</c:v>
                </c:pt>
                <c:pt idx="27">
                  <c:v>-15.8</c:v>
                </c:pt>
                <c:pt idx="28">
                  <c:v>-17.899999999999999</c:v>
                </c:pt>
                <c:pt idx="29">
                  <c:v>-14.4</c:v>
                </c:pt>
                <c:pt idx="30">
                  <c:v>-5.2</c:v>
                </c:pt>
                <c:pt idx="31">
                  <c:v>-4.2</c:v>
                </c:pt>
                <c:pt idx="32">
                  <c:v>-11.2</c:v>
                </c:pt>
                <c:pt idx="33">
                  <c:v>-23.9</c:v>
                </c:pt>
                <c:pt idx="34">
                  <c:v>-24.8</c:v>
                </c:pt>
                <c:pt idx="35">
                  <c:v>-26.6</c:v>
                </c:pt>
                <c:pt idx="36">
                  <c:v>-23.8</c:v>
                </c:pt>
                <c:pt idx="37">
                  <c:v>-23.8</c:v>
                </c:pt>
                <c:pt idx="38">
                  <c:v>-16.7</c:v>
                </c:pt>
                <c:pt idx="39">
                  <c:v>-19.899999999999999</c:v>
                </c:pt>
                <c:pt idx="40">
                  <c:v>-26.2</c:v>
                </c:pt>
                <c:pt idx="41">
                  <c:v>-27.7</c:v>
                </c:pt>
                <c:pt idx="42">
                  <c:v>-17.899999999999999</c:v>
                </c:pt>
                <c:pt idx="43">
                  <c:v>-19.100000000000001</c:v>
                </c:pt>
                <c:pt idx="44">
                  <c:v>-14.8</c:v>
                </c:pt>
                <c:pt idx="45">
                  <c:v>-8.8000000000000007</c:v>
                </c:pt>
                <c:pt idx="46">
                  <c:v>-10.6</c:v>
                </c:pt>
                <c:pt idx="47">
                  <c:v>-16.7</c:v>
                </c:pt>
                <c:pt idx="48">
                  <c:v>-19.2</c:v>
                </c:pt>
                <c:pt idx="49">
                  <c:v>-12.9</c:v>
                </c:pt>
                <c:pt idx="50">
                  <c:v>-9.4</c:v>
                </c:pt>
                <c:pt idx="51">
                  <c:v>-17.2</c:v>
                </c:pt>
                <c:pt idx="52">
                  <c:v>-14.7</c:v>
                </c:pt>
                <c:pt idx="53">
                  <c:v>-12.3</c:v>
                </c:pt>
                <c:pt idx="54">
                  <c:v>-14</c:v>
                </c:pt>
                <c:pt idx="55">
                  <c:v>-16.7</c:v>
                </c:pt>
                <c:pt idx="56">
                  <c:v>-21.6</c:v>
                </c:pt>
                <c:pt idx="57">
                  <c:v>-19.399999999999999</c:v>
                </c:pt>
                <c:pt idx="58">
                  <c:v>-9.9</c:v>
                </c:pt>
                <c:pt idx="59">
                  <c:v>-11.5</c:v>
                </c:pt>
                <c:pt idx="60">
                  <c:v>-20.8</c:v>
                </c:pt>
                <c:pt idx="61">
                  <c:v>-24.7</c:v>
                </c:pt>
                <c:pt idx="62">
                  <c:v>-25.9</c:v>
                </c:pt>
                <c:pt idx="63">
                  <c:v>-20.399999999999999</c:v>
                </c:pt>
                <c:pt idx="64">
                  <c:v>-6.3</c:v>
                </c:pt>
                <c:pt idx="65">
                  <c:v>-15.2</c:v>
                </c:pt>
                <c:pt idx="66">
                  <c:v>-20.100000000000001</c:v>
                </c:pt>
                <c:pt idx="67">
                  <c:v>-17.5</c:v>
                </c:pt>
                <c:pt idx="68">
                  <c:v>-19.100000000000001</c:v>
                </c:pt>
                <c:pt idx="69">
                  <c:v>-10.7</c:v>
                </c:pt>
                <c:pt idx="70">
                  <c:v>-11.9</c:v>
                </c:pt>
                <c:pt idx="71">
                  <c:v>-14.8</c:v>
                </c:pt>
                <c:pt idx="72">
                  <c:v>-15.2</c:v>
                </c:pt>
                <c:pt idx="73">
                  <c:v>-6.9</c:v>
                </c:pt>
                <c:pt idx="74">
                  <c:v>-8.6999999999999993</c:v>
                </c:pt>
                <c:pt idx="75">
                  <c:v>-7.6</c:v>
                </c:pt>
                <c:pt idx="76">
                  <c:v>-6.1</c:v>
                </c:pt>
                <c:pt idx="77">
                  <c:v>-5.7</c:v>
                </c:pt>
                <c:pt idx="78">
                  <c:v>-2.5</c:v>
                </c:pt>
                <c:pt idx="79">
                  <c:v>-3.7</c:v>
                </c:pt>
                <c:pt idx="80">
                  <c:v>-3.2</c:v>
                </c:pt>
                <c:pt idx="81">
                  <c:v>-1.7</c:v>
                </c:pt>
                <c:pt idx="82">
                  <c:v>-1.2</c:v>
                </c:pt>
                <c:pt idx="83">
                  <c:v>0</c:v>
                </c:pt>
                <c:pt idx="84">
                  <c:v>-8</c:v>
                </c:pt>
                <c:pt idx="85">
                  <c:v>-9.6999999999999993</c:v>
                </c:pt>
                <c:pt idx="86">
                  <c:v>-6.8</c:v>
                </c:pt>
                <c:pt idx="87">
                  <c:v>-7</c:v>
                </c:pt>
                <c:pt idx="88">
                  <c:v>-6.8</c:v>
                </c:pt>
                <c:pt idx="89">
                  <c:v>-4.2</c:v>
                </c:pt>
                <c:pt idx="90">
                  <c:v>-6.5</c:v>
                </c:pt>
                <c:pt idx="91">
                  <c:v>-7.2</c:v>
                </c:pt>
                <c:pt idx="92">
                  <c:v>-2.4</c:v>
                </c:pt>
                <c:pt idx="93">
                  <c:v>-4.4000000000000004</c:v>
                </c:pt>
                <c:pt idx="94">
                  <c:v>-1.9</c:v>
                </c:pt>
                <c:pt idx="95">
                  <c:v>-6.6</c:v>
                </c:pt>
                <c:pt idx="96">
                  <c:v>-5</c:v>
                </c:pt>
                <c:pt idx="97">
                  <c:v>-6.6</c:v>
                </c:pt>
                <c:pt idx="98">
                  <c:v>-0.8</c:v>
                </c:pt>
                <c:pt idx="99">
                  <c:v>-3.2</c:v>
                </c:pt>
                <c:pt idx="100">
                  <c:v>-5.4</c:v>
                </c:pt>
                <c:pt idx="101">
                  <c:v>-6.1</c:v>
                </c:pt>
                <c:pt idx="102">
                  <c:v>-5.0999999999999996</c:v>
                </c:pt>
                <c:pt idx="103">
                  <c:v>-4.2</c:v>
                </c:pt>
                <c:pt idx="104">
                  <c:v>-9.1</c:v>
                </c:pt>
                <c:pt idx="105">
                  <c:v>-8.4</c:v>
                </c:pt>
                <c:pt idx="106">
                  <c:v>0.6</c:v>
                </c:pt>
                <c:pt idx="107">
                  <c:v>0.5</c:v>
                </c:pt>
                <c:pt idx="108">
                  <c:v>0.5</c:v>
                </c:pt>
                <c:pt idx="109">
                  <c:v>-5</c:v>
                </c:pt>
                <c:pt idx="110">
                  <c:v>-7.4</c:v>
                </c:pt>
                <c:pt idx="111">
                  <c:v>-3.6</c:v>
                </c:pt>
                <c:pt idx="112">
                  <c:v>-2.2999999999999998</c:v>
                </c:pt>
                <c:pt idx="113">
                  <c:v>-4.3</c:v>
                </c:pt>
                <c:pt idx="114">
                  <c:v>-6.9</c:v>
                </c:pt>
                <c:pt idx="115">
                  <c:v>-2.5</c:v>
                </c:pt>
                <c:pt idx="116">
                  <c:v>-4.0999999999999996</c:v>
                </c:pt>
                <c:pt idx="117">
                  <c:v>-6</c:v>
                </c:pt>
                <c:pt idx="118">
                  <c:v>-8.1999999999999993</c:v>
                </c:pt>
                <c:pt idx="119">
                  <c:v>-9.1</c:v>
                </c:pt>
                <c:pt idx="120">
                  <c:v>-2</c:v>
                </c:pt>
                <c:pt idx="121">
                  <c:v>-2.7</c:v>
                </c:pt>
                <c:pt idx="122">
                  <c:v>-3.2</c:v>
                </c:pt>
                <c:pt idx="123">
                  <c:v>-2.2999999999999998</c:v>
                </c:pt>
                <c:pt idx="124">
                  <c:v>-2.9</c:v>
                </c:pt>
                <c:pt idx="125">
                  <c:v>-2.4</c:v>
                </c:pt>
                <c:pt idx="126">
                  <c:v>-2.1</c:v>
                </c:pt>
                <c:pt idx="127">
                  <c:v>-1.4</c:v>
                </c:pt>
                <c:pt idx="128">
                  <c:v>-2.4</c:v>
                </c:pt>
                <c:pt idx="129">
                  <c:v>-0.9</c:v>
                </c:pt>
                <c:pt idx="130">
                  <c:v>0.4</c:v>
                </c:pt>
                <c:pt idx="131">
                  <c:v>2</c:v>
                </c:pt>
                <c:pt idx="132">
                  <c:v>-1.2</c:v>
                </c:pt>
                <c:pt idx="133">
                  <c:v>-1.4</c:v>
                </c:pt>
                <c:pt idx="134">
                  <c:v>-1.7</c:v>
                </c:pt>
                <c:pt idx="135">
                  <c:v>5.5</c:v>
                </c:pt>
                <c:pt idx="136">
                  <c:v>0.5</c:v>
                </c:pt>
                <c:pt idx="137">
                  <c:v>1.1000000000000001</c:v>
                </c:pt>
                <c:pt idx="138">
                  <c:v>2.8</c:v>
                </c:pt>
                <c:pt idx="139">
                  <c:v>2.2999999999999998</c:v>
                </c:pt>
                <c:pt idx="140">
                  <c:v>2.1</c:v>
                </c:pt>
                <c:pt idx="141">
                  <c:v>-0.8</c:v>
                </c:pt>
                <c:pt idx="142">
                  <c:v>0.6</c:v>
                </c:pt>
                <c:pt idx="143">
                  <c:v>0.6</c:v>
                </c:pt>
                <c:pt idx="144">
                  <c:v>3.9</c:v>
                </c:pt>
                <c:pt idx="145">
                  <c:v>1.8</c:v>
                </c:pt>
                <c:pt idx="146">
                  <c:v>-0.7</c:v>
                </c:pt>
                <c:pt idx="147">
                  <c:v>0.2</c:v>
                </c:pt>
                <c:pt idx="148">
                  <c:v>2.2000000000000002</c:v>
                </c:pt>
                <c:pt idx="149">
                  <c:v>3.9</c:v>
                </c:pt>
                <c:pt idx="150">
                  <c:v>3.5</c:v>
                </c:pt>
                <c:pt idx="151">
                  <c:v>3.7</c:v>
                </c:pt>
                <c:pt idx="152">
                  <c:v>2.6</c:v>
                </c:pt>
                <c:pt idx="153">
                  <c:v>1.3</c:v>
                </c:pt>
                <c:pt idx="154">
                  <c:v>-1.3</c:v>
                </c:pt>
                <c:pt idx="155">
                  <c:v>3.4</c:v>
                </c:pt>
                <c:pt idx="156">
                  <c:v>-0.6</c:v>
                </c:pt>
                <c:pt idx="157">
                  <c:v>-2.2999999999999998</c:v>
                </c:pt>
                <c:pt idx="158">
                  <c:v>-1.2</c:v>
                </c:pt>
                <c:pt idx="159">
                  <c:v>-1.7</c:v>
                </c:pt>
                <c:pt idx="160">
                  <c:v>0.4</c:v>
                </c:pt>
                <c:pt idx="161">
                  <c:v>4</c:v>
                </c:pt>
                <c:pt idx="162">
                  <c:v>3.2</c:v>
                </c:pt>
                <c:pt idx="163">
                  <c:v>7.3</c:v>
                </c:pt>
                <c:pt idx="164">
                  <c:v>3.7</c:v>
                </c:pt>
                <c:pt idx="165">
                  <c:v>4.9000000000000004</c:v>
                </c:pt>
                <c:pt idx="166">
                  <c:v>4</c:v>
                </c:pt>
                <c:pt idx="167">
                  <c:v>4.7</c:v>
                </c:pt>
                <c:pt idx="168">
                  <c:v>5.7</c:v>
                </c:pt>
                <c:pt idx="169">
                  <c:v>0.9</c:v>
                </c:pt>
                <c:pt idx="170">
                  <c:v>1.2</c:v>
                </c:pt>
                <c:pt idx="171">
                  <c:v>3.5</c:v>
                </c:pt>
                <c:pt idx="172">
                  <c:v>2.7</c:v>
                </c:pt>
                <c:pt idx="173">
                  <c:v>4.8</c:v>
                </c:pt>
                <c:pt idx="174">
                  <c:v>1.3</c:v>
                </c:pt>
                <c:pt idx="175">
                  <c:v>1</c:v>
                </c:pt>
                <c:pt idx="176">
                  <c:v>0.1</c:v>
                </c:pt>
                <c:pt idx="177">
                  <c:v>4.5</c:v>
                </c:pt>
                <c:pt idx="178">
                  <c:v>0.1</c:v>
                </c:pt>
                <c:pt idx="179">
                  <c:v>-1.1000000000000001</c:v>
                </c:pt>
                <c:pt idx="180">
                  <c:v>1</c:v>
                </c:pt>
                <c:pt idx="181">
                  <c:v>1.9</c:v>
                </c:pt>
                <c:pt idx="182">
                  <c:v>6.1</c:v>
                </c:pt>
                <c:pt idx="183">
                  <c:v>2</c:v>
                </c:pt>
                <c:pt idx="184">
                  <c:v>7.9</c:v>
                </c:pt>
                <c:pt idx="185">
                  <c:v>6.4</c:v>
                </c:pt>
                <c:pt idx="186">
                  <c:v>3.9</c:v>
                </c:pt>
                <c:pt idx="187">
                  <c:v>3.6</c:v>
                </c:pt>
                <c:pt idx="188">
                  <c:v>1.4</c:v>
                </c:pt>
                <c:pt idx="189">
                  <c:v>2.9</c:v>
                </c:pt>
                <c:pt idx="190">
                  <c:v>7.9</c:v>
                </c:pt>
                <c:pt idx="191">
                  <c:v>7.1</c:v>
                </c:pt>
                <c:pt idx="192">
                  <c:v>4.5</c:v>
                </c:pt>
                <c:pt idx="193">
                  <c:v>4.4000000000000004</c:v>
                </c:pt>
                <c:pt idx="194">
                  <c:v>4.7</c:v>
                </c:pt>
                <c:pt idx="195">
                  <c:v>4.2</c:v>
                </c:pt>
                <c:pt idx="196">
                  <c:v>3.1</c:v>
                </c:pt>
                <c:pt idx="197">
                  <c:v>6</c:v>
                </c:pt>
                <c:pt idx="198">
                  <c:v>2.2000000000000002</c:v>
                </c:pt>
                <c:pt idx="199">
                  <c:v>1.5</c:v>
                </c:pt>
                <c:pt idx="200">
                  <c:v>3.2</c:v>
                </c:pt>
                <c:pt idx="201">
                  <c:v>2</c:v>
                </c:pt>
                <c:pt idx="202">
                  <c:v>4.2</c:v>
                </c:pt>
                <c:pt idx="203">
                  <c:v>7.3</c:v>
                </c:pt>
                <c:pt idx="204">
                  <c:v>0.9</c:v>
                </c:pt>
                <c:pt idx="205">
                  <c:v>0.5</c:v>
                </c:pt>
                <c:pt idx="206">
                  <c:v>3.9</c:v>
                </c:pt>
                <c:pt idx="207">
                  <c:v>3.4</c:v>
                </c:pt>
                <c:pt idx="208">
                  <c:v>1.6</c:v>
                </c:pt>
                <c:pt idx="209">
                  <c:v>3.4</c:v>
                </c:pt>
                <c:pt idx="210">
                  <c:v>6.1</c:v>
                </c:pt>
                <c:pt idx="211">
                  <c:v>2.8</c:v>
                </c:pt>
                <c:pt idx="212">
                  <c:v>4.5999999999999996</c:v>
                </c:pt>
                <c:pt idx="213">
                  <c:v>7.7</c:v>
                </c:pt>
                <c:pt idx="214">
                  <c:v>1.6</c:v>
                </c:pt>
                <c:pt idx="215">
                  <c:v>1.6</c:v>
                </c:pt>
                <c:pt idx="216">
                  <c:v>3.4</c:v>
                </c:pt>
                <c:pt idx="217">
                  <c:v>5.8</c:v>
                </c:pt>
                <c:pt idx="218">
                  <c:v>4.7</c:v>
                </c:pt>
                <c:pt idx="219">
                  <c:v>8.6</c:v>
                </c:pt>
                <c:pt idx="220">
                  <c:v>8.6999999999999993</c:v>
                </c:pt>
                <c:pt idx="221">
                  <c:v>9</c:v>
                </c:pt>
                <c:pt idx="222">
                  <c:v>8.1</c:v>
                </c:pt>
                <c:pt idx="223">
                  <c:v>6.3</c:v>
                </c:pt>
                <c:pt idx="224">
                  <c:v>3.8</c:v>
                </c:pt>
                <c:pt idx="225">
                  <c:v>5</c:v>
                </c:pt>
                <c:pt idx="226">
                  <c:v>3.8</c:v>
                </c:pt>
                <c:pt idx="227">
                  <c:v>4.8</c:v>
                </c:pt>
                <c:pt idx="228">
                  <c:v>3.1</c:v>
                </c:pt>
                <c:pt idx="229">
                  <c:v>2</c:v>
                </c:pt>
                <c:pt idx="230">
                  <c:v>4.8</c:v>
                </c:pt>
                <c:pt idx="231">
                  <c:v>3.2</c:v>
                </c:pt>
                <c:pt idx="232">
                  <c:v>6.2</c:v>
                </c:pt>
                <c:pt idx="233">
                  <c:v>1.9</c:v>
                </c:pt>
                <c:pt idx="234">
                  <c:v>2.9</c:v>
                </c:pt>
                <c:pt idx="235">
                  <c:v>2.2999999999999998</c:v>
                </c:pt>
                <c:pt idx="236">
                  <c:v>1.8</c:v>
                </c:pt>
                <c:pt idx="237">
                  <c:v>0.5</c:v>
                </c:pt>
                <c:pt idx="238">
                  <c:v>1.2</c:v>
                </c:pt>
                <c:pt idx="239">
                  <c:v>3.9</c:v>
                </c:pt>
                <c:pt idx="240">
                  <c:v>3.4</c:v>
                </c:pt>
                <c:pt idx="241">
                  <c:v>7.7</c:v>
                </c:pt>
                <c:pt idx="242">
                  <c:v>7.9</c:v>
                </c:pt>
                <c:pt idx="243">
                  <c:v>5.8</c:v>
                </c:pt>
                <c:pt idx="244">
                  <c:v>4.3</c:v>
                </c:pt>
                <c:pt idx="245">
                  <c:v>3.2</c:v>
                </c:pt>
                <c:pt idx="246">
                  <c:v>3.9</c:v>
                </c:pt>
                <c:pt idx="247">
                  <c:v>2.9</c:v>
                </c:pt>
                <c:pt idx="248">
                  <c:v>6.8</c:v>
                </c:pt>
                <c:pt idx="249">
                  <c:v>4.8</c:v>
                </c:pt>
                <c:pt idx="250">
                  <c:v>7.2</c:v>
                </c:pt>
                <c:pt idx="251">
                  <c:v>4.7</c:v>
                </c:pt>
                <c:pt idx="252">
                  <c:v>3.9</c:v>
                </c:pt>
                <c:pt idx="253">
                  <c:v>5.5</c:v>
                </c:pt>
                <c:pt idx="254">
                  <c:v>3.6</c:v>
                </c:pt>
                <c:pt idx="255">
                  <c:v>5.4</c:v>
                </c:pt>
                <c:pt idx="256">
                  <c:v>6.3</c:v>
                </c:pt>
                <c:pt idx="257">
                  <c:v>5.0999999999999996</c:v>
                </c:pt>
                <c:pt idx="258">
                  <c:v>2.2000000000000002</c:v>
                </c:pt>
                <c:pt idx="259">
                  <c:v>3.3</c:v>
                </c:pt>
                <c:pt idx="260">
                  <c:v>3.6</c:v>
                </c:pt>
                <c:pt idx="261">
                  <c:v>1</c:v>
                </c:pt>
                <c:pt idx="262">
                  <c:v>-0.4</c:v>
                </c:pt>
                <c:pt idx="263">
                  <c:v>-0.8</c:v>
                </c:pt>
                <c:pt idx="264">
                  <c:v>1.2</c:v>
                </c:pt>
                <c:pt idx="265">
                  <c:v>4.4000000000000004</c:v>
                </c:pt>
                <c:pt idx="266">
                  <c:v>-1.5</c:v>
                </c:pt>
                <c:pt idx="267">
                  <c:v>-1.6</c:v>
                </c:pt>
                <c:pt idx="268">
                  <c:v>-1.3</c:v>
                </c:pt>
                <c:pt idx="269">
                  <c:v>-0.4</c:v>
                </c:pt>
                <c:pt idx="270">
                  <c:v>-3.4</c:v>
                </c:pt>
                <c:pt idx="271">
                  <c:v>-5.8</c:v>
                </c:pt>
                <c:pt idx="272">
                  <c:v>-5.2</c:v>
                </c:pt>
                <c:pt idx="273">
                  <c:v>-6.8</c:v>
                </c:pt>
                <c:pt idx="274">
                  <c:v>-3.1</c:v>
                </c:pt>
                <c:pt idx="275">
                  <c:v>-1.6</c:v>
                </c:pt>
                <c:pt idx="276">
                  <c:v>-2.1</c:v>
                </c:pt>
                <c:pt idx="277">
                  <c:v>-3.2</c:v>
                </c:pt>
                <c:pt idx="278">
                  <c:v>-5</c:v>
                </c:pt>
                <c:pt idx="279">
                  <c:v>1.2</c:v>
                </c:pt>
                <c:pt idx="280">
                  <c:v>-6.4</c:v>
                </c:pt>
                <c:pt idx="281">
                  <c:v>-12.5</c:v>
                </c:pt>
                <c:pt idx="282">
                  <c:v>-12.9</c:v>
                </c:pt>
                <c:pt idx="283">
                  <c:v>-10.6</c:v>
                </c:pt>
                <c:pt idx="284">
                  <c:v>-5.7</c:v>
                </c:pt>
                <c:pt idx="285">
                  <c:v>-0.4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0.3</c:v>
                </c:pt>
                <c:pt idx="289">
                  <c:v>0</c:v>
                </c:pt>
                <c:pt idx="290">
                  <c:v>-1.5</c:v>
                </c:pt>
                <c:pt idx="291">
                  <c:v>-5.3</c:v>
                </c:pt>
                <c:pt idx="292">
                  <c:v>-2.2999999999999998</c:v>
                </c:pt>
                <c:pt idx="293">
                  <c:v>-2</c:v>
                </c:pt>
                <c:pt idx="294">
                  <c:v>-0.2</c:v>
                </c:pt>
                <c:pt idx="295">
                  <c:v>-3.3</c:v>
                </c:pt>
                <c:pt idx="296">
                  <c:v>-1.8</c:v>
                </c:pt>
                <c:pt idx="297">
                  <c:v>-2.1</c:v>
                </c:pt>
                <c:pt idx="298">
                  <c:v>-6.5</c:v>
                </c:pt>
                <c:pt idx="299">
                  <c:v>-8.6</c:v>
                </c:pt>
                <c:pt idx="300">
                  <c:v>-15</c:v>
                </c:pt>
                <c:pt idx="301">
                  <c:v>-19.5</c:v>
                </c:pt>
                <c:pt idx="302">
                  <c:v>-14</c:v>
                </c:pt>
                <c:pt idx="303">
                  <c:v>-9.8000000000000007</c:v>
                </c:pt>
                <c:pt idx="304">
                  <c:v>-11.6</c:v>
                </c:pt>
                <c:pt idx="305">
                  <c:v>-2</c:v>
                </c:pt>
                <c:pt idx="306">
                  <c:v>-0.3</c:v>
                </c:pt>
                <c:pt idx="307">
                  <c:v>-3</c:v>
                </c:pt>
                <c:pt idx="308">
                  <c:v>-3.8</c:v>
                </c:pt>
                <c:pt idx="309">
                  <c:v>-6</c:v>
                </c:pt>
                <c:pt idx="310">
                  <c:v>-6.3</c:v>
                </c:pt>
                <c:pt idx="311">
                  <c:v>-1.6</c:v>
                </c:pt>
                <c:pt idx="312">
                  <c:v>0.1</c:v>
                </c:pt>
                <c:pt idx="313">
                  <c:v>-8.1999999999999993</c:v>
                </c:pt>
                <c:pt idx="314">
                  <c:v>-9</c:v>
                </c:pt>
                <c:pt idx="315">
                  <c:v>-2.5</c:v>
                </c:pt>
                <c:pt idx="316">
                  <c:v>-3.7</c:v>
                </c:pt>
                <c:pt idx="317">
                  <c:v>-3.3</c:v>
                </c:pt>
                <c:pt idx="318">
                  <c:v>-0.8</c:v>
                </c:pt>
                <c:pt idx="319">
                  <c:v>-3.1</c:v>
                </c:pt>
                <c:pt idx="320">
                  <c:v>-1.4</c:v>
                </c:pt>
                <c:pt idx="321">
                  <c:v>-1.8</c:v>
                </c:pt>
                <c:pt idx="322">
                  <c:v>-4.5999999999999996</c:v>
                </c:pt>
                <c:pt idx="323">
                  <c:v>-11.8</c:v>
                </c:pt>
                <c:pt idx="324">
                  <c:v>-11.2</c:v>
                </c:pt>
                <c:pt idx="325">
                  <c:v>-9.9</c:v>
                </c:pt>
                <c:pt idx="326">
                  <c:v>-5.3</c:v>
                </c:pt>
                <c:pt idx="327">
                  <c:v>-4.4000000000000004</c:v>
                </c:pt>
                <c:pt idx="328">
                  <c:v>-14.8</c:v>
                </c:pt>
                <c:pt idx="329">
                  <c:v>-18</c:v>
                </c:pt>
                <c:pt idx="330">
                  <c:v>-14.7</c:v>
                </c:pt>
                <c:pt idx="331">
                  <c:v>-19.3</c:v>
                </c:pt>
                <c:pt idx="332">
                  <c:v>-19.600000000000001</c:v>
                </c:pt>
                <c:pt idx="333">
                  <c:v>-16.100000000000001</c:v>
                </c:pt>
                <c:pt idx="334">
                  <c:v>-14.1</c:v>
                </c:pt>
                <c:pt idx="335">
                  <c:v>-7.7</c:v>
                </c:pt>
                <c:pt idx="336">
                  <c:v>-2.2000000000000002</c:v>
                </c:pt>
                <c:pt idx="337">
                  <c:v>-9.6</c:v>
                </c:pt>
                <c:pt idx="338">
                  <c:v>-12.5</c:v>
                </c:pt>
                <c:pt idx="339">
                  <c:v>-2.9</c:v>
                </c:pt>
                <c:pt idx="340">
                  <c:v>-1.9</c:v>
                </c:pt>
                <c:pt idx="341">
                  <c:v>-11.5</c:v>
                </c:pt>
                <c:pt idx="342">
                  <c:v>-12.3</c:v>
                </c:pt>
                <c:pt idx="343">
                  <c:v>-9.4</c:v>
                </c:pt>
                <c:pt idx="344">
                  <c:v>-8</c:v>
                </c:pt>
                <c:pt idx="345">
                  <c:v>-9.3000000000000007</c:v>
                </c:pt>
                <c:pt idx="346">
                  <c:v>-7.7</c:v>
                </c:pt>
                <c:pt idx="347">
                  <c:v>-9.4</c:v>
                </c:pt>
                <c:pt idx="348">
                  <c:v>-15.3</c:v>
                </c:pt>
                <c:pt idx="349">
                  <c:v>-18.100000000000001</c:v>
                </c:pt>
                <c:pt idx="350">
                  <c:v>-8.1999999999999993</c:v>
                </c:pt>
                <c:pt idx="351">
                  <c:v>-7.8</c:v>
                </c:pt>
                <c:pt idx="352">
                  <c:v>-8</c:v>
                </c:pt>
                <c:pt idx="353">
                  <c:v>-4.0999999999999996</c:v>
                </c:pt>
                <c:pt idx="354">
                  <c:v>-4.9000000000000004</c:v>
                </c:pt>
                <c:pt idx="355">
                  <c:v>-11.3</c:v>
                </c:pt>
                <c:pt idx="356">
                  <c:v>-9.6</c:v>
                </c:pt>
                <c:pt idx="357">
                  <c:v>-13.9</c:v>
                </c:pt>
                <c:pt idx="358">
                  <c:v>-18.5</c:v>
                </c:pt>
                <c:pt idx="359">
                  <c:v>-19</c:v>
                </c:pt>
                <c:pt idx="360">
                  <c:v>-11.1</c:v>
                </c:pt>
                <c:pt idx="361">
                  <c:v>-14.7</c:v>
                </c:pt>
                <c:pt idx="362">
                  <c:v>-10.9</c:v>
                </c:pt>
                <c:pt idx="363">
                  <c:v>-10.5</c:v>
                </c:pt>
                <c:pt idx="364">
                  <c:v>-6.2</c:v>
                </c:pt>
                <c:pt idx="365">
                  <c:v>-2.7</c:v>
                </c:pt>
                <c:pt idx="366">
                  <c:v>-7.1</c:v>
                </c:pt>
                <c:pt idx="367">
                  <c:v>-5.0999999999999996</c:v>
                </c:pt>
                <c:pt idx="368">
                  <c:v>-7</c:v>
                </c:pt>
                <c:pt idx="369">
                  <c:v>-7.2</c:v>
                </c:pt>
                <c:pt idx="370">
                  <c:v>-7.6</c:v>
                </c:pt>
                <c:pt idx="371">
                  <c:v>-3.8</c:v>
                </c:pt>
                <c:pt idx="372">
                  <c:v>-18.3</c:v>
                </c:pt>
                <c:pt idx="373">
                  <c:v>-20.100000000000001</c:v>
                </c:pt>
                <c:pt idx="374">
                  <c:v>-15.1</c:v>
                </c:pt>
                <c:pt idx="375">
                  <c:v>-7.7</c:v>
                </c:pt>
                <c:pt idx="376">
                  <c:v>-23.8</c:v>
                </c:pt>
                <c:pt idx="377">
                  <c:v>-26.7</c:v>
                </c:pt>
                <c:pt idx="378">
                  <c:v>-26.3</c:v>
                </c:pt>
                <c:pt idx="379">
                  <c:v>-23.4</c:v>
                </c:pt>
                <c:pt idx="380">
                  <c:v>-17.3</c:v>
                </c:pt>
                <c:pt idx="381">
                  <c:v>-18.3</c:v>
                </c:pt>
                <c:pt idx="382">
                  <c:v>-12.5</c:v>
                </c:pt>
                <c:pt idx="383">
                  <c:v>-7.4</c:v>
                </c:pt>
                <c:pt idx="384">
                  <c:v>-3.1</c:v>
                </c:pt>
                <c:pt idx="385">
                  <c:v>-4.2</c:v>
                </c:pt>
                <c:pt idx="386">
                  <c:v>-4.7</c:v>
                </c:pt>
                <c:pt idx="387">
                  <c:v>-3.8</c:v>
                </c:pt>
                <c:pt idx="388">
                  <c:v>-6.2</c:v>
                </c:pt>
                <c:pt idx="389">
                  <c:v>-10.4</c:v>
                </c:pt>
                <c:pt idx="390">
                  <c:v>-3.6</c:v>
                </c:pt>
                <c:pt idx="391">
                  <c:v>-4.5999999999999996</c:v>
                </c:pt>
                <c:pt idx="392">
                  <c:v>-10</c:v>
                </c:pt>
                <c:pt idx="393">
                  <c:v>-10.1</c:v>
                </c:pt>
                <c:pt idx="394">
                  <c:v>-13.2</c:v>
                </c:pt>
                <c:pt idx="395">
                  <c:v>-3</c:v>
                </c:pt>
                <c:pt idx="396">
                  <c:v>-11</c:v>
                </c:pt>
                <c:pt idx="397">
                  <c:v>-17.2</c:v>
                </c:pt>
                <c:pt idx="398">
                  <c:v>-21.8</c:v>
                </c:pt>
                <c:pt idx="399">
                  <c:v>-21.2</c:v>
                </c:pt>
                <c:pt idx="400">
                  <c:v>-8.1999999999999993</c:v>
                </c:pt>
                <c:pt idx="401">
                  <c:v>-4.8</c:v>
                </c:pt>
                <c:pt idx="402">
                  <c:v>-7.5</c:v>
                </c:pt>
                <c:pt idx="403">
                  <c:v>-7.8</c:v>
                </c:pt>
                <c:pt idx="404">
                  <c:v>-14.6</c:v>
                </c:pt>
                <c:pt idx="405">
                  <c:v>-9.1999999999999993</c:v>
                </c:pt>
                <c:pt idx="406">
                  <c:v>-5.5</c:v>
                </c:pt>
                <c:pt idx="407">
                  <c:v>-10.3</c:v>
                </c:pt>
                <c:pt idx="408">
                  <c:v>-10.3</c:v>
                </c:pt>
                <c:pt idx="409">
                  <c:v>-6.1</c:v>
                </c:pt>
                <c:pt idx="410">
                  <c:v>-6.2</c:v>
                </c:pt>
                <c:pt idx="411">
                  <c:v>-6.9</c:v>
                </c:pt>
                <c:pt idx="412">
                  <c:v>-10</c:v>
                </c:pt>
                <c:pt idx="413">
                  <c:v>-16.899999999999999</c:v>
                </c:pt>
                <c:pt idx="414">
                  <c:v>-18.7</c:v>
                </c:pt>
                <c:pt idx="415">
                  <c:v>-15.1</c:v>
                </c:pt>
                <c:pt idx="416">
                  <c:v>-15.6</c:v>
                </c:pt>
                <c:pt idx="417">
                  <c:v>-10.5</c:v>
                </c:pt>
                <c:pt idx="418">
                  <c:v>-8.4</c:v>
                </c:pt>
                <c:pt idx="419">
                  <c:v>-14.2</c:v>
                </c:pt>
                <c:pt idx="420">
                  <c:v>-15.7</c:v>
                </c:pt>
                <c:pt idx="421">
                  <c:v>-7.1</c:v>
                </c:pt>
                <c:pt idx="422">
                  <c:v>-6</c:v>
                </c:pt>
                <c:pt idx="423">
                  <c:v>-7.6</c:v>
                </c:pt>
                <c:pt idx="424">
                  <c:v>-6.5</c:v>
                </c:pt>
                <c:pt idx="425">
                  <c:v>-13.5</c:v>
                </c:pt>
                <c:pt idx="426">
                  <c:v>-3.6</c:v>
                </c:pt>
                <c:pt idx="427">
                  <c:v>-4.9000000000000004</c:v>
                </c:pt>
                <c:pt idx="428">
                  <c:v>-12.6</c:v>
                </c:pt>
                <c:pt idx="429">
                  <c:v>-6.3</c:v>
                </c:pt>
                <c:pt idx="430">
                  <c:v>-6.5</c:v>
                </c:pt>
                <c:pt idx="431">
                  <c:v>-11.8</c:v>
                </c:pt>
                <c:pt idx="432">
                  <c:v>-16.8</c:v>
                </c:pt>
                <c:pt idx="433">
                  <c:v>-19.7</c:v>
                </c:pt>
                <c:pt idx="434">
                  <c:v>-17.2</c:v>
                </c:pt>
                <c:pt idx="435">
                  <c:v>-13.1</c:v>
                </c:pt>
                <c:pt idx="436">
                  <c:v>-15.9</c:v>
                </c:pt>
                <c:pt idx="437">
                  <c:v>-12.6</c:v>
                </c:pt>
                <c:pt idx="438">
                  <c:v>-16.899999999999999</c:v>
                </c:pt>
                <c:pt idx="439">
                  <c:v>-17.5</c:v>
                </c:pt>
                <c:pt idx="440">
                  <c:v>-12.5</c:v>
                </c:pt>
                <c:pt idx="441">
                  <c:v>-11.3</c:v>
                </c:pt>
                <c:pt idx="442">
                  <c:v>-11.9</c:v>
                </c:pt>
                <c:pt idx="443">
                  <c:v>-14.2</c:v>
                </c:pt>
                <c:pt idx="444">
                  <c:v>-10.4</c:v>
                </c:pt>
                <c:pt idx="445">
                  <c:v>-10.1</c:v>
                </c:pt>
                <c:pt idx="446">
                  <c:v>-11.4</c:v>
                </c:pt>
                <c:pt idx="447">
                  <c:v>-11.3</c:v>
                </c:pt>
                <c:pt idx="448">
                  <c:v>-12.6</c:v>
                </c:pt>
                <c:pt idx="449">
                  <c:v>-13</c:v>
                </c:pt>
                <c:pt idx="450">
                  <c:v>-13.3</c:v>
                </c:pt>
                <c:pt idx="451">
                  <c:v>-4</c:v>
                </c:pt>
                <c:pt idx="452">
                  <c:v>-2.9</c:v>
                </c:pt>
                <c:pt idx="453">
                  <c:v>-2.6</c:v>
                </c:pt>
                <c:pt idx="454">
                  <c:v>-7.8</c:v>
                </c:pt>
                <c:pt idx="455">
                  <c:v>-10.7</c:v>
                </c:pt>
                <c:pt idx="456">
                  <c:v>-17.899999999999999</c:v>
                </c:pt>
                <c:pt idx="457">
                  <c:v>-21.8</c:v>
                </c:pt>
                <c:pt idx="458">
                  <c:v>-16.7</c:v>
                </c:pt>
                <c:pt idx="459">
                  <c:v>-16.7</c:v>
                </c:pt>
                <c:pt idx="460">
                  <c:v>-13.2</c:v>
                </c:pt>
                <c:pt idx="461">
                  <c:v>-13</c:v>
                </c:pt>
                <c:pt idx="462">
                  <c:v>-2.8</c:v>
                </c:pt>
                <c:pt idx="463">
                  <c:v>-8.5</c:v>
                </c:pt>
                <c:pt idx="464">
                  <c:v>-5.3</c:v>
                </c:pt>
                <c:pt idx="465">
                  <c:v>-2.8</c:v>
                </c:pt>
                <c:pt idx="466">
                  <c:v>-11.4</c:v>
                </c:pt>
                <c:pt idx="467">
                  <c:v>-15.1</c:v>
                </c:pt>
                <c:pt idx="468">
                  <c:v>-14.9</c:v>
                </c:pt>
                <c:pt idx="469">
                  <c:v>-0.8</c:v>
                </c:pt>
                <c:pt idx="470">
                  <c:v>-5.9</c:v>
                </c:pt>
                <c:pt idx="471">
                  <c:v>-9.1999999999999993</c:v>
                </c:pt>
                <c:pt idx="472">
                  <c:v>-5.9</c:v>
                </c:pt>
                <c:pt idx="473">
                  <c:v>-2.7</c:v>
                </c:pt>
                <c:pt idx="474">
                  <c:v>-2.5</c:v>
                </c:pt>
                <c:pt idx="475">
                  <c:v>-3.7</c:v>
                </c:pt>
                <c:pt idx="476">
                  <c:v>-2.2000000000000002</c:v>
                </c:pt>
                <c:pt idx="477">
                  <c:v>-2.2999999999999998</c:v>
                </c:pt>
                <c:pt idx="478">
                  <c:v>-1.8</c:v>
                </c:pt>
                <c:pt idx="479">
                  <c:v>-4.8</c:v>
                </c:pt>
                <c:pt idx="480">
                  <c:v>-2.2999999999999998</c:v>
                </c:pt>
                <c:pt idx="481">
                  <c:v>-3</c:v>
                </c:pt>
                <c:pt idx="482">
                  <c:v>-0.5</c:v>
                </c:pt>
                <c:pt idx="483">
                  <c:v>-5.4</c:v>
                </c:pt>
                <c:pt idx="484">
                  <c:v>-0.6</c:v>
                </c:pt>
                <c:pt idx="485">
                  <c:v>-3.2</c:v>
                </c:pt>
                <c:pt idx="486">
                  <c:v>-5.4</c:v>
                </c:pt>
                <c:pt idx="487">
                  <c:v>-2.4</c:v>
                </c:pt>
                <c:pt idx="488">
                  <c:v>-3.2</c:v>
                </c:pt>
                <c:pt idx="489">
                  <c:v>-7</c:v>
                </c:pt>
                <c:pt idx="490">
                  <c:v>-1.9</c:v>
                </c:pt>
                <c:pt idx="491">
                  <c:v>-0.6</c:v>
                </c:pt>
                <c:pt idx="492">
                  <c:v>-2.1</c:v>
                </c:pt>
                <c:pt idx="493">
                  <c:v>-3.5</c:v>
                </c:pt>
                <c:pt idx="494">
                  <c:v>-1.2</c:v>
                </c:pt>
                <c:pt idx="495">
                  <c:v>-0.9</c:v>
                </c:pt>
                <c:pt idx="496">
                  <c:v>1.6</c:v>
                </c:pt>
                <c:pt idx="497">
                  <c:v>1.1000000000000001</c:v>
                </c:pt>
                <c:pt idx="498">
                  <c:v>-0.6</c:v>
                </c:pt>
                <c:pt idx="499">
                  <c:v>-0.6</c:v>
                </c:pt>
                <c:pt idx="500">
                  <c:v>-1.6</c:v>
                </c:pt>
                <c:pt idx="501">
                  <c:v>0.2</c:v>
                </c:pt>
                <c:pt idx="502">
                  <c:v>2.2999999999999998</c:v>
                </c:pt>
                <c:pt idx="503">
                  <c:v>-0.5</c:v>
                </c:pt>
                <c:pt idx="504">
                  <c:v>-1.2</c:v>
                </c:pt>
                <c:pt idx="505">
                  <c:v>-0.5</c:v>
                </c:pt>
                <c:pt idx="506">
                  <c:v>0</c:v>
                </c:pt>
                <c:pt idx="507">
                  <c:v>-0.2</c:v>
                </c:pt>
                <c:pt idx="508">
                  <c:v>-0.9</c:v>
                </c:pt>
                <c:pt idx="509">
                  <c:v>-1.5</c:v>
                </c:pt>
                <c:pt idx="510">
                  <c:v>0.9</c:v>
                </c:pt>
                <c:pt idx="511">
                  <c:v>1.2</c:v>
                </c:pt>
                <c:pt idx="512">
                  <c:v>-1.1000000000000001</c:v>
                </c:pt>
                <c:pt idx="513">
                  <c:v>-0.4</c:v>
                </c:pt>
                <c:pt idx="514">
                  <c:v>1.8</c:v>
                </c:pt>
                <c:pt idx="515">
                  <c:v>3.8</c:v>
                </c:pt>
                <c:pt idx="516">
                  <c:v>-1.1000000000000001</c:v>
                </c:pt>
                <c:pt idx="517">
                  <c:v>-0.9</c:v>
                </c:pt>
                <c:pt idx="518">
                  <c:v>-2.2000000000000002</c:v>
                </c:pt>
                <c:pt idx="519">
                  <c:v>-1.9</c:v>
                </c:pt>
                <c:pt idx="520">
                  <c:v>-2.2999999999999998</c:v>
                </c:pt>
                <c:pt idx="521">
                  <c:v>-0.6</c:v>
                </c:pt>
                <c:pt idx="522">
                  <c:v>0.6</c:v>
                </c:pt>
                <c:pt idx="523">
                  <c:v>2.1</c:v>
                </c:pt>
                <c:pt idx="524">
                  <c:v>-2.4</c:v>
                </c:pt>
                <c:pt idx="525">
                  <c:v>-3.7</c:v>
                </c:pt>
                <c:pt idx="526">
                  <c:v>2.8</c:v>
                </c:pt>
                <c:pt idx="527">
                  <c:v>1.4</c:v>
                </c:pt>
                <c:pt idx="528">
                  <c:v>5.2</c:v>
                </c:pt>
                <c:pt idx="529">
                  <c:v>2</c:v>
                </c:pt>
                <c:pt idx="530">
                  <c:v>-0.7</c:v>
                </c:pt>
                <c:pt idx="531">
                  <c:v>-0.7</c:v>
                </c:pt>
                <c:pt idx="532">
                  <c:v>1.8</c:v>
                </c:pt>
                <c:pt idx="533">
                  <c:v>0.9</c:v>
                </c:pt>
                <c:pt idx="534">
                  <c:v>0.9</c:v>
                </c:pt>
                <c:pt idx="535">
                  <c:v>2.9</c:v>
                </c:pt>
                <c:pt idx="536">
                  <c:v>8.4</c:v>
                </c:pt>
                <c:pt idx="537">
                  <c:v>4.8</c:v>
                </c:pt>
                <c:pt idx="538">
                  <c:v>0.9</c:v>
                </c:pt>
                <c:pt idx="539">
                  <c:v>6.1</c:v>
                </c:pt>
                <c:pt idx="540">
                  <c:v>6.7</c:v>
                </c:pt>
                <c:pt idx="541">
                  <c:v>5.5</c:v>
                </c:pt>
                <c:pt idx="542">
                  <c:v>7</c:v>
                </c:pt>
                <c:pt idx="543">
                  <c:v>4.5999999999999996</c:v>
                </c:pt>
                <c:pt idx="544">
                  <c:v>4.2</c:v>
                </c:pt>
                <c:pt idx="545">
                  <c:v>3.9</c:v>
                </c:pt>
                <c:pt idx="546">
                  <c:v>4.7</c:v>
                </c:pt>
                <c:pt idx="547">
                  <c:v>3.7</c:v>
                </c:pt>
                <c:pt idx="548">
                  <c:v>3.8</c:v>
                </c:pt>
                <c:pt idx="549">
                  <c:v>0.5</c:v>
                </c:pt>
                <c:pt idx="550">
                  <c:v>2.4</c:v>
                </c:pt>
                <c:pt idx="551">
                  <c:v>1.7</c:v>
                </c:pt>
                <c:pt idx="552">
                  <c:v>4</c:v>
                </c:pt>
                <c:pt idx="553">
                  <c:v>2.1</c:v>
                </c:pt>
                <c:pt idx="554">
                  <c:v>2.2999999999999998</c:v>
                </c:pt>
                <c:pt idx="555">
                  <c:v>3.4</c:v>
                </c:pt>
                <c:pt idx="556">
                  <c:v>3.6</c:v>
                </c:pt>
                <c:pt idx="557">
                  <c:v>3.6</c:v>
                </c:pt>
                <c:pt idx="558">
                  <c:v>-0.1</c:v>
                </c:pt>
                <c:pt idx="559">
                  <c:v>-0.8</c:v>
                </c:pt>
                <c:pt idx="560">
                  <c:v>0</c:v>
                </c:pt>
                <c:pt idx="561">
                  <c:v>3.5</c:v>
                </c:pt>
                <c:pt idx="562">
                  <c:v>4.5999999999999996</c:v>
                </c:pt>
                <c:pt idx="563">
                  <c:v>6.1</c:v>
                </c:pt>
                <c:pt idx="564">
                  <c:v>3.7</c:v>
                </c:pt>
                <c:pt idx="565">
                  <c:v>5.9</c:v>
                </c:pt>
                <c:pt idx="566">
                  <c:v>4.7</c:v>
                </c:pt>
                <c:pt idx="567">
                  <c:v>7</c:v>
                </c:pt>
                <c:pt idx="568">
                  <c:v>10.4</c:v>
                </c:pt>
                <c:pt idx="569">
                  <c:v>7.9</c:v>
                </c:pt>
                <c:pt idx="570">
                  <c:v>2.9</c:v>
                </c:pt>
                <c:pt idx="571">
                  <c:v>0.6</c:v>
                </c:pt>
                <c:pt idx="572">
                  <c:v>2.8</c:v>
                </c:pt>
                <c:pt idx="573">
                  <c:v>5.7</c:v>
                </c:pt>
                <c:pt idx="574">
                  <c:v>7.8</c:v>
                </c:pt>
                <c:pt idx="575">
                  <c:v>5.9</c:v>
                </c:pt>
                <c:pt idx="576">
                  <c:v>7.7</c:v>
                </c:pt>
                <c:pt idx="577">
                  <c:v>10.199999999999999</c:v>
                </c:pt>
                <c:pt idx="578">
                  <c:v>9.8000000000000007</c:v>
                </c:pt>
                <c:pt idx="579">
                  <c:v>7.4</c:v>
                </c:pt>
                <c:pt idx="580">
                  <c:v>5.4</c:v>
                </c:pt>
                <c:pt idx="581">
                  <c:v>2.7</c:v>
                </c:pt>
                <c:pt idx="582">
                  <c:v>5</c:v>
                </c:pt>
                <c:pt idx="583">
                  <c:v>3.9</c:v>
                </c:pt>
                <c:pt idx="584">
                  <c:v>4.2</c:v>
                </c:pt>
                <c:pt idx="585">
                  <c:v>5.7</c:v>
                </c:pt>
                <c:pt idx="586">
                  <c:v>1.8</c:v>
                </c:pt>
                <c:pt idx="587">
                  <c:v>3.4</c:v>
                </c:pt>
                <c:pt idx="588">
                  <c:v>1.8</c:v>
                </c:pt>
                <c:pt idx="589">
                  <c:v>-1.7</c:v>
                </c:pt>
                <c:pt idx="590">
                  <c:v>-1.1000000000000001</c:v>
                </c:pt>
                <c:pt idx="591">
                  <c:v>-1.1000000000000001</c:v>
                </c:pt>
                <c:pt idx="592">
                  <c:v>3.6</c:v>
                </c:pt>
                <c:pt idx="593">
                  <c:v>7.5</c:v>
                </c:pt>
                <c:pt idx="594">
                  <c:v>9.9</c:v>
                </c:pt>
                <c:pt idx="595">
                  <c:v>7.2</c:v>
                </c:pt>
                <c:pt idx="596">
                  <c:v>4.7</c:v>
                </c:pt>
                <c:pt idx="597">
                  <c:v>8.4</c:v>
                </c:pt>
                <c:pt idx="598">
                  <c:v>6.9</c:v>
                </c:pt>
                <c:pt idx="599">
                  <c:v>3.2</c:v>
                </c:pt>
                <c:pt idx="600">
                  <c:v>1.2</c:v>
                </c:pt>
                <c:pt idx="601">
                  <c:v>3.7</c:v>
                </c:pt>
                <c:pt idx="602">
                  <c:v>-0.1</c:v>
                </c:pt>
                <c:pt idx="603">
                  <c:v>-1</c:v>
                </c:pt>
                <c:pt idx="604">
                  <c:v>-0.9</c:v>
                </c:pt>
                <c:pt idx="605">
                  <c:v>1.4</c:v>
                </c:pt>
                <c:pt idx="606">
                  <c:v>3.2</c:v>
                </c:pt>
                <c:pt idx="607">
                  <c:v>1.7</c:v>
                </c:pt>
                <c:pt idx="608">
                  <c:v>4</c:v>
                </c:pt>
                <c:pt idx="609">
                  <c:v>6.3</c:v>
                </c:pt>
                <c:pt idx="610">
                  <c:v>3.2</c:v>
                </c:pt>
                <c:pt idx="611">
                  <c:v>2.1</c:v>
                </c:pt>
                <c:pt idx="612">
                  <c:v>4.5</c:v>
                </c:pt>
                <c:pt idx="613">
                  <c:v>6.5</c:v>
                </c:pt>
                <c:pt idx="614">
                  <c:v>4.3</c:v>
                </c:pt>
                <c:pt idx="615">
                  <c:v>-1</c:v>
                </c:pt>
                <c:pt idx="616">
                  <c:v>-3</c:v>
                </c:pt>
                <c:pt idx="617">
                  <c:v>0.5</c:v>
                </c:pt>
                <c:pt idx="618">
                  <c:v>2.2999999999999998</c:v>
                </c:pt>
                <c:pt idx="619">
                  <c:v>3.6</c:v>
                </c:pt>
                <c:pt idx="620">
                  <c:v>3.5</c:v>
                </c:pt>
                <c:pt idx="621">
                  <c:v>2.8</c:v>
                </c:pt>
                <c:pt idx="622">
                  <c:v>5.4</c:v>
                </c:pt>
                <c:pt idx="623">
                  <c:v>3.8</c:v>
                </c:pt>
                <c:pt idx="624">
                  <c:v>6.4</c:v>
                </c:pt>
                <c:pt idx="625">
                  <c:v>4.9000000000000004</c:v>
                </c:pt>
                <c:pt idx="626">
                  <c:v>3.3</c:v>
                </c:pt>
                <c:pt idx="627">
                  <c:v>6.1</c:v>
                </c:pt>
                <c:pt idx="628">
                  <c:v>0.8</c:v>
                </c:pt>
                <c:pt idx="629">
                  <c:v>-0.6</c:v>
                </c:pt>
                <c:pt idx="630">
                  <c:v>0.9</c:v>
                </c:pt>
                <c:pt idx="631">
                  <c:v>3.8</c:v>
                </c:pt>
                <c:pt idx="632">
                  <c:v>0.2</c:v>
                </c:pt>
                <c:pt idx="633">
                  <c:v>0.5</c:v>
                </c:pt>
                <c:pt idx="634">
                  <c:v>0.8</c:v>
                </c:pt>
                <c:pt idx="635">
                  <c:v>-2.4</c:v>
                </c:pt>
                <c:pt idx="636">
                  <c:v>-0.2</c:v>
                </c:pt>
                <c:pt idx="637">
                  <c:v>1.5</c:v>
                </c:pt>
                <c:pt idx="638">
                  <c:v>1.8</c:v>
                </c:pt>
                <c:pt idx="639">
                  <c:v>3.6</c:v>
                </c:pt>
                <c:pt idx="640">
                  <c:v>2.7</c:v>
                </c:pt>
                <c:pt idx="641">
                  <c:v>3.2</c:v>
                </c:pt>
                <c:pt idx="642">
                  <c:v>0.9</c:v>
                </c:pt>
                <c:pt idx="643">
                  <c:v>0.1</c:v>
                </c:pt>
                <c:pt idx="644">
                  <c:v>5.4</c:v>
                </c:pt>
                <c:pt idx="645">
                  <c:v>2.1</c:v>
                </c:pt>
                <c:pt idx="646">
                  <c:v>1.8</c:v>
                </c:pt>
                <c:pt idx="647">
                  <c:v>2.1</c:v>
                </c:pt>
                <c:pt idx="648">
                  <c:v>0.7</c:v>
                </c:pt>
                <c:pt idx="649">
                  <c:v>-0.7</c:v>
                </c:pt>
                <c:pt idx="650">
                  <c:v>-1.5</c:v>
                </c:pt>
                <c:pt idx="651">
                  <c:v>-1.4</c:v>
                </c:pt>
                <c:pt idx="652">
                  <c:v>-1.2</c:v>
                </c:pt>
                <c:pt idx="653">
                  <c:v>-1.1000000000000001</c:v>
                </c:pt>
                <c:pt idx="654">
                  <c:v>-0.5</c:v>
                </c:pt>
                <c:pt idx="655">
                  <c:v>-2.4</c:v>
                </c:pt>
                <c:pt idx="656">
                  <c:v>-2.8</c:v>
                </c:pt>
                <c:pt idx="657">
                  <c:v>-1.2</c:v>
                </c:pt>
                <c:pt idx="658">
                  <c:v>-2.4</c:v>
                </c:pt>
                <c:pt idx="659">
                  <c:v>-10.3</c:v>
                </c:pt>
                <c:pt idx="660">
                  <c:v>-13.7</c:v>
                </c:pt>
                <c:pt idx="661">
                  <c:v>-8.9</c:v>
                </c:pt>
                <c:pt idx="662">
                  <c:v>-11.6</c:v>
                </c:pt>
                <c:pt idx="663">
                  <c:v>-17.899999999999999</c:v>
                </c:pt>
                <c:pt idx="664">
                  <c:v>-10.8</c:v>
                </c:pt>
                <c:pt idx="665">
                  <c:v>-7.9</c:v>
                </c:pt>
                <c:pt idx="666">
                  <c:v>3.6</c:v>
                </c:pt>
                <c:pt idx="667">
                  <c:v>-0.7</c:v>
                </c:pt>
                <c:pt idx="668">
                  <c:v>-3.2</c:v>
                </c:pt>
                <c:pt idx="669">
                  <c:v>-7.2</c:v>
                </c:pt>
                <c:pt idx="670">
                  <c:v>-4.5999999999999996</c:v>
                </c:pt>
                <c:pt idx="671">
                  <c:v>-2.4</c:v>
                </c:pt>
                <c:pt idx="672">
                  <c:v>-0.1</c:v>
                </c:pt>
                <c:pt idx="673">
                  <c:v>0.4</c:v>
                </c:pt>
                <c:pt idx="674">
                  <c:v>-5.7</c:v>
                </c:pt>
                <c:pt idx="675">
                  <c:v>-8.1</c:v>
                </c:pt>
                <c:pt idx="676">
                  <c:v>-9.9</c:v>
                </c:pt>
                <c:pt idx="677">
                  <c:v>-16.7</c:v>
                </c:pt>
                <c:pt idx="678">
                  <c:v>-17.8</c:v>
                </c:pt>
                <c:pt idx="679">
                  <c:v>-7.6</c:v>
                </c:pt>
                <c:pt idx="680">
                  <c:v>-7.9</c:v>
                </c:pt>
                <c:pt idx="681">
                  <c:v>-7.6</c:v>
                </c:pt>
                <c:pt idx="682">
                  <c:v>-5.6</c:v>
                </c:pt>
                <c:pt idx="683">
                  <c:v>-6.2</c:v>
                </c:pt>
                <c:pt idx="684">
                  <c:v>-8.4</c:v>
                </c:pt>
                <c:pt idx="685">
                  <c:v>-8.6</c:v>
                </c:pt>
                <c:pt idx="686">
                  <c:v>-1.5</c:v>
                </c:pt>
                <c:pt idx="687">
                  <c:v>-3.3</c:v>
                </c:pt>
                <c:pt idx="688">
                  <c:v>-11.6</c:v>
                </c:pt>
                <c:pt idx="689">
                  <c:v>-10.6</c:v>
                </c:pt>
                <c:pt idx="690">
                  <c:v>-9</c:v>
                </c:pt>
                <c:pt idx="691">
                  <c:v>-5.8</c:v>
                </c:pt>
                <c:pt idx="692">
                  <c:v>-7.1</c:v>
                </c:pt>
                <c:pt idx="693">
                  <c:v>-5.7</c:v>
                </c:pt>
                <c:pt idx="694">
                  <c:v>-7.3</c:v>
                </c:pt>
                <c:pt idx="695">
                  <c:v>-7.5</c:v>
                </c:pt>
                <c:pt idx="696">
                  <c:v>-4.9000000000000004</c:v>
                </c:pt>
                <c:pt idx="697">
                  <c:v>-11.3</c:v>
                </c:pt>
                <c:pt idx="698">
                  <c:v>-9.1999999999999993</c:v>
                </c:pt>
                <c:pt idx="699">
                  <c:v>-5.2</c:v>
                </c:pt>
                <c:pt idx="700">
                  <c:v>-13.3</c:v>
                </c:pt>
                <c:pt idx="701">
                  <c:v>-12.2</c:v>
                </c:pt>
                <c:pt idx="702">
                  <c:v>-6.4</c:v>
                </c:pt>
                <c:pt idx="703">
                  <c:v>-9.1</c:v>
                </c:pt>
                <c:pt idx="704">
                  <c:v>-9.1999999999999993</c:v>
                </c:pt>
                <c:pt idx="705">
                  <c:v>-10.3</c:v>
                </c:pt>
                <c:pt idx="706">
                  <c:v>-4.5</c:v>
                </c:pt>
                <c:pt idx="707">
                  <c:v>-3.3</c:v>
                </c:pt>
                <c:pt idx="708">
                  <c:v>-5.3</c:v>
                </c:pt>
                <c:pt idx="709">
                  <c:v>-10.8</c:v>
                </c:pt>
                <c:pt idx="710">
                  <c:v>-7.1</c:v>
                </c:pt>
                <c:pt idx="711">
                  <c:v>-8.1</c:v>
                </c:pt>
                <c:pt idx="712">
                  <c:v>-8.9</c:v>
                </c:pt>
                <c:pt idx="713">
                  <c:v>-7.4</c:v>
                </c:pt>
                <c:pt idx="714">
                  <c:v>-7.4</c:v>
                </c:pt>
                <c:pt idx="715">
                  <c:v>-4.5</c:v>
                </c:pt>
                <c:pt idx="716">
                  <c:v>-7.5</c:v>
                </c:pt>
                <c:pt idx="717">
                  <c:v>-4.4000000000000004</c:v>
                </c:pt>
                <c:pt idx="718">
                  <c:v>-3.4</c:v>
                </c:pt>
                <c:pt idx="719">
                  <c:v>-3.6</c:v>
                </c:pt>
                <c:pt idx="720">
                  <c:v>-6.9</c:v>
                </c:pt>
                <c:pt idx="721">
                  <c:v>-17.399999999999999</c:v>
                </c:pt>
                <c:pt idx="722">
                  <c:v>-18.7</c:v>
                </c:pt>
                <c:pt idx="723">
                  <c:v>-11.6</c:v>
                </c:pt>
                <c:pt idx="724">
                  <c:v>-9.1</c:v>
                </c:pt>
                <c:pt idx="725">
                  <c:v>-7.8</c:v>
                </c:pt>
                <c:pt idx="726">
                  <c:v>-10.8</c:v>
                </c:pt>
                <c:pt idx="727">
                  <c:v>-13.6</c:v>
                </c:pt>
                <c:pt idx="728">
                  <c:v>-15.8</c:v>
                </c:pt>
                <c:pt idx="729">
                  <c:v>-9</c:v>
                </c:pt>
                <c:pt idx="730">
                  <c:v>-8</c:v>
                </c:pt>
                <c:pt idx="731">
                  <c:v>-5.2</c:v>
                </c:pt>
                <c:pt idx="732">
                  <c:v>-4</c:v>
                </c:pt>
                <c:pt idx="733">
                  <c:v>-7.5</c:v>
                </c:pt>
                <c:pt idx="734">
                  <c:v>-7.2</c:v>
                </c:pt>
                <c:pt idx="735">
                  <c:v>-11.6</c:v>
                </c:pt>
                <c:pt idx="736">
                  <c:v>-7.8</c:v>
                </c:pt>
                <c:pt idx="737">
                  <c:v>-13.4</c:v>
                </c:pt>
                <c:pt idx="738">
                  <c:v>-8.4</c:v>
                </c:pt>
                <c:pt idx="739">
                  <c:v>-14.4</c:v>
                </c:pt>
                <c:pt idx="740">
                  <c:v>-5.2</c:v>
                </c:pt>
                <c:pt idx="741">
                  <c:v>-4.5</c:v>
                </c:pt>
                <c:pt idx="742">
                  <c:v>-3.1</c:v>
                </c:pt>
                <c:pt idx="743">
                  <c:v>-9.5</c:v>
                </c:pt>
                <c:pt idx="744">
                  <c:v>-15.6</c:v>
                </c:pt>
                <c:pt idx="745">
                  <c:v>-8.1</c:v>
                </c:pt>
                <c:pt idx="746">
                  <c:v>-10.6</c:v>
                </c:pt>
                <c:pt idx="747">
                  <c:v>-4</c:v>
                </c:pt>
                <c:pt idx="748">
                  <c:v>-13.5</c:v>
                </c:pt>
                <c:pt idx="749">
                  <c:v>-13.7</c:v>
                </c:pt>
                <c:pt idx="750">
                  <c:v>-13.2</c:v>
                </c:pt>
                <c:pt idx="751">
                  <c:v>-18</c:v>
                </c:pt>
                <c:pt idx="752">
                  <c:v>-19.3</c:v>
                </c:pt>
                <c:pt idx="753">
                  <c:v>-16.8</c:v>
                </c:pt>
                <c:pt idx="754">
                  <c:v>-16.8</c:v>
                </c:pt>
                <c:pt idx="755">
                  <c:v>-12.1</c:v>
                </c:pt>
                <c:pt idx="756">
                  <c:v>-11.1</c:v>
                </c:pt>
                <c:pt idx="757">
                  <c:v>-8.6999999999999993</c:v>
                </c:pt>
                <c:pt idx="758">
                  <c:v>-5.9</c:v>
                </c:pt>
                <c:pt idx="759">
                  <c:v>-12.2</c:v>
                </c:pt>
                <c:pt idx="760">
                  <c:v>-12.5</c:v>
                </c:pt>
                <c:pt idx="761">
                  <c:v>-1.7</c:v>
                </c:pt>
                <c:pt idx="762">
                  <c:v>-0.4</c:v>
                </c:pt>
                <c:pt idx="763">
                  <c:v>-5.8</c:v>
                </c:pt>
                <c:pt idx="764">
                  <c:v>-13.1</c:v>
                </c:pt>
                <c:pt idx="765">
                  <c:v>-8</c:v>
                </c:pt>
                <c:pt idx="766">
                  <c:v>-4.4000000000000004</c:v>
                </c:pt>
                <c:pt idx="767">
                  <c:v>-9.5</c:v>
                </c:pt>
                <c:pt idx="768">
                  <c:v>-13</c:v>
                </c:pt>
                <c:pt idx="769">
                  <c:v>-26.5</c:v>
                </c:pt>
                <c:pt idx="770">
                  <c:v>-30.6</c:v>
                </c:pt>
                <c:pt idx="771">
                  <c:v>-27.6</c:v>
                </c:pt>
                <c:pt idx="772">
                  <c:v>-29.4</c:v>
                </c:pt>
                <c:pt idx="773">
                  <c:v>-30.6</c:v>
                </c:pt>
                <c:pt idx="774">
                  <c:v>-16.600000000000001</c:v>
                </c:pt>
                <c:pt idx="775">
                  <c:v>-14.9</c:v>
                </c:pt>
                <c:pt idx="776">
                  <c:v>-13.8</c:v>
                </c:pt>
                <c:pt idx="777">
                  <c:v>-9.5</c:v>
                </c:pt>
                <c:pt idx="778">
                  <c:v>-18.7</c:v>
                </c:pt>
                <c:pt idx="779">
                  <c:v>-19.5</c:v>
                </c:pt>
                <c:pt idx="780">
                  <c:v>-15.6</c:v>
                </c:pt>
                <c:pt idx="781">
                  <c:v>-9.4</c:v>
                </c:pt>
                <c:pt idx="782">
                  <c:v>-5.9</c:v>
                </c:pt>
                <c:pt idx="783">
                  <c:v>-4.3</c:v>
                </c:pt>
                <c:pt idx="784">
                  <c:v>-12.7</c:v>
                </c:pt>
                <c:pt idx="785">
                  <c:v>-15</c:v>
                </c:pt>
                <c:pt idx="786">
                  <c:v>-7.3</c:v>
                </c:pt>
                <c:pt idx="787">
                  <c:v>-8.1999999999999993</c:v>
                </c:pt>
                <c:pt idx="788">
                  <c:v>-10.6</c:v>
                </c:pt>
                <c:pt idx="789">
                  <c:v>-6.9</c:v>
                </c:pt>
                <c:pt idx="790">
                  <c:v>-3.5</c:v>
                </c:pt>
                <c:pt idx="791">
                  <c:v>-7.1</c:v>
                </c:pt>
                <c:pt idx="792">
                  <c:v>-9.4</c:v>
                </c:pt>
                <c:pt idx="793">
                  <c:v>-7.4</c:v>
                </c:pt>
                <c:pt idx="794">
                  <c:v>-1</c:v>
                </c:pt>
                <c:pt idx="795">
                  <c:v>-6.5</c:v>
                </c:pt>
                <c:pt idx="796">
                  <c:v>-13.1</c:v>
                </c:pt>
                <c:pt idx="797">
                  <c:v>-16.600000000000001</c:v>
                </c:pt>
                <c:pt idx="798">
                  <c:v>-13.7</c:v>
                </c:pt>
                <c:pt idx="799">
                  <c:v>-13.6</c:v>
                </c:pt>
                <c:pt idx="800">
                  <c:v>-17.5</c:v>
                </c:pt>
                <c:pt idx="801">
                  <c:v>-11.8</c:v>
                </c:pt>
                <c:pt idx="802">
                  <c:v>-7.7</c:v>
                </c:pt>
                <c:pt idx="803">
                  <c:v>-2.2999999999999998</c:v>
                </c:pt>
                <c:pt idx="804">
                  <c:v>-10.8</c:v>
                </c:pt>
                <c:pt idx="805">
                  <c:v>-13.9</c:v>
                </c:pt>
                <c:pt idx="806">
                  <c:v>-11.2</c:v>
                </c:pt>
                <c:pt idx="807">
                  <c:v>-3.2</c:v>
                </c:pt>
                <c:pt idx="808">
                  <c:v>-4.2</c:v>
                </c:pt>
                <c:pt idx="809">
                  <c:v>-5.2</c:v>
                </c:pt>
                <c:pt idx="810">
                  <c:v>-4.7</c:v>
                </c:pt>
                <c:pt idx="811">
                  <c:v>-10.5</c:v>
                </c:pt>
                <c:pt idx="812">
                  <c:v>-14.2</c:v>
                </c:pt>
                <c:pt idx="813">
                  <c:v>-4.4000000000000004</c:v>
                </c:pt>
                <c:pt idx="814">
                  <c:v>-5.4</c:v>
                </c:pt>
                <c:pt idx="815">
                  <c:v>-5.3</c:v>
                </c:pt>
                <c:pt idx="816">
                  <c:v>-3.1</c:v>
                </c:pt>
                <c:pt idx="817">
                  <c:v>-7.9</c:v>
                </c:pt>
                <c:pt idx="818">
                  <c:v>-11.5</c:v>
                </c:pt>
                <c:pt idx="819">
                  <c:v>-9.8000000000000007</c:v>
                </c:pt>
                <c:pt idx="820">
                  <c:v>-11.5</c:v>
                </c:pt>
                <c:pt idx="821">
                  <c:v>-4.0999999999999996</c:v>
                </c:pt>
                <c:pt idx="822">
                  <c:v>-8</c:v>
                </c:pt>
                <c:pt idx="823">
                  <c:v>-3.1</c:v>
                </c:pt>
                <c:pt idx="824">
                  <c:v>-8.5</c:v>
                </c:pt>
                <c:pt idx="825">
                  <c:v>-9.6999999999999993</c:v>
                </c:pt>
                <c:pt idx="826">
                  <c:v>-8.1</c:v>
                </c:pt>
                <c:pt idx="827">
                  <c:v>-3</c:v>
                </c:pt>
                <c:pt idx="828">
                  <c:v>-8</c:v>
                </c:pt>
                <c:pt idx="829">
                  <c:v>-8.1999999999999993</c:v>
                </c:pt>
                <c:pt idx="830">
                  <c:v>-16.7</c:v>
                </c:pt>
                <c:pt idx="831">
                  <c:v>-17.2</c:v>
                </c:pt>
                <c:pt idx="832">
                  <c:v>-12.1</c:v>
                </c:pt>
                <c:pt idx="833">
                  <c:v>-11.6</c:v>
                </c:pt>
                <c:pt idx="834">
                  <c:v>-4.5</c:v>
                </c:pt>
                <c:pt idx="835">
                  <c:v>-4.7</c:v>
                </c:pt>
                <c:pt idx="836">
                  <c:v>-3.9</c:v>
                </c:pt>
                <c:pt idx="837">
                  <c:v>-3.1</c:v>
                </c:pt>
                <c:pt idx="838">
                  <c:v>-2.9</c:v>
                </c:pt>
                <c:pt idx="839">
                  <c:v>-6.2</c:v>
                </c:pt>
                <c:pt idx="840">
                  <c:v>-6.5</c:v>
                </c:pt>
                <c:pt idx="841">
                  <c:v>-5.2</c:v>
                </c:pt>
                <c:pt idx="842">
                  <c:v>-4.7</c:v>
                </c:pt>
                <c:pt idx="843">
                  <c:v>-8.6</c:v>
                </c:pt>
                <c:pt idx="844">
                  <c:v>0</c:v>
                </c:pt>
                <c:pt idx="845">
                  <c:v>-0.8</c:v>
                </c:pt>
                <c:pt idx="846">
                  <c:v>-4.4000000000000004</c:v>
                </c:pt>
                <c:pt idx="847">
                  <c:v>-4.2</c:v>
                </c:pt>
                <c:pt idx="848">
                  <c:v>-0.8</c:v>
                </c:pt>
                <c:pt idx="849">
                  <c:v>1.2</c:v>
                </c:pt>
                <c:pt idx="850">
                  <c:v>-0.9</c:v>
                </c:pt>
                <c:pt idx="851">
                  <c:v>-2.5</c:v>
                </c:pt>
                <c:pt idx="852">
                  <c:v>-5.4</c:v>
                </c:pt>
                <c:pt idx="853">
                  <c:v>-4.0999999999999996</c:v>
                </c:pt>
                <c:pt idx="854">
                  <c:v>-2.4</c:v>
                </c:pt>
                <c:pt idx="855">
                  <c:v>-4.0999999999999996</c:v>
                </c:pt>
                <c:pt idx="856">
                  <c:v>3.5</c:v>
                </c:pt>
                <c:pt idx="857">
                  <c:v>-1.6</c:v>
                </c:pt>
                <c:pt idx="858">
                  <c:v>-3.8</c:v>
                </c:pt>
                <c:pt idx="859">
                  <c:v>-5.9</c:v>
                </c:pt>
                <c:pt idx="860">
                  <c:v>-4.2</c:v>
                </c:pt>
                <c:pt idx="861">
                  <c:v>-3.4</c:v>
                </c:pt>
                <c:pt idx="862">
                  <c:v>-2.1</c:v>
                </c:pt>
                <c:pt idx="863">
                  <c:v>-1.3</c:v>
                </c:pt>
                <c:pt idx="864">
                  <c:v>-1.9</c:v>
                </c:pt>
                <c:pt idx="865">
                  <c:v>-1</c:v>
                </c:pt>
                <c:pt idx="866">
                  <c:v>0.3</c:v>
                </c:pt>
                <c:pt idx="867">
                  <c:v>1.1000000000000001</c:v>
                </c:pt>
                <c:pt idx="868">
                  <c:v>-3.1</c:v>
                </c:pt>
                <c:pt idx="869">
                  <c:v>-7.1</c:v>
                </c:pt>
                <c:pt idx="870">
                  <c:v>-1</c:v>
                </c:pt>
                <c:pt idx="871">
                  <c:v>-2.6</c:v>
                </c:pt>
                <c:pt idx="872">
                  <c:v>-3</c:v>
                </c:pt>
                <c:pt idx="873">
                  <c:v>-1.8</c:v>
                </c:pt>
                <c:pt idx="874">
                  <c:v>1.9</c:v>
                </c:pt>
                <c:pt idx="875">
                  <c:v>-0.5</c:v>
                </c:pt>
                <c:pt idx="876">
                  <c:v>0</c:v>
                </c:pt>
                <c:pt idx="877">
                  <c:v>1.9</c:v>
                </c:pt>
                <c:pt idx="878">
                  <c:v>-2.4</c:v>
                </c:pt>
                <c:pt idx="879">
                  <c:v>-3.5</c:v>
                </c:pt>
                <c:pt idx="880">
                  <c:v>-1.6</c:v>
                </c:pt>
                <c:pt idx="881">
                  <c:v>1.3</c:v>
                </c:pt>
                <c:pt idx="882">
                  <c:v>4.9000000000000004</c:v>
                </c:pt>
                <c:pt idx="883">
                  <c:v>5.7</c:v>
                </c:pt>
                <c:pt idx="884">
                  <c:v>5.7</c:v>
                </c:pt>
                <c:pt idx="885">
                  <c:v>5</c:v>
                </c:pt>
                <c:pt idx="886">
                  <c:v>0.8</c:v>
                </c:pt>
                <c:pt idx="887">
                  <c:v>-2.4</c:v>
                </c:pt>
                <c:pt idx="888">
                  <c:v>-2.1</c:v>
                </c:pt>
                <c:pt idx="889">
                  <c:v>-2.9</c:v>
                </c:pt>
                <c:pt idx="890">
                  <c:v>-1.6</c:v>
                </c:pt>
                <c:pt idx="891">
                  <c:v>-2.6</c:v>
                </c:pt>
                <c:pt idx="892">
                  <c:v>-2.2999999999999998</c:v>
                </c:pt>
                <c:pt idx="893">
                  <c:v>-1</c:v>
                </c:pt>
                <c:pt idx="894">
                  <c:v>8.6</c:v>
                </c:pt>
                <c:pt idx="895">
                  <c:v>6.6</c:v>
                </c:pt>
                <c:pt idx="896">
                  <c:v>4.9000000000000004</c:v>
                </c:pt>
                <c:pt idx="897">
                  <c:v>1.2</c:v>
                </c:pt>
                <c:pt idx="898">
                  <c:v>-1.1000000000000001</c:v>
                </c:pt>
                <c:pt idx="899">
                  <c:v>1.6</c:v>
                </c:pt>
                <c:pt idx="900">
                  <c:v>3</c:v>
                </c:pt>
                <c:pt idx="901">
                  <c:v>5.9</c:v>
                </c:pt>
                <c:pt idx="902">
                  <c:v>5</c:v>
                </c:pt>
                <c:pt idx="903">
                  <c:v>6.8</c:v>
                </c:pt>
                <c:pt idx="904">
                  <c:v>4.2</c:v>
                </c:pt>
                <c:pt idx="905">
                  <c:v>11.3</c:v>
                </c:pt>
                <c:pt idx="906">
                  <c:v>9.6</c:v>
                </c:pt>
                <c:pt idx="907">
                  <c:v>11.9</c:v>
                </c:pt>
                <c:pt idx="908">
                  <c:v>11.2</c:v>
                </c:pt>
                <c:pt idx="909">
                  <c:v>12.3</c:v>
                </c:pt>
                <c:pt idx="910">
                  <c:v>13.2</c:v>
                </c:pt>
                <c:pt idx="911">
                  <c:v>15.5</c:v>
                </c:pt>
                <c:pt idx="912">
                  <c:v>12.3</c:v>
                </c:pt>
                <c:pt idx="913">
                  <c:v>10.3</c:v>
                </c:pt>
                <c:pt idx="914">
                  <c:v>8.1999999999999993</c:v>
                </c:pt>
                <c:pt idx="915">
                  <c:v>6.6</c:v>
                </c:pt>
                <c:pt idx="916">
                  <c:v>11.6</c:v>
                </c:pt>
                <c:pt idx="917">
                  <c:v>8.9</c:v>
                </c:pt>
                <c:pt idx="918">
                  <c:v>5.0999999999999996</c:v>
                </c:pt>
                <c:pt idx="919">
                  <c:v>3.4</c:v>
                </c:pt>
                <c:pt idx="920">
                  <c:v>5.6</c:v>
                </c:pt>
                <c:pt idx="921">
                  <c:v>6.8</c:v>
                </c:pt>
                <c:pt idx="922">
                  <c:v>5.4</c:v>
                </c:pt>
                <c:pt idx="923">
                  <c:v>6.7</c:v>
                </c:pt>
                <c:pt idx="924">
                  <c:v>6</c:v>
                </c:pt>
                <c:pt idx="925">
                  <c:v>7.6</c:v>
                </c:pt>
                <c:pt idx="926">
                  <c:v>7.2</c:v>
                </c:pt>
                <c:pt idx="927">
                  <c:v>3.9</c:v>
                </c:pt>
                <c:pt idx="928">
                  <c:v>3.3</c:v>
                </c:pt>
                <c:pt idx="929">
                  <c:v>4.2</c:v>
                </c:pt>
                <c:pt idx="930">
                  <c:v>5.6</c:v>
                </c:pt>
                <c:pt idx="931">
                  <c:v>6.2</c:v>
                </c:pt>
                <c:pt idx="932">
                  <c:v>2.6</c:v>
                </c:pt>
                <c:pt idx="933">
                  <c:v>-0.3</c:v>
                </c:pt>
                <c:pt idx="934">
                  <c:v>3.9</c:v>
                </c:pt>
                <c:pt idx="935">
                  <c:v>4.2</c:v>
                </c:pt>
                <c:pt idx="936">
                  <c:v>5.4</c:v>
                </c:pt>
                <c:pt idx="937">
                  <c:v>5</c:v>
                </c:pt>
                <c:pt idx="938">
                  <c:v>5.8</c:v>
                </c:pt>
                <c:pt idx="939">
                  <c:v>5.3</c:v>
                </c:pt>
                <c:pt idx="940">
                  <c:v>6.8</c:v>
                </c:pt>
                <c:pt idx="941">
                  <c:v>8.5</c:v>
                </c:pt>
                <c:pt idx="942">
                  <c:v>11.8</c:v>
                </c:pt>
                <c:pt idx="943">
                  <c:v>14.1</c:v>
                </c:pt>
                <c:pt idx="944">
                  <c:v>9.3000000000000007</c:v>
                </c:pt>
                <c:pt idx="945">
                  <c:v>6.9</c:v>
                </c:pt>
                <c:pt idx="946">
                  <c:v>10.1</c:v>
                </c:pt>
                <c:pt idx="947">
                  <c:v>7.7</c:v>
                </c:pt>
                <c:pt idx="948">
                  <c:v>10</c:v>
                </c:pt>
                <c:pt idx="949">
                  <c:v>5.4</c:v>
                </c:pt>
                <c:pt idx="950">
                  <c:v>3.3</c:v>
                </c:pt>
                <c:pt idx="951">
                  <c:v>1.1000000000000001</c:v>
                </c:pt>
                <c:pt idx="952">
                  <c:v>6.8</c:v>
                </c:pt>
                <c:pt idx="953">
                  <c:v>10.6</c:v>
                </c:pt>
                <c:pt idx="954">
                  <c:v>8.8000000000000007</c:v>
                </c:pt>
                <c:pt idx="955">
                  <c:v>6.2</c:v>
                </c:pt>
                <c:pt idx="956">
                  <c:v>7.2</c:v>
                </c:pt>
                <c:pt idx="957">
                  <c:v>15.6</c:v>
                </c:pt>
                <c:pt idx="958">
                  <c:v>7.9</c:v>
                </c:pt>
                <c:pt idx="959">
                  <c:v>3.8</c:v>
                </c:pt>
                <c:pt idx="960">
                  <c:v>1.4</c:v>
                </c:pt>
                <c:pt idx="961">
                  <c:v>5.8</c:v>
                </c:pt>
                <c:pt idx="962">
                  <c:v>2.6</c:v>
                </c:pt>
                <c:pt idx="963">
                  <c:v>4.9000000000000004</c:v>
                </c:pt>
                <c:pt idx="964">
                  <c:v>1.8</c:v>
                </c:pt>
                <c:pt idx="965">
                  <c:v>-1.2</c:v>
                </c:pt>
                <c:pt idx="966">
                  <c:v>-2</c:v>
                </c:pt>
                <c:pt idx="967">
                  <c:v>-0.4</c:v>
                </c:pt>
                <c:pt idx="968">
                  <c:v>2.9</c:v>
                </c:pt>
                <c:pt idx="969">
                  <c:v>1.5</c:v>
                </c:pt>
                <c:pt idx="970">
                  <c:v>-0.6</c:v>
                </c:pt>
                <c:pt idx="971">
                  <c:v>1.3</c:v>
                </c:pt>
                <c:pt idx="972">
                  <c:v>1.6</c:v>
                </c:pt>
                <c:pt idx="973">
                  <c:v>0.8</c:v>
                </c:pt>
                <c:pt idx="974">
                  <c:v>-1.1000000000000001</c:v>
                </c:pt>
                <c:pt idx="975">
                  <c:v>-2.1</c:v>
                </c:pt>
                <c:pt idx="976">
                  <c:v>-1.4</c:v>
                </c:pt>
                <c:pt idx="977">
                  <c:v>1.2</c:v>
                </c:pt>
                <c:pt idx="978">
                  <c:v>4.8</c:v>
                </c:pt>
                <c:pt idx="979">
                  <c:v>3.6</c:v>
                </c:pt>
                <c:pt idx="980">
                  <c:v>1.7</c:v>
                </c:pt>
                <c:pt idx="981">
                  <c:v>5.2</c:v>
                </c:pt>
                <c:pt idx="982">
                  <c:v>3.8</c:v>
                </c:pt>
                <c:pt idx="983">
                  <c:v>3.1</c:v>
                </c:pt>
                <c:pt idx="984">
                  <c:v>4</c:v>
                </c:pt>
                <c:pt idx="985">
                  <c:v>3.2</c:v>
                </c:pt>
                <c:pt idx="986">
                  <c:v>0.3</c:v>
                </c:pt>
                <c:pt idx="987">
                  <c:v>-0.9</c:v>
                </c:pt>
                <c:pt idx="988">
                  <c:v>-3</c:v>
                </c:pt>
                <c:pt idx="989">
                  <c:v>-3.5</c:v>
                </c:pt>
                <c:pt idx="990">
                  <c:v>3.6</c:v>
                </c:pt>
                <c:pt idx="991">
                  <c:v>0</c:v>
                </c:pt>
                <c:pt idx="992">
                  <c:v>-0.1</c:v>
                </c:pt>
                <c:pt idx="993">
                  <c:v>-1.2</c:v>
                </c:pt>
                <c:pt idx="994">
                  <c:v>-1.8</c:v>
                </c:pt>
                <c:pt idx="995">
                  <c:v>1.2</c:v>
                </c:pt>
                <c:pt idx="996">
                  <c:v>0.7</c:v>
                </c:pt>
                <c:pt idx="997">
                  <c:v>-0.3</c:v>
                </c:pt>
                <c:pt idx="998">
                  <c:v>2</c:v>
                </c:pt>
                <c:pt idx="999">
                  <c:v>3.8</c:v>
                </c:pt>
                <c:pt idx="1000">
                  <c:v>2.7</c:v>
                </c:pt>
                <c:pt idx="1001">
                  <c:v>-2</c:v>
                </c:pt>
                <c:pt idx="1002">
                  <c:v>-3</c:v>
                </c:pt>
                <c:pt idx="1003">
                  <c:v>0</c:v>
                </c:pt>
                <c:pt idx="1004">
                  <c:v>-2.2999999999999998</c:v>
                </c:pt>
                <c:pt idx="1005">
                  <c:v>-2.1</c:v>
                </c:pt>
                <c:pt idx="1006">
                  <c:v>0.4</c:v>
                </c:pt>
                <c:pt idx="1007">
                  <c:v>0.7</c:v>
                </c:pt>
                <c:pt idx="1008">
                  <c:v>3.2</c:v>
                </c:pt>
                <c:pt idx="1009">
                  <c:v>-3.1</c:v>
                </c:pt>
                <c:pt idx="1010">
                  <c:v>-5.3</c:v>
                </c:pt>
                <c:pt idx="1011">
                  <c:v>-6.5</c:v>
                </c:pt>
                <c:pt idx="1012">
                  <c:v>-6</c:v>
                </c:pt>
                <c:pt idx="1013">
                  <c:v>-6.7</c:v>
                </c:pt>
                <c:pt idx="1014">
                  <c:v>-9.5</c:v>
                </c:pt>
                <c:pt idx="1015">
                  <c:v>-12.7</c:v>
                </c:pt>
                <c:pt idx="1016">
                  <c:v>-5.3</c:v>
                </c:pt>
                <c:pt idx="1017">
                  <c:v>-4.7</c:v>
                </c:pt>
                <c:pt idx="1018">
                  <c:v>-0.1</c:v>
                </c:pt>
                <c:pt idx="1019">
                  <c:v>1.3</c:v>
                </c:pt>
                <c:pt idx="1020">
                  <c:v>-1.7</c:v>
                </c:pt>
                <c:pt idx="1021">
                  <c:v>-2.6</c:v>
                </c:pt>
                <c:pt idx="1022">
                  <c:v>-2.5</c:v>
                </c:pt>
                <c:pt idx="1023">
                  <c:v>-0.6</c:v>
                </c:pt>
                <c:pt idx="1024">
                  <c:v>-0.7</c:v>
                </c:pt>
                <c:pt idx="1025">
                  <c:v>1.4</c:v>
                </c:pt>
                <c:pt idx="1026">
                  <c:v>0.5</c:v>
                </c:pt>
                <c:pt idx="1027">
                  <c:v>0.3</c:v>
                </c:pt>
                <c:pt idx="1028">
                  <c:v>0</c:v>
                </c:pt>
                <c:pt idx="1029">
                  <c:v>-1.1000000000000001</c:v>
                </c:pt>
                <c:pt idx="1030">
                  <c:v>-1.5</c:v>
                </c:pt>
                <c:pt idx="1031">
                  <c:v>-1.1000000000000001</c:v>
                </c:pt>
                <c:pt idx="1032">
                  <c:v>-9.4</c:v>
                </c:pt>
                <c:pt idx="1033">
                  <c:v>-11</c:v>
                </c:pt>
                <c:pt idx="1034">
                  <c:v>-12.7</c:v>
                </c:pt>
                <c:pt idx="1035">
                  <c:v>-12.2</c:v>
                </c:pt>
                <c:pt idx="1036">
                  <c:v>-2.1</c:v>
                </c:pt>
                <c:pt idx="1037">
                  <c:v>-0.4</c:v>
                </c:pt>
                <c:pt idx="1038">
                  <c:v>0</c:v>
                </c:pt>
                <c:pt idx="1039">
                  <c:v>-5.8</c:v>
                </c:pt>
                <c:pt idx="1040">
                  <c:v>-7.9</c:v>
                </c:pt>
                <c:pt idx="1041">
                  <c:v>-10.6</c:v>
                </c:pt>
                <c:pt idx="1042">
                  <c:v>-10.7</c:v>
                </c:pt>
                <c:pt idx="1043">
                  <c:v>-6.4</c:v>
                </c:pt>
                <c:pt idx="1044">
                  <c:v>-10.4</c:v>
                </c:pt>
                <c:pt idx="1045">
                  <c:v>-4.4000000000000004</c:v>
                </c:pt>
                <c:pt idx="1046">
                  <c:v>-2.1</c:v>
                </c:pt>
                <c:pt idx="1047">
                  <c:v>-2.8</c:v>
                </c:pt>
                <c:pt idx="1048">
                  <c:v>-2.5</c:v>
                </c:pt>
                <c:pt idx="1049">
                  <c:v>-6.8</c:v>
                </c:pt>
                <c:pt idx="1050">
                  <c:v>-16.7</c:v>
                </c:pt>
                <c:pt idx="1051">
                  <c:v>-18.2</c:v>
                </c:pt>
                <c:pt idx="1052">
                  <c:v>-8.6999999999999993</c:v>
                </c:pt>
                <c:pt idx="1053">
                  <c:v>-14.4</c:v>
                </c:pt>
                <c:pt idx="1054">
                  <c:v>-11.6</c:v>
                </c:pt>
                <c:pt idx="1055">
                  <c:v>-5.6</c:v>
                </c:pt>
                <c:pt idx="1056">
                  <c:v>-6.2</c:v>
                </c:pt>
                <c:pt idx="1057">
                  <c:v>-7.8</c:v>
                </c:pt>
                <c:pt idx="1058">
                  <c:v>-10.6</c:v>
                </c:pt>
                <c:pt idx="1059">
                  <c:v>-5.9</c:v>
                </c:pt>
                <c:pt idx="1060">
                  <c:v>-7.5</c:v>
                </c:pt>
                <c:pt idx="1061">
                  <c:v>-7.1</c:v>
                </c:pt>
                <c:pt idx="1062">
                  <c:v>0.1</c:v>
                </c:pt>
                <c:pt idx="1063">
                  <c:v>-0.8</c:v>
                </c:pt>
                <c:pt idx="1064">
                  <c:v>0</c:v>
                </c:pt>
                <c:pt idx="1065">
                  <c:v>2.5</c:v>
                </c:pt>
                <c:pt idx="1066">
                  <c:v>-6.4</c:v>
                </c:pt>
                <c:pt idx="1067">
                  <c:v>-9.1</c:v>
                </c:pt>
                <c:pt idx="1068">
                  <c:v>-9.1999999999999993</c:v>
                </c:pt>
                <c:pt idx="1069">
                  <c:v>-17.5</c:v>
                </c:pt>
                <c:pt idx="1070">
                  <c:v>-12.3</c:v>
                </c:pt>
                <c:pt idx="1071">
                  <c:v>-8</c:v>
                </c:pt>
                <c:pt idx="1072">
                  <c:v>-8.6</c:v>
                </c:pt>
                <c:pt idx="1073">
                  <c:v>-12.3</c:v>
                </c:pt>
                <c:pt idx="1074">
                  <c:v>-14.4</c:v>
                </c:pt>
                <c:pt idx="1075">
                  <c:v>-11.6</c:v>
                </c:pt>
                <c:pt idx="1076">
                  <c:v>-15.2</c:v>
                </c:pt>
                <c:pt idx="1077">
                  <c:v>-6.8</c:v>
                </c:pt>
                <c:pt idx="1078">
                  <c:v>-17.2</c:v>
                </c:pt>
                <c:pt idx="1079">
                  <c:v>-18.399999999999999</c:v>
                </c:pt>
                <c:pt idx="1080">
                  <c:v>-16.8</c:v>
                </c:pt>
                <c:pt idx="1081">
                  <c:v>-23.5</c:v>
                </c:pt>
                <c:pt idx="1082">
                  <c:v>-12.9</c:v>
                </c:pt>
                <c:pt idx="1083">
                  <c:v>-23.2</c:v>
                </c:pt>
                <c:pt idx="1084">
                  <c:v>-23.7</c:v>
                </c:pt>
                <c:pt idx="1085">
                  <c:v>-22.6</c:v>
                </c:pt>
                <c:pt idx="1086">
                  <c:v>-9.9</c:v>
                </c:pt>
                <c:pt idx="1087">
                  <c:v>-8.4</c:v>
                </c:pt>
                <c:pt idx="1088">
                  <c:v>-15.8</c:v>
                </c:pt>
                <c:pt idx="1089">
                  <c:v>-22.2</c:v>
                </c:pt>
                <c:pt idx="1090">
                  <c:v>-28.8</c:v>
                </c:pt>
                <c:pt idx="1091">
                  <c:v>-34.5</c:v>
                </c:pt>
                <c:pt idx="1092">
                  <c:v>-21.5</c:v>
                </c:pt>
                <c:pt idx="1093">
                  <c:v>-25.6</c:v>
                </c:pt>
                <c:pt idx="1094">
                  <c:v>-20.6</c:v>
                </c:pt>
                <c:pt idx="1095">
                  <c:v>-27.8</c:v>
                </c:pt>
                <c:pt idx="1096">
                  <c:v>-27.7</c:v>
                </c:pt>
                <c:pt idx="1097">
                  <c:v>-22.1</c:v>
                </c:pt>
                <c:pt idx="1098">
                  <c:v>-14.3</c:v>
                </c:pt>
                <c:pt idx="1099">
                  <c:v>-17</c:v>
                </c:pt>
                <c:pt idx="1100">
                  <c:v>-15.7</c:v>
                </c:pt>
                <c:pt idx="1101">
                  <c:v>-12</c:v>
                </c:pt>
                <c:pt idx="1102">
                  <c:v>-9.5</c:v>
                </c:pt>
                <c:pt idx="1103">
                  <c:v>-11.2</c:v>
                </c:pt>
                <c:pt idx="1104">
                  <c:v>-9.6999999999999993</c:v>
                </c:pt>
                <c:pt idx="1105">
                  <c:v>-8</c:v>
                </c:pt>
                <c:pt idx="1106">
                  <c:v>-7.6</c:v>
                </c:pt>
                <c:pt idx="1107">
                  <c:v>-2.1</c:v>
                </c:pt>
                <c:pt idx="1108">
                  <c:v>-1.7</c:v>
                </c:pt>
                <c:pt idx="1109">
                  <c:v>-3.9</c:v>
                </c:pt>
                <c:pt idx="1110">
                  <c:v>-6.9</c:v>
                </c:pt>
                <c:pt idx="1111">
                  <c:v>-7.3</c:v>
                </c:pt>
                <c:pt idx="1112">
                  <c:v>-2.5</c:v>
                </c:pt>
                <c:pt idx="1113">
                  <c:v>-4.0999999999999996</c:v>
                </c:pt>
                <c:pt idx="1114">
                  <c:v>-4.5</c:v>
                </c:pt>
                <c:pt idx="1115">
                  <c:v>-3.6</c:v>
                </c:pt>
                <c:pt idx="1116">
                  <c:v>-5.3</c:v>
                </c:pt>
                <c:pt idx="1117">
                  <c:v>-8.4</c:v>
                </c:pt>
                <c:pt idx="1118">
                  <c:v>-9</c:v>
                </c:pt>
                <c:pt idx="1119">
                  <c:v>-12</c:v>
                </c:pt>
                <c:pt idx="1120">
                  <c:v>-13.5</c:v>
                </c:pt>
                <c:pt idx="1121">
                  <c:v>-13</c:v>
                </c:pt>
                <c:pt idx="1122">
                  <c:v>-15.6</c:v>
                </c:pt>
                <c:pt idx="1123">
                  <c:v>-13</c:v>
                </c:pt>
                <c:pt idx="1124">
                  <c:v>-11.6</c:v>
                </c:pt>
                <c:pt idx="1125">
                  <c:v>-6.6</c:v>
                </c:pt>
                <c:pt idx="1126">
                  <c:v>-8.6</c:v>
                </c:pt>
                <c:pt idx="1127">
                  <c:v>-20.3</c:v>
                </c:pt>
                <c:pt idx="1128">
                  <c:v>-25.6</c:v>
                </c:pt>
                <c:pt idx="1129">
                  <c:v>-9.1</c:v>
                </c:pt>
                <c:pt idx="1130">
                  <c:v>-9.5</c:v>
                </c:pt>
                <c:pt idx="1131">
                  <c:v>-6</c:v>
                </c:pt>
                <c:pt idx="1132">
                  <c:v>-5</c:v>
                </c:pt>
                <c:pt idx="1133">
                  <c:v>-9.6</c:v>
                </c:pt>
                <c:pt idx="1134">
                  <c:v>-7.7</c:v>
                </c:pt>
                <c:pt idx="1135">
                  <c:v>0.5</c:v>
                </c:pt>
                <c:pt idx="1136">
                  <c:v>0</c:v>
                </c:pt>
                <c:pt idx="1137">
                  <c:v>-9.1999999999999993</c:v>
                </c:pt>
                <c:pt idx="1138">
                  <c:v>-11.3</c:v>
                </c:pt>
                <c:pt idx="1139">
                  <c:v>-8.1999999999999993</c:v>
                </c:pt>
                <c:pt idx="1140">
                  <c:v>-3.2</c:v>
                </c:pt>
                <c:pt idx="1141">
                  <c:v>-3.9</c:v>
                </c:pt>
                <c:pt idx="1142">
                  <c:v>-6.8</c:v>
                </c:pt>
                <c:pt idx="1143">
                  <c:v>-6.7</c:v>
                </c:pt>
                <c:pt idx="1144">
                  <c:v>-3.3</c:v>
                </c:pt>
                <c:pt idx="1145">
                  <c:v>-3.6</c:v>
                </c:pt>
                <c:pt idx="1146">
                  <c:v>-12.2</c:v>
                </c:pt>
                <c:pt idx="1147">
                  <c:v>-17.600000000000001</c:v>
                </c:pt>
                <c:pt idx="1148">
                  <c:v>-24.2</c:v>
                </c:pt>
                <c:pt idx="1149">
                  <c:v>-26.2</c:v>
                </c:pt>
                <c:pt idx="1150">
                  <c:v>-19.8</c:v>
                </c:pt>
                <c:pt idx="1151">
                  <c:v>-21.5</c:v>
                </c:pt>
                <c:pt idx="1152">
                  <c:v>-13.6</c:v>
                </c:pt>
                <c:pt idx="1153">
                  <c:v>-7.3</c:v>
                </c:pt>
                <c:pt idx="1154">
                  <c:v>-3.1</c:v>
                </c:pt>
                <c:pt idx="1155">
                  <c:v>-2.8</c:v>
                </c:pt>
                <c:pt idx="1156">
                  <c:v>-3.7</c:v>
                </c:pt>
                <c:pt idx="1157">
                  <c:v>-2.9</c:v>
                </c:pt>
                <c:pt idx="1158">
                  <c:v>-9.6</c:v>
                </c:pt>
                <c:pt idx="1159">
                  <c:v>-13.7</c:v>
                </c:pt>
                <c:pt idx="1160">
                  <c:v>-13.9</c:v>
                </c:pt>
                <c:pt idx="1161">
                  <c:v>-3.1</c:v>
                </c:pt>
                <c:pt idx="1162">
                  <c:v>-11.2</c:v>
                </c:pt>
                <c:pt idx="1163">
                  <c:v>-21.4</c:v>
                </c:pt>
                <c:pt idx="1164">
                  <c:v>-21.4</c:v>
                </c:pt>
                <c:pt idx="1165">
                  <c:v>-12.3</c:v>
                </c:pt>
                <c:pt idx="1166">
                  <c:v>-5.8</c:v>
                </c:pt>
                <c:pt idx="1167">
                  <c:v>-11.4</c:v>
                </c:pt>
                <c:pt idx="1168">
                  <c:v>-1.5</c:v>
                </c:pt>
                <c:pt idx="1169">
                  <c:v>-2.8</c:v>
                </c:pt>
                <c:pt idx="1170">
                  <c:v>-9.1</c:v>
                </c:pt>
                <c:pt idx="1171">
                  <c:v>-8.5</c:v>
                </c:pt>
                <c:pt idx="1172">
                  <c:v>-6.9</c:v>
                </c:pt>
                <c:pt idx="1173">
                  <c:v>-7</c:v>
                </c:pt>
                <c:pt idx="1174">
                  <c:v>-9.3000000000000007</c:v>
                </c:pt>
                <c:pt idx="1175">
                  <c:v>-4.8</c:v>
                </c:pt>
                <c:pt idx="1176">
                  <c:v>-1.2</c:v>
                </c:pt>
                <c:pt idx="1177">
                  <c:v>-2.7</c:v>
                </c:pt>
                <c:pt idx="1178">
                  <c:v>-8.5</c:v>
                </c:pt>
                <c:pt idx="1179">
                  <c:v>-2.8</c:v>
                </c:pt>
                <c:pt idx="1180">
                  <c:v>-3.1</c:v>
                </c:pt>
                <c:pt idx="1181">
                  <c:v>-1.3</c:v>
                </c:pt>
                <c:pt idx="1182">
                  <c:v>-2.2000000000000002</c:v>
                </c:pt>
                <c:pt idx="1183">
                  <c:v>-6.8</c:v>
                </c:pt>
                <c:pt idx="1184">
                  <c:v>-3.3</c:v>
                </c:pt>
                <c:pt idx="1185">
                  <c:v>-8.6999999999999993</c:v>
                </c:pt>
                <c:pt idx="1186">
                  <c:v>-11.3</c:v>
                </c:pt>
                <c:pt idx="1187">
                  <c:v>-5</c:v>
                </c:pt>
                <c:pt idx="1188">
                  <c:v>-4.4000000000000004</c:v>
                </c:pt>
                <c:pt idx="1189">
                  <c:v>-4.2</c:v>
                </c:pt>
                <c:pt idx="1190">
                  <c:v>-4.9000000000000004</c:v>
                </c:pt>
                <c:pt idx="1191">
                  <c:v>-12.7</c:v>
                </c:pt>
                <c:pt idx="1192">
                  <c:v>-2.9</c:v>
                </c:pt>
                <c:pt idx="1193">
                  <c:v>-4.0999999999999996</c:v>
                </c:pt>
                <c:pt idx="1194">
                  <c:v>-7.4</c:v>
                </c:pt>
                <c:pt idx="1195">
                  <c:v>-11.9</c:v>
                </c:pt>
                <c:pt idx="1196">
                  <c:v>-14</c:v>
                </c:pt>
                <c:pt idx="1197">
                  <c:v>-13.9</c:v>
                </c:pt>
                <c:pt idx="1198">
                  <c:v>-14.5</c:v>
                </c:pt>
                <c:pt idx="1199">
                  <c:v>-16.899999999999999</c:v>
                </c:pt>
                <c:pt idx="1200">
                  <c:v>-15.6</c:v>
                </c:pt>
                <c:pt idx="1201">
                  <c:v>-12.9</c:v>
                </c:pt>
                <c:pt idx="1202">
                  <c:v>-14.3</c:v>
                </c:pt>
                <c:pt idx="1203">
                  <c:v>-3.9</c:v>
                </c:pt>
                <c:pt idx="1204">
                  <c:v>-9.6999999999999993</c:v>
                </c:pt>
                <c:pt idx="1205">
                  <c:v>-13.4</c:v>
                </c:pt>
                <c:pt idx="1206">
                  <c:v>-4</c:v>
                </c:pt>
                <c:pt idx="1207">
                  <c:v>-7.6</c:v>
                </c:pt>
                <c:pt idx="1208">
                  <c:v>-7.1</c:v>
                </c:pt>
                <c:pt idx="1209">
                  <c:v>-5.9</c:v>
                </c:pt>
                <c:pt idx="1210">
                  <c:v>-0.5</c:v>
                </c:pt>
                <c:pt idx="1211">
                  <c:v>-5.9</c:v>
                </c:pt>
                <c:pt idx="1212">
                  <c:v>-8.5</c:v>
                </c:pt>
                <c:pt idx="1213">
                  <c:v>-8.6</c:v>
                </c:pt>
                <c:pt idx="1214">
                  <c:v>-4.9000000000000004</c:v>
                </c:pt>
                <c:pt idx="1215">
                  <c:v>-2.2000000000000002</c:v>
                </c:pt>
                <c:pt idx="1216">
                  <c:v>-4.4000000000000004</c:v>
                </c:pt>
                <c:pt idx="1217">
                  <c:v>-1.2</c:v>
                </c:pt>
                <c:pt idx="1218">
                  <c:v>-1.4</c:v>
                </c:pt>
                <c:pt idx="1219">
                  <c:v>1.7</c:v>
                </c:pt>
                <c:pt idx="1220">
                  <c:v>0.4</c:v>
                </c:pt>
                <c:pt idx="1221">
                  <c:v>-1.6</c:v>
                </c:pt>
                <c:pt idx="1222">
                  <c:v>-3.3</c:v>
                </c:pt>
                <c:pt idx="1223">
                  <c:v>-6.1</c:v>
                </c:pt>
                <c:pt idx="1224">
                  <c:v>-5.0999999999999996</c:v>
                </c:pt>
                <c:pt idx="1225">
                  <c:v>-2.8</c:v>
                </c:pt>
                <c:pt idx="1226">
                  <c:v>-6.6</c:v>
                </c:pt>
                <c:pt idx="1227">
                  <c:v>-2.4</c:v>
                </c:pt>
                <c:pt idx="1228">
                  <c:v>-4.5999999999999996</c:v>
                </c:pt>
                <c:pt idx="1229">
                  <c:v>-2.8</c:v>
                </c:pt>
                <c:pt idx="1230">
                  <c:v>-0.3</c:v>
                </c:pt>
                <c:pt idx="1231">
                  <c:v>-0.8</c:v>
                </c:pt>
                <c:pt idx="1232">
                  <c:v>-2.7</c:v>
                </c:pt>
                <c:pt idx="1233">
                  <c:v>-0.9</c:v>
                </c:pt>
                <c:pt idx="1234">
                  <c:v>-3</c:v>
                </c:pt>
                <c:pt idx="1235">
                  <c:v>-0.6</c:v>
                </c:pt>
                <c:pt idx="1236">
                  <c:v>-2.1</c:v>
                </c:pt>
                <c:pt idx="1237">
                  <c:v>-3.9</c:v>
                </c:pt>
                <c:pt idx="1238">
                  <c:v>-1.7</c:v>
                </c:pt>
                <c:pt idx="1239">
                  <c:v>-0.5</c:v>
                </c:pt>
                <c:pt idx="1240">
                  <c:v>-1.3</c:v>
                </c:pt>
                <c:pt idx="1241">
                  <c:v>-2.8</c:v>
                </c:pt>
                <c:pt idx="1242">
                  <c:v>-2</c:v>
                </c:pt>
                <c:pt idx="1243">
                  <c:v>-2.4</c:v>
                </c:pt>
                <c:pt idx="1244">
                  <c:v>-0.3</c:v>
                </c:pt>
                <c:pt idx="1245">
                  <c:v>2.4</c:v>
                </c:pt>
                <c:pt idx="1246">
                  <c:v>0.1</c:v>
                </c:pt>
                <c:pt idx="1247">
                  <c:v>-1</c:v>
                </c:pt>
                <c:pt idx="1248">
                  <c:v>4.4000000000000004</c:v>
                </c:pt>
                <c:pt idx="1249">
                  <c:v>2.7</c:v>
                </c:pt>
                <c:pt idx="1250">
                  <c:v>1.2</c:v>
                </c:pt>
                <c:pt idx="1251">
                  <c:v>3.1</c:v>
                </c:pt>
                <c:pt idx="1252">
                  <c:v>-0.7</c:v>
                </c:pt>
                <c:pt idx="1253">
                  <c:v>-1.5</c:v>
                </c:pt>
                <c:pt idx="1254">
                  <c:v>1.5</c:v>
                </c:pt>
                <c:pt idx="1255">
                  <c:v>-0.2</c:v>
                </c:pt>
                <c:pt idx="1256">
                  <c:v>1.6</c:v>
                </c:pt>
                <c:pt idx="1257">
                  <c:v>2.4</c:v>
                </c:pt>
                <c:pt idx="1258">
                  <c:v>-0.6</c:v>
                </c:pt>
                <c:pt idx="1259">
                  <c:v>0.6</c:v>
                </c:pt>
                <c:pt idx="1260">
                  <c:v>0.5</c:v>
                </c:pt>
                <c:pt idx="1261">
                  <c:v>-1.2</c:v>
                </c:pt>
                <c:pt idx="1262">
                  <c:v>2.7</c:v>
                </c:pt>
                <c:pt idx="1263">
                  <c:v>2.6</c:v>
                </c:pt>
                <c:pt idx="1264">
                  <c:v>2.9</c:v>
                </c:pt>
                <c:pt idx="1265">
                  <c:v>2.4</c:v>
                </c:pt>
                <c:pt idx="1266">
                  <c:v>0.8</c:v>
                </c:pt>
                <c:pt idx="1267">
                  <c:v>1</c:v>
                </c:pt>
                <c:pt idx="1268">
                  <c:v>5.4</c:v>
                </c:pt>
                <c:pt idx="1269">
                  <c:v>1.3</c:v>
                </c:pt>
                <c:pt idx="1270">
                  <c:v>2.2000000000000002</c:v>
                </c:pt>
                <c:pt idx="1271">
                  <c:v>0.2</c:v>
                </c:pt>
                <c:pt idx="1272">
                  <c:v>2.9</c:v>
                </c:pt>
                <c:pt idx="1273">
                  <c:v>4.8</c:v>
                </c:pt>
                <c:pt idx="1274">
                  <c:v>6.1</c:v>
                </c:pt>
                <c:pt idx="1275">
                  <c:v>3.9</c:v>
                </c:pt>
                <c:pt idx="1276">
                  <c:v>2.2000000000000002</c:v>
                </c:pt>
                <c:pt idx="1277">
                  <c:v>3.5</c:v>
                </c:pt>
                <c:pt idx="1278">
                  <c:v>3.6</c:v>
                </c:pt>
                <c:pt idx="1279">
                  <c:v>4.8</c:v>
                </c:pt>
                <c:pt idx="1280">
                  <c:v>2.7</c:v>
                </c:pt>
                <c:pt idx="1281">
                  <c:v>1.9</c:v>
                </c:pt>
                <c:pt idx="1282">
                  <c:v>6.4</c:v>
                </c:pt>
                <c:pt idx="1283">
                  <c:v>6.5</c:v>
                </c:pt>
                <c:pt idx="1284">
                  <c:v>2.8</c:v>
                </c:pt>
                <c:pt idx="1285">
                  <c:v>2.9</c:v>
                </c:pt>
                <c:pt idx="1286">
                  <c:v>5.9</c:v>
                </c:pt>
                <c:pt idx="1287">
                  <c:v>2.2999999999999998</c:v>
                </c:pt>
                <c:pt idx="1288">
                  <c:v>5.4</c:v>
                </c:pt>
                <c:pt idx="1289">
                  <c:v>4.2</c:v>
                </c:pt>
                <c:pt idx="1290">
                  <c:v>1.9</c:v>
                </c:pt>
                <c:pt idx="1291">
                  <c:v>3.6</c:v>
                </c:pt>
                <c:pt idx="1292">
                  <c:v>5</c:v>
                </c:pt>
                <c:pt idx="1293">
                  <c:v>6</c:v>
                </c:pt>
                <c:pt idx="1294">
                  <c:v>5.4</c:v>
                </c:pt>
                <c:pt idx="1295">
                  <c:v>3.1</c:v>
                </c:pt>
                <c:pt idx="1296">
                  <c:v>3.7</c:v>
                </c:pt>
                <c:pt idx="1297">
                  <c:v>4.4000000000000004</c:v>
                </c:pt>
                <c:pt idx="1298">
                  <c:v>3.8</c:v>
                </c:pt>
                <c:pt idx="1299">
                  <c:v>5</c:v>
                </c:pt>
                <c:pt idx="1300">
                  <c:v>5.2</c:v>
                </c:pt>
                <c:pt idx="1301">
                  <c:v>8.4</c:v>
                </c:pt>
                <c:pt idx="1302">
                  <c:v>6.8</c:v>
                </c:pt>
                <c:pt idx="1303">
                  <c:v>8.6999999999999993</c:v>
                </c:pt>
                <c:pt idx="1304">
                  <c:v>10.9</c:v>
                </c:pt>
                <c:pt idx="1305">
                  <c:v>8.9</c:v>
                </c:pt>
                <c:pt idx="1306">
                  <c:v>7.5</c:v>
                </c:pt>
                <c:pt idx="1307">
                  <c:v>8.8000000000000007</c:v>
                </c:pt>
                <c:pt idx="1308">
                  <c:v>7.3</c:v>
                </c:pt>
                <c:pt idx="1309">
                  <c:v>8.5</c:v>
                </c:pt>
                <c:pt idx="1310">
                  <c:v>9.3000000000000007</c:v>
                </c:pt>
                <c:pt idx="1311">
                  <c:v>2.6</c:v>
                </c:pt>
                <c:pt idx="1312">
                  <c:v>2.2999999999999998</c:v>
                </c:pt>
                <c:pt idx="1313">
                  <c:v>2.7</c:v>
                </c:pt>
                <c:pt idx="1314">
                  <c:v>4</c:v>
                </c:pt>
                <c:pt idx="1315">
                  <c:v>4.9000000000000004</c:v>
                </c:pt>
                <c:pt idx="1316">
                  <c:v>7.1</c:v>
                </c:pt>
                <c:pt idx="1317">
                  <c:v>10.9</c:v>
                </c:pt>
                <c:pt idx="1318">
                  <c:v>8.5</c:v>
                </c:pt>
                <c:pt idx="1319">
                  <c:v>8.6</c:v>
                </c:pt>
                <c:pt idx="1320">
                  <c:v>5</c:v>
                </c:pt>
                <c:pt idx="1321">
                  <c:v>1</c:v>
                </c:pt>
                <c:pt idx="1322">
                  <c:v>5</c:v>
                </c:pt>
                <c:pt idx="1323">
                  <c:v>6.4</c:v>
                </c:pt>
                <c:pt idx="1324">
                  <c:v>7.9</c:v>
                </c:pt>
                <c:pt idx="1325">
                  <c:v>8.4</c:v>
                </c:pt>
                <c:pt idx="1326">
                  <c:v>10.199999999999999</c:v>
                </c:pt>
                <c:pt idx="1327">
                  <c:v>9.4</c:v>
                </c:pt>
                <c:pt idx="1328">
                  <c:v>11.6</c:v>
                </c:pt>
                <c:pt idx="1329">
                  <c:v>7.5</c:v>
                </c:pt>
                <c:pt idx="1330">
                  <c:v>6.6</c:v>
                </c:pt>
                <c:pt idx="1331">
                  <c:v>7.7</c:v>
                </c:pt>
                <c:pt idx="1332">
                  <c:v>6.5</c:v>
                </c:pt>
                <c:pt idx="1333">
                  <c:v>11.3</c:v>
                </c:pt>
                <c:pt idx="1334">
                  <c:v>1.6</c:v>
                </c:pt>
                <c:pt idx="1335">
                  <c:v>0.7</c:v>
                </c:pt>
                <c:pt idx="1336">
                  <c:v>2.6</c:v>
                </c:pt>
                <c:pt idx="1337">
                  <c:v>6.3</c:v>
                </c:pt>
                <c:pt idx="1338">
                  <c:v>7.2</c:v>
                </c:pt>
                <c:pt idx="1339">
                  <c:v>8.5</c:v>
                </c:pt>
                <c:pt idx="1340">
                  <c:v>5.5</c:v>
                </c:pt>
                <c:pt idx="1341">
                  <c:v>9.3000000000000007</c:v>
                </c:pt>
                <c:pt idx="1342">
                  <c:v>4.8</c:v>
                </c:pt>
                <c:pt idx="1343">
                  <c:v>0.9</c:v>
                </c:pt>
                <c:pt idx="1344">
                  <c:v>0.1</c:v>
                </c:pt>
                <c:pt idx="1345">
                  <c:v>3.4</c:v>
                </c:pt>
                <c:pt idx="1346">
                  <c:v>2.2000000000000002</c:v>
                </c:pt>
                <c:pt idx="1347">
                  <c:v>-0.8</c:v>
                </c:pt>
                <c:pt idx="1348">
                  <c:v>-1.2</c:v>
                </c:pt>
                <c:pt idx="1349">
                  <c:v>1.4</c:v>
                </c:pt>
                <c:pt idx="1350">
                  <c:v>5.9</c:v>
                </c:pt>
                <c:pt idx="1351">
                  <c:v>6.4</c:v>
                </c:pt>
                <c:pt idx="1352">
                  <c:v>3.4</c:v>
                </c:pt>
                <c:pt idx="1353">
                  <c:v>2.8</c:v>
                </c:pt>
                <c:pt idx="1354">
                  <c:v>0.8</c:v>
                </c:pt>
                <c:pt idx="1355">
                  <c:v>-1.7</c:v>
                </c:pt>
                <c:pt idx="1356">
                  <c:v>0.1</c:v>
                </c:pt>
                <c:pt idx="1357">
                  <c:v>-1.4</c:v>
                </c:pt>
                <c:pt idx="1358">
                  <c:v>-1.2</c:v>
                </c:pt>
                <c:pt idx="1359">
                  <c:v>-2.2999999999999998</c:v>
                </c:pt>
                <c:pt idx="1360">
                  <c:v>-1.2</c:v>
                </c:pt>
                <c:pt idx="1361">
                  <c:v>2.5</c:v>
                </c:pt>
                <c:pt idx="1362">
                  <c:v>-1.6</c:v>
                </c:pt>
                <c:pt idx="1363">
                  <c:v>1.3</c:v>
                </c:pt>
                <c:pt idx="1364">
                  <c:v>2.9</c:v>
                </c:pt>
                <c:pt idx="1365">
                  <c:v>2.5</c:v>
                </c:pt>
                <c:pt idx="1366">
                  <c:v>2.4</c:v>
                </c:pt>
                <c:pt idx="1367">
                  <c:v>3.1</c:v>
                </c:pt>
                <c:pt idx="1368">
                  <c:v>2.2999999999999998</c:v>
                </c:pt>
                <c:pt idx="1369">
                  <c:v>2.6</c:v>
                </c:pt>
                <c:pt idx="1370">
                  <c:v>2.1</c:v>
                </c:pt>
                <c:pt idx="1371">
                  <c:v>2.7</c:v>
                </c:pt>
                <c:pt idx="1372">
                  <c:v>2</c:v>
                </c:pt>
                <c:pt idx="1373">
                  <c:v>2.1</c:v>
                </c:pt>
                <c:pt idx="1374">
                  <c:v>1.4</c:v>
                </c:pt>
                <c:pt idx="1375">
                  <c:v>2.4</c:v>
                </c:pt>
                <c:pt idx="1376">
                  <c:v>1.9</c:v>
                </c:pt>
                <c:pt idx="1377">
                  <c:v>-0.5</c:v>
                </c:pt>
                <c:pt idx="1378">
                  <c:v>-0.1</c:v>
                </c:pt>
                <c:pt idx="1379">
                  <c:v>0.3</c:v>
                </c:pt>
                <c:pt idx="1380">
                  <c:v>-0.9</c:v>
                </c:pt>
                <c:pt idx="1381">
                  <c:v>-1.6</c:v>
                </c:pt>
                <c:pt idx="1382">
                  <c:v>-0.1</c:v>
                </c:pt>
                <c:pt idx="1383">
                  <c:v>-1.1000000000000001</c:v>
                </c:pt>
                <c:pt idx="1384">
                  <c:v>-1</c:v>
                </c:pt>
                <c:pt idx="1385">
                  <c:v>-2.6</c:v>
                </c:pt>
                <c:pt idx="1386">
                  <c:v>-1.7</c:v>
                </c:pt>
                <c:pt idx="1387">
                  <c:v>-1</c:v>
                </c:pt>
                <c:pt idx="1388">
                  <c:v>3.4</c:v>
                </c:pt>
                <c:pt idx="1389">
                  <c:v>-2.4</c:v>
                </c:pt>
                <c:pt idx="1390">
                  <c:v>-3.9</c:v>
                </c:pt>
                <c:pt idx="1391">
                  <c:v>-2.7</c:v>
                </c:pt>
                <c:pt idx="1392">
                  <c:v>-2.2999999999999998</c:v>
                </c:pt>
                <c:pt idx="1393">
                  <c:v>-2.7</c:v>
                </c:pt>
                <c:pt idx="1394">
                  <c:v>-2.4</c:v>
                </c:pt>
                <c:pt idx="1395">
                  <c:v>-3.9</c:v>
                </c:pt>
                <c:pt idx="1396">
                  <c:v>-2.5</c:v>
                </c:pt>
                <c:pt idx="1397">
                  <c:v>-3.4</c:v>
                </c:pt>
                <c:pt idx="1398">
                  <c:v>-1</c:v>
                </c:pt>
                <c:pt idx="1399">
                  <c:v>-2.1</c:v>
                </c:pt>
                <c:pt idx="1400">
                  <c:v>-4.5</c:v>
                </c:pt>
                <c:pt idx="1401">
                  <c:v>-14.6</c:v>
                </c:pt>
                <c:pt idx="1402">
                  <c:v>-16.600000000000001</c:v>
                </c:pt>
                <c:pt idx="1403">
                  <c:v>-6</c:v>
                </c:pt>
                <c:pt idx="1404">
                  <c:v>-13.4</c:v>
                </c:pt>
                <c:pt idx="1405">
                  <c:v>-15.8</c:v>
                </c:pt>
                <c:pt idx="1406">
                  <c:v>-13.5</c:v>
                </c:pt>
                <c:pt idx="1407">
                  <c:v>-16.8</c:v>
                </c:pt>
                <c:pt idx="1408">
                  <c:v>-18.8</c:v>
                </c:pt>
                <c:pt idx="1409">
                  <c:v>-19</c:v>
                </c:pt>
                <c:pt idx="1410">
                  <c:v>-16.399999999999999</c:v>
                </c:pt>
                <c:pt idx="1411">
                  <c:v>-15.2</c:v>
                </c:pt>
                <c:pt idx="1412">
                  <c:v>-6.9</c:v>
                </c:pt>
                <c:pt idx="1413">
                  <c:v>-11</c:v>
                </c:pt>
                <c:pt idx="1414">
                  <c:v>-13.2</c:v>
                </c:pt>
                <c:pt idx="1415">
                  <c:v>-10.6</c:v>
                </c:pt>
                <c:pt idx="1416">
                  <c:v>-16.3</c:v>
                </c:pt>
                <c:pt idx="1417">
                  <c:v>-18.3</c:v>
                </c:pt>
                <c:pt idx="1418">
                  <c:v>-16.899999999999999</c:v>
                </c:pt>
                <c:pt idx="1419">
                  <c:v>-14.9</c:v>
                </c:pt>
                <c:pt idx="1420">
                  <c:v>-5.9</c:v>
                </c:pt>
                <c:pt idx="1421">
                  <c:v>-6.4</c:v>
                </c:pt>
                <c:pt idx="1422">
                  <c:v>-3.8</c:v>
                </c:pt>
                <c:pt idx="1423">
                  <c:v>-5.4</c:v>
                </c:pt>
                <c:pt idx="1424">
                  <c:v>-9</c:v>
                </c:pt>
                <c:pt idx="1425">
                  <c:v>-9.4</c:v>
                </c:pt>
                <c:pt idx="1426">
                  <c:v>-11.3</c:v>
                </c:pt>
                <c:pt idx="1427">
                  <c:v>-18</c:v>
                </c:pt>
                <c:pt idx="1428">
                  <c:v>-24.1</c:v>
                </c:pt>
                <c:pt idx="1429">
                  <c:v>-11.9</c:v>
                </c:pt>
                <c:pt idx="1430">
                  <c:v>-27.1</c:v>
                </c:pt>
                <c:pt idx="1431">
                  <c:v>-26.4</c:v>
                </c:pt>
                <c:pt idx="1432">
                  <c:v>-19</c:v>
                </c:pt>
                <c:pt idx="1433">
                  <c:v>-20</c:v>
                </c:pt>
                <c:pt idx="1434">
                  <c:v>-15.2</c:v>
                </c:pt>
                <c:pt idx="1435">
                  <c:v>-13</c:v>
                </c:pt>
                <c:pt idx="1436">
                  <c:v>-15.8</c:v>
                </c:pt>
                <c:pt idx="1437">
                  <c:v>-10.8</c:v>
                </c:pt>
                <c:pt idx="1438">
                  <c:v>-17.100000000000001</c:v>
                </c:pt>
                <c:pt idx="1439">
                  <c:v>-7.5</c:v>
                </c:pt>
                <c:pt idx="1440">
                  <c:v>-6</c:v>
                </c:pt>
                <c:pt idx="1441">
                  <c:v>-13.9</c:v>
                </c:pt>
                <c:pt idx="1442">
                  <c:v>-10.3</c:v>
                </c:pt>
                <c:pt idx="1443">
                  <c:v>-11.4</c:v>
                </c:pt>
                <c:pt idx="1444">
                  <c:v>-11.7</c:v>
                </c:pt>
                <c:pt idx="1445">
                  <c:v>-12.7</c:v>
                </c:pt>
                <c:pt idx="1446">
                  <c:v>-16</c:v>
                </c:pt>
                <c:pt idx="1447">
                  <c:v>-27.1</c:v>
                </c:pt>
                <c:pt idx="1448">
                  <c:v>-27.2</c:v>
                </c:pt>
                <c:pt idx="1449">
                  <c:v>-26.9</c:v>
                </c:pt>
                <c:pt idx="1450">
                  <c:v>-33.9</c:v>
                </c:pt>
                <c:pt idx="1451">
                  <c:v>-35.6</c:v>
                </c:pt>
                <c:pt idx="1452">
                  <c:v>-21.4</c:v>
                </c:pt>
                <c:pt idx="1453">
                  <c:v>-13.4</c:v>
                </c:pt>
                <c:pt idx="1454">
                  <c:v>-4.5999999999999996</c:v>
                </c:pt>
                <c:pt idx="1455">
                  <c:v>-1.2</c:v>
                </c:pt>
                <c:pt idx="1456">
                  <c:v>-1</c:v>
                </c:pt>
                <c:pt idx="1457">
                  <c:v>-12.1</c:v>
                </c:pt>
                <c:pt idx="1458">
                  <c:v>-16.5</c:v>
                </c:pt>
                <c:pt idx="1459">
                  <c:v>-6.1</c:v>
                </c:pt>
                <c:pt idx="1460">
                  <c:v>-5.9</c:v>
                </c:pt>
                <c:pt idx="1461">
                  <c:v>-13.7</c:v>
                </c:pt>
                <c:pt idx="1462">
                  <c:v>-14.2</c:v>
                </c:pt>
                <c:pt idx="1463">
                  <c:v>-9.6999999999999993</c:v>
                </c:pt>
                <c:pt idx="1464">
                  <c:v>-8.8000000000000007</c:v>
                </c:pt>
                <c:pt idx="1465">
                  <c:v>-5</c:v>
                </c:pt>
                <c:pt idx="1466">
                  <c:v>-5.3</c:v>
                </c:pt>
                <c:pt idx="1467">
                  <c:v>-3</c:v>
                </c:pt>
                <c:pt idx="1468">
                  <c:v>-4.8</c:v>
                </c:pt>
                <c:pt idx="1469">
                  <c:v>-8.4</c:v>
                </c:pt>
                <c:pt idx="1470">
                  <c:v>-8.6</c:v>
                </c:pt>
                <c:pt idx="1471">
                  <c:v>-11.5</c:v>
                </c:pt>
                <c:pt idx="1472">
                  <c:v>-2.8</c:v>
                </c:pt>
                <c:pt idx="1473">
                  <c:v>-0.5</c:v>
                </c:pt>
                <c:pt idx="1474">
                  <c:v>-0.8</c:v>
                </c:pt>
                <c:pt idx="1475">
                  <c:v>-1.9</c:v>
                </c:pt>
                <c:pt idx="1476">
                  <c:v>-8.5</c:v>
                </c:pt>
                <c:pt idx="1477">
                  <c:v>-12.5</c:v>
                </c:pt>
                <c:pt idx="1478">
                  <c:v>-5.5</c:v>
                </c:pt>
                <c:pt idx="1479">
                  <c:v>-13.2</c:v>
                </c:pt>
                <c:pt idx="1480">
                  <c:v>-14</c:v>
                </c:pt>
                <c:pt idx="1481">
                  <c:v>-11.9</c:v>
                </c:pt>
                <c:pt idx="1482">
                  <c:v>-14.7</c:v>
                </c:pt>
                <c:pt idx="1483">
                  <c:v>-10.199999999999999</c:v>
                </c:pt>
                <c:pt idx="1484">
                  <c:v>-9.6999999999999993</c:v>
                </c:pt>
                <c:pt idx="1485">
                  <c:v>-1.2</c:v>
                </c:pt>
                <c:pt idx="1486">
                  <c:v>-1.3</c:v>
                </c:pt>
                <c:pt idx="1487">
                  <c:v>-5.5</c:v>
                </c:pt>
                <c:pt idx="1488">
                  <c:v>-15.6</c:v>
                </c:pt>
                <c:pt idx="1489">
                  <c:v>-21</c:v>
                </c:pt>
                <c:pt idx="1490">
                  <c:v>-23.1</c:v>
                </c:pt>
                <c:pt idx="1491">
                  <c:v>-14.1</c:v>
                </c:pt>
                <c:pt idx="1492">
                  <c:v>-12.4</c:v>
                </c:pt>
                <c:pt idx="1493">
                  <c:v>-8.3000000000000007</c:v>
                </c:pt>
                <c:pt idx="1494">
                  <c:v>-8.5</c:v>
                </c:pt>
                <c:pt idx="1495">
                  <c:v>-7.8</c:v>
                </c:pt>
                <c:pt idx="1496">
                  <c:v>-2.8</c:v>
                </c:pt>
                <c:pt idx="1497">
                  <c:v>-5.3</c:v>
                </c:pt>
                <c:pt idx="1498">
                  <c:v>-5</c:v>
                </c:pt>
                <c:pt idx="1499">
                  <c:v>-13.1</c:v>
                </c:pt>
                <c:pt idx="1500">
                  <c:v>-8.1999999999999993</c:v>
                </c:pt>
                <c:pt idx="1501">
                  <c:v>-12.5</c:v>
                </c:pt>
                <c:pt idx="1502">
                  <c:v>-14.8</c:v>
                </c:pt>
                <c:pt idx="1503">
                  <c:v>-10.9</c:v>
                </c:pt>
                <c:pt idx="1504">
                  <c:v>-7.2</c:v>
                </c:pt>
                <c:pt idx="1505">
                  <c:v>-15.6</c:v>
                </c:pt>
                <c:pt idx="1506">
                  <c:v>-18.8</c:v>
                </c:pt>
                <c:pt idx="1507">
                  <c:v>-12.4</c:v>
                </c:pt>
                <c:pt idx="1508">
                  <c:v>-6.8</c:v>
                </c:pt>
                <c:pt idx="1509">
                  <c:v>-11</c:v>
                </c:pt>
                <c:pt idx="1510">
                  <c:v>-9.1999999999999993</c:v>
                </c:pt>
                <c:pt idx="1511">
                  <c:v>-2.4</c:v>
                </c:pt>
                <c:pt idx="1512">
                  <c:v>-14.3</c:v>
                </c:pt>
                <c:pt idx="1513">
                  <c:v>-18.899999999999999</c:v>
                </c:pt>
                <c:pt idx="1514">
                  <c:v>-20.7</c:v>
                </c:pt>
                <c:pt idx="1515">
                  <c:v>-28.4</c:v>
                </c:pt>
                <c:pt idx="1516">
                  <c:v>-18.2</c:v>
                </c:pt>
                <c:pt idx="1517">
                  <c:v>-16.399999999999999</c:v>
                </c:pt>
                <c:pt idx="1518">
                  <c:v>-20.399999999999999</c:v>
                </c:pt>
                <c:pt idx="1519">
                  <c:v>-10</c:v>
                </c:pt>
                <c:pt idx="1520">
                  <c:v>-9.3000000000000007</c:v>
                </c:pt>
                <c:pt idx="1521">
                  <c:v>-8.1999999999999993</c:v>
                </c:pt>
                <c:pt idx="1522">
                  <c:v>-13.2</c:v>
                </c:pt>
                <c:pt idx="1523">
                  <c:v>-13.2</c:v>
                </c:pt>
                <c:pt idx="1524">
                  <c:v>-14.6</c:v>
                </c:pt>
                <c:pt idx="1525">
                  <c:v>-16.2</c:v>
                </c:pt>
                <c:pt idx="1526">
                  <c:v>-11.8</c:v>
                </c:pt>
                <c:pt idx="1527">
                  <c:v>-13.2</c:v>
                </c:pt>
                <c:pt idx="1528">
                  <c:v>-14</c:v>
                </c:pt>
                <c:pt idx="1529">
                  <c:v>-11.1</c:v>
                </c:pt>
                <c:pt idx="1530">
                  <c:v>-12.6</c:v>
                </c:pt>
                <c:pt idx="1531">
                  <c:v>-11.4</c:v>
                </c:pt>
                <c:pt idx="1532">
                  <c:v>-8.4</c:v>
                </c:pt>
                <c:pt idx="1533">
                  <c:v>-15.8</c:v>
                </c:pt>
                <c:pt idx="1534">
                  <c:v>-16.399999999999999</c:v>
                </c:pt>
                <c:pt idx="1535">
                  <c:v>-16.7</c:v>
                </c:pt>
                <c:pt idx="1536">
                  <c:v>-11</c:v>
                </c:pt>
                <c:pt idx="1537">
                  <c:v>-8.1</c:v>
                </c:pt>
                <c:pt idx="1538">
                  <c:v>-10.8</c:v>
                </c:pt>
                <c:pt idx="1539">
                  <c:v>-7.9</c:v>
                </c:pt>
                <c:pt idx="1540">
                  <c:v>-10.9</c:v>
                </c:pt>
                <c:pt idx="1541">
                  <c:v>-11.5</c:v>
                </c:pt>
                <c:pt idx="1542">
                  <c:v>-10.6</c:v>
                </c:pt>
                <c:pt idx="1543">
                  <c:v>-12.9</c:v>
                </c:pt>
                <c:pt idx="1544">
                  <c:v>-14.6</c:v>
                </c:pt>
                <c:pt idx="1545">
                  <c:v>-11.7</c:v>
                </c:pt>
                <c:pt idx="1546">
                  <c:v>-11.7</c:v>
                </c:pt>
                <c:pt idx="1547">
                  <c:v>-14.9</c:v>
                </c:pt>
                <c:pt idx="1548">
                  <c:v>-13.9</c:v>
                </c:pt>
                <c:pt idx="1549">
                  <c:v>-10.4</c:v>
                </c:pt>
                <c:pt idx="1550">
                  <c:v>-9.1</c:v>
                </c:pt>
                <c:pt idx="1551">
                  <c:v>-7.2</c:v>
                </c:pt>
                <c:pt idx="1552">
                  <c:v>-16</c:v>
                </c:pt>
                <c:pt idx="1553">
                  <c:v>-16.3</c:v>
                </c:pt>
                <c:pt idx="1554">
                  <c:v>-15.2</c:v>
                </c:pt>
                <c:pt idx="1555">
                  <c:v>-16.100000000000001</c:v>
                </c:pt>
                <c:pt idx="1556">
                  <c:v>-8.1</c:v>
                </c:pt>
                <c:pt idx="1557">
                  <c:v>-0.8</c:v>
                </c:pt>
                <c:pt idx="1558">
                  <c:v>-3.3</c:v>
                </c:pt>
                <c:pt idx="1559">
                  <c:v>-1.2</c:v>
                </c:pt>
                <c:pt idx="1560">
                  <c:v>-0.7</c:v>
                </c:pt>
                <c:pt idx="1561">
                  <c:v>-8.9</c:v>
                </c:pt>
                <c:pt idx="1562">
                  <c:v>-12.2</c:v>
                </c:pt>
                <c:pt idx="1563">
                  <c:v>-12.2</c:v>
                </c:pt>
                <c:pt idx="1564">
                  <c:v>-9.8000000000000007</c:v>
                </c:pt>
                <c:pt idx="1565">
                  <c:v>-6.5</c:v>
                </c:pt>
                <c:pt idx="1566">
                  <c:v>-3.7</c:v>
                </c:pt>
                <c:pt idx="1567">
                  <c:v>-9.8000000000000007</c:v>
                </c:pt>
                <c:pt idx="1568">
                  <c:v>-9.5</c:v>
                </c:pt>
                <c:pt idx="1569">
                  <c:v>-12.8</c:v>
                </c:pt>
                <c:pt idx="1570">
                  <c:v>-12</c:v>
                </c:pt>
                <c:pt idx="1571">
                  <c:v>-5.5</c:v>
                </c:pt>
                <c:pt idx="1572">
                  <c:v>-6</c:v>
                </c:pt>
                <c:pt idx="1573">
                  <c:v>-0.3</c:v>
                </c:pt>
                <c:pt idx="1574">
                  <c:v>-3.4</c:v>
                </c:pt>
                <c:pt idx="1575">
                  <c:v>-6.2</c:v>
                </c:pt>
                <c:pt idx="1576">
                  <c:v>-3.2</c:v>
                </c:pt>
                <c:pt idx="1577">
                  <c:v>-1.8</c:v>
                </c:pt>
                <c:pt idx="1578">
                  <c:v>-1.9</c:v>
                </c:pt>
                <c:pt idx="1579">
                  <c:v>-2</c:v>
                </c:pt>
                <c:pt idx="1580">
                  <c:v>-0.6</c:v>
                </c:pt>
                <c:pt idx="1581">
                  <c:v>1</c:v>
                </c:pt>
                <c:pt idx="1582">
                  <c:v>2</c:v>
                </c:pt>
                <c:pt idx="1583">
                  <c:v>1.5</c:v>
                </c:pt>
                <c:pt idx="1584">
                  <c:v>0.3</c:v>
                </c:pt>
                <c:pt idx="1585">
                  <c:v>3.1</c:v>
                </c:pt>
                <c:pt idx="1586">
                  <c:v>-0.4</c:v>
                </c:pt>
                <c:pt idx="1587">
                  <c:v>-0.3</c:v>
                </c:pt>
                <c:pt idx="1588">
                  <c:v>-1.2</c:v>
                </c:pt>
                <c:pt idx="1589">
                  <c:v>-2.5</c:v>
                </c:pt>
                <c:pt idx="1590">
                  <c:v>-1.5</c:v>
                </c:pt>
                <c:pt idx="1591">
                  <c:v>-2.1</c:v>
                </c:pt>
                <c:pt idx="1592">
                  <c:v>-1.4</c:v>
                </c:pt>
                <c:pt idx="1593">
                  <c:v>-0.6</c:v>
                </c:pt>
                <c:pt idx="1594">
                  <c:v>-0.1</c:v>
                </c:pt>
                <c:pt idx="1595">
                  <c:v>1.8</c:v>
                </c:pt>
                <c:pt idx="1596">
                  <c:v>2.2999999999999998</c:v>
                </c:pt>
                <c:pt idx="1597">
                  <c:v>1.9</c:v>
                </c:pt>
                <c:pt idx="1598">
                  <c:v>2.7</c:v>
                </c:pt>
                <c:pt idx="1599">
                  <c:v>3.9</c:v>
                </c:pt>
                <c:pt idx="1600">
                  <c:v>5.2</c:v>
                </c:pt>
                <c:pt idx="1601">
                  <c:v>4.3</c:v>
                </c:pt>
                <c:pt idx="1602">
                  <c:v>1</c:v>
                </c:pt>
                <c:pt idx="1603">
                  <c:v>2.2999999999999998</c:v>
                </c:pt>
                <c:pt idx="1604">
                  <c:v>2.2000000000000002</c:v>
                </c:pt>
                <c:pt idx="1605">
                  <c:v>1.5</c:v>
                </c:pt>
                <c:pt idx="1606">
                  <c:v>0.2</c:v>
                </c:pt>
                <c:pt idx="1607">
                  <c:v>2.9</c:v>
                </c:pt>
                <c:pt idx="1608">
                  <c:v>0.9</c:v>
                </c:pt>
                <c:pt idx="1609">
                  <c:v>0.7</c:v>
                </c:pt>
                <c:pt idx="1610">
                  <c:v>0.1</c:v>
                </c:pt>
                <c:pt idx="1611">
                  <c:v>-1.7</c:v>
                </c:pt>
                <c:pt idx="1612">
                  <c:v>1</c:v>
                </c:pt>
                <c:pt idx="1613">
                  <c:v>-0.5</c:v>
                </c:pt>
                <c:pt idx="1614">
                  <c:v>-0.3</c:v>
                </c:pt>
                <c:pt idx="1615">
                  <c:v>2</c:v>
                </c:pt>
                <c:pt idx="1616">
                  <c:v>-0.5</c:v>
                </c:pt>
                <c:pt idx="1617">
                  <c:v>2.8</c:v>
                </c:pt>
                <c:pt idx="1618">
                  <c:v>0.5</c:v>
                </c:pt>
                <c:pt idx="1619">
                  <c:v>4.0999999999999996</c:v>
                </c:pt>
                <c:pt idx="1620">
                  <c:v>9</c:v>
                </c:pt>
                <c:pt idx="1621">
                  <c:v>9.6</c:v>
                </c:pt>
                <c:pt idx="1622">
                  <c:v>9.3000000000000007</c:v>
                </c:pt>
                <c:pt idx="1623">
                  <c:v>8.5</c:v>
                </c:pt>
                <c:pt idx="1624">
                  <c:v>4.8</c:v>
                </c:pt>
                <c:pt idx="1625">
                  <c:v>4</c:v>
                </c:pt>
                <c:pt idx="1626">
                  <c:v>1.5</c:v>
                </c:pt>
                <c:pt idx="1627">
                  <c:v>1.9</c:v>
                </c:pt>
                <c:pt idx="1628">
                  <c:v>1</c:v>
                </c:pt>
                <c:pt idx="1629">
                  <c:v>1.1000000000000001</c:v>
                </c:pt>
                <c:pt idx="1630">
                  <c:v>0.3</c:v>
                </c:pt>
                <c:pt idx="1631">
                  <c:v>-0.4</c:v>
                </c:pt>
                <c:pt idx="1632">
                  <c:v>-1.2</c:v>
                </c:pt>
                <c:pt idx="1633">
                  <c:v>1.6</c:v>
                </c:pt>
                <c:pt idx="1634">
                  <c:v>0.1</c:v>
                </c:pt>
                <c:pt idx="1635">
                  <c:v>3.1</c:v>
                </c:pt>
                <c:pt idx="1636">
                  <c:v>5.0999999999999996</c:v>
                </c:pt>
                <c:pt idx="1637">
                  <c:v>3.6</c:v>
                </c:pt>
                <c:pt idx="1638">
                  <c:v>5.3</c:v>
                </c:pt>
                <c:pt idx="1639">
                  <c:v>4.9000000000000004</c:v>
                </c:pt>
                <c:pt idx="1640">
                  <c:v>7.8</c:v>
                </c:pt>
                <c:pt idx="1641">
                  <c:v>5.7</c:v>
                </c:pt>
                <c:pt idx="1642">
                  <c:v>4.9000000000000004</c:v>
                </c:pt>
                <c:pt idx="1643">
                  <c:v>1.9</c:v>
                </c:pt>
                <c:pt idx="1644">
                  <c:v>-0.5</c:v>
                </c:pt>
                <c:pt idx="1645">
                  <c:v>2.7</c:v>
                </c:pt>
                <c:pt idx="1646">
                  <c:v>3.1</c:v>
                </c:pt>
                <c:pt idx="1647">
                  <c:v>4.8</c:v>
                </c:pt>
                <c:pt idx="1648">
                  <c:v>5.8</c:v>
                </c:pt>
                <c:pt idx="1649">
                  <c:v>5.4</c:v>
                </c:pt>
                <c:pt idx="1650">
                  <c:v>6.3</c:v>
                </c:pt>
                <c:pt idx="1651">
                  <c:v>4.4000000000000004</c:v>
                </c:pt>
                <c:pt idx="1652">
                  <c:v>8.1999999999999993</c:v>
                </c:pt>
                <c:pt idx="1653">
                  <c:v>5.9</c:v>
                </c:pt>
                <c:pt idx="1654">
                  <c:v>3</c:v>
                </c:pt>
                <c:pt idx="1655">
                  <c:v>6</c:v>
                </c:pt>
                <c:pt idx="1656">
                  <c:v>7.5</c:v>
                </c:pt>
                <c:pt idx="1657">
                  <c:v>5.7</c:v>
                </c:pt>
                <c:pt idx="1658">
                  <c:v>2.2999999999999998</c:v>
                </c:pt>
                <c:pt idx="1659">
                  <c:v>1.1000000000000001</c:v>
                </c:pt>
                <c:pt idx="1660">
                  <c:v>3.7</c:v>
                </c:pt>
                <c:pt idx="1661">
                  <c:v>7</c:v>
                </c:pt>
                <c:pt idx="1662">
                  <c:v>8.3000000000000007</c:v>
                </c:pt>
                <c:pt idx="1663">
                  <c:v>4.4000000000000004</c:v>
                </c:pt>
                <c:pt idx="1664">
                  <c:v>5.3</c:v>
                </c:pt>
                <c:pt idx="1665">
                  <c:v>6.3</c:v>
                </c:pt>
                <c:pt idx="1666">
                  <c:v>2.4</c:v>
                </c:pt>
                <c:pt idx="1667">
                  <c:v>-0.9</c:v>
                </c:pt>
                <c:pt idx="1668">
                  <c:v>0.9</c:v>
                </c:pt>
                <c:pt idx="1669">
                  <c:v>7.5</c:v>
                </c:pt>
                <c:pt idx="1670">
                  <c:v>5.7</c:v>
                </c:pt>
                <c:pt idx="1671">
                  <c:v>4.0999999999999996</c:v>
                </c:pt>
                <c:pt idx="1672">
                  <c:v>0.6</c:v>
                </c:pt>
                <c:pt idx="1673">
                  <c:v>1.1000000000000001</c:v>
                </c:pt>
                <c:pt idx="1674">
                  <c:v>3.3</c:v>
                </c:pt>
                <c:pt idx="1675">
                  <c:v>3.3</c:v>
                </c:pt>
                <c:pt idx="1676">
                  <c:v>4.5</c:v>
                </c:pt>
                <c:pt idx="1677">
                  <c:v>4.9000000000000004</c:v>
                </c:pt>
                <c:pt idx="1678">
                  <c:v>7.4</c:v>
                </c:pt>
                <c:pt idx="1679">
                  <c:v>7.6</c:v>
                </c:pt>
                <c:pt idx="1680">
                  <c:v>6.5</c:v>
                </c:pt>
                <c:pt idx="1681">
                  <c:v>8.9</c:v>
                </c:pt>
                <c:pt idx="1682">
                  <c:v>3.3</c:v>
                </c:pt>
                <c:pt idx="1683">
                  <c:v>2.2999999999999998</c:v>
                </c:pt>
                <c:pt idx="1684">
                  <c:v>5.8</c:v>
                </c:pt>
                <c:pt idx="1685">
                  <c:v>7.1</c:v>
                </c:pt>
                <c:pt idx="1686">
                  <c:v>8</c:v>
                </c:pt>
                <c:pt idx="1687">
                  <c:v>9.6999999999999993</c:v>
                </c:pt>
                <c:pt idx="1688">
                  <c:v>10.6</c:v>
                </c:pt>
                <c:pt idx="1689">
                  <c:v>8.5</c:v>
                </c:pt>
                <c:pt idx="1690">
                  <c:v>3.5</c:v>
                </c:pt>
                <c:pt idx="1691">
                  <c:v>-0.9</c:v>
                </c:pt>
                <c:pt idx="1692">
                  <c:v>1.8</c:v>
                </c:pt>
                <c:pt idx="1693">
                  <c:v>2.9</c:v>
                </c:pt>
                <c:pt idx="1694">
                  <c:v>7.5</c:v>
                </c:pt>
                <c:pt idx="1695">
                  <c:v>2.2000000000000002</c:v>
                </c:pt>
                <c:pt idx="1696">
                  <c:v>3.4</c:v>
                </c:pt>
                <c:pt idx="1697">
                  <c:v>2.4</c:v>
                </c:pt>
                <c:pt idx="1698">
                  <c:v>3.6</c:v>
                </c:pt>
                <c:pt idx="1699">
                  <c:v>5</c:v>
                </c:pt>
                <c:pt idx="1700">
                  <c:v>6.5</c:v>
                </c:pt>
                <c:pt idx="1701">
                  <c:v>7.4</c:v>
                </c:pt>
                <c:pt idx="1702">
                  <c:v>5.4</c:v>
                </c:pt>
                <c:pt idx="1703">
                  <c:v>5.4</c:v>
                </c:pt>
                <c:pt idx="1704">
                  <c:v>4.5</c:v>
                </c:pt>
                <c:pt idx="1705">
                  <c:v>2.8</c:v>
                </c:pt>
                <c:pt idx="1706">
                  <c:v>6.3</c:v>
                </c:pt>
                <c:pt idx="1707">
                  <c:v>3.2</c:v>
                </c:pt>
                <c:pt idx="1708">
                  <c:v>3.2</c:v>
                </c:pt>
                <c:pt idx="1709">
                  <c:v>3.3</c:v>
                </c:pt>
                <c:pt idx="1710">
                  <c:v>1</c:v>
                </c:pt>
                <c:pt idx="1711">
                  <c:v>1.7</c:v>
                </c:pt>
                <c:pt idx="1712">
                  <c:v>1</c:v>
                </c:pt>
                <c:pt idx="1713">
                  <c:v>2.4</c:v>
                </c:pt>
                <c:pt idx="1714">
                  <c:v>6.7</c:v>
                </c:pt>
                <c:pt idx="1715">
                  <c:v>2.7</c:v>
                </c:pt>
                <c:pt idx="1716">
                  <c:v>1.3</c:v>
                </c:pt>
                <c:pt idx="1717">
                  <c:v>-0.2</c:v>
                </c:pt>
                <c:pt idx="1718">
                  <c:v>0.4</c:v>
                </c:pt>
                <c:pt idx="1719">
                  <c:v>0.7</c:v>
                </c:pt>
                <c:pt idx="1720">
                  <c:v>5.2</c:v>
                </c:pt>
                <c:pt idx="1721">
                  <c:v>-3</c:v>
                </c:pt>
                <c:pt idx="1722">
                  <c:v>-3.4</c:v>
                </c:pt>
                <c:pt idx="1723">
                  <c:v>0.4</c:v>
                </c:pt>
                <c:pt idx="1724">
                  <c:v>-0.6</c:v>
                </c:pt>
                <c:pt idx="1725">
                  <c:v>-1.2</c:v>
                </c:pt>
                <c:pt idx="1726">
                  <c:v>4.9000000000000004</c:v>
                </c:pt>
                <c:pt idx="1727">
                  <c:v>1.8</c:v>
                </c:pt>
                <c:pt idx="1728">
                  <c:v>5.7</c:v>
                </c:pt>
                <c:pt idx="1729">
                  <c:v>0.3</c:v>
                </c:pt>
                <c:pt idx="1730">
                  <c:v>0.3</c:v>
                </c:pt>
                <c:pt idx="1731">
                  <c:v>-0.1</c:v>
                </c:pt>
                <c:pt idx="1732">
                  <c:v>-2.2999999999999998</c:v>
                </c:pt>
                <c:pt idx="1733">
                  <c:v>0.6</c:v>
                </c:pt>
                <c:pt idx="1734">
                  <c:v>-0.4</c:v>
                </c:pt>
                <c:pt idx="1735">
                  <c:v>-1.2</c:v>
                </c:pt>
                <c:pt idx="1736">
                  <c:v>1.8</c:v>
                </c:pt>
                <c:pt idx="1737">
                  <c:v>4.9000000000000004</c:v>
                </c:pt>
                <c:pt idx="1738">
                  <c:v>0.7</c:v>
                </c:pt>
                <c:pt idx="1739">
                  <c:v>-0.9</c:v>
                </c:pt>
                <c:pt idx="1740">
                  <c:v>0.4</c:v>
                </c:pt>
                <c:pt idx="1741">
                  <c:v>1.9</c:v>
                </c:pt>
                <c:pt idx="1742">
                  <c:v>3.2</c:v>
                </c:pt>
                <c:pt idx="1743">
                  <c:v>3.4</c:v>
                </c:pt>
                <c:pt idx="1744">
                  <c:v>-2.2000000000000002</c:v>
                </c:pt>
                <c:pt idx="1745">
                  <c:v>-3.1</c:v>
                </c:pt>
                <c:pt idx="1746">
                  <c:v>0.3</c:v>
                </c:pt>
                <c:pt idx="1747">
                  <c:v>2.8</c:v>
                </c:pt>
                <c:pt idx="1748">
                  <c:v>0</c:v>
                </c:pt>
                <c:pt idx="1749">
                  <c:v>0.6</c:v>
                </c:pt>
                <c:pt idx="1750">
                  <c:v>0.5</c:v>
                </c:pt>
                <c:pt idx="1751">
                  <c:v>2.4</c:v>
                </c:pt>
                <c:pt idx="1752">
                  <c:v>-0.6</c:v>
                </c:pt>
                <c:pt idx="1753">
                  <c:v>-1.4</c:v>
                </c:pt>
                <c:pt idx="1754">
                  <c:v>-1.1000000000000001</c:v>
                </c:pt>
                <c:pt idx="1755">
                  <c:v>-3.4</c:v>
                </c:pt>
                <c:pt idx="1756">
                  <c:v>-3.5</c:v>
                </c:pt>
                <c:pt idx="1757">
                  <c:v>-4</c:v>
                </c:pt>
                <c:pt idx="1758">
                  <c:v>-8.4</c:v>
                </c:pt>
                <c:pt idx="1759">
                  <c:v>-11.9</c:v>
                </c:pt>
                <c:pt idx="1760">
                  <c:v>-17</c:v>
                </c:pt>
                <c:pt idx="1761">
                  <c:v>-17.7</c:v>
                </c:pt>
                <c:pt idx="1762">
                  <c:v>-14.7</c:v>
                </c:pt>
                <c:pt idx="1763">
                  <c:v>-10.9</c:v>
                </c:pt>
                <c:pt idx="1764">
                  <c:v>-10.5</c:v>
                </c:pt>
                <c:pt idx="1765">
                  <c:v>-9.1</c:v>
                </c:pt>
                <c:pt idx="1766">
                  <c:v>-1.7</c:v>
                </c:pt>
                <c:pt idx="1767">
                  <c:v>-0.9</c:v>
                </c:pt>
                <c:pt idx="1768">
                  <c:v>-0.6</c:v>
                </c:pt>
                <c:pt idx="1769">
                  <c:v>-1.6</c:v>
                </c:pt>
                <c:pt idx="1770">
                  <c:v>-0.5</c:v>
                </c:pt>
                <c:pt idx="1771">
                  <c:v>-5.5</c:v>
                </c:pt>
                <c:pt idx="1772">
                  <c:v>-7.2</c:v>
                </c:pt>
                <c:pt idx="1773">
                  <c:v>-8.5</c:v>
                </c:pt>
                <c:pt idx="1774">
                  <c:v>-3.8</c:v>
                </c:pt>
                <c:pt idx="1775">
                  <c:v>-3.3</c:v>
                </c:pt>
                <c:pt idx="1776">
                  <c:v>-8.4</c:v>
                </c:pt>
                <c:pt idx="1777">
                  <c:v>-8.5</c:v>
                </c:pt>
                <c:pt idx="1778">
                  <c:v>-14.2</c:v>
                </c:pt>
                <c:pt idx="1779">
                  <c:v>-8.1</c:v>
                </c:pt>
                <c:pt idx="1780">
                  <c:v>-14.4</c:v>
                </c:pt>
                <c:pt idx="1781">
                  <c:v>-10.5</c:v>
                </c:pt>
                <c:pt idx="1782">
                  <c:v>-6.2</c:v>
                </c:pt>
                <c:pt idx="1783">
                  <c:v>-7.6</c:v>
                </c:pt>
                <c:pt idx="1784">
                  <c:v>-11.8</c:v>
                </c:pt>
                <c:pt idx="1785">
                  <c:v>-5.7</c:v>
                </c:pt>
                <c:pt idx="1786">
                  <c:v>-8</c:v>
                </c:pt>
                <c:pt idx="1787">
                  <c:v>-9.6</c:v>
                </c:pt>
                <c:pt idx="1788">
                  <c:v>-11.8</c:v>
                </c:pt>
                <c:pt idx="1789">
                  <c:v>-3.8</c:v>
                </c:pt>
                <c:pt idx="1790">
                  <c:v>-4.8</c:v>
                </c:pt>
                <c:pt idx="1791">
                  <c:v>-12.4</c:v>
                </c:pt>
                <c:pt idx="1792">
                  <c:v>-15</c:v>
                </c:pt>
                <c:pt idx="1793">
                  <c:v>-16.5</c:v>
                </c:pt>
                <c:pt idx="1794">
                  <c:v>-15.8</c:v>
                </c:pt>
                <c:pt idx="1795">
                  <c:v>-11.1</c:v>
                </c:pt>
                <c:pt idx="1796">
                  <c:v>-9.3000000000000007</c:v>
                </c:pt>
                <c:pt idx="1797">
                  <c:v>-11</c:v>
                </c:pt>
                <c:pt idx="1798">
                  <c:v>-5.8</c:v>
                </c:pt>
                <c:pt idx="1799">
                  <c:v>-0.3</c:v>
                </c:pt>
                <c:pt idx="1800">
                  <c:v>-1.1000000000000001</c:v>
                </c:pt>
                <c:pt idx="1801">
                  <c:v>-5.0999999999999996</c:v>
                </c:pt>
                <c:pt idx="1802">
                  <c:v>-14.9</c:v>
                </c:pt>
                <c:pt idx="1803">
                  <c:v>-15.6</c:v>
                </c:pt>
                <c:pt idx="1804">
                  <c:v>-6.1</c:v>
                </c:pt>
                <c:pt idx="1805">
                  <c:v>-14.5</c:v>
                </c:pt>
                <c:pt idx="1806">
                  <c:v>-14.8</c:v>
                </c:pt>
                <c:pt idx="1807">
                  <c:v>-7.3</c:v>
                </c:pt>
                <c:pt idx="1808">
                  <c:v>-6.5</c:v>
                </c:pt>
                <c:pt idx="1809">
                  <c:v>-4.5</c:v>
                </c:pt>
                <c:pt idx="1810">
                  <c:v>-4.3</c:v>
                </c:pt>
                <c:pt idx="1811">
                  <c:v>-2.8</c:v>
                </c:pt>
                <c:pt idx="1812">
                  <c:v>-3.4</c:v>
                </c:pt>
                <c:pt idx="1813">
                  <c:v>-2.8</c:v>
                </c:pt>
                <c:pt idx="1814">
                  <c:v>-7.7</c:v>
                </c:pt>
                <c:pt idx="1815">
                  <c:v>-3.3</c:v>
                </c:pt>
                <c:pt idx="1816">
                  <c:v>-5.8</c:v>
                </c:pt>
                <c:pt idx="1817">
                  <c:v>-16</c:v>
                </c:pt>
                <c:pt idx="1818">
                  <c:v>-15.8</c:v>
                </c:pt>
                <c:pt idx="1819">
                  <c:v>-11</c:v>
                </c:pt>
                <c:pt idx="1820">
                  <c:v>-5.6</c:v>
                </c:pt>
                <c:pt idx="1821">
                  <c:v>-4.3</c:v>
                </c:pt>
                <c:pt idx="1822">
                  <c:v>-2.1</c:v>
                </c:pt>
                <c:pt idx="1823">
                  <c:v>-1.6</c:v>
                </c:pt>
                <c:pt idx="1824">
                  <c:v>0</c:v>
                </c:pt>
                <c:pt idx="1825">
                  <c:v>-4.0999999999999996</c:v>
                </c:pt>
                <c:pt idx="1826">
                  <c:v>-7.5</c:v>
                </c:pt>
                <c:pt idx="1827">
                  <c:v>-6.2</c:v>
                </c:pt>
                <c:pt idx="1828">
                  <c:v>-4.3</c:v>
                </c:pt>
                <c:pt idx="1829">
                  <c:v>-6.3</c:v>
                </c:pt>
                <c:pt idx="1830">
                  <c:v>-9.1999999999999993</c:v>
                </c:pt>
                <c:pt idx="1831">
                  <c:v>-7.9</c:v>
                </c:pt>
                <c:pt idx="1832">
                  <c:v>-11.5</c:v>
                </c:pt>
                <c:pt idx="1833">
                  <c:v>-15.3</c:v>
                </c:pt>
                <c:pt idx="1834">
                  <c:v>-11.8</c:v>
                </c:pt>
                <c:pt idx="1835">
                  <c:v>-13.5</c:v>
                </c:pt>
                <c:pt idx="1836">
                  <c:v>-31.2</c:v>
                </c:pt>
                <c:pt idx="1837">
                  <c:v>-38.4</c:v>
                </c:pt>
                <c:pt idx="1838">
                  <c:v>-38</c:v>
                </c:pt>
                <c:pt idx="1839">
                  <c:v>-28.1</c:v>
                </c:pt>
                <c:pt idx="1840">
                  <c:v>-26</c:v>
                </c:pt>
                <c:pt idx="1841">
                  <c:v>-18.600000000000001</c:v>
                </c:pt>
                <c:pt idx="1842">
                  <c:v>-18</c:v>
                </c:pt>
                <c:pt idx="1843">
                  <c:v>-23.4</c:v>
                </c:pt>
                <c:pt idx="1844">
                  <c:v>-11.1</c:v>
                </c:pt>
                <c:pt idx="1845">
                  <c:v>-5.9</c:v>
                </c:pt>
                <c:pt idx="1846">
                  <c:v>-2</c:v>
                </c:pt>
                <c:pt idx="1847">
                  <c:v>-1.9</c:v>
                </c:pt>
                <c:pt idx="1848">
                  <c:v>-4.3</c:v>
                </c:pt>
                <c:pt idx="1849">
                  <c:v>-5.7</c:v>
                </c:pt>
                <c:pt idx="1850">
                  <c:v>-11.3</c:v>
                </c:pt>
                <c:pt idx="1851">
                  <c:v>-8</c:v>
                </c:pt>
                <c:pt idx="1852">
                  <c:v>-1.9</c:v>
                </c:pt>
                <c:pt idx="1853">
                  <c:v>0.5</c:v>
                </c:pt>
                <c:pt idx="1854">
                  <c:v>2</c:v>
                </c:pt>
                <c:pt idx="1855">
                  <c:v>-0.6</c:v>
                </c:pt>
                <c:pt idx="1856">
                  <c:v>2.2000000000000002</c:v>
                </c:pt>
                <c:pt idx="1857">
                  <c:v>1.5</c:v>
                </c:pt>
                <c:pt idx="1858">
                  <c:v>-2.6</c:v>
                </c:pt>
                <c:pt idx="1859">
                  <c:v>-5.5</c:v>
                </c:pt>
                <c:pt idx="1860">
                  <c:v>-4.9000000000000004</c:v>
                </c:pt>
                <c:pt idx="1861">
                  <c:v>-3.6</c:v>
                </c:pt>
                <c:pt idx="1862">
                  <c:v>-1.9</c:v>
                </c:pt>
                <c:pt idx="1863">
                  <c:v>-4</c:v>
                </c:pt>
                <c:pt idx="1864">
                  <c:v>-7</c:v>
                </c:pt>
                <c:pt idx="1865">
                  <c:v>-16.399999999999999</c:v>
                </c:pt>
                <c:pt idx="1866">
                  <c:v>-16.3</c:v>
                </c:pt>
                <c:pt idx="1867">
                  <c:v>-5.9</c:v>
                </c:pt>
                <c:pt idx="1868">
                  <c:v>-13.4</c:v>
                </c:pt>
                <c:pt idx="1869">
                  <c:v>-14.7</c:v>
                </c:pt>
                <c:pt idx="1870">
                  <c:v>-18</c:v>
                </c:pt>
                <c:pt idx="1871">
                  <c:v>-18.2</c:v>
                </c:pt>
                <c:pt idx="1872">
                  <c:v>-21.7</c:v>
                </c:pt>
                <c:pt idx="1873">
                  <c:v>-17.600000000000001</c:v>
                </c:pt>
                <c:pt idx="1874">
                  <c:v>-6.1</c:v>
                </c:pt>
                <c:pt idx="1875">
                  <c:v>-6.9</c:v>
                </c:pt>
                <c:pt idx="1876">
                  <c:v>-3.8</c:v>
                </c:pt>
                <c:pt idx="1877">
                  <c:v>-2.8</c:v>
                </c:pt>
                <c:pt idx="1878">
                  <c:v>-4.5</c:v>
                </c:pt>
                <c:pt idx="1879">
                  <c:v>-10.9</c:v>
                </c:pt>
                <c:pt idx="1880">
                  <c:v>-2.2999999999999998</c:v>
                </c:pt>
                <c:pt idx="1881">
                  <c:v>-6.5</c:v>
                </c:pt>
                <c:pt idx="1882">
                  <c:v>-12.5</c:v>
                </c:pt>
                <c:pt idx="1883">
                  <c:v>-20.100000000000001</c:v>
                </c:pt>
                <c:pt idx="1884">
                  <c:v>-9</c:v>
                </c:pt>
                <c:pt idx="1885">
                  <c:v>-13.4</c:v>
                </c:pt>
                <c:pt idx="1886">
                  <c:v>-13.3</c:v>
                </c:pt>
                <c:pt idx="1887">
                  <c:v>-12.9</c:v>
                </c:pt>
                <c:pt idx="1888">
                  <c:v>-16.899999999999999</c:v>
                </c:pt>
                <c:pt idx="1889">
                  <c:v>-14.5</c:v>
                </c:pt>
                <c:pt idx="1890">
                  <c:v>-20.3</c:v>
                </c:pt>
                <c:pt idx="1891">
                  <c:v>-21.9</c:v>
                </c:pt>
                <c:pt idx="1892">
                  <c:v>-20.7</c:v>
                </c:pt>
                <c:pt idx="1893">
                  <c:v>-9.6</c:v>
                </c:pt>
                <c:pt idx="1894">
                  <c:v>-7.3</c:v>
                </c:pt>
                <c:pt idx="1895">
                  <c:v>-6.6</c:v>
                </c:pt>
                <c:pt idx="1896">
                  <c:v>-8.6</c:v>
                </c:pt>
                <c:pt idx="1897">
                  <c:v>-8.6</c:v>
                </c:pt>
                <c:pt idx="1898">
                  <c:v>-12.2</c:v>
                </c:pt>
                <c:pt idx="1899">
                  <c:v>-11.8</c:v>
                </c:pt>
                <c:pt idx="1900">
                  <c:v>-5.7</c:v>
                </c:pt>
                <c:pt idx="1901">
                  <c:v>-2.4</c:v>
                </c:pt>
                <c:pt idx="1902">
                  <c:v>-3.4</c:v>
                </c:pt>
                <c:pt idx="1903">
                  <c:v>-3.5</c:v>
                </c:pt>
                <c:pt idx="1904">
                  <c:v>-4.5999999999999996</c:v>
                </c:pt>
                <c:pt idx="1905">
                  <c:v>-1.8</c:v>
                </c:pt>
                <c:pt idx="1906">
                  <c:v>-0.7</c:v>
                </c:pt>
                <c:pt idx="1907">
                  <c:v>-3.7</c:v>
                </c:pt>
                <c:pt idx="1908">
                  <c:v>-2.6</c:v>
                </c:pt>
                <c:pt idx="1909">
                  <c:v>-7.7</c:v>
                </c:pt>
                <c:pt idx="1910">
                  <c:v>-8.6999999999999993</c:v>
                </c:pt>
                <c:pt idx="1911">
                  <c:v>-7.1</c:v>
                </c:pt>
                <c:pt idx="1912">
                  <c:v>-7.9</c:v>
                </c:pt>
                <c:pt idx="1913">
                  <c:v>-9.3000000000000007</c:v>
                </c:pt>
                <c:pt idx="1914">
                  <c:v>-6.9</c:v>
                </c:pt>
                <c:pt idx="1915">
                  <c:v>-12.6</c:v>
                </c:pt>
                <c:pt idx="1916">
                  <c:v>-6</c:v>
                </c:pt>
                <c:pt idx="1917">
                  <c:v>-5.6</c:v>
                </c:pt>
                <c:pt idx="1918">
                  <c:v>0.7</c:v>
                </c:pt>
                <c:pt idx="1919">
                  <c:v>-2.8</c:v>
                </c:pt>
                <c:pt idx="1920">
                  <c:v>-4.3</c:v>
                </c:pt>
                <c:pt idx="1921">
                  <c:v>-2.9</c:v>
                </c:pt>
                <c:pt idx="1922">
                  <c:v>-3</c:v>
                </c:pt>
                <c:pt idx="1923">
                  <c:v>-6.3</c:v>
                </c:pt>
                <c:pt idx="1924">
                  <c:v>-6.1</c:v>
                </c:pt>
                <c:pt idx="1925">
                  <c:v>-6</c:v>
                </c:pt>
                <c:pt idx="1926">
                  <c:v>-9.1</c:v>
                </c:pt>
                <c:pt idx="1927">
                  <c:v>-2.7</c:v>
                </c:pt>
                <c:pt idx="1928">
                  <c:v>-3.1</c:v>
                </c:pt>
                <c:pt idx="1929">
                  <c:v>-5.7</c:v>
                </c:pt>
                <c:pt idx="1930">
                  <c:v>-3.8</c:v>
                </c:pt>
                <c:pt idx="1931">
                  <c:v>-3.8</c:v>
                </c:pt>
                <c:pt idx="1932">
                  <c:v>-6.3</c:v>
                </c:pt>
                <c:pt idx="1933">
                  <c:v>-9.3000000000000007</c:v>
                </c:pt>
                <c:pt idx="1934">
                  <c:v>-11.2</c:v>
                </c:pt>
                <c:pt idx="1935">
                  <c:v>-10.4</c:v>
                </c:pt>
                <c:pt idx="1936">
                  <c:v>-5.9</c:v>
                </c:pt>
                <c:pt idx="1937">
                  <c:v>-4.3</c:v>
                </c:pt>
                <c:pt idx="1938">
                  <c:v>-6.7</c:v>
                </c:pt>
                <c:pt idx="1939">
                  <c:v>-5.8</c:v>
                </c:pt>
                <c:pt idx="1940">
                  <c:v>-2.2000000000000002</c:v>
                </c:pt>
                <c:pt idx="1941">
                  <c:v>-2.2999999999999998</c:v>
                </c:pt>
                <c:pt idx="1942">
                  <c:v>-1.3</c:v>
                </c:pt>
                <c:pt idx="1943">
                  <c:v>-0.7</c:v>
                </c:pt>
                <c:pt idx="1944">
                  <c:v>-3.2</c:v>
                </c:pt>
                <c:pt idx="1945">
                  <c:v>-6.5</c:v>
                </c:pt>
                <c:pt idx="1946">
                  <c:v>-9.6</c:v>
                </c:pt>
                <c:pt idx="1947">
                  <c:v>-7.1</c:v>
                </c:pt>
                <c:pt idx="1948">
                  <c:v>-5.2</c:v>
                </c:pt>
                <c:pt idx="1949">
                  <c:v>-4.8</c:v>
                </c:pt>
                <c:pt idx="1950">
                  <c:v>0.2</c:v>
                </c:pt>
                <c:pt idx="1951">
                  <c:v>0</c:v>
                </c:pt>
                <c:pt idx="1952">
                  <c:v>-3.2</c:v>
                </c:pt>
                <c:pt idx="1953">
                  <c:v>-2.5</c:v>
                </c:pt>
                <c:pt idx="1954">
                  <c:v>-2.4</c:v>
                </c:pt>
                <c:pt idx="1955">
                  <c:v>-1.4</c:v>
                </c:pt>
                <c:pt idx="1956">
                  <c:v>-1.7</c:v>
                </c:pt>
                <c:pt idx="1957">
                  <c:v>-0.3</c:v>
                </c:pt>
                <c:pt idx="1958">
                  <c:v>2</c:v>
                </c:pt>
                <c:pt idx="1959">
                  <c:v>0.9</c:v>
                </c:pt>
                <c:pt idx="1960">
                  <c:v>-0.5</c:v>
                </c:pt>
                <c:pt idx="1961">
                  <c:v>-1.2</c:v>
                </c:pt>
                <c:pt idx="1962">
                  <c:v>1.3</c:v>
                </c:pt>
                <c:pt idx="1963">
                  <c:v>-2</c:v>
                </c:pt>
                <c:pt idx="1964">
                  <c:v>-2.8</c:v>
                </c:pt>
                <c:pt idx="1965">
                  <c:v>-1.8</c:v>
                </c:pt>
                <c:pt idx="1966">
                  <c:v>-2.8</c:v>
                </c:pt>
                <c:pt idx="1967">
                  <c:v>-1.7</c:v>
                </c:pt>
                <c:pt idx="1968">
                  <c:v>-0.4</c:v>
                </c:pt>
                <c:pt idx="1969">
                  <c:v>-0.5</c:v>
                </c:pt>
                <c:pt idx="1970">
                  <c:v>-1.2</c:v>
                </c:pt>
                <c:pt idx="1971">
                  <c:v>-1.7</c:v>
                </c:pt>
                <c:pt idx="1972">
                  <c:v>-2.6</c:v>
                </c:pt>
                <c:pt idx="1973">
                  <c:v>-1.4</c:v>
                </c:pt>
                <c:pt idx="1974">
                  <c:v>-0.3</c:v>
                </c:pt>
                <c:pt idx="1975">
                  <c:v>-1.2</c:v>
                </c:pt>
                <c:pt idx="1976">
                  <c:v>-2.4</c:v>
                </c:pt>
                <c:pt idx="1977">
                  <c:v>-3</c:v>
                </c:pt>
                <c:pt idx="1978">
                  <c:v>2.4</c:v>
                </c:pt>
                <c:pt idx="1979">
                  <c:v>0.8</c:v>
                </c:pt>
                <c:pt idx="1980">
                  <c:v>-1.2</c:v>
                </c:pt>
                <c:pt idx="1981">
                  <c:v>-1.3</c:v>
                </c:pt>
                <c:pt idx="1982">
                  <c:v>-2.1</c:v>
                </c:pt>
                <c:pt idx="1983">
                  <c:v>-1.8</c:v>
                </c:pt>
                <c:pt idx="1984">
                  <c:v>-1.4</c:v>
                </c:pt>
                <c:pt idx="1985">
                  <c:v>-1.6</c:v>
                </c:pt>
                <c:pt idx="1986">
                  <c:v>3.1</c:v>
                </c:pt>
                <c:pt idx="1987">
                  <c:v>2.9</c:v>
                </c:pt>
                <c:pt idx="1988">
                  <c:v>0.9</c:v>
                </c:pt>
                <c:pt idx="1989">
                  <c:v>-2.2999999999999998</c:v>
                </c:pt>
                <c:pt idx="1990">
                  <c:v>-1.8</c:v>
                </c:pt>
                <c:pt idx="1991">
                  <c:v>0.9</c:v>
                </c:pt>
                <c:pt idx="1992">
                  <c:v>0.3</c:v>
                </c:pt>
                <c:pt idx="1993">
                  <c:v>-0.2</c:v>
                </c:pt>
                <c:pt idx="1994">
                  <c:v>0.3</c:v>
                </c:pt>
                <c:pt idx="1995">
                  <c:v>-0.9</c:v>
                </c:pt>
                <c:pt idx="1996">
                  <c:v>-1.8</c:v>
                </c:pt>
                <c:pt idx="1997">
                  <c:v>-0.4</c:v>
                </c:pt>
                <c:pt idx="1998">
                  <c:v>0.3</c:v>
                </c:pt>
                <c:pt idx="1999">
                  <c:v>4.7</c:v>
                </c:pt>
                <c:pt idx="2000">
                  <c:v>2.8</c:v>
                </c:pt>
                <c:pt idx="2001">
                  <c:v>-1.6</c:v>
                </c:pt>
                <c:pt idx="2002">
                  <c:v>1</c:v>
                </c:pt>
                <c:pt idx="2003">
                  <c:v>3.9</c:v>
                </c:pt>
                <c:pt idx="2004">
                  <c:v>2.8</c:v>
                </c:pt>
                <c:pt idx="2005">
                  <c:v>-0.7</c:v>
                </c:pt>
                <c:pt idx="2006">
                  <c:v>4</c:v>
                </c:pt>
                <c:pt idx="2007">
                  <c:v>5.6</c:v>
                </c:pt>
                <c:pt idx="2008">
                  <c:v>4.7</c:v>
                </c:pt>
                <c:pt idx="2009">
                  <c:v>6</c:v>
                </c:pt>
                <c:pt idx="2010">
                  <c:v>3.9</c:v>
                </c:pt>
                <c:pt idx="2011">
                  <c:v>2.2999999999999998</c:v>
                </c:pt>
                <c:pt idx="2012">
                  <c:v>4</c:v>
                </c:pt>
                <c:pt idx="2013">
                  <c:v>5.2</c:v>
                </c:pt>
                <c:pt idx="2014">
                  <c:v>5</c:v>
                </c:pt>
                <c:pt idx="2015">
                  <c:v>5.7</c:v>
                </c:pt>
                <c:pt idx="2016">
                  <c:v>8.3000000000000007</c:v>
                </c:pt>
                <c:pt idx="2017">
                  <c:v>8.8000000000000007</c:v>
                </c:pt>
                <c:pt idx="2018">
                  <c:v>6.4</c:v>
                </c:pt>
                <c:pt idx="2019">
                  <c:v>7.4</c:v>
                </c:pt>
                <c:pt idx="2020">
                  <c:v>6.9</c:v>
                </c:pt>
                <c:pt idx="2021">
                  <c:v>4.9000000000000004</c:v>
                </c:pt>
                <c:pt idx="2022">
                  <c:v>4.9000000000000004</c:v>
                </c:pt>
                <c:pt idx="2023">
                  <c:v>5.3</c:v>
                </c:pt>
                <c:pt idx="2024">
                  <c:v>9.1999999999999993</c:v>
                </c:pt>
                <c:pt idx="2025">
                  <c:v>8.1</c:v>
                </c:pt>
                <c:pt idx="2026">
                  <c:v>8.5</c:v>
                </c:pt>
                <c:pt idx="2027">
                  <c:v>8.1</c:v>
                </c:pt>
                <c:pt idx="2028">
                  <c:v>8.1</c:v>
                </c:pt>
                <c:pt idx="2029">
                  <c:v>11.2</c:v>
                </c:pt>
                <c:pt idx="2030">
                  <c:v>4.0999999999999996</c:v>
                </c:pt>
                <c:pt idx="2031">
                  <c:v>3.9</c:v>
                </c:pt>
                <c:pt idx="2032">
                  <c:v>1.8</c:v>
                </c:pt>
                <c:pt idx="2033">
                  <c:v>-1.1000000000000001</c:v>
                </c:pt>
                <c:pt idx="2034">
                  <c:v>3.7</c:v>
                </c:pt>
                <c:pt idx="2035">
                  <c:v>7</c:v>
                </c:pt>
                <c:pt idx="2036">
                  <c:v>6.2</c:v>
                </c:pt>
                <c:pt idx="2037">
                  <c:v>8.1</c:v>
                </c:pt>
                <c:pt idx="2038">
                  <c:v>7.5</c:v>
                </c:pt>
                <c:pt idx="2039">
                  <c:v>6.3</c:v>
                </c:pt>
                <c:pt idx="2040">
                  <c:v>9</c:v>
                </c:pt>
                <c:pt idx="2041">
                  <c:v>9.1</c:v>
                </c:pt>
                <c:pt idx="2042">
                  <c:v>10.5</c:v>
                </c:pt>
                <c:pt idx="2043">
                  <c:v>8</c:v>
                </c:pt>
                <c:pt idx="2044">
                  <c:v>7.5</c:v>
                </c:pt>
                <c:pt idx="2045">
                  <c:v>4.0999999999999996</c:v>
                </c:pt>
                <c:pt idx="2046">
                  <c:v>3.5</c:v>
                </c:pt>
                <c:pt idx="2047">
                  <c:v>6</c:v>
                </c:pt>
                <c:pt idx="2048">
                  <c:v>5</c:v>
                </c:pt>
                <c:pt idx="2049">
                  <c:v>4.0999999999999996</c:v>
                </c:pt>
                <c:pt idx="2050">
                  <c:v>6.8</c:v>
                </c:pt>
                <c:pt idx="2051">
                  <c:v>4.5999999999999996</c:v>
                </c:pt>
                <c:pt idx="2052">
                  <c:v>4.4000000000000004</c:v>
                </c:pt>
                <c:pt idx="2053">
                  <c:v>5.3</c:v>
                </c:pt>
                <c:pt idx="2054">
                  <c:v>6.2</c:v>
                </c:pt>
                <c:pt idx="2055">
                  <c:v>4.3</c:v>
                </c:pt>
                <c:pt idx="2056">
                  <c:v>4.2</c:v>
                </c:pt>
                <c:pt idx="2057">
                  <c:v>0.9</c:v>
                </c:pt>
                <c:pt idx="2058">
                  <c:v>2.1</c:v>
                </c:pt>
                <c:pt idx="2059">
                  <c:v>3.6</c:v>
                </c:pt>
                <c:pt idx="2060">
                  <c:v>4.5999999999999996</c:v>
                </c:pt>
                <c:pt idx="2061">
                  <c:v>7.1</c:v>
                </c:pt>
                <c:pt idx="2062">
                  <c:v>3.8</c:v>
                </c:pt>
                <c:pt idx="2063">
                  <c:v>0.8</c:v>
                </c:pt>
                <c:pt idx="2064">
                  <c:v>2.1</c:v>
                </c:pt>
                <c:pt idx="2065">
                  <c:v>0.9</c:v>
                </c:pt>
                <c:pt idx="2066">
                  <c:v>0.6</c:v>
                </c:pt>
                <c:pt idx="2067">
                  <c:v>-0.7</c:v>
                </c:pt>
                <c:pt idx="2068">
                  <c:v>3.7</c:v>
                </c:pt>
                <c:pt idx="2069">
                  <c:v>4.7</c:v>
                </c:pt>
                <c:pt idx="2070">
                  <c:v>5.4</c:v>
                </c:pt>
                <c:pt idx="2071">
                  <c:v>6.3</c:v>
                </c:pt>
                <c:pt idx="2072">
                  <c:v>4.3</c:v>
                </c:pt>
                <c:pt idx="2073">
                  <c:v>3.5</c:v>
                </c:pt>
                <c:pt idx="2074">
                  <c:v>3.3</c:v>
                </c:pt>
                <c:pt idx="2075">
                  <c:v>4.4000000000000004</c:v>
                </c:pt>
                <c:pt idx="2076">
                  <c:v>4.9000000000000004</c:v>
                </c:pt>
                <c:pt idx="2077">
                  <c:v>7.2</c:v>
                </c:pt>
                <c:pt idx="2078">
                  <c:v>2.7</c:v>
                </c:pt>
                <c:pt idx="2079">
                  <c:v>0.7</c:v>
                </c:pt>
                <c:pt idx="2080">
                  <c:v>5.3</c:v>
                </c:pt>
                <c:pt idx="2081">
                  <c:v>2.6</c:v>
                </c:pt>
                <c:pt idx="2082">
                  <c:v>1</c:v>
                </c:pt>
                <c:pt idx="2083">
                  <c:v>1.5</c:v>
                </c:pt>
                <c:pt idx="2084">
                  <c:v>-1.2</c:v>
                </c:pt>
                <c:pt idx="2085">
                  <c:v>2.2999999999999998</c:v>
                </c:pt>
                <c:pt idx="2086">
                  <c:v>1</c:v>
                </c:pt>
                <c:pt idx="2087">
                  <c:v>1.3</c:v>
                </c:pt>
                <c:pt idx="2088">
                  <c:v>-0.1</c:v>
                </c:pt>
                <c:pt idx="2089">
                  <c:v>-2.8</c:v>
                </c:pt>
                <c:pt idx="2090">
                  <c:v>-3.3</c:v>
                </c:pt>
                <c:pt idx="2091">
                  <c:v>5.3</c:v>
                </c:pt>
                <c:pt idx="2092">
                  <c:v>8.6</c:v>
                </c:pt>
                <c:pt idx="2093">
                  <c:v>5.0999999999999996</c:v>
                </c:pt>
                <c:pt idx="2094">
                  <c:v>4.5</c:v>
                </c:pt>
                <c:pt idx="2095">
                  <c:v>-0.1</c:v>
                </c:pt>
                <c:pt idx="2096">
                  <c:v>-0.5</c:v>
                </c:pt>
                <c:pt idx="2097">
                  <c:v>-1.1000000000000001</c:v>
                </c:pt>
                <c:pt idx="2098">
                  <c:v>-0.3</c:v>
                </c:pt>
                <c:pt idx="2099">
                  <c:v>-4.4000000000000004</c:v>
                </c:pt>
                <c:pt idx="2100">
                  <c:v>-0.5</c:v>
                </c:pt>
                <c:pt idx="2101">
                  <c:v>-3.3</c:v>
                </c:pt>
                <c:pt idx="2102">
                  <c:v>-5.0999999999999996</c:v>
                </c:pt>
                <c:pt idx="2103">
                  <c:v>0.5</c:v>
                </c:pt>
                <c:pt idx="2104">
                  <c:v>-2.2000000000000002</c:v>
                </c:pt>
                <c:pt idx="2105">
                  <c:v>-1.6</c:v>
                </c:pt>
                <c:pt idx="2106">
                  <c:v>-2.4</c:v>
                </c:pt>
                <c:pt idx="2107">
                  <c:v>1.4</c:v>
                </c:pt>
                <c:pt idx="2108">
                  <c:v>-2.6</c:v>
                </c:pt>
                <c:pt idx="2109">
                  <c:v>-3.7</c:v>
                </c:pt>
                <c:pt idx="2110">
                  <c:v>-4.4000000000000004</c:v>
                </c:pt>
                <c:pt idx="2111">
                  <c:v>-2.6</c:v>
                </c:pt>
                <c:pt idx="2112">
                  <c:v>-1.5</c:v>
                </c:pt>
                <c:pt idx="2113">
                  <c:v>-0.1</c:v>
                </c:pt>
                <c:pt idx="2114">
                  <c:v>4.8</c:v>
                </c:pt>
                <c:pt idx="2115">
                  <c:v>-2.1</c:v>
                </c:pt>
                <c:pt idx="2116">
                  <c:v>-5.9</c:v>
                </c:pt>
                <c:pt idx="2117">
                  <c:v>-7</c:v>
                </c:pt>
                <c:pt idx="2118">
                  <c:v>-0.5</c:v>
                </c:pt>
                <c:pt idx="2119">
                  <c:v>2.5</c:v>
                </c:pt>
                <c:pt idx="2120">
                  <c:v>-1.3</c:v>
                </c:pt>
                <c:pt idx="2121">
                  <c:v>-4.4000000000000004</c:v>
                </c:pt>
                <c:pt idx="2122">
                  <c:v>-6.2</c:v>
                </c:pt>
                <c:pt idx="2123">
                  <c:v>-6.2</c:v>
                </c:pt>
                <c:pt idx="2124">
                  <c:v>-6.7</c:v>
                </c:pt>
                <c:pt idx="2125">
                  <c:v>1</c:v>
                </c:pt>
                <c:pt idx="2126">
                  <c:v>-1.2</c:v>
                </c:pt>
                <c:pt idx="2127">
                  <c:v>-1.8</c:v>
                </c:pt>
                <c:pt idx="2128">
                  <c:v>-3.5</c:v>
                </c:pt>
                <c:pt idx="2129">
                  <c:v>-2</c:v>
                </c:pt>
                <c:pt idx="2130">
                  <c:v>-5.6</c:v>
                </c:pt>
                <c:pt idx="2131">
                  <c:v>-2.9</c:v>
                </c:pt>
                <c:pt idx="2132">
                  <c:v>-4.0999999999999996</c:v>
                </c:pt>
                <c:pt idx="2133">
                  <c:v>-5.3</c:v>
                </c:pt>
                <c:pt idx="2134">
                  <c:v>-3.3</c:v>
                </c:pt>
                <c:pt idx="2135">
                  <c:v>-12.5</c:v>
                </c:pt>
                <c:pt idx="2136">
                  <c:v>-12.8</c:v>
                </c:pt>
                <c:pt idx="2137">
                  <c:v>-6.7</c:v>
                </c:pt>
                <c:pt idx="2138">
                  <c:v>-2.8</c:v>
                </c:pt>
                <c:pt idx="2139">
                  <c:v>-0.9</c:v>
                </c:pt>
                <c:pt idx="2140">
                  <c:v>-2.1</c:v>
                </c:pt>
                <c:pt idx="2141">
                  <c:v>-3.3</c:v>
                </c:pt>
                <c:pt idx="2142">
                  <c:v>-2.5</c:v>
                </c:pt>
                <c:pt idx="2143">
                  <c:v>-1.2</c:v>
                </c:pt>
                <c:pt idx="2144">
                  <c:v>-4.5999999999999996</c:v>
                </c:pt>
                <c:pt idx="2145">
                  <c:v>-11.4</c:v>
                </c:pt>
                <c:pt idx="2146">
                  <c:v>-12.7</c:v>
                </c:pt>
                <c:pt idx="2147">
                  <c:v>-5.2</c:v>
                </c:pt>
                <c:pt idx="2148">
                  <c:v>-15.7</c:v>
                </c:pt>
                <c:pt idx="2149">
                  <c:v>-16.3</c:v>
                </c:pt>
                <c:pt idx="2150">
                  <c:v>-5.9</c:v>
                </c:pt>
                <c:pt idx="2151">
                  <c:v>-4.0999999999999996</c:v>
                </c:pt>
                <c:pt idx="2152">
                  <c:v>-3.5</c:v>
                </c:pt>
                <c:pt idx="2153">
                  <c:v>-8.3000000000000007</c:v>
                </c:pt>
                <c:pt idx="2154">
                  <c:v>-11.9</c:v>
                </c:pt>
                <c:pt idx="2155">
                  <c:v>-6.5</c:v>
                </c:pt>
                <c:pt idx="2156">
                  <c:v>-14.5</c:v>
                </c:pt>
                <c:pt idx="2157">
                  <c:v>-16.2</c:v>
                </c:pt>
                <c:pt idx="2158">
                  <c:v>-12.5</c:v>
                </c:pt>
                <c:pt idx="2159">
                  <c:v>-15.4</c:v>
                </c:pt>
                <c:pt idx="2160">
                  <c:v>-8.3000000000000007</c:v>
                </c:pt>
                <c:pt idx="2161">
                  <c:v>-11.4</c:v>
                </c:pt>
                <c:pt idx="2162">
                  <c:v>-13.1</c:v>
                </c:pt>
                <c:pt idx="2163">
                  <c:v>-9.9</c:v>
                </c:pt>
                <c:pt idx="2164">
                  <c:v>-6.1</c:v>
                </c:pt>
                <c:pt idx="2165">
                  <c:v>-7.6</c:v>
                </c:pt>
                <c:pt idx="2166">
                  <c:v>-7.2</c:v>
                </c:pt>
                <c:pt idx="2167">
                  <c:v>-6.5</c:v>
                </c:pt>
                <c:pt idx="2168">
                  <c:v>-4.9000000000000004</c:v>
                </c:pt>
                <c:pt idx="2169">
                  <c:v>-13.1</c:v>
                </c:pt>
                <c:pt idx="2170">
                  <c:v>-14</c:v>
                </c:pt>
                <c:pt idx="2171">
                  <c:v>-8.6</c:v>
                </c:pt>
                <c:pt idx="2172">
                  <c:v>-8.6</c:v>
                </c:pt>
                <c:pt idx="2173">
                  <c:v>-5.2</c:v>
                </c:pt>
                <c:pt idx="2174">
                  <c:v>-5.8</c:v>
                </c:pt>
                <c:pt idx="2175">
                  <c:v>-13.2</c:v>
                </c:pt>
                <c:pt idx="2176">
                  <c:v>-9.1</c:v>
                </c:pt>
                <c:pt idx="2177">
                  <c:v>-7.5</c:v>
                </c:pt>
                <c:pt idx="2178">
                  <c:v>-7.4</c:v>
                </c:pt>
                <c:pt idx="2179">
                  <c:v>-10.8</c:v>
                </c:pt>
                <c:pt idx="2180">
                  <c:v>-7.2</c:v>
                </c:pt>
                <c:pt idx="2181">
                  <c:v>-6.3</c:v>
                </c:pt>
                <c:pt idx="2182">
                  <c:v>-9.1</c:v>
                </c:pt>
                <c:pt idx="2183">
                  <c:v>-4</c:v>
                </c:pt>
                <c:pt idx="2184">
                  <c:v>-8.3000000000000007</c:v>
                </c:pt>
                <c:pt idx="2185">
                  <c:v>-13.6</c:v>
                </c:pt>
                <c:pt idx="2186">
                  <c:v>-8.1999999999999993</c:v>
                </c:pt>
                <c:pt idx="2187">
                  <c:v>-12.5</c:v>
                </c:pt>
                <c:pt idx="2188">
                  <c:v>-6.1</c:v>
                </c:pt>
                <c:pt idx="2189">
                  <c:v>-8.4</c:v>
                </c:pt>
                <c:pt idx="2190">
                  <c:v>-6.1</c:v>
                </c:pt>
                <c:pt idx="2191">
                  <c:v>-12.2</c:v>
                </c:pt>
                <c:pt idx="2192">
                  <c:v>-7</c:v>
                </c:pt>
                <c:pt idx="2193">
                  <c:v>-8.4</c:v>
                </c:pt>
                <c:pt idx="2194">
                  <c:v>-6.4</c:v>
                </c:pt>
                <c:pt idx="2195">
                  <c:v>-5.5</c:v>
                </c:pt>
                <c:pt idx="2196">
                  <c:v>-7.4</c:v>
                </c:pt>
                <c:pt idx="2197">
                  <c:v>-11.3</c:v>
                </c:pt>
                <c:pt idx="2198">
                  <c:v>-13.7</c:v>
                </c:pt>
                <c:pt idx="2199">
                  <c:v>-8.6</c:v>
                </c:pt>
                <c:pt idx="2200">
                  <c:v>-9.6999999999999993</c:v>
                </c:pt>
                <c:pt idx="2201">
                  <c:v>-6.6</c:v>
                </c:pt>
                <c:pt idx="2202">
                  <c:v>-5.2</c:v>
                </c:pt>
                <c:pt idx="2203">
                  <c:v>-6.9</c:v>
                </c:pt>
                <c:pt idx="2204">
                  <c:v>-10.9</c:v>
                </c:pt>
                <c:pt idx="2205">
                  <c:v>-10.1</c:v>
                </c:pt>
                <c:pt idx="2206">
                  <c:v>-6</c:v>
                </c:pt>
                <c:pt idx="2207">
                  <c:v>-8.6999999999999993</c:v>
                </c:pt>
                <c:pt idx="2208">
                  <c:v>-10.3</c:v>
                </c:pt>
                <c:pt idx="2209">
                  <c:v>-19</c:v>
                </c:pt>
                <c:pt idx="2210">
                  <c:v>-21.2</c:v>
                </c:pt>
                <c:pt idx="2211">
                  <c:v>-22.2</c:v>
                </c:pt>
                <c:pt idx="2212">
                  <c:v>-14.9</c:v>
                </c:pt>
                <c:pt idx="2213">
                  <c:v>-15.1</c:v>
                </c:pt>
                <c:pt idx="2214">
                  <c:v>-11.8</c:v>
                </c:pt>
                <c:pt idx="2215">
                  <c:v>-12.7</c:v>
                </c:pt>
                <c:pt idx="2216">
                  <c:v>-17.8</c:v>
                </c:pt>
                <c:pt idx="2217">
                  <c:v>-16.100000000000001</c:v>
                </c:pt>
                <c:pt idx="2218">
                  <c:v>-11.6</c:v>
                </c:pt>
                <c:pt idx="2219">
                  <c:v>-11</c:v>
                </c:pt>
                <c:pt idx="2220">
                  <c:v>-14.1</c:v>
                </c:pt>
                <c:pt idx="2221">
                  <c:v>-5.2</c:v>
                </c:pt>
                <c:pt idx="2222">
                  <c:v>-5.6</c:v>
                </c:pt>
                <c:pt idx="2223">
                  <c:v>-12.4</c:v>
                </c:pt>
                <c:pt idx="2224">
                  <c:v>-18.600000000000001</c:v>
                </c:pt>
                <c:pt idx="2225">
                  <c:v>-16.899999999999999</c:v>
                </c:pt>
                <c:pt idx="2226">
                  <c:v>-24.8</c:v>
                </c:pt>
                <c:pt idx="2227">
                  <c:v>-25</c:v>
                </c:pt>
                <c:pt idx="2228">
                  <c:v>-21</c:v>
                </c:pt>
                <c:pt idx="2229">
                  <c:v>-22.2</c:v>
                </c:pt>
                <c:pt idx="2230">
                  <c:v>-20.3</c:v>
                </c:pt>
                <c:pt idx="2231">
                  <c:v>-22.3</c:v>
                </c:pt>
                <c:pt idx="2232">
                  <c:v>-24.3</c:v>
                </c:pt>
                <c:pt idx="2233">
                  <c:v>-25.6</c:v>
                </c:pt>
                <c:pt idx="2234">
                  <c:v>-26.8</c:v>
                </c:pt>
                <c:pt idx="2235">
                  <c:v>-20.5</c:v>
                </c:pt>
                <c:pt idx="2236">
                  <c:v>-11.9</c:v>
                </c:pt>
                <c:pt idx="2237">
                  <c:v>-8.6999999999999993</c:v>
                </c:pt>
                <c:pt idx="2238">
                  <c:v>-8.3000000000000007</c:v>
                </c:pt>
                <c:pt idx="2239">
                  <c:v>-7.2</c:v>
                </c:pt>
                <c:pt idx="2240">
                  <c:v>-6.7</c:v>
                </c:pt>
                <c:pt idx="2241">
                  <c:v>-5.2</c:v>
                </c:pt>
                <c:pt idx="2242">
                  <c:v>-6.2</c:v>
                </c:pt>
                <c:pt idx="2243">
                  <c:v>-5</c:v>
                </c:pt>
                <c:pt idx="2244">
                  <c:v>-3.5</c:v>
                </c:pt>
                <c:pt idx="2245">
                  <c:v>-1.8</c:v>
                </c:pt>
                <c:pt idx="2246">
                  <c:v>-6.1</c:v>
                </c:pt>
                <c:pt idx="2247">
                  <c:v>-3.2</c:v>
                </c:pt>
                <c:pt idx="2248">
                  <c:v>-7</c:v>
                </c:pt>
                <c:pt idx="2249">
                  <c:v>-4.7</c:v>
                </c:pt>
                <c:pt idx="2250">
                  <c:v>-3.4</c:v>
                </c:pt>
                <c:pt idx="2251">
                  <c:v>-4.5999999999999996</c:v>
                </c:pt>
                <c:pt idx="2252">
                  <c:v>-5.9</c:v>
                </c:pt>
                <c:pt idx="2253">
                  <c:v>-7.9</c:v>
                </c:pt>
                <c:pt idx="2254">
                  <c:v>-10.6</c:v>
                </c:pt>
                <c:pt idx="2255">
                  <c:v>-8.1</c:v>
                </c:pt>
                <c:pt idx="2256">
                  <c:v>-11.1</c:v>
                </c:pt>
                <c:pt idx="2257">
                  <c:v>-12.4</c:v>
                </c:pt>
                <c:pt idx="2258">
                  <c:v>-2.8</c:v>
                </c:pt>
                <c:pt idx="2259">
                  <c:v>-3.5</c:v>
                </c:pt>
                <c:pt idx="2260">
                  <c:v>-7.3</c:v>
                </c:pt>
                <c:pt idx="2261">
                  <c:v>-11.4</c:v>
                </c:pt>
                <c:pt idx="2262">
                  <c:v>-4.5</c:v>
                </c:pt>
                <c:pt idx="2263">
                  <c:v>-12.3</c:v>
                </c:pt>
                <c:pt idx="2264">
                  <c:v>-16.7</c:v>
                </c:pt>
                <c:pt idx="2265">
                  <c:v>-8.3000000000000007</c:v>
                </c:pt>
                <c:pt idx="2266">
                  <c:v>-8.6</c:v>
                </c:pt>
                <c:pt idx="2267">
                  <c:v>-13.6</c:v>
                </c:pt>
                <c:pt idx="2268">
                  <c:v>-13.8</c:v>
                </c:pt>
                <c:pt idx="2269">
                  <c:v>-14.6</c:v>
                </c:pt>
                <c:pt idx="2270">
                  <c:v>-3.4</c:v>
                </c:pt>
                <c:pt idx="2271">
                  <c:v>-6.7</c:v>
                </c:pt>
                <c:pt idx="2272">
                  <c:v>-6.7</c:v>
                </c:pt>
                <c:pt idx="2273">
                  <c:v>-6.1</c:v>
                </c:pt>
                <c:pt idx="2274">
                  <c:v>0.9</c:v>
                </c:pt>
                <c:pt idx="2275">
                  <c:v>-0.6</c:v>
                </c:pt>
                <c:pt idx="2276">
                  <c:v>-0.8</c:v>
                </c:pt>
                <c:pt idx="2277">
                  <c:v>-1.2</c:v>
                </c:pt>
                <c:pt idx="2278">
                  <c:v>-0.3</c:v>
                </c:pt>
                <c:pt idx="2279">
                  <c:v>-4.9000000000000004</c:v>
                </c:pt>
                <c:pt idx="2280">
                  <c:v>-7.7</c:v>
                </c:pt>
                <c:pt idx="2281">
                  <c:v>-2.4</c:v>
                </c:pt>
                <c:pt idx="2282">
                  <c:v>-2.6</c:v>
                </c:pt>
                <c:pt idx="2283">
                  <c:v>-2.4</c:v>
                </c:pt>
                <c:pt idx="2284">
                  <c:v>-8.4</c:v>
                </c:pt>
                <c:pt idx="2285">
                  <c:v>-9.1999999999999993</c:v>
                </c:pt>
                <c:pt idx="2286">
                  <c:v>-6.8</c:v>
                </c:pt>
                <c:pt idx="2287">
                  <c:v>-4</c:v>
                </c:pt>
                <c:pt idx="2288">
                  <c:v>-0.9</c:v>
                </c:pt>
                <c:pt idx="2289">
                  <c:v>-3</c:v>
                </c:pt>
                <c:pt idx="2290">
                  <c:v>-2.4</c:v>
                </c:pt>
                <c:pt idx="2291">
                  <c:v>-2.2000000000000002</c:v>
                </c:pt>
                <c:pt idx="2292">
                  <c:v>-3.2</c:v>
                </c:pt>
                <c:pt idx="2293">
                  <c:v>-4.2</c:v>
                </c:pt>
                <c:pt idx="2294">
                  <c:v>-10</c:v>
                </c:pt>
                <c:pt idx="2295">
                  <c:v>-6.3</c:v>
                </c:pt>
                <c:pt idx="2296">
                  <c:v>-3.2</c:v>
                </c:pt>
                <c:pt idx="2297">
                  <c:v>-6.1</c:v>
                </c:pt>
                <c:pt idx="2298">
                  <c:v>-8.9</c:v>
                </c:pt>
                <c:pt idx="2299">
                  <c:v>-5.7</c:v>
                </c:pt>
                <c:pt idx="2300">
                  <c:v>0</c:v>
                </c:pt>
                <c:pt idx="2301">
                  <c:v>-2</c:v>
                </c:pt>
                <c:pt idx="2302">
                  <c:v>-7.3</c:v>
                </c:pt>
                <c:pt idx="2303">
                  <c:v>-8.6999999999999993</c:v>
                </c:pt>
                <c:pt idx="2304">
                  <c:v>-7.2</c:v>
                </c:pt>
                <c:pt idx="2305">
                  <c:v>-5.3</c:v>
                </c:pt>
                <c:pt idx="2306">
                  <c:v>-2.4</c:v>
                </c:pt>
                <c:pt idx="2307">
                  <c:v>-3.2</c:v>
                </c:pt>
                <c:pt idx="2308">
                  <c:v>-2.2999999999999998</c:v>
                </c:pt>
                <c:pt idx="2309">
                  <c:v>-3.4</c:v>
                </c:pt>
                <c:pt idx="2310">
                  <c:v>-2.1</c:v>
                </c:pt>
                <c:pt idx="2311">
                  <c:v>-3.9</c:v>
                </c:pt>
                <c:pt idx="2312">
                  <c:v>-2.8</c:v>
                </c:pt>
                <c:pt idx="2313">
                  <c:v>-1.9</c:v>
                </c:pt>
                <c:pt idx="2314">
                  <c:v>-2.2999999999999998</c:v>
                </c:pt>
                <c:pt idx="2315">
                  <c:v>-2.8</c:v>
                </c:pt>
                <c:pt idx="2316">
                  <c:v>-5.4</c:v>
                </c:pt>
                <c:pt idx="2317">
                  <c:v>-2.5</c:v>
                </c:pt>
                <c:pt idx="2318">
                  <c:v>0.1</c:v>
                </c:pt>
                <c:pt idx="2319">
                  <c:v>-1.7</c:v>
                </c:pt>
                <c:pt idx="2320">
                  <c:v>-2.4</c:v>
                </c:pt>
                <c:pt idx="2321">
                  <c:v>-1.4</c:v>
                </c:pt>
                <c:pt idx="2322">
                  <c:v>-3.3</c:v>
                </c:pt>
                <c:pt idx="2323">
                  <c:v>0.5</c:v>
                </c:pt>
                <c:pt idx="2324">
                  <c:v>2.5</c:v>
                </c:pt>
                <c:pt idx="2325">
                  <c:v>-0.1</c:v>
                </c:pt>
                <c:pt idx="2326">
                  <c:v>-1.8</c:v>
                </c:pt>
                <c:pt idx="2327">
                  <c:v>0.4</c:v>
                </c:pt>
                <c:pt idx="2328">
                  <c:v>0</c:v>
                </c:pt>
                <c:pt idx="2329">
                  <c:v>-2.4</c:v>
                </c:pt>
                <c:pt idx="2330">
                  <c:v>-3.4</c:v>
                </c:pt>
                <c:pt idx="2331">
                  <c:v>-2.4</c:v>
                </c:pt>
                <c:pt idx="2332">
                  <c:v>-3</c:v>
                </c:pt>
                <c:pt idx="2333">
                  <c:v>-1.5</c:v>
                </c:pt>
                <c:pt idx="2334">
                  <c:v>-1.7</c:v>
                </c:pt>
                <c:pt idx="2335">
                  <c:v>0.3</c:v>
                </c:pt>
                <c:pt idx="2336">
                  <c:v>1.7</c:v>
                </c:pt>
                <c:pt idx="2337">
                  <c:v>0.1</c:v>
                </c:pt>
                <c:pt idx="2338">
                  <c:v>-0.5</c:v>
                </c:pt>
                <c:pt idx="2339">
                  <c:v>2.7</c:v>
                </c:pt>
                <c:pt idx="2340">
                  <c:v>-0.9</c:v>
                </c:pt>
                <c:pt idx="2341">
                  <c:v>-1.4</c:v>
                </c:pt>
                <c:pt idx="2342">
                  <c:v>1.3</c:v>
                </c:pt>
                <c:pt idx="2343">
                  <c:v>-1.7</c:v>
                </c:pt>
                <c:pt idx="2344">
                  <c:v>-2.9</c:v>
                </c:pt>
                <c:pt idx="2345">
                  <c:v>1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12544"/>
        <c:axId val="42814464"/>
      </c:lineChart>
      <c:catAx>
        <c:axId val="4281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42814464"/>
        <c:crosses val="autoZero"/>
        <c:auto val="1"/>
        <c:lblAlgn val="ctr"/>
        <c:lblOffset val="100"/>
        <c:tickMarkSkip val="80"/>
        <c:noMultiLvlLbl val="0"/>
      </c:catAx>
      <c:valAx>
        <c:axId val="42814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81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8546173107671858E-2"/>
          <c:y val="4.2557877380712025E-2"/>
          <c:w val="9.577146247523656E-2"/>
          <c:h val="9.2234672589003294E-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142876</xdr:colOff>
      <xdr:row>6</xdr:row>
      <xdr:rowOff>0</xdr:rowOff>
    </xdr:from>
    <xdr:to>
      <xdr:col>24</xdr:col>
      <xdr:colOff>419100</xdr:colOff>
      <xdr:row>36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5"/>
  <sheetViews>
    <sheetView tabSelected="1" workbookViewId="0">
      <pane xSplit="3" ySplit="4" topLeftCell="D5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style="1" customWidth="1"/>
    <col min="2" max="2" width="9.5703125" style="1" bestFit="1" customWidth="1"/>
    <col min="3" max="3" width="8.7109375" style="1" customWidth="1"/>
    <col min="4" max="35" width="6.7109375" customWidth="1"/>
  </cols>
  <sheetData>
    <row r="1" spans="1:33" x14ac:dyDescent="0.25">
      <c r="A1" s="8" t="s">
        <v>53</v>
      </c>
    </row>
    <row r="2" spans="1:33" x14ac:dyDescent="0.25">
      <c r="A2" s="8" t="s">
        <v>62</v>
      </c>
    </row>
    <row r="3" spans="1:33" x14ac:dyDescent="0.25">
      <c r="A3" s="1" t="s">
        <v>56</v>
      </c>
      <c r="B3" s="2" t="s">
        <v>0</v>
      </c>
      <c r="C3" s="2" t="s">
        <v>38</v>
      </c>
      <c r="D3" t="s">
        <v>1</v>
      </c>
      <c r="E3" t="s">
        <v>39</v>
      </c>
      <c r="F3" t="s">
        <v>2</v>
      </c>
      <c r="G3" t="s">
        <v>3</v>
      </c>
      <c r="H3" t="s">
        <v>4</v>
      </c>
      <c r="I3" t="s">
        <v>58</v>
      </c>
      <c r="J3" t="s">
        <v>59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60</v>
      </c>
      <c r="R3" t="s">
        <v>61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s="4" t="s">
        <v>36</v>
      </c>
      <c r="Z3" s="2"/>
      <c r="AA3" s="1"/>
      <c r="AG3" s="1" t="s">
        <v>37</v>
      </c>
    </row>
    <row r="4" spans="1:33" x14ac:dyDescent="0.25">
      <c r="A4" s="2"/>
      <c r="D4" t="s">
        <v>19</v>
      </c>
      <c r="E4" t="s">
        <v>19</v>
      </c>
      <c r="F4" t="s">
        <v>20</v>
      </c>
      <c r="G4" t="s">
        <v>20</v>
      </c>
      <c r="H4" t="s">
        <v>20</v>
      </c>
      <c r="I4" t="s">
        <v>21</v>
      </c>
      <c r="J4" t="s">
        <v>21</v>
      </c>
      <c r="K4" t="s">
        <v>22</v>
      </c>
      <c r="L4" t="s">
        <v>22</v>
      </c>
      <c r="M4" t="s">
        <v>23</v>
      </c>
      <c r="N4" t="s">
        <v>24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25</v>
      </c>
      <c r="W4" t="s">
        <v>26</v>
      </c>
      <c r="X4" t="s">
        <v>26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19</v>
      </c>
    </row>
    <row r="5" spans="1:33" x14ac:dyDescent="0.25">
      <c r="A5" t="s">
        <v>57</v>
      </c>
      <c r="B5" s="3">
        <v>43466</v>
      </c>
      <c r="C5">
        <v>2019001</v>
      </c>
      <c r="D5">
        <v>0.64</v>
      </c>
      <c r="E5" t="s">
        <v>27</v>
      </c>
      <c r="F5">
        <v>-5.5</v>
      </c>
      <c r="G5">
        <v>-0.7</v>
      </c>
      <c r="H5">
        <v>-9.5</v>
      </c>
      <c r="I5">
        <v>87.5</v>
      </c>
      <c r="J5">
        <v>79.7</v>
      </c>
      <c r="K5">
        <v>0</v>
      </c>
      <c r="L5">
        <v>0</v>
      </c>
      <c r="M5">
        <v>0</v>
      </c>
      <c r="N5">
        <v>0.70000000000000018</v>
      </c>
      <c r="O5">
        <v>-1</v>
      </c>
      <c r="P5" t="s">
        <v>27</v>
      </c>
      <c r="Q5" t="s">
        <v>27</v>
      </c>
      <c r="R5" t="s">
        <v>27</v>
      </c>
      <c r="S5">
        <v>-0.1</v>
      </c>
      <c r="T5">
        <v>0.5</v>
      </c>
      <c r="U5">
        <v>1.1000000000000001</v>
      </c>
      <c r="V5" t="s">
        <v>27</v>
      </c>
      <c r="W5">
        <v>0.46100000000000002</v>
      </c>
      <c r="X5">
        <v>0.11700000000000001</v>
      </c>
      <c r="Y5" t="s">
        <v>27</v>
      </c>
      <c r="Z5" t="s">
        <v>27</v>
      </c>
      <c r="AA5" t="s">
        <v>27</v>
      </c>
      <c r="AB5" t="s">
        <v>27</v>
      </c>
      <c r="AC5" t="s">
        <v>27</v>
      </c>
      <c r="AD5" t="s">
        <v>27</v>
      </c>
      <c r="AE5" t="s">
        <v>27</v>
      </c>
      <c r="AF5" t="s">
        <v>27</v>
      </c>
      <c r="AG5">
        <v>5.14</v>
      </c>
    </row>
    <row r="6" spans="1:33" x14ac:dyDescent="0.25">
      <c r="A6" t="s">
        <v>57</v>
      </c>
      <c r="B6" s="3">
        <v>43467</v>
      </c>
      <c r="C6">
        <v>2019002</v>
      </c>
      <c r="D6">
        <v>0.42</v>
      </c>
      <c r="E6" t="s">
        <v>27</v>
      </c>
      <c r="F6">
        <v>-8</v>
      </c>
      <c r="G6">
        <v>-6.9</v>
      </c>
      <c r="H6">
        <v>-9.6</v>
      </c>
      <c r="I6">
        <v>90.7</v>
      </c>
      <c r="J6">
        <v>87.8</v>
      </c>
      <c r="K6">
        <v>0</v>
      </c>
      <c r="L6">
        <v>0</v>
      </c>
      <c r="M6">
        <v>0</v>
      </c>
      <c r="N6">
        <v>0.67900000000000005</v>
      </c>
      <c r="O6">
        <v>-1</v>
      </c>
      <c r="P6" t="s">
        <v>27</v>
      </c>
      <c r="Q6" t="s">
        <v>27</v>
      </c>
      <c r="R6" t="s">
        <v>27</v>
      </c>
      <c r="S6">
        <v>-0.1</v>
      </c>
      <c r="T6">
        <v>0.4</v>
      </c>
      <c r="U6">
        <v>1</v>
      </c>
      <c r="V6" t="s">
        <v>27</v>
      </c>
      <c r="W6">
        <v>0.32</v>
      </c>
      <c r="X6">
        <v>4.3999999999999997E-2</v>
      </c>
      <c r="Y6" t="s">
        <v>27</v>
      </c>
      <c r="Z6" t="s">
        <v>27</v>
      </c>
      <c r="AA6" t="s">
        <v>27</v>
      </c>
      <c r="AB6" t="s">
        <v>27</v>
      </c>
      <c r="AC6" t="s">
        <v>27</v>
      </c>
      <c r="AD6" t="s">
        <v>27</v>
      </c>
      <c r="AE6" t="s">
        <v>27</v>
      </c>
      <c r="AF6" t="s">
        <v>27</v>
      </c>
      <c r="AG6">
        <v>5.18</v>
      </c>
    </row>
    <row r="7" spans="1:33" x14ac:dyDescent="0.25">
      <c r="A7" t="s">
        <v>57</v>
      </c>
      <c r="B7" s="3">
        <v>43468</v>
      </c>
      <c r="C7">
        <v>2019003</v>
      </c>
      <c r="D7">
        <v>0.43</v>
      </c>
      <c r="E7" t="s">
        <v>27</v>
      </c>
      <c r="F7">
        <v>-3.4</v>
      </c>
      <c r="G7">
        <v>0.5</v>
      </c>
      <c r="H7">
        <v>-7.1</v>
      </c>
      <c r="I7">
        <v>93.8</v>
      </c>
      <c r="J7">
        <v>90.9</v>
      </c>
      <c r="K7">
        <v>0.1</v>
      </c>
      <c r="L7">
        <v>2.2999999999999998</v>
      </c>
      <c r="M7">
        <v>2</v>
      </c>
      <c r="N7">
        <v>0.66900000000000004</v>
      </c>
      <c r="O7">
        <v>-0.9</v>
      </c>
      <c r="P7" t="s">
        <v>27</v>
      </c>
      <c r="Q7" t="s">
        <v>27</v>
      </c>
      <c r="R7" t="s">
        <v>27</v>
      </c>
      <c r="S7">
        <v>0</v>
      </c>
      <c r="T7">
        <v>0.5</v>
      </c>
      <c r="U7">
        <v>1.1000000000000001</v>
      </c>
      <c r="V7" t="s">
        <v>27</v>
      </c>
      <c r="W7">
        <v>0.57299999999999995</v>
      </c>
      <c r="X7">
        <v>5.7000000000000002E-2</v>
      </c>
      <c r="Y7" t="s">
        <v>27</v>
      </c>
      <c r="Z7" t="s">
        <v>27</v>
      </c>
      <c r="AA7" t="s">
        <v>27</v>
      </c>
      <c r="AB7" t="s">
        <v>27</v>
      </c>
      <c r="AC7" t="s">
        <v>27</v>
      </c>
      <c r="AD7" t="s">
        <v>27</v>
      </c>
      <c r="AE7" t="s">
        <v>27</v>
      </c>
      <c r="AF7" t="s">
        <v>27</v>
      </c>
      <c r="AG7">
        <v>5.22</v>
      </c>
    </row>
    <row r="8" spans="1:33" x14ac:dyDescent="0.25">
      <c r="A8" t="s">
        <v>57</v>
      </c>
      <c r="B8" s="3">
        <v>43469</v>
      </c>
      <c r="C8">
        <v>2019004</v>
      </c>
      <c r="D8">
        <v>3.19</v>
      </c>
      <c r="E8" t="s">
        <v>27</v>
      </c>
      <c r="F8">
        <v>-3</v>
      </c>
      <c r="G8">
        <v>0.8</v>
      </c>
      <c r="H8">
        <v>-9.9</v>
      </c>
      <c r="I8">
        <v>89</v>
      </c>
      <c r="J8">
        <v>74</v>
      </c>
      <c r="K8">
        <v>0.1</v>
      </c>
      <c r="L8">
        <v>2.6</v>
      </c>
      <c r="M8">
        <v>0</v>
      </c>
      <c r="N8">
        <v>0.64100000000000001</v>
      </c>
      <c r="O8">
        <v>-0.8</v>
      </c>
      <c r="P8" t="s">
        <v>27</v>
      </c>
      <c r="Q8" t="s">
        <v>27</v>
      </c>
      <c r="R8" t="s">
        <v>27</v>
      </c>
      <c r="S8">
        <v>-0.1</v>
      </c>
      <c r="T8">
        <v>0.5</v>
      </c>
      <c r="U8">
        <v>1.1000000000000001</v>
      </c>
      <c r="V8" t="s">
        <v>27</v>
      </c>
      <c r="W8">
        <v>0.47699999999999998</v>
      </c>
      <c r="X8">
        <v>0.16800000000000001</v>
      </c>
      <c r="Y8" t="s">
        <v>27</v>
      </c>
      <c r="Z8" t="s">
        <v>27</v>
      </c>
      <c r="AA8" t="s">
        <v>27</v>
      </c>
      <c r="AB8" t="s">
        <v>27</v>
      </c>
      <c r="AC8" t="s">
        <v>27</v>
      </c>
      <c r="AD8" t="s">
        <v>27</v>
      </c>
      <c r="AE8" t="s">
        <v>27</v>
      </c>
      <c r="AF8" t="s">
        <v>27</v>
      </c>
      <c r="AG8">
        <v>5.27</v>
      </c>
    </row>
    <row r="9" spans="1:33" x14ac:dyDescent="0.25">
      <c r="A9" t="s">
        <v>57</v>
      </c>
      <c r="B9" s="3">
        <v>43470</v>
      </c>
      <c r="C9">
        <v>2019005</v>
      </c>
      <c r="D9">
        <v>2.04</v>
      </c>
      <c r="E9" t="s">
        <v>27</v>
      </c>
      <c r="F9">
        <v>-2.2999999999999998</v>
      </c>
      <c r="G9">
        <v>0.6</v>
      </c>
      <c r="H9">
        <v>-6.9</v>
      </c>
      <c r="I9">
        <v>88.6</v>
      </c>
      <c r="J9">
        <v>79.099999999999994</v>
      </c>
      <c r="K9">
        <v>0</v>
      </c>
      <c r="L9">
        <v>1</v>
      </c>
      <c r="M9">
        <v>0</v>
      </c>
      <c r="N9">
        <v>0.64200000000000013</v>
      </c>
      <c r="O9">
        <v>-0.9</v>
      </c>
      <c r="P9" t="s">
        <v>27</v>
      </c>
      <c r="Q9" t="s">
        <v>27</v>
      </c>
      <c r="R9" t="s">
        <v>27</v>
      </c>
      <c r="S9">
        <v>0</v>
      </c>
      <c r="T9">
        <v>0.5</v>
      </c>
      <c r="U9">
        <v>1.1000000000000001</v>
      </c>
      <c r="V9" t="s">
        <v>27</v>
      </c>
      <c r="W9">
        <v>0.503</v>
      </c>
      <c r="X9">
        <v>0.13300000000000001</v>
      </c>
      <c r="Y9" t="s">
        <v>27</v>
      </c>
      <c r="Z9" t="s">
        <v>27</v>
      </c>
      <c r="AA9" t="s">
        <v>27</v>
      </c>
      <c r="AB9" t="s">
        <v>27</v>
      </c>
      <c r="AC9" t="s">
        <v>27</v>
      </c>
      <c r="AD9" t="s">
        <v>27</v>
      </c>
      <c r="AE9" t="s">
        <v>27</v>
      </c>
      <c r="AF9" t="s">
        <v>27</v>
      </c>
      <c r="AG9">
        <v>5.32</v>
      </c>
    </row>
    <row r="10" spans="1:33" x14ac:dyDescent="0.25">
      <c r="A10" t="s">
        <v>57</v>
      </c>
      <c r="B10" s="3">
        <v>43471</v>
      </c>
      <c r="C10">
        <v>2019006</v>
      </c>
      <c r="D10">
        <v>3.15</v>
      </c>
      <c r="E10" t="s">
        <v>27</v>
      </c>
      <c r="F10">
        <v>-5.2</v>
      </c>
      <c r="G10">
        <v>-1.2</v>
      </c>
      <c r="H10">
        <v>-14.2</v>
      </c>
      <c r="I10">
        <v>83.9</v>
      </c>
      <c r="J10">
        <v>63.2</v>
      </c>
      <c r="K10">
        <v>0</v>
      </c>
      <c r="L10">
        <v>1.6</v>
      </c>
      <c r="M10">
        <v>0</v>
      </c>
      <c r="N10">
        <v>0.63500000000000001</v>
      </c>
      <c r="O10">
        <v>-0.8</v>
      </c>
      <c r="P10" t="s">
        <v>27</v>
      </c>
      <c r="Q10" t="s">
        <v>27</v>
      </c>
      <c r="R10" t="s">
        <v>27</v>
      </c>
      <c r="S10">
        <v>-0.1</v>
      </c>
      <c r="T10">
        <v>0.4</v>
      </c>
      <c r="U10">
        <v>1</v>
      </c>
      <c r="V10" t="s">
        <v>27</v>
      </c>
      <c r="W10">
        <v>0.35299999999999998</v>
      </c>
      <c r="X10">
        <v>0.20599999999999999</v>
      </c>
      <c r="Y10" t="s">
        <v>27</v>
      </c>
      <c r="Z10" t="s">
        <v>27</v>
      </c>
      <c r="AA10" t="s">
        <v>27</v>
      </c>
      <c r="AB10" t="s">
        <v>27</v>
      </c>
      <c r="AC10" t="s">
        <v>27</v>
      </c>
      <c r="AD10" t="s">
        <v>27</v>
      </c>
      <c r="AE10" t="s">
        <v>27</v>
      </c>
      <c r="AF10" t="s">
        <v>27</v>
      </c>
      <c r="AG10">
        <v>5.37</v>
      </c>
    </row>
    <row r="11" spans="1:33" x14ac:dyDescent="0.25">
      <c r="A11" t="s">
        <v>57</v>
      </c>
      <c r="B11" s="3">
        <v>43472</v>
      </c>
      <c r="C11">
        <v>2019007</v>
      </c>
      <c r="D11">
        <v>3.11</v>
      </c>
      <c r="E11" t="s">
        <v>27</v>
      </c>
      <c r="F11">
        <v>-9.6</v>
      </c>
      <c r="G11">
        <v>-4.8</v>
      </c>
      <c r="H11">
        <v>-18.2</v>
      </c>
      <c r="I11">
        <v>79.400000000000006</v>
      </c>
      <c r="J11">
        <v>55.5</v>
      </c>
      <c r="K11">
        <v>0</v>
      </c>
      <c r="L11">
        <v>1.7</v>
      </c>
      <c r="M11">
        <v>0.6</v>
      </c>
      <c r="N11">
        <v>0.63200000000000012</v>
      </c>
      <c r="O11">
        <v>-1.1000000000000001</v>
      </c>
      <c r="P11" t="s">
        <v>27</v>
      </c>
      <c r="Q11" t="s">
        <v>27</v>
      </c>
      <c r="R11" t="s">
        <v>27</v>
      </c>
      <c r="S11">
        <v>-0.1</v>
      </c>
      <c r="T11">
        <v>0.4</v>
      </c>
      <c r="U11">
        <v>1</v>
      </c>
      <c r="V11" t="s">
        <v>27</v>
      </c>
      <c r="W11">
        <v>0.23699999999999999</v>
      </c>
      <c r="X11">
        <v>0.19</v>
      </c>
      <c r="Y11" t="s">
        <v>27</v>
      </c>
      <c r="Z11" t="s">
        <v>27</v>
      </c>
      <c r="AA11" t="s">
        <v>27</v>
      </c>
      <c r="AB11" t="s">
        <v>27</v>
      </c>
      <c r="AC11" t="s">
        <v>27</v>
      </c>
      <c r="AD11" t="s">
        <v>27</v>
      </c>
      <c r="AE11" t="s">
        <v>27</v>
      </c>
      <c r="AF11" t="s">
        <v>27</v>
      </c>
      <c r="AG11">
        <v>5.43</v>
      </c>
    </row>
    <row r="12" spans="1:33" x14ac:dyDescent="0.25">
      <c r="A12" t="s">
        <v>57</v>
      </c>
      <c r="B12" s="3">
        <v>43473</v>
      </c>
      <c r="C12">
        <v>2019008</v>
      </c>
      <c r="D12">
        <v>1.75</v>
      </c>
      <c r="E12" t="s">
        <v>27</v>
      </c>
      <c r="F12">
        <v>-10.6</v>
      </c>
      <c r="G12">
        <v>-6</v>
      </c>
      <c r="H12">
        <v>-19.100000000000001</v>
      </c>
      <c r="I12">
        <v>79.2</v>
      </c>
      <c r="J12">
        <v>40.200000000000003</v>
      </c>
      <c r="K12">
        <v>0.1</v>
      </c>
      <c r="L12">
        <v>1.1000000000000001</v>
      </c>
      <c r="M12">
        <v>3.2</v>
      </c>
      <c r="N12">
        <v>0.66000000000000014</v>
      </c>
      <c r="O12">
        <v>-1.5</v>
      </c>
      <c r="P12" t="s">
        <v>27</v>
      </c>
      <c r="Q12" t="s">
        <v>27</v>
      </c>
      <c r="R12" t="s">
        <v>27</v>
      </c>
      <c r="S12">
        <v>-0.1</v>
      </c>
      <c r="T12">
        <v>0.4</v>
      </c>
      <c r="U12">
        <v>1</v>
      </c>
      <c r="V12" t="s">
        <v>27</v>
      </c>
      <c r="W12">
        <v>0.157</v>
      </c>
      <c r="X12">
        <v>0.23400000000000001</v>
      </c>
      <c r="Y12" t="s">
        <v>27</v>
      </c>
      <c r="Z12" t="s">
        <v>27</v>
      </c>
      <c r="AA12" t="s">
        <v>27</v>
      </c>
      <c r="AB12" t="s">
        <v>27</v>
      </c>
      <c r="AC12" t="s">
        <v>27</v>
      </c>
      <c r="AD12" t="s">
        <v>27</v>
      </c>
      <c r="AE12" t="s">
        <v>27</v>
      </c>
      <c r="AF12" t="s">
        <v>27</v>
      </c>
      <c r="AG12">
        <v>5.49</v>
      </c>
    </row>
    <row r="13" spans="1:33" x14ac:dyDescent="0.25">
      <c r="A13" t="s">
        <v>57</v>
      </c>
      <c r="B13" s="3">
        <v>43474</v>
      </c>
      <c r="C13">
        <v>2019009</v>
      </c>
      <c r="D13">
        <v>0.74</v>
      </c>
      <c r="E13" t="s">
        <v>27</v>
      </c>
      <c r="F13">
        <v>-2.1</v>
      </c>
      <c r="G13">
        <v>0.6</v>
      </c>
      <c r="H13">
        <v>-6.1</v>
      </c>
      <c r="I13">
        <v>91.9</v>
      </c>
      <c r="J13">
        <v>87.5</v>
      </c>
      <c r="K13">
        <v>0.2</v>
      </c>
      <c r="L13">
        <v>2.2999999999999998</v>
      </c>
      <c r="M13">
        <v>0</v>
      </c>
      <c r="N13">
        <v>0.65900000000000003</v>
      </c>
      <c r="O13">
        <v>-1.5</v>
      </c>
      <c r="P13" t="s">
        <v>27</v>
      </c>
      <c r="Q13" t="s">
        <v>27</v>
      </c>
      <c r="R13" t="s">
        <v>27</v>
      </c>
      <c r="S13">
        <v>-0.1</v>
      </c>
      <c r="T13">
        <v>0.5</v>
      </c>
      <c r="U13">
        <v>1</v>
      </c>
      <c r="V13" t="s">
        <v>27</v>
      </c>
      <c r="W13">
        <v>0.55700000000000005</v>
      </c>
      <c r="X13">
        <v>0.08</v>
      </c>
      <c r="Y13" t="s">
        <v>27</v>
      </c>
      <c r="Z13" t="s">
        <v>27</v>
      </c>
      <c r="AA13" t="s">
        <v>27</v>
      </c>
      <c r="AB13" t="s">
        <v>27</v>
      </c>
      <c r="AC13" t="s">
        <v>27</v>
      </c>
      <c r="AD13" t="s">
        <v>27</v>
      </c>
      <c r="AE13" t="s">
        <v>27</v>
      </c>
      <c r="AF13" t="s">
        <v>27</v>
      </c>
      <c r="AG13">
        <v>5.56</v>
      </c>
    </row>
    <row r="14" spans="1:33" x14ac:dyDescent="0.25">
      <c r="A14" t="s">
        <v>57</v>
      </c>
      <c r="B14" s="3">
        <v>43475</v>
      </c>
      <c r="C14">
        <v>2019010</v>
      </c>
      <c r="D14">
        <v>3.29</v>
      </c>
      <c r="E14" t="s">
        <v>27</v>
      </c>
      <c r="F14">
        <v>-1.4</v>
      </c>
      <c r="G14">
        <v>2.1</v>
      </c>
      <c r="H14">
        <v>-3.7</v>
      </c>
      <c r="I14">
        <v>94.4</v>
      </c>
      <c r="J14">
        <v>81.8</v>
      </c>
      <c r="K14">
        <v>0.3</v>
      </c>
      <c r="L14">
        <v>1.5</v>
      </c>
      <c r="M14">
        <v>0</v>
      </c>
      <c r="N14">
        <v>0.64300000000000002</v>
      </c>
      <c r="O14">
        <v>-1.1000000000000001</v>
      </c>
      <c r="P14" t="s">
        <v>27</v>
      </c>
      <c r="Q14" t="s">
        <v>27</v>
      </c>
      <c r="R14" t="s">
        <v>27</v>
      </c>
      <c r="S14">
        <v>-0.1</v>
      </c>
      <c r="T14">
        <v>0.5</v>
      </c>
      <c r="U14">
        <v>1</v>
      </c>
      <c r="V14" t="s">
        <v>27</v>
      </c>
      <c r="W14">
        <v>0.57999999999999996</v>
      </c>
      <c r="X14">
        <v>0.129</v>
      </c>
      <c r="Y14" t="s">
        <v>27</v>
      </c>
      <c r="Z14" t="s">
        <v>27</v>
      </c>
      <c r="AA14" t="s">
        <v>27</v>
      </c>
      <c r="AB14" t="s">
        <v>27</v>
      </c>
      <c r="AC14" t="s">
        <v>27</v>
      </c>
      <c r="AD14" t="s">
        <v>27</v>
      </c>
      <c r="AE14" t="s">
        <v>27</v>
      </c>
      <c r="AF14" t="s">
        <v>27</v>
      </c>
      <c r="AG14">
        <v>5.63</v>
      </c>
    </row>
    <row r="15" spans="1:33" x14ac:dyDescent="0.25">
      <c r="A15" t="s">
        <v>57</v>
      </c>
      <c r="B15" s="3">
        <v>43476</v>
      </c>
      <c r="C15">
        <v>2019011</v>
      </c>
      <c r="D15">
        <v>2.75</v>
      </c>
      <c r="E15" t="s">
        <v>27</v>
      </c>
      <c r="F15">
        <v>-2.2999999999999998</v>
      </c>
      <c r="G15">
        <v>0.5</v>
      </c>
      <c r="H15">
        <v>-4.0999999999999996</v>
      </c>
      <c r="I15">
        <v>93.2</v>
      </c>
      <c r="J15">
        <v>89.6</v>
      </c>
      <c r="K15">
        <v>0.5</v>
      </c>
      <c r="L15">
        <v>1.8</v>
      </c>
      <c r="M15">
        <v>0</v>
      </c>
      <c r="N15">
        <v>0.623</v>
      </c>
      <c r="O15">
        <v>-0.9</v>
      </c>
      <c r="P15" t="s">
        <v>27</v>
      </c>
      <c r="Q15" t="s">
        <v>27</v>
      </c>
      <c r="R15" t="s">
        <v>27</v>
      </c>
      <c r="S15">
        <v>0</v>
      </c>
      <c r="T15">
        <v>0.4</v>
      </c>
      <c r="U15">
        <v>1</v>
      </c>
      <c r="V15" t="s">
        <v>27</v>
      </c>
      <c r="W15">
        <v>0.56699999999999995</v>
      </c>
      <c r="X15">
        <v>6.6000000000000003E-2</v>
      </c>
      <c r="Y15" t="s">
        <v>27</v>
      </c>
      <c r="Z15" t="s">
        <v>27</v>
      </c>
      <c r="AA15" t="s">
        <v>27</v>
      </c>
      <c r="AB15" t="s">
        <v>27</v>
      </c>
      <c r="AC15" t="s">
        <v>27</v>
      </c>
      <c r="AD15" t="s">
        <v>27</v>
      </c>
      <c r="AE15" t="s">
        <v>27</v>
      </c>
      <c r="AF15" t="s">
        <v>27</v>
      </c>
      <c r="AG15">
        <v>5.7</v>
      </c>
    </row>
    <row r="16" spans="1:33" x14ac:dyDescent="0.25">
      <c r="A16" t="s">
        <v>57</v>
      </c>
      <c r="B16" s="3">
        <v>43477</v>
      </c>
      <c r="C16">
        <v>2019012</v>
      </c>
      <c r="D16">
        <v>3.83</v>
      </c>
      <c r="E16" t="s">
        <v>27</v>
      </c>
      <c r="F16">
        <v>-3.8</v>
      </c>
      <c r="G16">
        <v>0.7</v>
      </c>
      <c r="H16">
        <v>-8.5</v>
      </c>
      <c r="I16">
        <v>88.1</v>
      </c>
      <c r="J16">
        <v>74.3</v>
      </c>
      <c r="K16">
        <v>0.2</v>
      </c>
      <c r="L16">
        <v>1.3</v>
      </c>
      <c r="M16">
        <v>0</v>
      </c>
      <c r="N16">
        <v>0.62600000000000011</v>
      </c>
      <c r="O16">
        <v>-0.9</v>
      </c>
      <c r="P16" t="s">
        <v>27</v>
      </c>
      <c r="Q16" t="s">
        <v>27</v>
      </c>
      <c r="R16" t="s">
        <v>27</v>
      </c>
      <c r="S16">
        <v>0</v>
      </c>
      <c r="T16">
        <v>0.4</v>
      </c>
      <c r="U16">
        <v>1</v>
      </c>
      <c r="V16" t="s">
        <v>27</v>
      </c>
      <c r="W16">
        <v>0.47599999999999998</v>
      </c>
      <c r="X16">
        <v>0.16500000000000001</v>
      </c>
      <c r="Y16" t="s">
        <v>27</v>
      </c>
      <c r="Z16" t="s">
        <v>27</v>
      </c>
      <c r="AA16" t="s">
        <v>27</v>
      </c>
      <c r="AB16" t="s">
        <v>27</v>
      </c>
      <c r="AC16" t="s">
        <v>27</v>
      </c>
      <c r="AD16" t="s">
        <v>27</v>
      </c>
      <c r="AE16" t="s">
        <v>27</v>
      </c>
      <c r="AF16" t="s">
        <v>27</v>
      </c>
      <c r="AG16">
        <v>5.77</v>
      </c>
    </row>
    <row r="17" spans="1:33" x14ac:dyDescent="0.25">
      <c r="A17" t="s">
        <v>57</v>
      </c>
      <c r="B17" s="3">
        <v>43478</v>
      </c>
      <c r="C17">
        <v>2019013</v>
      </c>
      <c r="D17">
        <v>4.79</v>
      </c>
      <c r="E17" t="s">
        <v>27</v>
      </c>
      <c r="F17">
        <v>-5.8</v>
      </c>
      <c r="G17">
        <v>3</v>
      </c>
      <c r="H17">
        <v>-10.5</v>
      </c>
      <c r="I17">
        <v>86.2</v>
      </c>
      <c r="J17">
        <v>55.3</v>
      </c>
      <c r="K17">
        <v>0</v>
      </c>
      <c r="L17">
        <v>1.5</v>
      </c>
      <c r="M17">
        <v>0</v>
      </c>
      <c r="N17">
        <v>0.6160000000000001</v>
      </c>
      <c r="O17">
        <v>-1.2</v>
      </c>
      <c r="P17" t="s">
        <v>27</v>
      </c>
      <c r="Q17" t="s">
        <v>27</v>
      </c>
      <c r="R17" t="s">
        <v>27</v>
      </c>
      <c r="S17">
        <v>-0.1</v>
      </c>
      <c r="T17">
        <v>0.4</v>
      </c>
      <c r="U17">
        <v>1</v>
      </c>
      <c r="V17" t="s">
        <v>27</v>
      </c>
      <c r="W17">
        <v>0.41899999999999998</v>
      </c>
      <c r="X17">
        <v>0.33900000000000002</v>
      </c>
      <c r="Y17" t="s">
        <v>27</v>
      </c>
      <c r="Z17" t="s">
        <v>27</v>
      </c>
      <c r="AA17" t="s">
        <v>27</v>
      </c>
      <c r="AB17" t="s">
        <v>27</v>
      </c>
      <c r="AC17" t="s">
        <v>27</v>
      </c>
      <c r="AD17" t="s">
        <v>27</v>
      </c>
      <c r="AE17" t="s">
        <v>27</v>
      </c>
      <c r="AF17" t="s">
        <v>27</v>
      </c>
      <c r="AG17">
        <v>5.85</v>
      </c>
    </row>
    <row r="18" spans="1:33" x14ac:dyDescent="0.25">
      <c r="A18" t="s">
        <v>57</v>
      </c>
      <c r="B18" s="3">
        <v>43479</v>
      </c>
      <c r="C18">
        <v>2019014</v>
      </c>
      <c r="D18">
        <v>4.8099999999999996</v>
      </c>
      <c r="E18" t="s">
        <v>27</v>
      </c>
      <c r="F18">
        <v>-7.1</v>
      </c>
      <c r="G18">
        <v>4.8</v>
      </c>
      <c r="H18">
        <v>-14</v>
      </c>
      <c r="I18">
        <v>82.3</v>
      </c>
      <c r="J18">
        <v>37.700000000000003</v>
      </c>
      <c r="K18">
        <v>0</v>
      </c>
      <c r="L18">
        <v>1.1000000000000001</v>
      </c>
      <c r="M18">
        <v>0</v>
      </c>
      <c r="N18">
        <v>0.61499999999999999</v>
      </c>
      <c r="O18">
        <v>-1.6</v>
      </c>
      <c r="P18" t="s">
        <v>27</v>
      </c>
      <c r="Q18" t="s">
        <v>27</v>
      </c>
      <c r="R18" t="s">
        <v>27</v>
      </c>
      <c r="S18">
        <v>-0.1</v>
      </c>
      <c r="T18">
        <v>0.4</v>
      </c>
      <c r="U18">
        <v>0.9</v>
      </c>
      <c r="V18" t="s">
        <v>27</v>
      </c>
      <c r="W18">
        <v>0.32300000000000001</v>
      </c>
      <c r="X18">
        <v>0.53400000000000003</v>
      </c>
      <c r="Y18" t="s">
        <v>27</v>
      </c>
      <c r="Z18" t="s">
        <v>27</v>
      </c>
      <c r="AA18" t="s">
        <v>27</v>
      </c>
      <c r="AB18" t="s">
        <v>27</v>
      </c>
      <c r="AC18" t="s">
        <v>27</v>
      </c>
      <c r="AD18" t="s">
        <v>27</v>
      </c>
      <c r="AE18" t="s">
        <v>27</v>
      </c>
      <c r="AF18" t="s">
        <v>27</v>
      </c>
      <c r="AG18">
        <v>5.93</v>
      </c>
    </row>
    <row r="19" spans="1:33" x14ac:dyDescent="0.25">
      <c r="A19" t="s">
        <v>57</v>
      </c>
      <c r="B19" s="3">
        <v>43480</v>
      </c>
      <c r="C19">
        <v>2019015</v>
      </c>
      <c r="D19">
        <v>4.8099999999999996</v>
      </c>
      <c r="E19" t="s">
        <v>27</v>
      </c>
      <c r="F19">
        <v>-7.4</v>
      </c>
      <c r="G19">
        <v>1.7</v>
      </c>
      <c r="H19">
        <v>-12.4</v>
      </c>
      <c r="I19">
        <v>77.8</v>
      </c>
      <c r="J19">
        <v>46.5</v>
      </c>
      <c r="K19">
        <v>0</v>
      </c>
      <c r="L19">
        <v>0.7</v>
      </c>
      <c r="M19">
        <v>0</v>
      </c>
      <c r="N19">
        <v>0.6160000000000001</v>
      </c>
      <c r="O19">
        <v>-2</v>
      </c>
      <c r="P19" t="s">
        <v>27</v>
      </c>
      <c r="Q19" t="s">
        <v>27</v>
      </c>
      <c r="R19" t="s">
        <v>27</v>
      </c>
      <c r="S19">
        <v>-0.1</v>
      </c>
      <c r="T19">
        <v>0.4</v>
      </c>
      <c r="U19">
        <v>0.9</v>
      </c>
      <c r="V19" t="s">
        <v>27</v>
      </c>
      <c r="W19">
        <v>0.32</v>
      </c>
      <c r="X19">
        <v>0.36799999999999999</v>
      </c>
      <c r="Y19" t="s">
        <v>27</v>
      </c>
      <c r="Z19" t="s">
        <v>27</v>
      </c>
      <c r="AA19" t="s">
        <v>27</v>
      </c>
      <c r="AB19" t="s">
        <v>27</v>
      </c>
      <c r="AC19" t="s">
        <v>27</v>
      </c>
      <c r="AD19" t="s">
        <v>27</v>
      </c>
      <c r="AE19" t="s">
        <v>27</v>
      </c>
      <c r="AF19" t="s">
        <v>27</v>
      </c>
      <c r="AG19">
        <v>6.02</v>
      </c>
    </row>
    <row r="20" spans="1:33" x14ac:dyDescent="0.25">
      <c r="A20" t="s">
        <v>57</v>
      </c>
      <c r="B20" s="3">
        <v>43481</v>
      </c>
      <c r="C20">
        <v>2019016</v>
      </c>
      <c r="D20">
        <v>2.44</v>
      </c>
      <c r="E20" t="s">
        <v>27</v>
      </c>
      <c r="F20">
        <v>-3.6</v>
      </c>
      <c r="G20">
        <v>-0.2</v>
      </c>
      <c r="H20">
        <v>-8.1999999999999993</v>
      </c>
      <c r="I20">
        <v>80.2</v>
      </c>
      <c r="J20">
        <v>66.2</v>
      </c>
      <c r="K20">
        <v>0</v>
      </c>
      <c r="L20">
        <v>0</v>
      </c>
      <c r="M20">
        <v>0</v>
      </c>
      <c r="N20">
        <v>0.61499999999999999</v>
      </c>
      <c r="O20">
        <v>-2</v>
      </c>
      <c r="P20" t="s">
        <v>27</v>
      </c>
      <c r="Q20" t="s">
        <v>27</v>
      </c>
      <c r="R20" t="s">
        <v>27</v>
      </c>
      <c r="S20">
        <v>-0.1</v>
      </c>
      <c r="T20">
        <v>0.4</v>
      </c>
      <c r="U20">
        <v>1</v>
      </c>
      <c r="V20" t="s">
        <v>27</v>
      </c>
      <c r="W20">
        <v>0.39900000000000002</v>
      </c>
      <c r="X20">
        <v>0.20399999999999999</v>
      </c>
      <c r="Y20" t="s">
        <v>27</v>
      </c>
      <c r="Z20" t="s">
        <v>27</v>
      </c>
      <c r="AA20" t="s">
        <v>27</v>
      </c>
      <c r="AB20" t="s">
        <v>27</v>
      </c>
      <c r="AC20" t="s">
        <v>27</v>
      </c>
      <c r="AD20" t="s">
        <v>27</v>
      </c>
      <c r="AE20" t="s">
        <v>27</v>
      </c>
      <c r="AF20" t="s">
        <v>27</v>
      </c>
      <c r="AG20">
        <v>6.11</v>
      </c>
    </row>
    <row r="21" spans="1:33" x14ac:dyDescent="0.25">
      <c r="A21" t="s">
        <v>57</v>
      </c>
      <c r="B21" s="3">
        <v>43482</v>
      </c>
      <c r="C21">
        <v>2019017</v>
      </c>
      <c r="D21">
        <v>0.61</v>
      </c>
      <c r="E21" t="s">
        <v>27</v>
      </c>
      <c r="F21">
        <v>-2</v>
      </c>
      <c r="G21">
        <v>-0.3</v>
      </c>
      <c r="H21">
        <v>-4.0999999999999996</v>
      </c>
      <c r="I21">
        <v>89.1</v>
      </c>
      <c r="J21">
        <v>80.3</v>
      </c>
      <c r="K21">
        <v>0</v>
      </c>
      <c r="L21">
        <v>1</v>
      </c>
      <c r="M21">
        <v>2.7</v>
      </c>
      <c r="N21">
        <v>0.62600000000000011</v>
      </c>
      <c r="O21">
        <v>-1.5</v>
      </c>
      <c r="P21" t="s">
        <v>27</v>
      </c>
      <c r="Q21" t="s">
        <v>27</v>
      </c>
      <c r="R21" t="s">
        <v>27</v>
      </c>
      <c r="S21">
        <v>-0.1</v>
      </c>
      <c r="T21">
        <v>0.4</v>
      </c>
      <c r="U21">
        <v>1</v>
      </c>
      <c r="V21" t="s">
        <v>27</v>
      </c>
      <c r="W21">
        <v>0.48</v>
      </c>
      <c r="X21">
        <v>0.11799999999999999</v>
      </c>
      <c r="Y21" t="s">
        <v>27</v>
      </c>
      <c r="Z21" t="s">
        <v>27</v>
      </c>
      <c r="AA21" t="s">
        <v>27</v>
      </c>
      <c r="AB21" t="s">
        <v>27</v>
      </c>
      <c r="AC21" t="s">
        <v>27</v>
      </c>
      <c r="AD21" t="s">
        <v>27</v>
      </c>
      <c r="AE21" t="s">
        <v>27</v>
      </c>
      <c r="AF21" t="s">
        <v>27</v>
      </c>
      <c r="AG21">
        <v>6.2</v>
      </c>
    </row>
    <row r="22" spans="1:33" x14ac:dyDescent="0.25">
      <c r="A22" t="s">
        <v>57</v>
      </c>
      <c r="B22" s="3">
        <v>43483</v>
      </c>
      <c r="C22">
        <v>2019018</v>
      </c>
      <c r="D22">
        <v>1.01</v>
      </c>
      <c r="E22" t="s">
        <v>27</v>
      </c>
      <c r="F22">
        <v>-3.6</v>
      </c>
      <c r="G22">
        <v>-0.9</v>
      </c>
      <c r="H22">
        <v>-5.8</v>
      </c>
      <c r="I22">
        <v>91</v>
      </c>
      <c r="J22">
        <v>85</v>
      </c>
      <c r="K22">
        <v>0</v>
      </c>
      <c r="L22">
        <v>0.5</v>
      </c>
      <c r="M22">
        <v>0.6</v>
      </c>
      <c r="N22">
        <v>0.63000000000000012</v>
      </c>
      <c r="O22">
        <v>-1.2</v>
      </c>
      <c r="P22" t="s">
        <v>27</v>
      </c>
      <c r="Q22" t="s">
        <v>27</v>
      </c>
      <c r="R22" t="s">
        <v>27</v>
      </c>
      <c r="S22">
        <v>-0.1</v>
      </c>
      <c r="T22">
        <v>0.4</v>
      </c>
      <c r="U22">
        <v>1</v>
      </c>
      <c r="V22" t="s">
        <v>27</v>
      </c>
      <c r="W22">
        <v>0.48599999999999999</v>
      </c>
      <c r="X22">
        <v>8.5999999999999993E-2</v>
      </c>
      <c r="Y22" t="s">
        <v>27</v>
      </c>
      <c r="Z22" t="s">
        <v>27</v>
      </c>
      <c r="AA22" t="s">
        <v>27</v>
      </c>
      <c r="AB22" t="s">
        <v>27</v>
      </c>
      <c r="AC22" t="s">
        <v>27</v>
      </c>
      <c r="AD22" t="s">
        <v>27</v>
      </c>
      <c r="AE22" t="s">
        <v>27</v>
      </c>
      <c r="AF22" t="s">
        <v>27</v>
      </c>
      <c r="AG22">
        <v>6.3</v>
      </c>
    </row>
    <row r="23" spans="1:33" x14ac:dyDescent="0.25">
      <c r="A23" t="s">
        <v>57</v>
      </c>
      <c r="B23" s="3">
        <v>43484</v>
      </c>
      <c r="C23">
        <v>2019019</v>
      </c>
      <c r="D23">
        <v>4.76</v>
      </c>
      <c r="E23" t="s">
        <v>27</v>
      </c>
      <c r="F23">
        <v>-3.4</v>
      </c>
      <c r="G23">
        <v>1.5</v>
      </c>
      <c r="H23">
        <v>-9.1</v>
      </c>
      <c r="I23">
        <v>86.8</v>
      </c>
      <c r="J23">
        <v>63.6</v>
      </c>
      <c r="K23">
        <v>0</v>
      </c>
      <c r="L23">
        <v>1.1000000000000001</v>
      </c>
      <c r="M23">
        <v>3.6</v>
      </c>
      <c r="N23">
        <v>0.65100000000000002</v>
      </c>
      <c r="O23">
        <v>-1</v>
      </c>
      <c r="P23" t="s">
        <v>27</v>
      </c>
      <c r="Q23" t="s">
        <v>27</v>
      </c>
      <c r="R23" t="s">
        <v>27</v>
      </c>
      <c r="S23">
        <v>-0.1</v>
      </c>
      <c r="T23">
        <v>0.4</v>
      </c>
      <c r="U23">
        <v>0.9</v>
      </c>
      <c r="V23" t="s">
        <v>27</v>
      </c>
      <c r="W23">
        <v>0.434</v>
      </c>
      <c r="X23">
        <v>0.248</v>
      </c>
      <c r="Y23" t="s">
        <v>27</v>
      </c>
      <c r="Z23" t="s">
        <v>27</v>
      </c>
      <c r="AA23" t="s">
        <v>27</v>
      </c>
      <c r="AB23" t="s">
        <v>27</v>
      </c>
      <c r="AC23" t="s">
        <v>27</v>
      </c>
      <c r="AD23" t="s">
        <v>27</v>
      </c>
      <c r="AE23" t="s">
        <v>27</v>
      </c>
      <c r="AF23" t="s">
        <v>27</v>
      </c>
      <c r="AG23">
        <v>6.4</v>
      </c>
    </row>
    <row r="24" spans="1:33" x14ac:dyDescent="0.25">
      <c r="A24" t="s">
        <v>57</v>
      </c>
      <c r="B24" s="3">
        <v>43485</v>
      </c>
      <c r="C24">
        <v>2019020</v>
      </c>
      <c r="D24">
        <v>2.95</v>
      </c>
      <c r="E24" t="s">
        <v>27</v>
      </c>
      <c r="F24">
        <v>-8.1999999999999993</v>
      </c>
      <c r="G24">
        <v>-2.8</v>
      </c>
      <c r="H24">
        <v>-12.7</v>
      </c>
      <c r="I24">
        <v>88</v>
      </c>
      <c r="J24">
        <v>75.099999999999994</v>
      </c>
      <c r="K24">
        <v>0</v>
      </c>
      <c r="L24">
        <v>0</v>
      </c>
      <c r="M24">
        <v>0</v>
      </c>
      <c r="N24">
        <v>0.64500000000000002</v>
      </c>
      <c r="O24">
        <v>-1.1000000000000001</v>
      </c>
      <c r="P24" t="s">
        <v>27</v>
      </c>
      <c r="Q24" t="s">
        <v>27</v>
      </c>
      <c r="R24" t="s">
        <v>27</v>
      </c>
      <c r="S24">
        <v>-0.1</v>
      </c>
      <c r="T24">
        <v>0.4</v>
      </c>
      <c r="U24">
        <v>0.9</v>
      </c>
      <c r="V24" t="s">
        <v>27</v>
      </c>
      <c r="W24">
        <v>0.374</v>
      </c>
      <c r="X24">
        <v>0.124</v>
      </c>
      <c r="Y24" t="s">
        <v>27</v>
      </c>
      <c r="Z24" t="s">
        <v>27</v>
      </c>
      <c r="AA24" t="s">
        <v>27</v>
      </c>
      <c r="AB24" t="s">
        <v>27</v>
      </c>
      <c r="AC24" t="s">
        <v>27</v>
      </c>
      <c r="AD24" t="s">
        <v>27</v>
      </c>
      <c r="AE24" t="s">
        <v>27</v>
      </c>
      <c r="AF24" t="s">
        <v>27</v>
      </c>
      <c r="AG24">
        <v>6.51</v>
      </c>
    </row>
    <row r="25" spans="1:33" x14ac:dyDescent="0.25">
      <c r="A25" t="s">
        <v>57</v>
      </c>
      <c r="B25" s="3">
        <v>43486</v>
      </c>
      <c r="C25">
        <v>2019021</v>
      </c>
      <c r="D25">
        <v>1.21</v>
      </c>
      <c r="E25" t="s">
        <v>27</v>
      </c>
      <c r="F25">
        <v>-9.6</v>
      </c>
      <c r="G25">
        <v>-4.7</v>
      </c>
      <c r="H25">
        <v>-15.7</v>
      </c>
      <c r="I25">
        <v>84.9</v>
      </c>
      <c r="J25">
        <v>76.400000000000006</v>
      </c>
      <c r="K25">
        <v>0</v>
      </c>
      <c r="L25">
        <v>0.5</v>
      </c>
      <c r="M25">
        <v>0</v>
      </c>
      <c r="N25">
        <v>0.63900000000000001</v>
      </c>
      <c r="O25">
        <v>-1.5</v>
      </c>
      <c r="P25">
        <v>-13.2</v>
      </c>
      <c r="Q25">
        <v>-6.3</v>
      </c>
      <c r="R25">
        <v>-19.3</v>
      </c>
      <c r="S25">
        <v>-0.1</v>
      </c>
      <c r="T25">
        <v>0.4</v>
      </c>
      <c r="U25">
        <v>0.9</v>
      </c>
      <c r="V25" t="s">
        <v>27</v>
      </c>
      <c r="W25">
        <v>0.32800000000000001</v>
      </c>
      <c r="X25">
        <v>0.10100000000000001</v>
      </c>
      <c r="Y25" t="s">
        <v>27</v>
      </c>
      <c r="Z25" t="s">
        <v>27</v>
      </c>
      <c r="AA25" t="s">
        <v>27</v>
      </c>
      <c r="AB25" t="s">
        <v>27</v>
      </c>
      <c r="AC25" t="s">
        <v>27</v>
      </c>
      <c r="AD25" t="s">
        <v>27</v>
      </c>
      <c r="AE25" t="s">
        <v>27</v>
      </c>
      <c r="AF25" t="s">
        <v>27</v>
      </c>
      <c r="AG25">
        <v>6.61</v>
      </c>
    </row>
    <row r="26" spans="1:33" x14ac:dyDescent="0.25">
      <c r="A26" t="s">
        <v>57</v>
      </c>
      <c r="B26" s="3">
        <v>43487</v>
      </c>
      <c r="C26">
        <v>2019022</v>
      </c>
      <c r="D26">
        <v>0.42</v>
      </c>
      <c r="E26" t="s">
        <v>27</v>
      </c>
      <c r="F26">
        <v>-7.5</v>
      </c>
      <c r="G26">
        <v>-5.9</v>
      </c>
      <c r="H26">
        <v>-12.8</v>
      </c>
      <c r="I26">
        <v>90.4</v>
      </c>
      <c r="J26">
        <v>85.7</v>
      </c>
      <c r="K26">
        <v>0</v>
      </c>
      <c r="L26">
        <v>0</v>
      </c>
      <c r="M26">
        <v>12.4</v>
      </c>
      <c r="N26">
        <v>0.74199999999999999</v>
      </c>
      <c r="O26">
        <v>-1.7</v>
      </c>
      <c r="P26">
        <v>-9.1999999999999993</v>
      </c>
      <c r="Q26">
        <v>-6.9</v>
      </c>
      <c r="R26">
        <v>-15.5</v>
      </c>
      <c r="S26">
        <v>-0.1</v>
      </c>
      <c r="T26">
        <v>0.4</v>
      </c>
      <c r="U26">
        <v>0.9</v>
      </c>
      <c r="V26" t="s">
        <v>27</v>
      </c>
      <c r="W26">
        <v>0.33700000000000002</v>
      </c>
      <c r="X26">
        <v>5.6000000000000001E-2</v>
      </c>
      <c r="Y26" t="s">
        <v>27</v>
      </c>
      <c r="Z26" t="s">
        <v>27</v>
      </c>
      <c r="AA26" t="s">
        <v>27</v>
      </c>
      <c r="AB26" t="s">
        <v>27</v>
      </c>
      <c r="AC26" t="s">
        <v>27</v>
      </c>
      <c r="AD26" t="s">
        <v>27</v>
      </c>
      <c r="AE26" t="s">
        <v>27</v>
      </c>
      <c r="AF26" t="s">
        <v>27</v>
      </c>
      <c r="AG26">
        <v>6.73</v>
      </c>
    </row>
    <row r="27" spans="1:33" x14ac:dyDescent="0.25">
      <c r="A27" t="s">
        <v>57</v>
      </c>
      <c r="B27" s="3">
        <v>43488</v>
      </c>
      <c r="C27">
        <v>2019023</v>
      </c>
      <c r="D27">
        <v>0.99</v>
      </c>
      <c r="E27" t="s">
        <v>27</v>
      </c>
      <c r="F27">
        <v>-5.8</v>
      </c>
      <c r="G27">
        <v>-1.4</v>
      </c>
      <c r="H27">
        <v>-10.4</v>
      </c>
      <c r="I27">
        <v>89.6</v>
      </c>
      <c r="J27">
        <v>80.5</v>
      </c>
      <c r="K27">
        <v>0</v>
      </c>
      <c r="L27">
        <v>1.4</v>
      </c>
      <c r="M27">
        <v>9.1999999999999993</v>
      </c>
      <c r="N27">
        <v>0.81500000000000017</v>
      </c>
      <c r="O27">
        <v>-1.6</v>
      </c>
      <c r="P27" t="s">
        <v>27</v>
      </c>
      <c r="Q27" t="s">
        <v>27</v>
      </c>
      <c r="R27" t="s">
        <v>27</v>
      </c>
      <c r="S27">
        <v>-0.1</v>
      </c>
      <c r="T27">
        <v>0.4</v>
      </c>
      <c r="U27">
        <v>0.9</v>
      </c>
      <c r="V27" t="s">
        <v>27</v>
      </c>
      <c r="W27">
        <v>0.44400000000000001</v>
      </c>
      <c r="X27">
        <v>0.108</v>
      </c>
      <c r="Y27" t="s">
        <v>27</v>
      </c>
      <c r="Z27" t="s">
        <v>27</v>
      </c>
      <c r="AA27" t="s">
        <v>27</v>
      </c>
      <c r="AB27" t="s">
        <v>27</v>
      </c>
      <c r="AC27" t="s">
        <v>27</v>
      </c>
      <c r="AD27" t="s">
        <v>27</v>
      </c>
      <c r="AE27" t="s">
        <v>27</v>
      </c>
      <c r="AF27" t="s">
        <v>27</v>
      </c>
      <c r="AG27">
        <v>6.84</v>
      </c>
    </row>
    <row r="28" spans="1:33" x14ac:dyDescent="0.25">
      <c r="A28" t="s">
        <v>57</v>
      </c>
      <c r="B28" s="3">
        <v>43489</v>
      </c>
      <c r="C28">
        <v>2019024</v>
      </c>
      <c r="D28">
        <v>4.6500000000000004</v>
      </c>
      <c r="E28" t="s">
        <v>27</v>
      </c>
      <c r="F28">
        <v>-3.6</v>
      </c>
      <c r="G28">
        <v>2.4</v>
      </c>
      <c r="H28">
        <v>-10.5</v>
      </c>
      <c r="I28">
        <v>82</v>
      </c>
      <c r="J28">
        <v>50.4</v>
      </c>
      <c r="K28">
        <v>0</v>
      </c>
      <c r="L28">
        <v>1.7</v>
      </c>
      <c r="M28">
        <v>0</v>
      </c>
      <c r="N28">
        <v>0.78500000000000014</v>
      </c>
      <c r="O28">
        <v>-1.4</v>
      </c>
      <c r="P28" t="s">
        <v>27</v>
      </c>
      <c r="Q28" t="s">
        <v>27</v>
      </c>
      <c r="R28" t="s">
        <v>27</v>
      </c>
      <c r="S28">
        <v>-0.1</v>
      </c>
      <c r="T28">
        <v>0.4</v>
      </c>
      <c r="U28">
        <v>0.9</v>
      </c>
      <c r="V28" t="s">
        <v>27</v>
      </c>
      <c r="W28">
        <v>0.36699999999999999</v>
      </c>
      <c r="X28">
        <v>0.36099999999999999</v>
      </c>
      <c r="Y28" t="s">
        <v>27</v>
      </c>
      <c r="Z28" t="s">
        <v>27</v>
      </c>
      <c r="AA28" t="s">
        <v>27</v>
      </c>
      <c r="AB28" t="s">
        <v>27</v>
      </c>
      <c r="AC28" t="s">
        <v>27</v>
      </c>
      <c r="AD28" t="s">
        <v>27</v>
      </c>
      <c r="AE28" t="s">
        <v>27</v>
      </c>
      <c r="AF28" t="s">
        <v>27</v>
      </c>
      <c r="AG28">
        <v>6.96</v>
      </c>
    </row>
    <row r="29" spans="1:33" x14ac:dyDescent="0.25">
      <c r="A29" t="s">
        <v>57</v>
      </c>
      <c r="B29" s="3">
        <v>43490</v>
      </c>
      <c r="C29">
        <v>2019025</v>
      </c>
      <c r="D29">
        <v>5.68</v>
      </c>
      <c r="E29" t="s">
        <v>27</v>
      </c>
      <c r="F29">
        <v>-2</v>
      </c>
      <c r="G29">
        <v>3.5</v>
      </c>
      <c r="H29">
        <v>-8.9</v>
      </c>
      <c r="I29">
        <v>79.900000000000006</v>
      </c>
      <c r="J29">
        <v>56.1</v>
      </c>
      <c r="K29">
        <v>0.1</v>
      </c>
      <c r="L29">
        <v>1.8</v>
      </c>
      <c r="M29">
        <v>0</v>
      </c>
      <c r="N29">
        <v>0.76800000000000002</v>
      </c>
      <c r="O29">
        <v>-1.3</v>
      </c>
      <c r="P29" t="s">
        <v>27</v>
      </c>
      <c r="Q29" t="s">
        <v>27</v>
      </c>
      <c r="R29" t="s">
        <v>27</v>
      </c>
      <c r="S29">
        <v>-0.1</v>
      </c>
      <c r="T29">
        <v>0.4</v>
      </c>
      <c r="U29">
        <v>0.9</v>
      </c>
      <c r="V29" t="s">
        <v>27</v>
      </c>
      <c r="W29">
        <v>0.441</v>
      </c>
      <c r="X29">
        <v>0.34499999999999997</v>
      </c>
      <c r="Y29" t="s">
        <v>27</v>
      </c>
      <c r="Z29" t="s">
        <v>27</v>
      </c>
      <c r="AA29" t="s">
        <v>27</v>
      </c>
      <c r="AB29" t="s">
        <v>27</v>
      </c>
      <c r="AC29" t="s">
        <v>27</v>
      </c>
      <c r="AD29" t="s">
        <v>27</v>
      </c>
      <c r="AE29" t="s">
        <v>27</v>
      </c>
      <c r="AF29" t="s">
        <v>27</v>
      </c>
      <c r="AG29">
        <v>7.09</v>
      </c>
    </row>
    <row r="30" spans="1:33" x14ac:dyDescent="0.25">
      <c r="A30" t="s">
        <v>57</v>
      </c>
      <c r="B30" s="3">
        <v>43491</v>
      </c>
      <c r="C30">
        <v>2019026</v>
      </c>
      <c r="D30">
        <v>6.17</v>
      </c>
      <c r="E30" t="s">
        <v>27</v>
      </c>
      <c r="F30">
        <v>-0.2</v>
      </c>
      <c r="G30">
        <v>10.3</v>
      </c>
      <c r="H30">
        <v>-6.2</v>
      </c>
      <c r="I30">
        <v>84.1</v>
      </c>
      <c r="J30">
        <v>45.4</v>
      </c>
      <c r="K30">
        <v>0</v>
      </c>
      <c r="L30">
        <v>0.8</v>
      </c>
      <c r="M30">
        <v>0</v>
      </c>
      <c r="N30">
        <v>0.754</v>
      </c>
      <c r="O30">
        <v>-1.2</v>
      </c>
      <c r="P30" t="s">
        <v>27</v>
      </c>
      <c r="Q30" t="s">
        <v>27</v>
      </c>
      <c r="R30" t="s">
        <v>27</v>
      </c>
      <c r="S30">
        <v>-0.1</v>
      </c>
      <c r="T30">
        <v>0.4</v>
      </c>
      <c r="U30">
        <v>0.9</v>
      </c>
      <c r="V30" t="s">
        <v>27</v>
      </c>
      <c r="W30">
        <v>0.56899999999999995</v>
      </c>
      <c r="X30">
        <v>0.68400000000000005</v>
      </c>
      <c r="Y30" t="s">
        <v>27</v>
      </c>
      <c r="Z30" t="s">
        <v>27</v>
      </c>
      <c r="AA30" t="s">
        <v>27</v>
      </c>
      <c r="AB30" t="s">
        <v>27</v>
      </c>
      <c r="AC30" t="s">
        <v>27</v>
      </c>
      <c r="AD30" t="s">
        <v>27</v>
      </c>
      <c r="AE30" t="s">
        <v>27</v>
      </c>
      <c r="AF30" t="s">
        <v>27</v>
      </c>
      <c r="AG30">
        <v>7.21</v>
      </c>
    </row>
    <row r="31" spans="1:33" x14ac:dyDescent="0.25">
      <c r="A31" t="s">
        <v>57</v>
      </c>
      <c r="B31" s="3">
        <v>43492</v>
      </c>
      <c r="C31">
        <v>2019027</v>
      </c>
      <c r="D31">
        <v>6.58</v>
      </c>
      <c r="E31" t="s">
        <v>27</v>
      </c>
      <c r="F31">
        <v>-0.8</v>
      </c>
      <c r="G31">
        <v>4.5999999999999996</v>
      </c>
      <c r="H31">
        <v>-12.6</v>
      </c>
      <c r="I31">
        <v>62.7</v>
      </c>
      <c r="J31">
        <v>43.3</v>
      </c>
      <c r="K31">
        <v>0</v>
      </c>
      <c r="L31">
        <v>1.1000000000000001</v>
      </c>
      <c r="M31">
        <v>2.5</v>
      </c>
      <c r="N31">
        <v>0.76400000000000001</v>
      </c>
      <c r="O31">
        <v>-1</v>
      </c>
      <c r="P31" t="s">
        <v>27</v>
      </c>
      <c r="Q31" t="s">
        <v>27</v>
      </c>
      <c r="R31" t="s">
        <v>27</v>
      </c>
      <c r="S31">
        <v>-0.1</v>
      </c>
      <c r="T31">
        <v>0.4</v>
      </c>
      <c r="U31">
        <v>0.9</v>
      </c>
      <c r="V31" t="s">
        <v>27</v>
      </c>
      <c r="W31">
        <v>0.36699999999999999</v>
      </c>
      <c r="X31">
        <v>0.48099999999999998</v>
      </c>
      <c r="Y31" t="s">
        <v>27</v>
      </c>
      <c r="Z31" t="s">
        <v>27</v>
      </c>
      <c r="AA31" t="s">
        <v>27</v>
      </c>
      <c r="AB31" t="s">
        <v>27</v>
      </c>
      <c r="AC31" t="s">
        <v>27</v>
      </c>
      <c r="AD31" t="s">
        <v>27</v>
      </c>
      <c r="AE31" t="s">
        <v>27</v>
      </c>
      <c r="AF31" t="s">
        <v>27</v>
      </c>
      <c r="AG31">
        <v>7.34</v>
      </c>
    </row>
    <row r="32" spans="1:33" x14ac:dyDescent="0.25">
      <c r="A32" t="s">
        <v>57</v>
      </c>
      <c r="B32" s="3">
        <v>43493</v>
      </c>
      <c r="C32">
        <v>2019028</v>
      </c>
      <c r="D32">
        <v>4.97</v>
      </c>
      <c r="E32" t="s">
        <v>27</v>
      </c>
      <c r="F32">
        <v>-10.199999999999999</v>
      </c>
      <c r="G32">
        <v>-0.9</v>
      </c>
      <c r="H32">
        <v>-15.8</v>
      </c>
      <c r="I32">
        <v>76.599999999999994</v>
      </c>
      <c r="J32">
        <v>38</v>
      </c>
      <c r="K32">
        <v>0</v>
      </c>
      <c r="L32">
        <v>0.5</v>
      </c>
      <c r="M32">
        <v>0</v>
      </c>
      <c r="N32">
        <v>0.74700000000000011</v>
      </c>
      <c r="O32">
        <v>-1</v>
      </c>
      <c r="P32" t="s">
        <v>27</v>
      </c>
      <c r="Q32" t="s">
        <v>27</v>
      </c>
      <c r="R32" t="s">
        <v>27</v>
      </c>
      <c r="S32">
        <v>-0.1</v>
      </c>
      <c r="T32">
        <v>0.3</v>
      </c>
      <c r="U32">
        <v>0.8</v>
      </c>
      <c r="V32" t="s">
        <v>27</v>
      </c>
      <c r="W32">
        <v>0.217</v>
      </c>
      <c r="X32">
        <v>0.35399999999999998</v>
      </c>
      <c r="Y32" t="s">
        <v>27</v>
      </c>
      <c r="Z32" t="s">
        <v>27</v>
      </c>
      <c r="AA32" t="s">
        <v>27</v>
      </c>
      <c r="AB32" t="s">
        <v>27</v>
      </c>
      <c r="AC32" t="s">
        <v>27</v>
      </c>
      <c r="AD32" t="s">
        <v>27</v>
      </c>
      <c r="AE32" t="s">
        <v>27</v>
      </c>
      <c r="AF32" t="s">
        <v>27</v>
      </c>
      <c r="AG32">
        <v>7.47</v>
      </c>
    </row>
    <row r="33" spans="1:33" x14ac:dyDescent="0.25">
      <c r="A33" t="s">
        <v>57</v>
      </c>
      <c r="B33" s="3">
        <v>43494</v>
      </c>
      <c r="C33">
        <v>2019029</v>
      </c>
      <c r="D33">
        <v>6.85</v>
      </c>
      <c r="E33" t="s">
        <v>27</v>
      </c>
      <c r="F33">
        <v>-9.9</v>
      </c>
      <c r="G33">
        <v>4.2</v>
      </c>
      <c r="H33">
        <v>-17.899999999999999</v>
      </c>
      <c r="I33">
        <v>65.8</v>
      </c>
      <c r="J33">
        <v>14</v>
      </c>
      <c r="K33">
        <v>0</v>
      </c>
      <c r="L33">
        <v>0.5</v>
      </c>
      <c r="M33">
        <v>0</v>
      </c>
      <c r="N33">
        <v>0.7350000000000001</v>
      </c>
      <c r="O33">
        <v>-1.3</v>
      </c>
      <c r="P33" t="s">
        <v>27</v>
      </c>
      <c r="Q33" t="s">
        <v>27</v>
      </c>
      <c r="R33" t="s">
        <v>27</v>
      </c>
      <c r="S33">
        <v>-0.1</v>
      </c>
      <c r="T33">
        <v>0.3</v>
      </c>
      <c r="U33">
        <v>0.8</v>
      </c>
      <c r="V33" t="s">
        <v>27</v>
      </c>
      <c r="W33">
        <v>0.115</v>
      </c>
      <c r="X33">
        <v>0.70599999999999996</v>
      </c>
      <c r="Y33" t="s">
        <v>27</v>
      </c>
      <c r="Z33" t="s">
        <v>27</v>
      </c>
      <c r="AA33" t="s">
        <v>27</v>
      </c>
      <c r="AB33" t="s">
        <v>27</v>
      </c>
      <c r="AC33" t="s">
        <v>27</v>
      </c>
      <c r="AD33" t="s">
        <v>27</v>
      </c>
      <c r="AE33" t="s">
        <v>27</v>
      </c>
      <c r="AF33" t="s">
        <v>27</v>
      </c>
      <c r="AG33">
        <v>7.61</v>
      </c>
    </row>
    <row r="34" spans="1:33" x14ac:dyDescent="0.25">
      <c r="A34" t="s">
        <v>57</v>
      </c>
      <c r="B34" s="3">
        <v>43495</v>
      </c>
      <c r="C34">
        <v>2019030</v>
      </c>
      <c r="D34">
        <v>3.84</v>
      </c>
      <c r="E34" t="s">
        <v>27</v>
      </c>
      <c r="F34">
        <v>-4.5999999999999996</v>
      </c>
      <c r="G34">
        <v>4</v>
      </c>
      <c r="H34">
        <v>-14.4</v>
      </c>
      <c r="I34">
        <v>66.099999999999994</v>
      </c>
      <c r="J34">
        <v>29.8</v>
      </c>
      <c r="K34">
        <v>0.1</v>
      </c>
      <c r="L34">
        <v>1.9</v>
      </c>
      <c r="M34">
        <v>0</v>
      </c>
      <c r="N34">
        <v>0.7370000000000001</v>
      </c>
      <c r="O34">
        <v>-1.6</v>
      </c>
      <c r="P34" t="s">
        <v>27</v>
      </c>
      <c r="Q34" t="s">
        <v>27</v>
      </c>
      <c r="R34" t="s">
        <v>27</v>
      </c>
      <c r="S34">
        <v>-0.1</v>
      </c>
      <c r="T34">
        <v>0.4</v>
      </c>
      <c r="U34">
        <v>0.9</v>
      </c>
      <c r="V34" t="s">
        <v>27</v>
      </c>
      <c r="W34">
        <v>0.24199999999999999</v>
      </c>
      <c r="X34">
        <v>0.56999999999999995</v>
      </c>
      <c r="Y34" t="s">
        <v>27</v>
      </c>
      <c r="Z34" t="s">
        <v>27</v>
      </c>
      <c r="AA34" t="s">
        <v>27</v>
      </c>
      <c r="AB34" t="s">
        <v>27</v>
      </c>
      <c r="AC34" t="s">
        <v>27</v>
      </c>
      <c r="AD34" t="s">
        <v>27</v>
      </c>
      <c r="AE34" t="s">
        <v>27</v>
      </c>
      <c r="AF34" t="s">
        <v>27</v>
      </c>
      <c r="AG34">
        <v>7.75</v>
      </c>
    </row>
    <row r="35" spans="1:33" x14ac:dyDescent="0.25">
      <c r="A35" t="s">
        <v>57</v>
      </c>
      <c r="B35" s="3">
        <v>43496</v>
      </c>
      <c r="C35">
        <v>2019031</v>
      </c>
      <c r="D35">
        <v>2.58</v>
      </c>
      <c r="E35" t="s">
        <v>27</v>
      </c>
      <c r="F35">
        <v>-2.7</v>
      </c>
      <c r="G35">
        <v>1.7</v>
      </c>
      <c r="H35">
        <v>-5.2</v>
      </c>
      <c r="I35">
        <v>74.7</v>
      </c>
      <c r="J35">
        <v>56.7</v>
      </c>
      <c r="K35">
        <v>0.1</v>
      </c>
      <c r="L35">
        <v>1.1000000000000001</v>
      </c>
      <c r="M35">
        <v>0</v>
      </c>
      <c r="N35">
        <v>0.72100000000000009</v>
      </c>
      <c r="O35">
        <v>-1.5</v>
      </c>
      <c r="P35" t="s">
        <v>27</v>
      </c>
      <c r="Q35" t="s">
        <v>27</v>
      </c>
      <c r="R35" t="s">
        <v>27</v>
      </c>
      <c r="S35">
        <v>-0.1</v>
      </c>
      <c r="T35">
        <v>0.4</v>
      </c>
      <c r="U35">
        <v>0.9</v>
      </c>
      <c r="V35" t="s">
        <v>27</v>
      </c>
      <c r="W35">
        <v>0.39200000000000002</v>
      </c>
      <c r="X35">
        <v>0.29899999999999999</v>
      </c>
      <c r="Y35" t="s">
        <v>27</v>
      </c>
      <c r="Z35" t="s">
        <v>27</v>
      </c>
      <c r="AA35" t="s">
        <v>27</v>
      </c>
      <c r="AB35" t="s">
        <v>27</v>
      </c>
      <c r="AC35" t="s">
        <v>27</v>
      </c>
      <c r="AD35" t="s">
        <v>27</v>
      </c>
      <c r="AE35" t="s">
        <v>27</v>
      </c>
      <c r="AF35" t="s">
        <v>27</v>
      </c>
      <c r="AG35">
        <v>7.9</v>
      </c>
    </row>
    <row r="36" spans="1:33" x14ac:dyDescent="0.25">
      <c r="A36" t="s">
        <v>57</v>
      </c>
      <c r="B36" s="3">
        <v>43497</v>
      </c>
      <c r="C36">
        <v>2019032</v>
      </c>
      <c r="D36">
        <v>4.09</v>
      </c>
      <c r="E36" t="s">
        <v>27</v>
      </c>
      <c r="F36">
        <v>-2.2000000000000002</v>
      </c>
      <c r="G36">
        <v>0.7</v>
      </c>
      <c r="H36">
        <v>-4.2</v>
      </c>
      <c r="I36">
        <v>86</v>
      </c>
      <c r="J36">
        <v>69.400000000000006</v>
      </c>
      <c r="K36">
        <v>0.3</v>
      </c>
      <c r="L36">
        <v>2</v>
      </c>
      <c r="M36">
        <v>0</v>
      </c>
      <c r="N36">
        <v>0.71900000000000008</v>
      </c>
      <c r="O36">
        <v>-1.2</v>
      </c>
      <c r="P36" t="s">
        <v>27</v>
      </c>
      <c r="Q36" t="s">
        <v>27</v>
      </c>
      <c r="R36" t="s">
        <v>27</v>
      </c>
      <c r="S36">
        <v>-0.1</v>
      </c>
      <c r="T36">
        <v>0.4</v>
      </c>
      <c r="U36">
        <v>0.9</v>
      </c>
      <c r="V36" t="s">
        <v>27</v>
      </c>
      <c r="W36">
        <v>0.44400000000000001</v>
      </c>
      <c r="X36">
        <v>0.19600000000000001</v>
      </c>
      <c r="Y36" t="s">
        <v>27</v>
      </c>
      <c r="Z36" t="s">
        <v>27</v>
      </c>
      <c r="AA36" t="s">
        <v>27</v>
      </c>
      <c r="AB36" t="s">
        <v>27</v>
      </c>
      <c r="AC36" t="s">
        <v>27</v>
      </c>
      <c r="AD36" t="s">
        <v>27</v>
      </c>
      <c r="AE36" t="s">
        <v>27</v>
      </c>
      <c r="AF36" t="s">
        <v>27</v>
      </c>
      <c r="AG36">
        <v>8.0399999999999991</v>
      </c>
    </row>
    <row r="37" spans="1:33" x14ac:dyDescent="0.25">
      <c r="A37" t="s">
        <v>57</v>
      </c>
      <c r="B37" s="3">
        <v>43498</v>
      </c>
      <c r="C37">
        <v>2019033</v>
      </c>
      <c r="D37">
        <v>5.78</v>
      </c>
      <c r="E37" t="s">
        <v>27</v>
      </c>
      <c r="F37">
        <v>-3.8</v>
      </c>
      <c r="G37">
        <v>0.9</v>
      </c>
      <c r="H37">
        <v>-11.2</v>
      </c>
      <c r="I37">
        <v>78.900000000000006</v>
      </c>
      <c r="J37">
        <v>52.4</v>
      </c>
      <c r="K37">
        <v>0.4</v>
      </c>
      <c r="L37">
        <v>2.9</v>
      </c>
      <c r="M37">
        <v>2.7</v>
      </c>
      <c r="N37">
        <v>0.75100000000000011</v>
      </c>
      <c r="O37">
        <v>-1</v>
      </c>
      <c r="P37" t="s">
        <v>27</v>
      </c>
      <c r="Q37" t="s">
        <v>27</v>
      </c>
      <c r="R37" t="s">
        <v>27</v>
      </c>
      <c r="S37">
        <v>-0.1</v>
      </c>
      <c r="T37">
        <v>0.3</v>
      </c>
      <c r="U37">
        <v>0.9</v>
      </c>
      <c r="V37" t="s">
        <v>27</v>
      </c>
      <c r="W37">
        <v>0.34100000000000003</v>
      </c>
      <c r="X37">
        <v>0.31</v>
      </c>
      <c r="Y37" t="s">
        <v>27</v>
      </c>
      <c r="Z37" t="s">
        <v>27</v>
      </c>
      <c r="AA37" t="s">
        <v>27</v>
      </c>
      <c r="AB37" t="s">
        <v>27</v>
      </c>
      <c r="AC37" t="s">
        <v>27</v>
      </c>
      <c r="AD37" t="s">
        <v>27</v>
      </c>
      <c r="AE37" t="s">
        <v>27</v>
      </c>
      <c r="AF37" t="s">
        <v>27</v>
      </c>
      <c r="AG37">
        <v>8.1999999999999993</v>
      </c>
    </row>
    <row r="38" spans="1:33" x14ac:dyDescent="0.25">
      <c r="A38" t="s">
        <v>57</v>
      </c>
      <c r="B38" s="3">
        <v>43499</v>
      </c>
      <c r="C38">
        <v>2019034</v>
      </c>
      <c r="D38">
        <v>5.26</v>
      </c>
      <c r="E38" t="s">
        <v>27</v>
      </c>
      <c r="F38">
        <v>-15.5</v>
      </c>
      <c r="G38">
        <v>-8.5</v>
      </c>
      <c r="H38">
        <v>-23.9</v>
      </c>
      <c r="I38">
        <v>77.900000000000006</v>
      </c>
      <c r="J38">
        <v>61</v>
      </c>
      <c r="K38">
        <v>0.2</v>
      </c>
      <c r="L38">
        <v>2.4</v>
      </c>
      <c r="M38">
        <v>0</v>
      </c>
      <c r="N38">
        <v>0.74</v>
      </c>
      <c r="O38">
        <v>-1</v>
      </c>
      <c r="P38" t="s">
        <v>27</v>
      </c>
      <c r="Q38" t="s">
        <v>27</v>
      </c>
      <c r="R38" t="s">
        <v>27</v>
      </c>
      <c r="S38">
        <v>-0.1</v>
      </c>
      <c r="T38">
        <v>0.3</v>
      </c>
      <c r="U38">
        <v>0.8</v>
      </c>
      <c r="V38" t="s">
        <v>27</v>
      </c>
      <c r="W38">
        <v>0.19600000000000001</v>
      </c>
      <c r="X38">
        <v>0.125</v>
      </c>
      <c r="Y38" t="s">
        <v>27</v>
      </c>
      <c r="Z38" t="s">
        <v>27</v>
      </c>
      <c r="AA38" t="s">
        <v>27</v>
      </c>
      <c r="AB38" t="s">
        <v>27</v>
      </c>
      <c r="AC38" t="s">
        <v>27</v>
      </c>
      <c r="AD38" t="s">
        <v>27</v>
      </c>
      <c r="AE38" t="s">
        <v>27</v>
      </c>
      <c r="AF38" t="s">
        <v>27</v>
      </c>
      <c r="AG38">
        <v>8.35</v>
      </c>
    </row>
    <row r="39" spans="1:33" x14ac:dyDescent="0.25">
      <c r="A39" t="s">
        <v>57</v>
      </c>
      <c r="B39" s="3">
        <v>43500</v>
      </c>
      <c r="C39">
        <v>2019035</v>
      </c>
      <c r="D39">
        <v>6.65</v>
      </c>
      <c r="E39" t="s">
        <v>27</v>
      </c>
      <c r="F39">
        <v>-22.5</v>
      </c>
      <c r="G39">
        <v>-18.5</v>
      </c>
      <c r="H39">
        <v>-24.8</v>
      </c>
      <c r="I39">
        <v>71.900000000000006</v>
      </c>
      <c r="J39">
        <v>65.2</v>
      </c>
      <c r="K39">
        <v>0</v>
      </c>
      <c r="L39">
        <v>1</v>
      </c>
      <c r="M39">
        <v>0</v>
      </c>
      <c r="N39">
        <v>0.76300000000000012</v>
      </c>
      <c r="O39">
        <v>-1.2</v>
      </c>
      <c r="P39" t="s">
        <v>27</v>
      </c>
      <c r="Q39" t="s">
        <v>27</v>
      </c>
      <c r="R39" t="s">
        <v>27</v>
      </c>
      <c r="S39">
        <v>-0.1</v>
      </c>
      <c r="T39">
        <v>0.3</v>
      </c>
      <c r="U39">
        <v>0.7</v>
      </c>
      <c r="V39" t="s">
        <v>27</v>
      </c>
      <c r="W39">
        <v>9.1999999999999998E-2</v>
      </c>
      <c r="X39">
        <v>4.9000000000000002E-2</v>
      </c>
      <c r="Y39" t="s">
        <v>27</v>
      </c>
      <c r="Z39" t="s">
        <v>27</v>
      </c>
      <c r="AA39" t="s">
        <v>27</v>
      </c>
      <c r="AB39" t="s">
        <v>27</v>
      </c>
      <c r="AC39" t="s">
        <v>27</v>
      </c>
      <c r="AD39" t="s">
        <v>27</v>
      </c>
      <c r="AE39" t="s">
        <v>27</v>
      </c>
      <c r="AF39" t="s">
        <v>27</v>
      </c>
      <c r="AG39">
        <v>8.52</v>
      </c>
    </row>
    <row r="40" spans="1:33" x14ac:dyDescent="0.25">
      <c r="A40" t="s">
        <v>57</v>
      </c>
      <c r="B40" s="3">
        <v>43501</v>
      </c>
      <c r="C40">
        <v>2019036</v>
      </c>
      <c r="D40">
        <v>7.3</v>
      </c>
      <c r="E40" t="s">
        <v>27</v>
      </c>
      <c r="F40">
        <v>-19</v>
      </c>
      <c r="G40">
        <v>-13.3</v>
      </c>
      <c r="H40">
        <v>-26.6</v>
      </c>
      <c r="I40">
        <v>63.8</v>
      </c>
      <c r="J40">
        <v>38.299999999999997</v>
      </c>
      <c r="K40">
        <v>0.1</v>
      </c>
      <c r="L40">
        <v>2.5</v>
      </c>
      <c r="M40">
        <v>0</v>
      </c>
      <c r="N40">
        <v>0.70900000000000007</v>
      </c>
      <c r="O40">
        <v>-1.6</v>
      </c>
      <c r="P40" t="s">
        <v>27</v>
      </c>
      <c r="Q40" t="s">
        <v>27</v>
      </c>
      <c r="R40" t="s">
        <v>27</v>
      </c>
      <c r="S40">
        <v>-0.2</v>
      </c>
      <c r="T40">
        <v>0.3</v>
      </c>
      <c r="U40">
        <v>0.7</v>
      </c>
      <c r="V40" t="s">
        <v>27</v>
      </c>
      <c r="W40">
        <v>8.4000000000000005E-2</v>
      </c>
      <c r="X40">
        <v>0.13500000000000001</v>
      </c>
      <c r="Y40" t="s">
        <v>27</v>
      </c>
      <c r="Z40" t="s">
        <v>27</v>
      </c>
      <c r="AA40" t="s">
        <v>27</v>
      </c>
      <c r="AB40" t="s">
        <v>27</v>
      </c>
      <c r="AC40" t="s">
        <v>27</v>
      </c>
      <c r="AD40" t="s">
        <v>27</v>
      </c>
      <c r="AE40" t="s">
        <v>27</v>
      </c>
      <c r="AF40" t="s">
        <v>27</v>
      </c>
      <c r="AG40">
        <v>8.68</v>
      </c>
    </row>
    <row r="41" spans="1:33" x14ac:dyDescent="0.25">
      <c r="A41" t="s">
        <v>57</v>
      </c>
      <c r="B41" s="3">
        <v>43502</v>
      </c>
      <c r="C41">
        <v>2019037</v>
      </c>
      <c r="D41">
        <v>8.43</v>
      </c>
      <c r="E41" t="s">
        <v>27</v>
      </c>
      <c r="F41">
        <v>-19.5</v>
      </c>
      <c r="G41">
        <v>-11.3</v>
      </c>
      <c r="H41">
        <v>-23.8</v>
      </c>
      <c r="I41">
        <v>70.400000000000006</v>
      </c>
      <c r="J41">
        <v>47.2</v>
      </c>
      <c r="K41">
        <v>0.1</v>
      </c>
      <c r="L41">
        <v>1.2</v>
      </c>
      <c r="M41">
        <v>0</v>
      </c>
      <c r="N41">
        <v>0.70500000000000007</v>
      </c>
      <c r="O41">
        <v>-2.1</v>
      </c>
      <c r="P41" t="s">
        <v>27</v>
      </c>
      <c r="Q41" t="s">
        <v>27</v>
      </c>
      <c r="R41" t="s">
        <v>27</v>
      </c>
      <c r="S41">
        <v>-0.2</v>
      </c>
      <c r="T41">
        <v>0.2</v>
      </c>
      <c r="U41">
        <v>0.7</v>
      </c>
      <c r="V41" t="s">
        <v>27</v>
      </c>
      <c r="W41">
        <v>0.121</v>
      </c>
      <c r="X41">
        <v>0.13500000000000001</v>
      </c>
      <c r="Y41" t="s">
        <v>27</v>
      </c>
      <c r="Z41" t="s">
        <v>27</v>
      </c>
      <c r="AA41" t="s">
        <v>27</v>
      </c>
      <c r="AB41" t="s">
        <v>27</v>
      </c>
      <c r="AC41" t="s">
        <v>27</v>
      </c>
      <c r="AD41" t="s">
        <v>27</v>
      </c>
      <c r="AE41" t="s">
        <v>27</v>
      </c>
      <c r="AF41" t="s">
        <v>27</v>
      </c>
      <c r="AG41">
        <v>8.85</v>
      </c>
    </row>
    <row r="42" spans="1:33" x14ac:dyDescent="0.25">
      <c r="A42" t="s">
        <v>57</v>
      </c>
      <c r="B42" s="3">
        <v>43503</v>
      </c>
      <c r="C42">
        <v>2019038</v>
      </c>
      <c r="D42">
        <v>4.01</v>
      </c>
      <c r="E42" t="s">
        <v>27</v>
      </c>
      <c r="F42">
        <v>-14.2</v>
      </c>
      <c r="G42">
        <v>-7</v>
      </c>
      <c r="H42">
        <v>-23.8</v>
      </c>
      <c r="I42">
        <v>72.5</v>
      </c>
      <c r="J42">
        <v>38.799999999999997</v>
      </c>
      <c r="K42">
        <v>0</v>
      </c>
      <c r="L42">
        <v>1.4</v>
      </c>
      <c r="M42">
        <v>3.2</v>
      </c>
      <c r="N42">
        <v>0.7330000000000001</v>
      </c>
      <c r="O42">
        <v>-2.5</v>
      </c>
      <c r="P42" t="s">
        <v>27</v>
      </c>
      <c r="Q42" t="s">
        <v>27</v>
      </c>
      <c r="R42" t="s">
        <v>27</v>
      </c>
      <c r="S42">
        <v>-0.2</v>
      </c>
      <c r="T42">
        <v>0.3</v>
      </c>
      <c r="U42">
        <v>0.8</v>
      </c>
      <c r="V42" t="s">
        <v>27</v>
      </c>
      <c r="W42">
        <v>0.14000000000000001</v>
      </c>
      <c r="X42">
        <v>0.221</v>
      </c>
      <c r="Y42" t="s">
        <v>27</v>
      </c>
      <c r="Z42" t="s">
        <v>27</v>
      </c>
      <c r="AA42" t="s">
        <v>27</v>
      </c>
      <c r="AB42" t="s">
        <v>27</v>
      </c>
      <c r="AC42" t="s">
        <v>27</v>
      </c>
      <c r="AD42" t="s">
        <v>27</v>
      </c>
      <c r="AE42" t="s">
        <v>27</v>
      </c>
      <c r="AF42" t="s">
        <v>27</v>
      </c>
      <c r="AG42">
        <v>9.02</v>
      </c>
    </row>
    <row r="43" spans="1:33" x14ac:dyDescent="0.25">
      <c r="A43" t="s">
        <v>57</v>
      </c>
      <c r="B43" s="3">
        <v>43504</v>
      </c>
      <c r="C43">
        <v>2019039</v>
      </c>
      <c r="D43">
        <v>1.1399999999999999</v>
      </c>
      <c r="E43" t="s">
        <v>27</v>
      </c>
      <c r="F43">
        <v>-13.4</v>
      </c>
      <c r="G43">
        <v>-11.3</v>
      </c>
      <c r="H43">
        <v>-16.7</v>
      </c>
      <c r="I43">
        <v>82.2</v>
      </c>
      <c r="J43">
        <v>75.8</v>
      </c>
      <c r="K43">
        <v>0.1</v>
      </c>
      <c r="L43">
        <v>2.1</v>
      </c>
      <c r="M43">
        <v>7.4</v>
      </c>
      <c r="N43">
        <v>0.78900000000000015</v>
      </c>
      <c r="O43">
        <v>-2.5</v>
      </c>
      <c r="P43" t="s">
        <v>27</v>
      </c>
      <c r="Q43" t="s">
        <v>27</v>
      </c>
      <c r="R43" t="s">
        <v>27</v>
      </c>
      <c r="S43">
        <v>-0.2</v>
      </c>
      <c r="T43">
        <v>0.3</v>
      </c>
      <c r="U43">
        <v>0.8</v>
      </c>
      <c r="V43" t="s">
        <v>27</v>
      </c>
      <c r="W43">
        <v>0.19500000000000001</v>
      </c>
      <c r="X43">
        <v>6.2E-2</v>
      </c>
      <c r="Y43" t="s">
        <v>27</v>
      </c>
      <c r="Z43" t="s">
        <v>27</v>
      </c>
      <c r="AA43" t="s">
        <v>27</v>
      </c>
      <c r="AB43" t="s">
        <v>27</v>
      </c>
      <c r="AC43" t="s">
        <v>27</v>
      </c>
      <c r="AD43" t="s">
        <v>27</v>
      </c>
      <c r="AE43" t="s">
        <v>27</v>
      </c>
      <c r="AF43" t="s">
        <v>27</v>
      </c>
      <c r="AG43">
        <v>9.19</v>
      </c>
    </row>
    <row r="44" spans="1:33" x14ac:dyDescent="0.25">
      <c r="A44" t="s">
        <v>57</v>
      </c>
      <c r="B44" s="3">
        <v>43505</v>
      </c>
      <c r="C44">
        <v>2019040</v>
      </c>
      <c r="D44">
        <v>6.4</v>
      </c>
      <c r="E44" t="s">
        <v>27</v>
      </c>
      <c r="F44">
        <v>-17.600000000000001</v>
      </c>
      <c r="G44">
        <v>-15</v>
      </c>
      <c r="H44">
        <v>-19.899999999999999</v>
      </c>
      <c r="I44">
        <v>78.8</v>
      </c>
      <c r="J44">
        <v>75.7</v>
      </c>
      <c r="K44">
        <v>0</v>
      </c>
      <c r="L44">
        <v>0.5</v>
      </c>
      <c r="M44">
        <v>1.4</v>
      </c>
      <c r="N44">
        <v>0.79800000000000004</v>
      </c>
      <c r="O44">
        <v>-2.2000000000000002</v>
      </c>
      <c r="P44" t="s">
        <v>27</v>
      </c>
      <c r="Q44" t="s">
        <v>27</v>
      </c>
      <c r="R44" t="s">
        <v>27</v>
      </c>
      <c r="S44">
        <v>-0.3</v>
      </c>
      <c r="T44">
        <v>0.2</v>
      </c>
      <c r="U44">
        <v>0.7</v>
      </c>
      <c r="V44" t="s">
        <v>27</v>
      </c>
      <c r="W44">
        <v>0.14399999999999999</v>
      </c>
      <c r="X44">
        <v>4.5999999999999999E-2</v>
      </c>
      <c r="Y44" t="s">
        <v>27</v>
      </c>
      <c r="Z44" t="s">
        <v>27</v>
      </c>
      <c r="AA44" t="s">
        <v>27</v>
      </c>
      <c r="AB44" t="s">
        <v>27</v>
      </c>
      <c r="AC44" t="s">
        <v>27</v>
      </c>
      <c r="AD44" t="s">
        <v>27</v>
      </c>
      <c r="AE44" t="s">
        <v>27</v>
      </c>
      <c r="AF44" t="s">
        <v>27</v>
      </c>
      <c r="AG44">
        <v>9.3699999999999992</v>
      </c>
    </row>
    <row r="45" spans="1:33" x14ac:dyDescent="0.25">
      <c r="A45" t="s">
        <v>57</v>
      </c>
      <c r="B45" s="3">
        <v>43506</v>
      </c>
      <c r="C45">
        <v>2019041</v>
      </c>
      <c r="D45">
        <v>7.49</v>
      </c>
      <c r="E45" t="s">
        <v>27</v>
      </c>
      <c r="F45">
        <v>-18.2</v>
      </c>
      <c r="G45">
        <v>-11.6</v>
      </c>
      <c r="H45">
        <v>-26.2</v>
      </c>
      <c r="I45">
        <v>76.599999999999994</v>
      </c>
      <c r="J45">
        <v>62.8</v>
      </c>
      <c r="K45">
        <v>0</v>
      </c>
      <c r="L45">
        <v>0.5</v>
      </c>
      <c r="M45">
        <v>0</v>
      </c>
      <c r="N45">
        <v>0.79600000000000004</v>
      </c>
      <c r="O45">
        <v>-2.1</v>
      </c>
      <c r="P45" t="s">
        <v>27</v>
      </c>
      <c r="Q45" t="s">
        <v>27</v>
      </c>
      <c r="R45" t="s">
        <v>27</v>
      </c>
      <c r="S45">
        <v>-0.3</v>
      </c>
      <c r="T45">
        <v>0.2</v>
      </c>
      <c r="U45">
        <v>0.7</v>
      </c>
      <c r="V45" t="s">
        <v>27</v>
      </c>
      <c r="W45">
        <v>0.157</v>
      </c>
      <c r="X45">
        <v>9.2999999999999999E-2</v>
      </c>
      <c r="Y45" t="s">
        <v>27</v>
      </c>
      <c r="Z45" t="s">
        <v>27</v>
      </c>
      <c r="AA45" t="s">
        <v>27</v>
      </c>
      <c r="AB45" t="s">
        <v>27</v>
      </c>
      <c r="AC45" t="s">
        <v>27</v>
      </c>
      <c r="AD45" t="s">
        <v>27</v>
      </c>
      <c r="AE45" t="s">
        <v>27</v>
      </c>
      <c r="AF45" t="s">
        <v>27</v>
      </c>
      <c r="AG45">
        <v>9.5500000000000007</v>
      </c>
    </row>
    <row r="46" spans="1:33" x14ac:dyDescent="0.25">
      <c r="A46" t="s">
        <v>57</v>
      </c>
      <c r="B46" s="3">
        <v>43507</v>
      </c>
      <c r="C46">
        <v>2019042</v>
      </c>
      <c r="D46">
        <v>2.89</v>
      </c>
      <c r="E46" t="s">
        <v>27</v>
      </c>
      <c r="F46">
        <v>-16.5</v>
      </c>
      <c r="G46">
        <v>-10.5</v>
      </c>
      <c r="H46">
        <v>-27.7</v>
      </c>
      <c r="I46">
        <v>77</v>
      </c>
      <c r="J46">
        <v>67.5</v>
      </c>
      <c r="K46">
        <v>0</v>
      </c>
      <c r="L46">
        <v>1.1000000000000001</v>
      </c>
      <c r="M46">
        <v>0.6</v>
      </c>
      <c r="N46">
        <v>0.80400000000000005</v>
      </c>
      <c r="O46">
        <v>-2.2000000000000002</v>
      </c>
      <c r="P46" t="s">
        <v>27</v>
      </c>
      <c r="Q46" t="s">
        <v>27</v>
      </c>
      <c r="R46" t="s">
        <v>27</v>
      </c>
      <c r="S46">
        <v>-0.3</v>
      </c>
      <c r="T46">
        <v>0.2</v>
      </c>
      <c r="U46">
        <v>0.7</v>
      </c>
      <c r="V46" t="s">
        <v>27</v>
      </c>
      <c r="W46">
        <v>0.185</v>
      </c>
      <c r="X46">
        <v>8.8999999999999996E-2</v>
      </c>
      <c r="Y46" t="s">
        <v>27</v>
      </c>
      <c r="Z46" t="s">
        <v>27</v>
      </c>
      <c r="AA46" t="s">
        <v>27</v>
      </c>
      <c r="AB46" t="s">
        <v>27</v>
      </c>
      <c r="AC46" t="s">
        <v>27</v>
      </c>
      <c r="AD46" t="s">
        <v>27</v>
      </c>
      <c r="AE46" t="s">
        <v>27</v>
      </c>
      <c r="AF46" t="s">
        <v>27</v>
      </c>
      <c r="AG46">
        <v>9.74</v>
      </c>
    </row>
    <row r="47" spans="1:33" x14ac:dyDescent="0.25">
      <c r="A47" t="s">
        <v>57</v>
      </c>
      <c r="B47" s="3">
        <v>43508</v>
      </c>
      <c r="C47">
        <v>2019043</v>
      </c>
      <c r="D47">
        <v>0.7</v>
      </c>
      <c r="E47" t="s">
        <v>27</v>
      </c>
      <c r="F47">
        <v>-11.8</v>
      </c>
      <c r="G47">
        <v>-8</v>
      </c>
      <c r="H47">
        <v>-17.899999999999999</v>
      </c>
      <c r="I47">
        <v>84</v>
      </c>
      <c r="J47">
        <v>78</v>
      </c>
      <c r="K47">
        <v>0</v>
      </c>
      <c r="L47">
        <v>1</v>
      </c>
      <c r="M47">
        <v>7.6</v>
      </c>
      <c r="N47">
        <v>0.86699999999999999</v>
      </c>
      <c r="O47">
        <v>-2.2000000000000002</v>
      </c>
      <c r="P47" t="s">
        <v>27</v>
      </c>
      <c r="Q47" t="s">
        <v>27</v>
      </c>
      <c r="R47" t="s">
        <v>27</v>
      </c>
      <c r="S47">
        <v>-0.3</v>
      </c>
      <c r="T47">
        <v>0.2</v>
      </c>
      <c r="U47">
        <v>0.7</v>
      </c>
      <c r="V47" t="s">
        <v>27</v>
      </c>
      <c r="W47">
        <v>0.26</v>
      </c>
      <c r="X47">
        <v>7.2999999999999995E-2</v>
      </c>
      <c r="Y47" t="s">
        <v>27</v>
      </c>
      <c r="Z47" t="s">
        <v>27</v>
      </c>
      <c r="AA47" t="s">
        <v>27</v>
      </c>
      <c r="AB47" t="s">
        <v>27</v>
      </c>
      <c r="AC47" t="s">
        <v>27</v>
      </c>
      <c r="AD47" t="s">
        <v>27</v>
      </c>
      <c r="AE47" t="s">
        <v>27</v>
      </c>
      <c r="AF47" t="s">
        <v>27</v>
      </c>
      <c r="AG47">
        <v>9.92</v>
      </c>
    </row>
    <row r="48" spans="1:33" x14ac:dyDescent="0.25">
      <c r="A48" t="s">
        <v>57</v>
      </c>
      <c r="B48" s="3">
        <v>43509</v>
      </c>
      <c r="C48">
        <v>2019044</v>
      </c>
      <c r="D48">
        <v>1.66</v>
      </c>
      <c r="E48" t="s">
        <v>27</v>
      </c>
      <c r="F48">
        <v>-13</v>
      </c>
      <c r="G48">
        <v>-5.3</v>
      </c>
      <c r="H48">
        <v>-19.100000000000001</v>
      </c>
      <c r="I48">
        <v>80.2</v>
      </c>
      <c r="J48">
        <v>63.7</v>
      </c>
      <c r="K48">
        <v>0</v>
      </c>
      <c r="L48">
        <v>1</v>
      </c>
      <c r="M48">
        <v>2.5</v>
      </c>
      <c r="N48">
        <v>0.86699999999999999</v>
      </c>
      <c r="O48">
        <v>-2.1</v>
      </c>
      <c r="P48" t="s">
        <v>27</v>
      </c>
      <c r="Q48" t="s">
        <v>27</v>
      </c>
      <c r="R48" t="s">
        <v>27</v>
      </c>
      <c r="S48">
        <v>-0.3</v>
      </c>
      <c r="T48">
        <v>0.2</v>
      </c>
      <c r="U48">
        <v>0.7</v>
      </c>
      <c r="V48" t="s">
        <v>27</v>
      </c>
      <c r="W48">
        <v>0.26200000000000001</v>
      </c>
      <c r="X48">
        <v>0.14899999999999999</v>
      </c>
      <c r="Y48" t="s">
        <v>27</v>
      </c>
      <c r="Z48" t="s">
        <v>27</v>
      </c>
      <c r="AA48" t="s">
        <v>27</v>
      </c>
      <c r="AB48" t="s">
        <v>27</v>
      </c>
      <c r="AC48" t="s">
        <v>27</v>
      </c>
      <c r="AD48" t="s">
        <v>27</v>
      </c>
      <c r="AE48" t="s">
        <v>27</v>
      </c>
      <c r="AF48" t="s">
        <v>27</v>
      </c>
      <c r="AG48">
        <v>10.119999999999999</v>
      </c>
    </row>
    <row r="49" spans="1:33" x14ac:dyDescent="0.25">
      <c r="A49" t="s">
        <v>57</v>
      </c>
      <c r="B49" s="3">
        <v>43510</v>
      </c>
      <c r="C49">
        <v>2019045</v>
      </c>
      <c r="D49">
        <v>1.38</v>
      </c>
      <c r="E49" t="s">
        <v>27</v>
      </c>
      <c r="F49">
        <v>-7.8</v>
      </c>
      <c r="G49">
        <v>-4.0999999999999996</v>
      </c>
      <c r="H49">
        <v>-14.8</v>
      </c>
      <c r="I49">
        <v>80.8</v>
      </c>
      <c r="J49">
        <v>50.7</v>
      </c>
      <c r="K49">
        <v>0</v>
      </c>
      <c r="L49">
        <v>0.6</v>
      </c>
      <c r="M49">
        <v>3.1</v>
      </c>
      <c r="N49">
        <v>0.88900000000000001</v>
      </c>
      <c r="O49">
        <v>-1.9</v>
      </c>
      <c r="P49" t="s">
        <v>27</v>
      </c>
      <c r="Q49" t="s">
        <v>27</v>
      </c>
      <c r="R49" t="s">
        <v>27</v>
      </c>
      <c r="S49">
        <v>-0.3</v>
      </c>
      <c r="T49">
        <v>0.2</v>
      </c>
      <c r="U49">
        <v>0.7</v>
      </c>
      <c r="V49" t="s">
        <v>27</v>
      </c>
      <c r="W49">
        <v>0.22900000000000001</v>
      </c>
      <c r="X49">
        <v>0.223</v>
      </c>
      <c r="Y49" t="s">
        <v>27</v>
      </c>
      <c r="Z49" t="s">
        <v>27</v>
      </c>
      <c r="AA49" t="s">
        <v>27</v>
      </c>
      <c r="AB49" t="s">
        <v>27</v>
      </c>
      <c r="AC49" t="s">
        <v>27</v>
      </c>
      <c r="AD49" t="s">
        <v>27</v>
      </c>
      <c r="AE49" t="s">
        <v>27</v>
      </c>
      <c r="AF49" t="s">
        <v>27</v>
      </c>
      <c r="AG49">
        <v>10.31</v>
      </c>
    </row>
    <row r="50" spans="1:33" x14ac:dyDescent="0.25">
      <c r="A50" t="s">
        <v>57</v>
      </c>
      <c r="B50" s="3">
        <v>43511</v>
      </c>
      <c r="C50">
        <v>2019046</v>
      </c>
      <c r="D50">
        <v>2.6</v>
      </c>
      <c r="E50" t="s">
        <v>27</v>
      </c>
      <c r="F50">
        <v>-5.2</v>
      </c>
      <c r="G50">
        <v>-1.1000000000000001</v>
      </c>
      <c r="H50">
        <v>-8.8000000000000007</v>
      </c>
      <c r="I50">
        <v>88.6</v>
      </c>
      <c r="J50">
        <v>75.7</v>
      </c>
      <c r="K50">
        <v>0</v>
      </c>
      <c r="L50">
        <v>0</v>
      </c>
      <c r="M50">
        <v>2.5</v>
      </c>
      <c r="N50">
        <v>0.91000000000000014</v>
      </c>
      <c r="O50">
        <v>-1.9</v>
      </c>
      <c r="P50" t="s">
        <v>27</v>
      </c>
      <c r="Q50" t="s">
        <v>27</v>
      </c>
      <c r="R50" t="s">
        <v>27</v>
      </c>
      <c r="S50">
        <v>-0.3</v>
      </c>
      <c r="T50">
        <v>0.2</v>
      </c>
      <c r="U50">
        <v>0.7</v>
      </c>
      <c r="V50" t="s">
        <v>27</v>
      </c>
      <c r="W50">
        <v>0.42499999999999999</v>
      </c>
      <c r="X50">
        <v>0.13600000000000001</v>
      </c>
      <c r="Y50" t="s">
        <v>27</v>
      </c>
      <c r="Z50" t="s">
        <v>27</v>
      </c>
      <c r="AA50" t="s">
        <v>27</v>
      </c>
      <c r="AB50" t="s">
        <v>27</v>
      </c>
      <c r="AC50" t="s">
        <v>27</v>
      </c>
      <c r="AD50" t="s">
        <v>27</v>
      </c>
      <c r="AE50" t="s">
        <v>27</v>
      </c>
      <c r="AF50" t="s">
        <v>27</v>
      </c>
      <c r="AG50">
        <v>10.51</v>
      </c>
    </row>
    <row r="51" spans="1:33" x14ac:dyDescent="0.25">
      <c r="A51" t="s">
        <v>57</v>
      </c>
      <c r="B51" s="3">
        <v>43512</v>
      </c>
      <c r="C51">
        <v>2019047</v>
      </c>
      <c r="D51">
        <v>1.84</v>
      </c>
      <c r="E51" t="s">
        <v>27</v>
      </c>
      <c r="F51">
        <v>-6.1</v>
      </c>
      <c r="G51">
        <v>-2.7</v>
      </c>
      <c r="H51">
        <v>-10.6</v>
      </c>
      <c r="I51">
        <v>84.8</v>
      </c>
      <c r="J51">
        <v>63.9</v>
      </c>
      <c r="K51">
        <v>0</v>
      </c>
      <c r="L51">
        <v>0</v>
      </c>
      <c r="M51">
        <v>0</v>
      </c>
      <c r="N51">
        <v>0.89100000000000001</v>
      </c>
      <c r="O51">
        <v>-1.6</v>
      </c>
      <c r="P51" t="s">
        <v>27</v>
      </c>
      <c r="Q51" t="s">
        <v>27</v>
      </c>
      <c r="R51" t="s">
        <v>27</v>
      </c>
      <c r="S51">
        <v>-0.2</v>
      </c>
      <c r="T51">
        <v>0.2</v>
      </c>
      <c r="U51">
        <v>0.7</v>
      </c>
      <c r="V51" t="s">
        <v>27</v>
      </c>
      <c r="W51">
        <v>0.32100000000000001</v>
      </c>
      <c r="X51">
        <v>0.18099999999999999</v>
      </c>
      <c r="Y51" t="s">
        <v>27</v>
      </c>
      <c r="Z51" t="s">
        <v>27</v>
      </c>
      <c r="AA51" t="s">
        <v>27</v>
      </c>
      <c r="AB51" t="s">
        <v>27</v>
      </c>
      <c r="AC51" t="s">
        <v>27</v>
      </c>
      <c r="AD51" t="s">
        <v>27</v>
      </c>
      <c r="AE51" t="s">
        <v>27</v>
      </c>
      <c r="AF51" t="s">
        <v>27</v>
      </c>
      <c r="AG51">
        <v>10.71</v>
      </c>
    </row>
    <row r="52" spans="1:33" x14ac:dyDescent="0.25">
      <c r="A52" t="s">
        <v>57</v>
      </c>
      <c r="B52" s="3">
        <v>43513</v>
      </c>
      <c r="C52">
        <v>2019048</v>
      </c>
      <c r="D52">
        <v>1.94</v>
      </c>
      <c r="E52" t="s">
        <v>27</v>
      </c>
      <c r="F52">
        <v>-9.9</v>
      </c>
      <c r="G52">
        <v>-6.7</v>
      </c>
      <c r="H52">
        <v>-16.7</v>
      </c>
      <c r="I52">
        <v>87.7</v>
      </c>
      <c r="J52">
        <v>80.3</v>
      </c>
      <c r="K52">
        <v>0</v>
      </c>
      <c r="L52">
        <v>1.6</v>
      </c>
      <c r="M52">
        <v>6.1</v>
      </c>
      <c r="N52">
        <v>0.92600000000000016</v>
      </c>
      <c r="O52">
        <v>-1.4</v>
      </c>
      <c r="P52" t="s">
        <v>27</v>
      </c>
      <c r="Q52" t="s">
        <v>27</v>
      </c>
      <c r="R52" t="s">
        <v>27</v>
      </c>
      <c r="S52">
        <v>-0.2</v>
      </c>
      <c r="T52">
        <v>0.2</v>
      </c>
      <c r="U52">
        <v>0.7</v>
      </c>
      <c r="V52" t="s">
        <v>27</v>
      </c>
      <c r="W52">
        <v>0.29599999999999999</v>
      </c>
      <c r="X52">
        <v>7.2999999999999995E-2</v>
      </c>
      <c r="Y52" t="s">
        <v>27</v>
      </c>
      <c r="Z52" t="s">
        <v>27</v>
      </c>
      <c r="AA52" t="s">
        <v>27</v>
      </c>
      <c r="AB52" t="s">
        <v>27</v>
      </c>
      <c r="AC52" t="s">
        <v>27</v>
      </c>
      <c r="AD52" t="s">
        <v>27</v>
      </c>
      <c r="AE52" t="s">
        <v>27</v>
      </c>
      <c r="AF52" t="s">
        <v>27</v>
      </c>
      <c r="AG52">
        <v>10.91</v>
      </c>
    </row>
    <row r="53" spans="1:33" x14ac:dyDescent="0.25">
      <c r="A53" t="s">
        <v>57</v>
      </c>
      <c r="B53" s="3">
        <v>43514</v>
      </c>
      <c r="C53">
        <v>2019049</v>
      </c>
      <c r="D53">
        <v>6.94</v>
      </c>
      <c r="E53" t="s">
        <v>27</v>
      </c>
      <c r="F53">
        <v>-12.7</v>
      </c>
      <c r="G53">
        <v>-6.7</v>
      </c>
      <c r="H53">
        <v>-19.2</v>
      </c>
      <c r="I53">
        <v>80.099999999999994</v>
      </c>
      <c r="J53">
        <v>60.2</v>
      </c>
      <c r="K53">
        <v>0.1</v>
      </c>
      <c r="L53">
        <v>1.8</v>
      </c>
      <c r="M53">
        <v>0</v>
      </c>
      <c r="N53">
        <v>0.89500000000000002</v>
      </c>
      <c r="O53">
        <v>-1.3</v>
      </c>
      <c r="P53" t="s">
        <v>27</v>
      </c>
      <c r="Q53" t="s">
        <v>27</v>
      </c>
      <c r="R53" t="s">
        <v>27</v>
      </c>
      <c r="S53">
        <v>-0.2</v>
      </c>
      <c r="T53">
        <v>0.1</v>
      </c>
      <c r="U53">
        <v>0.6</v>
      </c>
      <c r="V53" t="s">
        <v>27</v>
      </c>
      <c r="W53">
        <v>0.223</v>
      </c>
      <c r="X53">
        <v>0.14699999999999999</v>
      </c>
      <c r="Y53" t="s">
        <v>27</v>
      </c>
      <c r="Z53" t="s">
        <v>27</v>
      </c>
      <c r="AA53" t="s">
        <v>27</v>
      </c>
      <c r="AB53" t="s">
        <v>27</v>
      </c>
      <c r="AC53" t="s">
        <v>27</v>
      </c>
      <c r="AD53" t="s">
        <v>27</v>
      </c>
      <c r="AE53" t="s">
        <v>27</v>
      </c>
      <c r="AF53" t="s">
        <v>27</v>
      </c>
      <c r="AG53">
        <v>11.13</v>
      </c>
    </row>
    <row r="54" spans="1:33" x14ac:dyDescent="0.25">
      <c r="A54" t="s">
        <v>57</v>
      </c>
      <c r="B54" s="3">
        <v>43515</v>
      </c>
      <c r="C54">
        <v>2019050</v>
      </c>
      <c r="D54">
        <v>2.75</v>
      </c>
      <c r="E54" t="s">
        <v>27</v>
      </c>
      <c r="F54">
        <v>-7.8</v>
      </c>
      <c r="G54">
        <v>-4.5999999999999996</v>
      </c>
      <c r="H54">
        <v>-12.9</v>
      </c>
      <c r="I54">
        <v>86.8</v>
      </c>
      <c r="J54">
        <v>78</v>
      </c>
      <c r="K54">
        <v>0.5</v>
      </c>
      <c r="L54">
        <v>2.6</v>
      </c>
      <c r="M54">
        <v>8.9</v>
      </c>
      <c r="N54">
        <v>0.96200000000000019</v>
      </c>
      <c r="O54">
        <v>-1.2</v>
      </c>
      <c r="P54" t="s">
        <v>27</v>
      </c>
      <c r="Q54" t="s">
        <v>27</v>
      </c>
      <c r="R54" t="s">
        <v>27</v>
      </c>
      <c r="S54">
        <v>-0.2</v>
      </c>
      <c r="T54">
        <v>0.2</v>
      </c>
      <c r="U54">
        <v>0.6</v>
      </c>
      <c r="V54" t="s">
        <v>27</v>
      </c>
      <c r="W54">
        <v>0.33800000000000002</v>
      </c>
      <c r="X54">
        <v>9.5000000000000001E-2</v>
      </c>
      <c r="Y54" t="s">
        <v>27</v>
      </c>
      <c r="Z54" t="s">
        <v>27</v>
      </c>
      <c r="AA54" t="s">
        <v>27</v>
      </c>
      <c r="AB54" t="s">
        <v>27</v>
      </c>
      <c r="AC54" t="s">
        <v>27</v>
      </c>
      <c r="AD54" t="s">
        <v>27</v>
      </c>
      <c r="AE54" t="s">
        <v>27</v>
      </c>
      <c r="AF54" t="s">
        <v>27</v>
      </c>
      <c r="AG54">
        <v>11.33</v>
      </c>
    </row>
    <row r="55" spans="1:33" x14ac:dyDescent="0.25">
      <c r="A55" t="s">
        <v>57</v>
      </c>
      <c r="B55" s="3">
        <v>43516</v>
      </c>
      <c r="C55">
        <v>2019051</v>
      </c>
      <c r="D55">
        <v>2.08</v>
      </c>
      <c r="E55" t="s">
        <v>27</v>
      </c>
      <c r="F55">
        <v>-8.4</v>
      </c>
      <c r="G55">
        <v>-6.3</v>
      </c>
      <c r="H55">
        <v>-9.4</v>
      </c>
      <c r="I55">
        <v>86</v>
      </c>
      <c r="J55">
        <v>75.400000000000006</v>
      </c>
      <c r="K55">
        <v>0.7</v>
      </c>
      <c r="L55">
        <v>2.6</v>
      </c>
      <c r="M55">
        <v>1.2</v>
      </c>
      <c r="N55">
        <v>0.9740000000000002</v>
      </c>
      <c r="O55">
        <v>-1.2</v>
      </c>
      <c r="P55" t="s">
        <v>27</v>
      </c>
      <c r="Q55" t="s">
        <v>27</v>
      </c>
      <c r="R55" t="s">
        <v>27</v>
      </c>
      <c r="S55">
        <v>-0.2</v>
      </c>
      <c r="T55">
        <v>0.2</v>
      </c>
      <c r="U55">
        <v>0.6</v>
      </c>
      <c r="V55" t="s">
        <v>27</v>
      </c>
      <c r="W55">
        <v>0.28799999999999998</v>
      </c>
      <c r="X55">
        <v>9.4E-2</v>
      </c>
      <c r="Y55" t="s">
        <v>27</v>
      </c>
      <c r="Z55" t="s">
        <v>27</v>
      </c>
      <c r="AA55" t="s">
        <v>27</v>
      </c>
      <c r="AB55" t="s">
        <v>27</v>
      </c>
      <c r="AC55" t="s">
        <v>27</v>
      </c>
      <c r="AD55" t="s">
        <v>27</v>
      </c>
      <c r="AE55" t="s">
        <v>27</v>
      </c>
      <c r="AF55" t="s">
        <v>27</v>
      </c>
      <c r="AG55">
        <v>11.55</v>
      </c>
    </row>
    <row r="56" spans="1:33" x14ac:dyDescent="0.25">
      <c r="A56" t="s">
        <v>57</v>
      </c>
      <c r="B56" s="3">
        <v>43517</v>
      </c>
      <c r="C56">
        <v>2019052</v>
      </c>
      <c r="D56">
        <v>2.35</v>
      </c>
      <c r="E56" t="s">
        <v>27</v>
      </c>
      <c r="F56">
        <v>-10.6</v>
      </c>
      <c r="G56">
        <v>-5.0999999999999996</v>
      </c>
      <c r="H56">
        <v>-17.2</v>
      </c>
      <c r="I56">
        <v>83.3</v>
      </c>
      <c r="J56">
        <v>60.1</v>
      </c>
      <c r="K56">
        <v>0.4</v>
      </c>
      <c r="L56">
        <v>1.8</v>
      </c>
      <c r="M56">
        <v>2.7</v>
      </c>
      <c r="N56">
        <v>0.96500000000000008</v>
      </c>
      <c r="O56">
        <v>-1.1000000000000001</v>
      </c>
      <c r="P56" t="s">
        <v>27</v>
      </c>
      <c r="Q56" t="s">
        <v>27</v>
      </c>
      <c r="R56" t="s">
        <v>27</v>
      </c>
      <c r="S56">
        <v>-0.2</v>
      </c>
      <c r="T56">
        <v>0.2</v>
      </c>
      <c r="U56">
        <v>0.6</v>
      </c>
      <c r="V56" t="s">
        <v>27</v>
      </c>
      <c r="W56">
        <v>0.252</v>
      </c>
      <c r="X56">
        <v>0.16700000000000001</v>
      </c>
      <c r="Y56" t="s">
        <v>27</v>
      </c>
      <c r="Z56" t="s">
        <v>27</v>
      </c>
      <c r="AA56" t="s">
        <v>27</v>
      </c>
      <c r="AB56" t="s">
        <v>27</v>
      </c>
      <c r="AC56" t="s">
        <v>27</v>
      </c>
      <c r="AD56" t="s">
        <v>27</v>
      </c>
      <c r="AE56" t="s">
        <v>27</v>
      </c>
      <c r="AF56" t="s">
        <v>27</v>
      </c>
      <c r="AG56">
        <v>11.76</v>
      </c>
    </row>
    <row r="57" spans="1:33" x14ac:dyDescent="0.25">
      <c r="A57" t="s">
        <v>57</v>
      </c>
      <c r="B57" s="3">
        <v>43518</v>
      </c>
      <c r="C57">
        <v>2019053</v>
      </c>
      <c r="D57">
        <v>1.0900000000000001</v>
      </c>
      <c r="E57" t="s">
        <v>27</v>
      </c>
      <c r="F57">
        <v>-9.8000000000000007</v>
      </c>
      <c r="G57">
        <v>-7.2</v>
      </c>
      <c r="H57">
        <v>-14.7</v>
      </c>
      <c r="I57">
        <v>85.8</v>
      </c>
      <c r="J57">
        <v>78.900000000000006</v>
      </c>
      <c r="K57">
        <v>0.3</v>
      </c>
      <c r="L57">
        <v>2</v>
      </c>
      <c r="M57">
        <v>11.2</v>
      </c>
      <c r="N57">
        <v>1.0580000000000001</v>
      </c>
      <c r="O57">
        <v>-1</v>
      </c>
      <c r="P57" t="s">
        <v>27</v>
      </c>
      <c r="Q57" t="s">
        <v>27</v>
      </c>
      <c r="R57" t="s">
        <v>27</v>
      </c>
      <c r="S57">
        <v>-0.2</v>
      </c>
      <c r="T57">
        <v>0.2</v>
      </c>
      <c r="U57">
        <v>0.6</v>
      </c>
      <c r="V57" t="s">
        <v>27</v>
      </c>
      <c r="W57">
        <v>0.28000000000000003</v>
      </c>
      <c r="X57">
        <v>7.4999999999999997E-2</v>
      </c>
      <c r="Y57" t="s">
        <v>27</v>
      </c>
      <c r="Z57" t="s">
        <v>27</v>
      </c>
      <c r="AA57" t="s">
        <v>27</v>
      </c>
      <c r="AB57" t="s">
        <v>27</v>
      </c>
      <c r="AC57" t="s">
        <v>27</v>
      </c>
      <c r="AD57" t="s">
        <v>27</v>
      </c>
      <c r="AE57" t="s">
        <v>27</v>
      </c>
      <c r="AF57" t="s">
        <v>27</v>
      </c>
      <c r="AG57">
        <v>11.98</v>
      </c>
    </row>
    <row r="58" spans="1:33" x14ac:dyDescent="0.25">
      <c r="A58" t="s">
        <v>57</v>
      </c>
      <c r="B58" s="3">
        <v>43519</v>
      </c>
      <c r="C58">
        <v>2019054</v>
      </c>
      <c r="D58">
        <v>0.88</v>
      </c>
      <c r="E58" t="s">
        <v>27</v>
      </c>
      <c r="F58">
        <v>-8.6</v>
      </c>
      <c r="G58">
        <v>-4.7</v>
      </c>
      <c r="H58">
        <v>-12.3</v>
      </c>
      <c r="I58">
        <v>85</v>
      </c>
      <c r="J58">
        <v>67.7</v>
      </c>
      <c r="K58">
        <v>0.2</v>
      </c>
      <c r="L58">
        <v>1.4</v>
      </c>
      <c r="M58">
        <v>0</v>
      </c>
      <c r="N58">
        <v>1.0330000000000001</v>
      </c>
      <c r="O58">
        <v>-1</v>
      </c>
      <c r="P58" t="s">
        <v>27</v>
      </c>
      <c r="Q58" t="s">
        <v>27</v>
      </c>
      <c r="R58" t="s">
        <v>27</v>
      </c>
      <c r="S58">
        <v>-0.2</v>
      </c>
      <c r="T58">
        <v>0.2</v>
      </c>
      <c r="U58">
        <v>0.6</v>
      </c>
      <c r="V58" t="s">
        <v>27</v>
      </c>
      <c r="W58">
        <v>0.29199999999999998</v>
      </c>
      <c r="X58">
        <v>0.13900000000000001</v>
      </c>
      <c r="Y58" t="s">
        <v>27</v>
      </c>
      <c r="Z58" t="s">
        <v>27</v>
      </c>
      <c r="AA58" t="s">
        <v>27</v>
      </c>
      <c r="AB58" t="s">
        <v>27</v>
      </c>
      <c r="AC58" t="s">
        <v>27</v>
      </c>
      <c r="AD58" t="s">
        <v>27</v>
      </c>
      <c r="AE58" t="s">
        <v>27</v>
      </c>
      <c r="AF58" t="s">
        <v>27</v>
      </c>
      <c r="AG58">
        <v>12.21</v>
      </c>
    </row>
    <row r="59" spans="1:33" x14ac:dyDescent="0.25">
      <c r="A59" t="s">
        <v>57</v>
      </c>
      <c r="B59" s="3">
        <v>43520</v>
      </c>
      <c r="C59">
        <v>2019055</v>
      </c>
      <c r="D59">
        <v>2.21</v>
      </c>
      <c r="E59" t="s">
        <v>27</v>
      </c>
      <c r="F59">
        <v>-10.199999999999999</v>
      </c>
      <c r="G59">
        <v>-6.4</v>
      </c>
      <c r="H59">
        <v>-14</v>
      </c>
      <c r="I59">
        <v>83.2</v>
      </c>
      <c r="J59">
        <v>69.099999999999994</v>
      </c>
      <c r="K59">
        <v>0.6</v>
      </c>
      <c r="L59">
        <v>2.4</v>
      </c>
      <c r="M59">
        <v>0</v>
      </c>
      <c r="N59">
        <v>1</v>
      </c>
      <c r="O59">
        <v>-0.9</v>
      </c>
      <c r="P59" t="s">
        <v>27</v>
      </c>
      <c r="Q59" t="s">
        <v>27</v>
      </c>
      <c r="R59" t="s">
        <v>27</v>
      </c>
      <c r="S59">
        <v>-0.2</v>
      </c>
      <c r="T59">
        <v>0.2</v>
      </c>
      <c r="U59">
        <v>0.6</v>
      </c>
      <c r="V59" t="s">
        <v>27</v>
      </c>
      <c r="W59">
        <v>0.26100000000000001</v>
      </c>
      <c r="X59">
        <v>0.11700000000000001</v>
      </c>
      <c r="Y59" t="s">
        <v>27</v>
      </c>
      <c r="Z59" t="s">
        <v>27</v>
      </c>
      <c r="AA59" t="s">
        <v>27</v>
      </c>
      <c r="AB59" t="s">
        <v>27</v>
      </c>
      <c r="AC59" t="s">
        <v>27</v>
      </c>
      <c r="AD59" t="s">
        <v>27</v>
      </c>
      <c r="AE59" t="s">
        <v>27</v>
      </c>
      <c r="AF59" t="s">
        <v>27</v>
      </c>
      <c r="AG59">
        <v>12.42</v>
      </c>
    </row>
    <row r="60" spans="1:33" x14ac:dyDescent="0.25">
      <c r="A60" t="s">
        <v>57</v>
      </c>
      <c r="B60" s="3">
        <v>43521</v>
      </c>
      <c r="C60">
        <v>2019056</v>
      </c>
      <c r="D60">
        <v>5.73</v>
      </c>
      <c r="E60" t="s">
        <v>27</v>
      </c>
      <c r="F60">
        <v>-13.1</v>
      </c>
      <c r="G60">
        <v>-10.1</v>
      </c>
      <c r="H60">
        <v>-16.7</v>
      </c>
      <c r="I60">
        <v>81.3</v>
      </c>
      <c r="J60">
        <v>70.2</v>
      </c>
      <c r="K60">
        <v>0.7</v>
      </c>
      <c r="L60">
        <v>2.2000000000000002</v>
      </c>
      <c r="M60">
        <v>0</v>
      </c>
      <c r="N60">
        <v>0.996</v>
      </c>
      <c r="O60">
        <v>-0.9</v>
      </c>
      <c r="P60" t="s">
        <v>27</v>
      </c>
      <c r="Q60" t="s">
        <v>27</v>
      </c>
      <c r="R60" t="s">
        <v>27</v>
      </c>
      <c r="S60">
        <v>-0.2</v>
      </c>
      <c r="T60">
        <v>0.1</v>
      </c>
      <c r="U60">
        <v>0.6</v>
      </c>
      <c r="V60" t="s">
        <v>27</v>
      </c>
      <c r="W60">
        <v>0.19900000000000001</v>
      </c>
      <c r="X60">
        <v>8.4000000000000005E-2</v>
      </c>
      <c r="Y60" t="s">
        <v>27</v>
      </c>
      <c r="Z60" t="s">
        <v>27</v>
      </c>
      <c r="AA60" t="s">
        <v>27</v>
      </c>
      <c r="AB60" t="s">
        <v>27</v>
      </c>
      <c r="AC60" t="s">
        <v>27</v>
      </c>
      <c r="AD60" t="s">
        <v>27</v>
      </c>
      <c r="AE60" t="s">
        <v>27</v>
      </c>
      <c r="AF60" t="s">
        <v>27</v>
      </c>
      <c r="AG60">
        <v>12.65</v>
      </c>
    </row>
    <row r="61" spans="1:33" x14ac:dyDescent="0.25">
      <c r="A61" t="s">
        <v>57</v>
      </c>
      <c r="B61" s="3">
        <v>43522</v>
      </c>
      <c r="C61">
        <v>2019057</v>
      </c>
      <c r="D61">
        <v>12.22</v>
      </c>
      <c r="E61" t="s">
        <v>27</v>
      </c>
      <c r="F61">
        <v>-15.3</v>
      </c>
      <c r="G61">
        <v>-6.9</v>
      </c>
      <c r="H61">
        <v>-21.6</v>
      </c>
      <c r="I61">
        <v>72.400000000000006</v>
      </c>
      <c r="J61">
        <v>47.2</v>
      </c>
      <c r="K61">
        <v>0.3</v>
      </c>
      <c r="L61">
        <v>1.5</v>
      </c>
      <c r="M61">
        <v>0</v>
      </c>
      <c r="N61">
        <v>0.94900000000000007</v>
      </c>
      <c r="O61">
        <v>-0.9</v>
      </c>
      <c r="P61" t="s">
        <v>27</v>
      </c>
      <c r="Q61" t="s">
        <v>27</v>
      </c>
      <c r="R61" t="s">
        <v>27</v>
      </c>
      <c r="S61">
        <v>-0.2</v>
      </c>
      <c r="T61">
        <v>0.1</v>
      </c>
      <c r="U61">
        <v>0.6</v>
      </c>
      <c r="V61" t="s">
        <v>27</v>
      </c>
      <c r="W61">
        <v>0.17199999999999999</v>
      </c>
      <c r="X61">
        <v>0.192</v>
      </c>
      <c r="Y61" t="s">
        <v>27</v>
      </c>
      <c r="Z61" t="s">
        <v>27</v>
      </c>
      <c r="AA61" t="s">
        <v>27</v>
      </c>
      <c r="AB61" t="s">
        <v>27</v>
      </c>
      <c r="AC61" t="s">
        <v>27</v>
      </c>
      <c r="AD61" t="s">
        <v>27</v>
      </c>
      <c r="AE61" t="s">
        <v>27</v>
      </c>
      <c r="AF61" t="s">
        <v>27</v>
      </c>
      <c r="AG61">
        <v>12.88</v>
      </c>
    </row>
    <row r="62" spans="1:33" x14ac:dyDescent="0.25">
      <c r="A62" t="s">
        <v>57</v>
      </c>
      <c r="B62" s="3">
        <v>43523</v>
      </c>
      <c r="C62">
        <v>2019058</v>
      </c>
      <c r="D62">
        <v>4.8899999999999997</v>
      </c>
      <c r="E62" t="s">
        <v>27</v>
      </c>
      <c r="F62">
        <v>-9.6999999999999993</v>
      </c>
      <c r="G62">
        <v>-4.0999999999999996</v>
      </c>
      <c r="H62">
        <v>-19.399999999999999</v>
      </c>
      <c r="I62">
        <v>70.900000000000006</v>
      </c>
      <c r="J62">
        <v>30.3</v>
      </c>
      <c r="K62">
        <v>0.6</v>
      </c>
      <c r="L62">
        <v>2</v>
      </c>
      <c r="M62">
        <v>0</v>
      </c>
      <c r="N62">
        <v>0.92700000000000005</v>
      </c>
      <c r="O62">
        <v>-0.9</v>
      </c>
      <c r="P62" t="s">
        <v>27</v>
      </c>
      <c r="Q62" t="s">
        <v>27</v>
      </c>
      <c r="R62" t="s">
        <v>27</v>
      </c>
      <c r="S62">
        <v>-0.1</v>
      </c>
      <c r="T62">
        <v>0.2</v>
      </c>
      <c r="U62">
        <v>0.6</v>
      </c>
      <c r="V62" t="s">
        <v>27</v>
      </c>
      <c r="W62">
        <v>0.13600000000000001</v>
      </c>
      <c r="X62">
        <v>0.313</v>
      </c>
      <c r="Y62" t="s">
        <v>27</v>
      </c>
      <c r="Z62" t="s">
        <v>27</v>
      </c>
      <c r="AA62" t="s">
        <v>27</v>
      </c>
      <c r="AB62" t="s">
        <v>27</v>
      </c>
      <c r="AC62" t="s">
        <v>27</v>
      </c>
      <c r="AD62" t="s">
        <v>27</v>
      </c>
      <c r="AE62" t="s">
        <v>27</v>
      </c>
      <c r="AF62" t="s">
        <v>27</v>
      </c>
      <c r="AG62">
        <v>13.12</v>
      </c>
    </row>
    <row r="63" spans="1:33" x14ac:dyDescent="0.25">
      <c r="A63" t="s">
        <v>57</v>
      </c>
      <c r="B63" s="3">
        <v>43524</v>
      </c>
      <c r="C63">
        <v>2019059</v>
      </c>
      <c r="D63">
        <v>1.34</v>
      </c>
      <c r="E63" t="s">
        <v>27</v>
      </c>
      <c r="F63">
        <v>-8</v>
      </c>
      <c r="G63">
        <v>-5.3</v>
      </c>
      <c r="H63">
        <v>-9.9</v>
      </c>
      <c r="I63">
        <v>85.6</v>
      </c>
      <c r="J63">
        <v>72.2</v>
      </c>
      <c r="K63">
        <v>0.6</v>
      </c>
      <c r="L63">
        <v>2.4</v>
      </c>
      <c r="M63">
        <v>9.8000000000000007</v>
      </c>
      <c r="N63">
        <v>1.0230000000000001</v>
      </c>
      <c r="O63">
        <v>-0.9</v>
      </c>
      <c r="P63" t="s">
        <v>27</v>
      </c>
      <c r="Q63" t="s">
        <v>27</v>
      </c>
      <c r="R63" t="s">
        <v>27</v>
      </c>
      <c r="S63">
        <v>-0.1</v>
      </c>
      <c r="T63">
        <v>0.2</v>
      </c>
      <c r="U63">
        <v>0.6</v>
      </c>
      <c r="V63" t="s">
        <v>27</v>
      </c>
      <c r="W63">
        <v>0.29699999999999999</v>
      </c>
      <c r="X63">
        <v>0.114</v>
      </c>
      <c r="Y63" t="s">
        <v>27</v>
      </c>
      <c r="Z63" t="s">
        <v>27</v>
      </c>
      <c r="AA63" t="s">
        <v>27</v>
      </c>
      <c r="AB63" t="s">
        <v>27</v>
      </c>
      <c r="AC63" t="s">
        <v>27</v>
      </c>
      <c r="AD63" t="s">
        <v>27</v>
      </c>
      <c r="AE63" t="s">
        <v>27</v>
      </c>
      <c r="AF63" t="s">
        <v>27</v>
      </c>
      <c r="AG63">
        <v>13.35</v>
      </c>
    </row>
    <row r="64" spans="1:33" x14ac:dyDescent="0.25">
      <c r="A64" t="s">
        <v>57</v>
      </c>
      <c r="B64" s="3">
        <v>43525</v>
      </c>
      <c r="C64">
        <v>2019060</v>
      </c>
      <c r="D64">
        <v>2.78</v>
      </c>
      <c r="E64" t="s">
        <v>27</v>
      </c>
      <c r="F64">
        <v>-8.4</v>
      </c>
      <c r="G64">
        <v>-2.8</v>
      </c>
      <c r="H64">
        <v>-11.5</v>
      </c>
      <c r="I64">
        <v>80.400000000000006</v>
      </c>
      <c r="J64">
        <v>54.7</v>
      </c>
      <c r="K64">
        <v>0.5</v>
      </c>
      <c r="L64">
        <v>2.2000000000000002</v>
      </c>
      <c r="M64">
        <v>0</v>
      </c>
      <c r="N64">
        <v>0.9850000000000001</v>
      </c>
      <c r="O64">
        <v>-0.9</v>
      </c>
      <c r="P64" t="s">
        <v>27</v>
      </c>
      <c r="Q64" t="s">
        <v>27</v>
      </c>
      <c r="R64" t="s">
        <v>27</v>
      </c>
      <c r="S64">
        <v>-0.1</v>
      </c>
      <c r="T64">
        <v>0.2</v>
      </c>
      <c r="U64">
        <v>0.6</v>
      </c>
      <c r="V64" t="s">
        <v>27</v>
      </c>
      <c r="W64">
        <v>0.27200000000000002</v>
      </c>
      <c r="X64">
        <v>0.22500000000000001</v>
      </c>
      <c r="Y64" t="s">
        <v>27</v>
      </c>
      <c r="Z64" t="s">
        <v>27</v>
      </c>
      <c r="AA64" t="s">
        <v>27</v>
      </c>
      <c r="AB64" t="s">
        <v>27</v>
      </c>
      <c r="AC64" t="s">
        <v>27</v>
      </c>
      <c r="AD64" t="s">
        <v>27</v>
      </c>
      <c r="AE64" t="s">
        <v>27</v>
      </c>
      <c r="AF64" t="s">
        <v>27</v>
      </c>
      <c r="AG64">
        <v>13.59</v>
      </c>
    </row>
    <row r="65" spans="1:33" x14ac:dyDescent="0.25">
      <c r="A65" t="s">
        <v>57</v>
      </c>
      <c r="B65" s="3">
        <v>43526</v>
      </c>
      <c r="C65">
        <v>2019061</v>
      </c>
      <c r="D65">
        <v>4.7300000000000004</v>
      </c>
      <c r="E65" t="s">
        <v>27</v>
      </c>
      <c r="F65">
        <v>-13.8</v>
      </c>
      <c r="G65">
        <v>-8.5</v>
      </c>
      <c r="H65">
        <v>-20.8</v>
      </c>
      <c r="I65">
        <v>78.5</v>
      </c>
      <c r="J65">
        <v>65.599999999999994</v>
      </c>
      <c r="K65">
        <v>0.6</v>
      </c>
      <c r="L65">
        <v>1.9</v>
      </c>
      <c r="M65">
        <v>0</v>
      </c>
      <c r="N65">
        <v>0.9760000000000002</v>
      </c>
      <c r="O65">
        <v>-0.9</v>
      </c>
      <c r="P65" t="s">
        <v>27</v>
      </c>
      <c r="Q65" t="s">
        <v>27</v>
      </c>
      <c r="R65" t="s">
        <v>27</v>
      </c>
      <c r="S65">
        <v>-0.2</v>
      </c>
      <c r="T65">
        <v>0.1</v>
      </c>
      <c r="U65">
        <v>0.6</v>
      </c>
      <c r="V65" t="s">
        <v>27</v>
      </c>
      <c r="W65">
        <v>0.21</v>
      </c>
      <c r="X65">
        <v>0.11</v>
      </c>
      <c r="Y65" t="s">
        <v>27</v>
      </c>
      <c r="Z65" t="s">
        <v>27</v>
      </c>
      <c r="AA65" t="s">
        <v>27</v>
      </c>
      <c r="AB65" t="s">
        <v>27</v>
      </c>
      <c r="AC65" t="s">
        <v>27</v>
      </c>
      <c r="AD65" t="s">
        <v>27</v>
      </c>
      <c r="AE65" t="s">
        <v>27</v>
      </c>
      <c r="AF65" t="s">
        <v>27</v>
      </c>
      <c r="AG65">
        <v>13.82</v>
      </c>
    </row>
    <row r="66" spans="1:33" x14ac:dyDescent="0.25">
      <c r="A66" t="s">
        <v>57</v>
      </c>
      <c r="B66" s="3">
        <v>43527</v>
      </c>
      <c r="C66">
        <v>2019062</v>
      </c>
      <c r="D66">
        <v>10.9</v>
      </c>
      <c r="E66" t="s">
        <v>27</v>
      </c>
      <c r="F66">
        <v>-17.100000000000001</v>
      </c>
      <c r="G66">
        <v>-5.7</v>
      </c>
      <c r="H66">
        <v>-24.7</v>
      </c>
      <c r="I66">
        <v>69.099999999999994</v>
      </c>
      <c r="J66">
        <v>34.1</v>
      </c>
      <c r="K66">
        <v>0.4</v>
      </c>
      <c r="L66">
        <v>2.2000000000000002</v>
      </c>
      <c r="M66">
        <v>0</v>
      </c>
      <c r="N66">
        <v>0.96800000000000019</v>
      </c>
      <c r="O66">
        <v>-1</v>
      </c>
      <c r="P66" t="s">
        <v>27</v>
      </c>
      <c r="Q66" t="s">
        <v>27</v>
      </c>
      <c r="R66" t="s">
        <v>27</v>
      </c>
      <c r="S66">
        <v>-0.2</v>
      </c>
      <c r="T66">
        <v>0.1</v>
      </c>
      <c r="U66">
        <v>0.5</v>
      </c>
      <c r="V66" t="s">
        <v>27</v>
      </c>
      <c r="W66">
        <v>0.13600000000000001</v>
      </c>
      <c r="X66">
        <v>0.26300000000000001</v>
      </c>
      <c r="Y66" t="s">
        <v>27</v>
      </c>
      <c r="Z66" t="s">
        <v>27</v>
      </c>
      <c r="AA66" t="s">
        <v>27</v>
      </c>
      <c r="AB66" t="s">
        <v>27</v>
      </c>
      <c r="AC66" t="s">
        <v>27</v>
      </c>
      <c r="AD66" t="s">
        <v>27</v>
      </c>
      <c r="AE66" t="s">
        <v>27</v>
      </c>
      <c r="AF66" t="s">
        <v>27</v>
      </c>
      <c r="AG66">
        <v>14.07</v>
      </c>
    </row>
    <row r="67" spans="1:33" x14ac:dyDescent="0.25">
      <c r="A67" t="s">
        <v>57</v>
      </c>
      <c r="B67" s="3">
        <v>43528</v>
      </c>
      <c r="C67">
        <v>2019063</v>
      </c>
      <c r="D67">
        <v>13.67</v>
      </c>
      <c r="E67" t="s">
        <v>27</v>
      </c>
      <c r="F67">
        <v>-16</v>
      </c>
      <c r="G67">
        <v>-3.9</v>
      </c>
      <c r="H67">
        <v>-25.9</v>
      </c>
      <c r="I67">
        <v>63.1</v>
      </c>
      <c r="J67">
        <v>29.9</v>
      </c>
      <c r="K67">
        <v>0.4</v>
      </c>
      <c r="L67">
        <v>2.2000000000000002</v>
      </c>
      <c r="M67">
        <v>0</v>
      </c>
      <c r="N67">
        <v>0.96400000000000019</v>
      </c>
      <c r="O67">
        <v>-1</v>
      </c>
      <c r="P67" t="s">
        <v>27</v>
      </c>
      <c r="Q67" t="s">
        <v>27</v>
      </c>
      <c r="R67" t="s">
        <v>27</v>
      </c>
      <c r="S67">
        <v>-0.2</v>
      </c>
      <c r="T67">
        <v>0.1</v>
      </c>
      <c r="U67">
        <v>0.5</v>
      </c>
      <c r="V67" t="s">
        <v>27</v>
      </c>
      <c r="W67">
        <v>0.13700000000000001</v>
      </c>
      <c r="X67">
        <v>0.32100000000000001</v>
      </c>
      <c r="Y67" t="s">
        <v>27</v>
      </c>
      <c r="Z67" t="s">
        <v>27</v>
      </c>
      <c r="AA67" t="s">
        <v>27</v>
      </c>
      <c r="AB67" t="s">
        <v>27</v>
      </c>
      <c r="AC67" t="s">
        <v>27</v>
      </c>
      <c r="AD67" t="s">
        <v>27</v>
      </c>
      <c r="AE67" t="s">
        <v>27</v>
      </c>
      <c r="AF67" t="s">
        <v>27</v>
      </c>
      <c r="AG67">
        <v>14.31</v>
      </c>
    </row>
    <row r="68" spans="1:33" x14ac:dyDescent="0.25">
      <c r="A68" t="s">
        <v>57</v>
      </c>
      <c r="B68" s="3">
        <v>43529</v>
      </c>
      <c r="C68">
        <v>2019064</v>
      </c>
      <c r="D68">
        <v>11.5</v>
      </c>
      <c r="E68" t="s">
        <v>27</v>
      </c>
      <c r="F68">
        <v>-7.8</v>
      </c>
      <c r="G68">
        <v>-1.6</v>
      </c>
      <c r="H68">
        <v>-20.399999999999999</v>
      </c>
      <c r="I68">
        <v>66</v>
      </c>
      <c r="J68">
        <v>39.799999999999997</v>
      </c>
      <c r="K68">
        <v>0.2</v>
      </c>
      <c r="L68">
        <v>2.7</v>
      </c>
      <c r="M68">
        <v>0</v>
      </c>
      <c r="N68">
        <v>0.94700000000000006</v>
      </c>
      <c r="O68">
        <v>-1.1000000000000001</v>
      </c>
      <c r="P68" t="s">
        <v>27</v>
      </c>
      <c r="Q68" t="s">
        <v>27</v>
      </c>
      <c r="R68" t="s">
        <v>27</v>
      </c>
      <c r="S68">
        <v>-0.1</v>
      </c>
      <c r="T68">
        <v>0.2</v>
      </c>
      <c r="U68">
        <v>0.6</v>
      </c>
      <c r="V68" t="s">
        <v>27</v>
      </c>
      <c r="W68">
        <v>0.216</v>
      </c>
      <c r="X68">
        <v>0.32700000000000001</v>
      </c>
      <c r="Y68" t="s">
        <v>27</v>
      </c>
      <c r="Z68" t="s">
        <v>27</v>
      </c>
      <c r="AA68" t="s">
        <v>27</v>
      </c>
      <c r="AB68" t="s">
        <v>27</v>
      </c>
      <c r="AC68" t="s">
        <v>27</v>
      </c>
      <c r="AD68" t="s">
        <v>27</v>
      </c>
      <c r="AE68" t="s">
        <v>27</v>
      </c>
      <c r="AF68" t="s">
        <v>27</v>
      </c>
      <c r="AG68">
        <v>14.55</v>
      </c>
    </row>
    <row r="69" spans="1:33" x14ac:dyDescent="0.25">
      <c r="A69" t="s">
        <v>57</v>
      </c>
      <c r="B69" s="3">
        <v>43530</v>
      </c>
      <c r="C69">
        <v>2019065</v>
      </c>
      <c r="D69">
        <v>6.9</v>
      </c>
      <c r="E69" t="s">
        <v>27</v>
      </c>
      <c r="F69">
        <v>-3.8</v>
      </c>
      <c r="G69">
        <v>0.2</v>
      </c>
      <c r="H69">
        <v>-6.3</v>
      </c>
      <c r="I69">
        <v>83.4</v>
      </c>
      <c r="J69">
        <v>65.7</v>
      </c>
      <c r="K69">
        <v>0</v>
      </c>
      <c r="L69">
        <v>0.9</v>
      </c>
      <c r="M69">
        <v>8.6999999999999993</v>
      </c>
      <c r="N69">
        <v>1.0250000000000001</v>
      </c>
      <c r="O69">
        <v>-1.2</v>
      </c>
      <c r="P69" t="s">
        <v>27</v>
      </c>
      <c r="Q69" t="s">
        <v>27</v>
      </c>
      <c r="R69" t="s">
        <v>27</v>
      </c>
      <c r="S69">
        <v>-0.1</v>
      </c>
      <c r="T69">
        <v>0.2</v>
      </c>
      <c r="U69">
        <v>0.6</v>
      </c>
      <c r="V69" t="s">
        <v>27</v>
      </c>
      <c r="W69">
        <v>0.40699999999999997</v>
      </c>
      <c r="X69">
        <v>0.21199999999999999</v>
      </c>
      <c r="Y69" t="s">
        <v>27</v>
      </c>
      <c r="Z69" t="s">
        <v>27</v>
      </c>
      <c r="AA69" t="s">
        <v>27</v>
      </c>
      <c r="AB69" t="s">
        <v>27</v>
      </c>
      <c r="AC69" t="s">
        <v>27</v>
      </c>
      <c r="AD69" t="s">
        <v>27</v>
      </c>
      <c r="AE69" t="s">
        <v>27</v>
      </c>
      <c r="AF69" t="s">
        <v>27</v>
      </c>
      <c r="AG69">
        <v>14.8</v>
      </c>
    </row>
    <row r="70" spans="1:33" x14ac:dyDescent="0.25">
      <c r="A70" t="s">
        <v>57</v>
      </c>
      <c r="B70" s="3">
        <v>43531</v>
      </c>
      <c r="C70">
        <v>2019066</v>
      </c>
      <c r="D70">
        <v>2.2599999999999998</v>
      </c>
      <c r="E70" t="s">
        <v>27</v>
      </c>
      <c r="F70">
        <v>-6.6</v>
      </c>
      <c r="G70">
        <v>-2.2999999999999998</v>
      </c>
      <c r="H70">
        <v>-15.2</v>
      </c>
      <c r="I70">
        <v>82</v>
      </c>
      <c r="J70">
        <v>54.1</v>
      </c>
      <c r="K70">
        <v>0.8</v>
      </c>
      <c r="L70">
        <v>2.9</v>
      </c>
      <c r="M70">
        <v>5.7</v>
      </c>
      <c r="N70">
        <v>1.0670000000000002</v>
      </c>
      <c r="O70">
        <v>-1.1000000000000001</v>
      </c>
      <c r="P70" t="s">
        <v>27</v>
      </c>
      <c r="Q70" t="s">
        <v>27</v>
      </c>
      <c r="R70" t="s">
        <v>27</v>
      </c>
      <c r="S70">
        <v>-0.2</v>
      </c>
      <c r="T70">
        <v>0.2</v>
      </c>
      <c r="U70">
        <v>0.6</v>
      </c>
      <c r="V70" t="s">
        <v>27</v>
      </c>
      <c r="W70">
        <v>0.27900000000000003</v>
      </c>
      <c r="X70">
        <v>0.23699999999999999</v>
      </c>
      <c r="Y70" t="s">
        <v>27</v>
      </c>
      <c r="Z70" t="s">
        <v>27</v>
      </c>
      <c r="AA70" t="s">
        <v>27</v>
      </c>
      <c r="AB70" t="s">
        <v>27</v>
      </c>
      <c r="AC70" t="s">
        <v>27</v>
      </c>
      <c r="AD70" t="s">
        <v>27</v>
      </c>
      <c r="AE70" t="s">
        <v>27</v>
      </c>
      <c r="AF70" t="s">
        <v>27</v>
      </c>
      <c r="AG70">
        <v>15.04</v>
      </c>
    </row>
    <row r="71" spans="1:33" x14ac:dyDescent="0.25">
      <c r="A71" t="s">
        <v>57</v>
      </c>
      <c r="B71" s="3">
        <v>43532</v>
      </c>
      <c r="C71">
        <v>2019067</v>
      </c>
      <c r="D71">
        <v>8.81</v>
      </c>
      <c r="E71" t="s">
        <v>27</v>
      </c>
      <c r="F71">
        <v>-11.6</v>
      </c>
      <c r="G71">
        <v>-1.6</v>
      </c>
      <c r="H71">
        <v>-20.100000000000001</v>
      </c>
      <c r="I71">
        <v>75.599999999999994</v>
      </c>
      <c r="J71">
        <v>47.5</v>
      </c>
      <c r="K71">
        <v>0.2</v>
      </c>
      <c r="L71">
        <v>1.7</v>
      </c>
      <c r="M71">
        <v>0</v>
      </c>
      <c r="N71">
        <v>1.054</v>
      </c>
      <c r="O71">
        <v>-1</v>
      </c>
      <c r="P71" t="s">
        <v>27</v>
      </c>
      <c r="Q71" t="s">
        <v>27</v>
      </c>
      <c r="R71" t="s">
        <v>27</v>
      </c>
      <c r="S71">
        <v>-0.2</v>
      </c>
      <c r="T71">
        <v>0.1</v>
      </c>
      <c r="U71">
        <v>0.5</v>
      </c>
      <c r="V71" t="s">
        <v>27</v>
      </c>
      <c r="W71">
        <v>0.25800000000000001</v>
      </c>
      <c r="X71">
        <v>0.28499999999999998</v>
      </c>
      <c r="Y71" t="s">
        <v>27</v>
      </c>
      <c r="Z71" t="s">
        <v>27</v>
      </c>
      <c r="AA71" t="s">
        <v>27</v>
      </c>
      <c r="AB71" t="s">
        <v>27</v>
      </c>
      <c r="AC71" t="s">
        <v>27</v>
      </c>
      <c r="AD71" t="s">
        <v>27</v>
      </c>
      <c r="AE71" t="s">
        <v>27</v>
      </c>
      <c r="AF71" t="s">
        <v>27</v>
      </c>
      <c r="AG71">
        <v>15.29</v>
      </c>
    </row>
    <row r="72" spans="1:33" x14ac:dyDescent="0.25">
      <c r="A72" t="s">
        <v>57</v>
      </c>
      <c r="B72" s="3">
        <v>43533</v>
      </c>
      <c r="C72">
        <v>2019068</v>
      </c>
      <c r="D72">
        <v>5.67</v>
      </c>
      <c r="E72" t="s">
        <v>27</v>
      </c>
      <c r="F72">
        <v>-10.1</v>
      </c>
      <c r="G72">
        <v>-2.9</v>
      </c>
      <c r="H72">
        <v>-17.5</v>
      </c>
      <c r="I72">
        <v>76.900000000000006</v>
      </c>
      <c r="J72">
        <v>49.6</v>
      </c>
      <c r="K72">
        <v>0.2</v>
      </c>
      <c r="L72">
        <v>1.4</v>
      </c>
      <c r="M72">
        <v>0</v>
      </c>
      <c r="N72">
        <v>1.022</v>
      </c>
      <c r="O72">
        <v>-0.9</v>
      </c>
      <c r="P72" t="s">
        <v>27</v>
      </c>
      <c r="Q72" t="s">
        <v>27</v>
      </c>
      <c r="R72" t="s">
        <v>27</v>
      </c>
      <c r="S72">
        <v>-0.1</v>
      </c>
      <c r="T72">
        <v>0.2</v>
      </c>
      <c r="U72">
        <v>0.6</v>
      </c>
      <c r="V72" t="s">
        <v>27</v>
      </c>
      <c r="W72">
        <v>0.245</v>
      </c>
      <c r="X72">
        <v>0.249</v>
      </c>
      <c r="Y72" t="s">
        <v>27</v>
      </c>
      <c r="Z72" t="s">
        <v>27</v>
      </c>
      <c r="AA72" t="s">
        <v>27</v>
      </c>
      <c r="AB72" t="s">
        <v>27</v>
      </c>
      <c r="AC72" t="s">
        <v>27</v>
      </c>
      <c r="AD72" t="s">
        <v>27</v>
      </c>
      <c r="AE72" t="s">
        <v>27</v>
      </c>
      <c r="AF72" t="s">
        <v>27</v>
      </c>
      <c r="AG72">
        <v>15.55</v>
      </c>
    </row>
    <row r="73" spans="1:33" x14ac:dyDescent="0.25">
      <c r="A73" t="s">
        <v>57</v>
      </c>
      <c r="B73" s="3">
        <v>43534</v>
      </c>
      <c r="C73">
        <v>2019069</v>
      </c>
      <c r="D73">
        <v>14.54</v>
      </c>
      <c r="E73" t="s">
        <v>27</v>
      </c>
      <c r="F73">
        <v>-9.1</v>
      </c>
      <c r="G73">
        <v>1.9</v>
      </c>
      <c r="H73">
        <v>-19.100000000000001</v>
      </c>
      <c r="I73">
        <v>72.900000000000006</v>
      </c>
      <c r="J73">
        <v>41.6</v>
      </c>
      <c r="K73">
        <v>0.4</v>
      </c>
      <c r="L73">
        <v>2</v>
      </c>
      <c r="M73">
        <v>0</v>
      </c>
      <c r="N73">
        <v>1.032</v>
      </c>
      <c r="O73">
        <v>-0.9</v>
      </c>
      <c r="P73" t="s">
        <v>27</v>
      </c>
      <c r="Q73" t="s">
        <v>27</v>
      </c>
      <c r="R73" t="s">
        <v>27</v>
      </c>
      <c r="S73">
        <v>-0.1</v>
      </c>
      <c r="T73">
        <v>0.2</v>
      </c>
      <c r="U73">
        <v>0.5</v>
      </c>
      <c r="V73" t="s">
        <v>27</v>
      </c>
      <c r="W73">
        <v>0.29099999999999998</v>
      </c>
      <c r="X73">
        <v>0.40899999999999997</v>
      </c>
      <c r="Y73" t="s">
        <v>27</v>
      </c>
      <c r="Z73" t="s">
        <v>27</v>
      </c>
      <c r="AA73" t="s">
        <v>27</v>
      </c>
      <c r="AB73" t="s">
        <v>27</v>
      </c>
      <c r="AC73" t="s">
        <v>27</v>
      </c>
      <c r="AD73" t="s">
        <v>27</v>
      </c>
      <c r="AE73" t="s">
        <v>27</v>
      </c>
      <c r="AF73" t="s">
        <v>27</v>
      </c>
      <c r="AG73">
        <v>15.8</v>
      </c>
    </row>
    <row r="74" spans="1:33" x14ac:dyDescent="0.25">
      <c r="A74" t="s">
        <v>57</v>
      </c>
      <c r="B74" s="3">
        <v>43535</v>
      </c>
      <c r="C74">
        <v>2019070</v>
      </c>
      <c r="D74">
        <v>7.57</v>
      </c>
      <c r="E74" t="s">
        <v>27</v>
      </c>
      <c r="F74">
        <v>-5.8</v>
      </c>
      <c r="G74">
        <v>-0.6</v>
      </c>
      <c r="H74">
        <v>-10.7</v>
      </c>
      <c r="I74">
        <v>69.099999999999994</v>
      </c>
      <c r="J74">
        <v>47.8</v>
      </c>
      <c r="K74">
        <v>0.9</v>
      </c>
      <c r="L74">
        <v>2.7</v>
      </c>
      <c r="M74">
        <v>0</v>
      </c>
      <c r="N74">
        <v>1.016</v>
      </c>
      <c r="O74">
        <v>-0.9</v>
      </c>
      <c r="P74" t="s">
        <v>27</v>
      </c>
      <c r="Q74" t="s">
        <v>27</v>
      </c>
      <c r="R74" t="s">
        <v>27</v>
      </c>
      <c r="S74">
        <v>-0.1</v>
      </c>
      <c r="T74">
        <v>0.2</v>
      </c>
      <c r="U74">
        <v>0.6</v>
      </c>
      <c r="V74" t="s">
        <v>27</v>
      </c>
      <c r="W74">
        <v>0.27900000000000003</v>
      </c>
      <c r="X74">
        <v>0.30499999999999999</v>
      </c>
      <c r="Y74" t="s">
        <v>27</v>
      </c>
      <c r="Z74" t="s">
        <v>27</v>
      </c>
      <c r="AA74" t="s">
        <v>27</v>
      </c>
      <c r="AB74" t="s">
        <v>27</v>
      </c>
      <c r="AC74" t="s">
        <v>27</v>
      </c>
      <c r="AD74" t="s">
        <v>27</v>
      </c>
      <c r="AE74" t="s">
        <v>27</v>
      </c>
      <c r="AF74" t="s">
        <v>27</v>
      </c>
      <c r="AG74">
        <v>16.05</v>
      </c>
    </row>
    <row r="75" spans="1:33" x14ac:dyDescent="0.25">
      <c r="A75" t="s">
        <v>57</v>
      </c>
      <c r="B75" s="3">
        <v>43536</v>
      </c>
      <c r="C75">
        <v>2019071</v>
      </c>
      <c r="D75">
        <v>4.34</v>
      </c>
      <c r="E75" t="s">
        <v>27</v>
      </c>
      <c r="F75">
        <v>-5.9</v>
      </c>
      <c r="G75">
        <v>-3.1</v>
      </c>
      <c r="H75">
        <v>-11.9</v>
      </c>
      <c r="I75">
        <v>86</v>
      </c>
      <c r="J75">
        <v>75.099999999999994</v>
      </c>
      <c r="K75">
        <v>0.6</v>
      </c>
      <c r="L75">
        <v>2.6</v>
      </c>
      <c r="M75">
        <v>3.4</v>
      </c>
      <c r="N75">
        <v>1.0190000000000001</v>
      </c>
      <c r="O75">
        <v>-0.9</v>
      </c>
      <c r="P75" t="s">
        <v>27</v>
      </c>
      <c r="Q75" t="s">
        <v>27</v>
      </c>
      <c r="R75" t="s">
        <v>27</v>
      </c>
      <c r="S75">
        <v>-0.1</v>
      </c>
      <c r="T75">
        <v>0.2</v>
      </c>
      <c r="U75">
        <v>0.6</v>
      </c>
      <c r="V75" t="s">
        <v>27</v>
      </c>
      <c r="W75">
        <v>0.36599999999999999</v>
      </c>
      <c r="X75">
        <v>0.121</v>
      </c>
      <c r="Y75" t="s">
        <v>27</v>
      </c>
      <c r="Z75" t="s">
        <v>27</v>
      </c>
      <c r="AA75" t="s">
        <v>27</v>
      </c>
      <c r="AB75" t="s">
        <v>27</v>
      </c>
      <c r="AC75" t="s">
        <v>27</v>
      </c>
      <c r="AD75" t="s">
        <v>27</v>
      </c>
      <c r="AE75" t="s">
        <v>27</v>
      </c>
      <c r="AF75" t="s">
        <v>27</v>
      </c>
      <c r="AG75">
        <v>16.309999999999999</v>
      </c>
    </row>
    <row r="76" spans="1:33" x14ac:dyDescent="0.25">
      <c r="A76" t="s">
        <v>57</v>
      </c>
      <c r="B76" s="3">
        <v>43537</v>
      </c>
      <c r="C76">
        <v>2019072</v>
      </c>
      <c r="D76">
        <v>11.45</v>
      </c>
      <c r="E76" t="s">
        <v>27</v>
      </c>
      <c r="F76">
        <v>-7.1</v>
      </c>
      <c r="G76">
        <v>1</v>
      </c>
      <c r="H76">
        <v>-14.8</v>
      </c>
      <c r="I76">
        <v>69.8</v>
      </c>
      <c r="J76">
        <v>35.700000000000003</v>
      </c>
      <c r="K76">
        <v>0.7</v>
      </c>
      <c r="L76">
        <v>2.7</v>
      </c>
      <c r="M76">
        <v>0</v>
      </c>
      <c r="N76">
        <v>1.0370000000000001</v>
      </c>
      <c r="O76">
        <v>-0.9</v>
      </c>
      <c r="P76" t="s">
        <v>27</v>
      </c>
      <c r="Q76" t="s">
        <v>27</v>
      </c>
      <c r="R76" t="s">
        <v>27</v>
      </c>
      <c r="S76">
        <v>-0.1</v>
      </c>
      <c r="T76">
        <v>0.2</v>
      </c>
      <c r="U76">
        <v>0.6</v>
      </c>
      <c r="V76" t="s">
        <v>27</v>
      </c>
      <c r="W76">
        <v>0.23499999999999999</v>
      </c>
      <c r="X76">
        <v>0.42299999999999999</v>
      </c>
      <c r="Y76" t="s">
        <v>27</v>
      </c>
      <c r="Z76" t="s">
        <v>27</v>
      </c>
      <c r="AA76" t="s">
        <v>27</v>
      </c>
      <c r="AB76" t="s">
        <v>27</v>
      </c>
      <c r="AC76" t="s">
        <v>27</v>
      </c>
      <c r="AD76" t="s">
        <v>27</v>
      </c>
      <c r="AE76" t="s">
        <v>27</v>
      </c>
      <c r="AF76" t="s">
        <v>27</v>
      </c>
      <c r="AG76">
        <v>16.559999999999999</v>
      </c>
    </row>
    <row r="77" spans="1:33" x14ac:dyDescent="0.25">
      <c r="A77" t="s">
        <v>57</v>
      </c>
      <c r="B77" s="3">
        <v>43538</v>
      </c>
      <c r="C77">
        <v>2019073</v>
      </c>
      <c r="D77">
        <v>12.08</v>
      </c>
      <c r="E77" t="s">
        <v>27</v>
      </c>
      <c r="F77">
        <v>-4.5999999999999996</v>
      </c>
      <c r="G77">
        <v>3.5</v>
      </c>
      <c r="H77">
        <v>-15.2</v>
      </c>
      <c r="I77">
        <v>67.099999999999994</v>
      </c>
      <c r="J77">
        <v>35.799999999999997</v>
      </c>
      <c r="K77">
        <v>0.4</v>
      </c>
      <c r="L77">
        <v>2.2000000000000002</v>
      </c>
      <c r="M77">
        <v>0</v>
      </c>
      <c r="N77">
        <v>1</v>
      </c>
      <c r="O77">
        <v>-0.8</v>
      </c>
      <c r="P77" t="s">
        <v>27</v>
      </c>
      <c r="Q77" t="s">
        <v>27</v>
      </c>
      <c r="R77" t="s">
        <v>27</v>
      </c>
      <c r="S77">
        <v>-0.1</v>
      </c>
      <c r="T77">
        <v>0.2</v>
      </c>
      <c r="U77">
        <v>0.6</v>
      </c>
      <c r="V77" t="s">
        <v>27</v>
      </c>
      <c r="W77">
        <v>0.28000000000000003</v>
      </c>
      <c r="X77">
        <v>0.502</v>
      </c>
      <c r="Y77" t="s">
        <v>27</v>
      </c>
      <c r="Z77" t="s">
        <v>27</v>
      </c>
      <c r="AA77" t="s">
        <v>27</v>
      </c>
      <c r="AB77" t="s">
        <v>27</v>
      </c>
      <c r="AC77" t="s">
        <v>27</v>
      </c>
      <c r="AD77" t="s">
        <v>27</v>
      </c>
      <c r="AE77" t="s">
        <v>27</v>
      </c>
      <c r="AF77" t="s">
        <v>27</v>
      </c>
      <c r="AG77">
        <v>16.82</v>
      </c>
    </row>
    <row r="78" spans="1:33" x14ac:dyDescent="0.25">
      <c r="A78" t="s">
        <v>57</v>
      </c>
      <c r="B78" s="3">
        <v>43539</v>
      </c>
      <c r="C78">
        <v>2019074</v>
      </c>
      <c r="D78">
        <v>11.36</v>
      </c>
      <c r="E78" t="s">
        <v>27</v>
      </c>
      <c r="F78">
        <v>-1.9</v>
      </c>
      <c r="G78">
        <v>6.6</v>
      </c>
      <c r="H78">
        <v>-6.9</v>
      </c>
      <c r="I78">
        <v>72.5</v>
      </c>
      <c r="J78">
        <v>39.700000000000003</v>
      </c>
      <c r="K78">
        <v>0.6</v>
      </c>
      <c r="L78">
        <v>2.5</v>
      </c>
      <c r="M78">
        <v>0</v>
      </c>
      <c r="N78">
        <v>1.008</v>
      </c>
      <c r="O78">
        <v>-0.8</v>
      </c>
      <c r="P78" t="s">
        <v>27</v>
      </c>
      <c r="Q78" t="s">
        <v>27</v>
      </c>
      <c r="R78" t="s">
        <v>27</v>
      </c>
      <c r="S78">
        <v>-0.1</v>
      </c>
      <c r="T78">
        <v>0.2</v>
      </c>
      <c r="U78">
        <v>0.6</v>
      </c>
      <c r="V78" t="s">
        <v>27</v>
      </c>
      <c r="W78">
        <v>0.38600000000000001</v>
      </c>
      <c r="X78">
        <v>0.58599999999999997</v>
      </c>
      <c r="Y78" t="s">
        <v>27</v>
      </c>
      <c r="Z78" t="s">
        <v>27</v>
      </c>
      <c r="AA78" t="s">
        <v>27</v>
      </c>
      <c r="AB78" t="s">
        <v>27</v>
      </c>
      <c r="AC78" t="s">
        <v>27</v>
      </c>
      <c r="AD78" t="s">
        <v>27</v>
      </c>
      <c r="AE78" t="s">
        <v>27</v>
      </c>
      <c r="AF78" t="s">
        <v>27</v>
      </c>
      <c r="AG78">
        <v>17.079999999999998</v>
      </c>
    </row>
    <row r="79" spans="1:33" x14ac:dyDescent="0.25">
      <c r="A79" t="s">
        <v>57</v>
      </c>
      <c r="B79" s="3">
        <v>43540</v>
      </c>
      <c r="C79">
        <v>2019075</v>
      </c>
      <c r="D79">
        <v>14.75</v>
      </c>
      <c r="E79" t="s">
        <v>27</v>
      </c>
      <c r="F79">
        <v>-0.8</v>
      </c>
      <c r="G79">
        <v>9.1</v>
      </c>
      <c r="H79">
        <v>-8.6999999999999993</v>
      </c>
      <c r="I79">
        <v>70.8</v>
      </c>
      <c r="J79">
        <v>31.9</v>
      </c>
      <c r="K79">
        <v>0.4</v>
      </c>
      <c r="L79">
        <v>2.1</v>
      </c>
      <c r="M79">
        <v>0</v>
      </c>
      <c r="N79">
        <v>0.9780000000000002</v>
      </c>
      <c r="O79">
        <v>-0.8</v>
      </c>
      <c r="P79" t="s">
        <v>27</v>
      </c>
      <c r="Q79" t="s">
        <v>27</v>
      </c>
      <c r="R79" t="s">
        <v>27</v>
      </c>
      <c r="S79">
        <v>-0.1</v>
      </c>
      <c r="T79">
        <v>0.2</v>
      </c>
      <c r="U79">
        <v>0.6</v>
      </c>
      <c r="V79" t="s">
        <v>27</v>
      </c>
      <c r="W79">
        <v>0.36699999999999999</v>
      </c>
      <c r="X79">
        <v>0.78300000000000003</v>
      </c>
      <c r="Y79" t="s">
        <v>27</v>
      </c>
      <c r="Z79" t="s">
        <v>27</v>
      </c>
      <c r="AA79" t="s">
        <v>27</v>
      </c>
      <c r="AB79" t="s">
        <v>27</v>
      </c>
      <c r="AC79" t="s">
        <v>27</v>
      </c>
      <c r="AD79" t="s">
        <v>27</v>
      </c>
      <c r="AE79" t="s">
        <v>27</v>
      </c>
      <c r="AF79" t="s">
        <v>27</v>
      </c>
      <c r="AG79">
        <v>17.34</v>
      </c>
    </row>
    <row r="80" spans="1:33" x14ac:dyDescent="0.25">
      <c r="A80" t="s">
        <v>57</v>
      </c>
      <c r="B80" s="3">
        <v>43541</v>
      </c>
      <c r="C80">
        <v>2019076</v>
      </c>
      <c r="D80">
        <v>16.34</v>
      </c>
      <c r="E80" t="s">
        <v>27</v>
      </c>
      <c r="F80">
        <v>1.1000000000000001</v>
      </c>
      <c r="G80">
        <v>9.4</v>
      </c>
      <c r="H80">
        <v>-7.6</v>
      </c>
      <c r="I80">
        <v>60.9</v>
      </c>
      <c r="J80">
        <v>29.2</v>
      </c>
      <c r="K80">
        <v>0.5</v>
      </c>
      <c r="L80">
        <v>2.1</v>
      </c>
      <c r="M80">
        <v>0</v>
      </c>
      <c r="N80">
        <v>0.94000000000000017</v>
      </c>
      <c r="O80">
        <v>-0.8</v>
      </c>
      <c r="P80" t="s">
        <v>27</v>
      </c>
      <c r="Q80" t="s">
        <v>27</v>
      </c>
      <c r="R80" t="s">
        <v>27</v>
      </c>
      <c r="S80">
        <v>-0.1</v>
      </c>
      <c r="T80">
        <v>0.2</v>
      </c>
      <c r="U80">
        <v>0.6</v>
      </c>
      <c r="V80" t="s">
        <v>27</v>
      </c>
      <c r="W80">
        <v>0.34499999999999997</v>
      </c>
      <c r="X80">
        <v>0.83699999999999997</v>
      </c>
      <c r="Y80" t="s">
        <v>27</v>
      </c>
      <c r="Z80" t="s">
        <v>27</v>
      </c>
      <c r="AA80" t="s">
        <v>27</v>
      </c>
      <c r="AB80" t="s">
        <v>27</v>
      </c>
      <c r="AC80" t="s">
        <v>27</v>
      </c>
      <c r="AD80" t="s">
        <v>27</v>
      </c>
      <c r="AE80" t="s">
        <v>27</v>
      </c>
      <c r="AF80" t="s">
        <v>27</v>
      </c>
      <c r="AG80">
        <v>17.600000000000001</v>
      </c>
    </row>
    <row r="81" spans="1:33" x14ac:dyDescent="0.25">
      <c r="A81" t="s">
        <v>57</v>
      </c>
      <c r="B81" s="3">
        <v>43542</v>
      </c>
      <c r="C81">
        <v>2019077</v>
      </c>
      <c r="D81">
        <v>16.93</v>
      </c>
      <c r="E81" t="s">
        <v>27</v>
      </c>
      <c r="F81">
        <v>2.9</v>
      </c>
      <c r="G81">
        <v>14</v>
      </c>
      <c r="H81">
        <v>-6.1</v>
      </c>
      <c r="I81">
        <v>53.7</v>
      </c>
      <c r="J81">
        <v>15.7</v>
      </c>
      <c r="K81">
        <v>0.4</v>
      </c>
      <c r="L81">
        <v>1.9</v>
      </c>
      <c r="M81">
        <v>0</v>
      </c>
      <c r="N81">
        <v>0.91700000000000004</v>
      </c>
      <c r="O81">
        <v>-0.8</v>
      </c>
      <c r="P81" t="s">
        <v>27</v>
      </c>
      <c r="Q81" t="s">
        <v>27</v>
      </c>
      <c r="R81" t="s">
        <v>27</v>
      </c>
      <c r="S81">
        <v>-0.1</v>
      </c>
      <c r="T81">
        <v>0.2</v>
      </c>
      <c r="U81">
        <v>0.6</v>
      </c>
      <c r="V81" t="s">
        <v>27</v>
      </c>
      <c r="W81">
        <v>0.251</v>
      </c>
      <c r="X81">
        <v>1.3480000000000001</v>
      </c>
      <c r="Y81" t="s">
        <v>27</v>
      </c>
      <c r="Z81" t="s">
        <v>27</v>
      </c>
      <c r="AA81" t="s">
        <v>27</v>
      </c>
      <c r="AB81" t="s">
        <v>27</v>
      </c>
      <c r="AC81" t="s">
        <v>27</v>
      </c>
      <c r="AD81" t="s">
        <v>27</v>
      </c>
      <c r="AE81" t="s">
        <v>27</v>
      </c>
      <c r="AF81" t="s">
        <v>27</v>
      </c>
      <c r="AG81">
        <v>17.850000000000001</v>
      </c>
    </row>
    <row r="82" spans="1:33" x14ac:dyDescent="0.25">
      <c r="A82" t="s">
        <v>57</v>
      </c>
      <c r="B82" s="3">
        <v>43543</v>
      </c>
      <c r="C82">
        <v>2019078</v>
      </c>
      <c r="D82">
        <v>17.25</v>
      </c>
      <c r="E82" t="s">
        <v>27</v>
      </c>
      <c r="F82">
        <v>3.8</v>
      </c>
      <c r="G82">
        <v>16.2</v>
      </c>
      <c r="H82">
        <v>-5.7</v>
      </c>
      <c r="I82">
        <v>54.2</v>
      </c>
      <c r="J82">
        <v>18</v>
      </c>
      <c r="K82">
        <v>0.4</v>
      </c>
      <c r="L82">
        <v>2.8</v>
      </c>
      <c r="M82">
        <v>0</v>
      </c>
      <c r="N82">
        <v>0.88200000000000012</v>
      </c>
      <c r="O82">
        <v>-0.6</v>
      </c>
      <c r="P82" t="s">
        <v>27</v>
      </c>
      <c r="Q82" t="s">
        <v>27</v>
      </c>
      <c r="R82" t="s">
        <v>27</v>
      </c>
      <c r="S82">
        <v>-0.1</v>
      </c>
      <c r="T82">
        <v>0.2</v>
      </c>
      <c r="U82">
        <v>0.6</v>
      </c>
      <c r="V82" t="s">
        <v>27</v>
      </c>
      <c r="W82">
        <v>0.33100000000000002</v>
      </c>
      <c r="X82">
        <v>1.508</v>
      </c>
      <c r="Y82" t="s">
        <v>27</v>
      </c>
      <c r="Z82" t="s">
        <v>27</v>
      </c>
      <c r="AA82" t="s">
        <v>27</v>
      </c>
      <c r="AB82" t="s">
        <v>27</v>
      </c>
      <c r="AC82" t="s">
        <v>27</v>
      </c>
      <c r="AD82" t="s">
        <v>27</v>
      </c>
      <c r="AE82" t="s">
        <v>27</v>
      </c>
      <c r="AF82" t="s">
        <v>27</v>
      </c>
      <c r="AG82">
        <v>18.12</v>
      </c>
    </row>
    <row r="83" spans="1:33" x14ac:dyDescent="0.25">
      <c r="A83" t="s">
        <v>57</v>
      </c>
      <c r="B83" s="3">
        <v>43544</v>
      </c>
      <c r="C83">
        <v>2019079</v>
      </c>
      <c r="D83">
        <v>17.63</v>
      </c>
      <c r="E83" t="s">
        <v>27</v>
      </c>
      <c r="F83">
        <v>6.1</v>
      </c>
      <c r="G83">
        <v>17.5</v>
      </c>
      <c r="H83">
        <v>-2.5</v>
      </c>
      <c r="I83">
        <v>45.6</v>
      </c>
      <c r="J83">
        <v>15.3</v>
      </c>
      <c r="K83">
        <v>0.5</v>
      </c>
      <c r="L83">
        <v>2.2999999999999998</v>
      </c>
      <c r="M83">
        <v>0</v>
      </c>
      <c r="N83">
        <v>0.85400000000000009</v>
      </c>
      <c r="O83">
        <v>-0.5</v>
      </c>
      <c r="P83" t="s">
        <v>27</v>
      </c>
      <c r="Q83" t="s">
        <v>27</v>
      </c>
      <c r="R83" t="s">
        <v>27</v>
      </c>
      <c r="S83">
        <v>0</v>
      </c>
      <c r="T83">
        <v>0.2</v>
      </c>
      <c r="U83">
        <v>0.6</v>
      </c>
      <c r="V83" t="s">
        <v>27</v>
      </c>
      <c r="W83">
        <v>0.30499999999999999</v>
      </c>
      <c r="X83">
        <v>1.6879999999999999</v>
      </c>
      <c r="Y83" t="s">
        <v>27</v>
      </c>
      <c r="Z83" t="s">
        <v>27</v>
      </c>
      <c r="AA83" t="s">
        <v>27</v>
      </c>
      <c r="AB83" t="s">
        <v>27</v>
      </c>
      <c r="AC83" t="s">
        <v>27</v>
      </c>
      <c r="AD83" t="s">
        <v>27</v>
      </c>
      <c r="AE83" t="s">
        <v>27</v>
      </c>
      <c r="AF83" t="s">
        <v>27</v>
      </c>
      <c r="AG83">
        <v>18.38</v>
      </c>
    </row>
    <row r="84" spans="1:33" x14ac:dyDescent="0.25">
      <c r="A84" t="s">
        <v>57</v>
      </c>
      <c r="B84" s="3">
        <v>43545</v>
      </c>
      <c r="C84">
        <v>2019080</v>
      </c>
      <c r="D84">
        <v>17.52</v>
      </c>
      <c r="E84" t="s">
        <v>27</v>
      </c>
      <c r="F84">
        <v>4.8</v>
      </c>
      <c r="G84">
        <v>17.100000000000001</v>
      </c>
      <c r="H84">
        <v>-3.7</v>
      </c>
      <c r="I84">
        <v>51.4</v>
      </c>
      <c r="J84">
        <v>17.399999999999999</v>
      </c>
      <c r="K84">
        <v>0.3</v>
      </c>
      <c r="L84">
        <v>1.9</v>
      </c>
      <c r="M84">
        <v>0</v>
      </c>
      <c r="N84">
        <v>0.82600000000000007</v>
      </c>
      <c r="O84">
        <v>-0.3</v>
      </c>
      <c r="P84" t="s">
        <v>27</v>
      </c>
      <c r="Q84" t="s">
        <v>27</v>
      </c>
      <c r="R84" t="s">
        <v>27</v>
      </c>
      <c r="S84">
        <v>0</v>
      </c>
      <c r="T84">
        <v>0.2</v>
      </c>
      <c r="U84">
        <v>0.6</v>
      </c>
      <c r="V84" t="s">
        <v>27</v>
      </c>
      <c r="W84">
        <v>0.33900000000000002</v>
      </c>
      <c r="X84">
        <v>1.609</v>
      </c>
      <c r="Y84" t="s">
        <v>27</v>
      </c>
      <c r="Z84" t="s">
        <v>27</v>
      </c>
      <c r="AA84" t="s">
        <v>27</v>
      </c>
      <c r="AB84" t="s">
        <v>27</v>
      </c>
      <c r="AC84" t="s">
        <v>27</v>
      </c>
      <c r="AD84" t="s">
        <v>27</v>
      </c>
      <c r="AE84" t="s">
        <v>27</v>
      </c>
      <c r="AF84" t="s">
        <v>27</v>
      </c>
      <c r="AG84">
        <v>18.649999999999999</v>
      </c>
    </row>
    <row r="85" spans="1:33" x14ac:dyDescent="0.25">
      <c r="A85" t="s">
        <v>57</v>
      </c>
      <c r="B85" s="3">
        <v>43546</v>
      </c>
      <c r="C85">
        <v>2019081</v>
      </c>
      <c r="D85">
        <v>17.350000000000001</v>
      </c>
      <c r="E85" t="s">
        <v>27</v>
      </c>
      <c r="F85">
        <v>5</v>
      </c>
      <c r="G85">
        <v>14.8</v>
      </c>
      <c r="H85">
        <v>-3.2</v>
      </c>
      <c r="I85">
        <v>56.9</v>
      </c>
      <c r="J85">
        <v>20.6</v>
      </c>
      <c r="K85">
        <v>0.5</v>
      </c>
      <c r="L85">
        <v>2.4</v>
      </c>
      <c r="M85">
        <v>0</v>
      </c>
      <c r="N85">
        <v>0.80900000000000016</v>
      </c>
      <c r="O85">
        <v>-0.1</v>
      </c>
      <c r="P85" t="s">
        <v>27</v>
      </c>
      <c r="Q85" t="s">
        <v>27</v>
      </c>
      <c r="R85" t="s">
        <v>27</v>
      </c>
      <c r="S85">
        <v>0</v>
      </c>
      <c r="T85">
        <v>0.2</v>
      </c>
      <c r="U85">
        <v>0.6</v>
      </c>
      <c r="V85" t="s">
        <v>27</v>
      </c>
      <c r="W85">
        <v>0.34799999999999998</v>
      </c>
      <c r="X85">
        <v>1.341</v>
      </c>
      <c r="Y85" t="s">
        <v>27</v>
      </c>
      <c r="Z85" t="s">
        <v>27</v>
      </c>
      <c r="AA85" t="s">
        <v>27</v>
      </c>
      <c r="AB85" t="s">
        <v>27</v>
      </c>
      <c r="AC85" t="s">
        <v>27</v>
      </c>
      <c r="AD85" t="s">
        <v>27</v>
      </c>
      <c r="AE85" t="s">
        <v>27</v>
      </c>
      <c r="AF85" t="s">
        <v>27</v>
      </c>
      <c r="AG85">
        <v>18.91</v>
      </c>
    </row>
    <row r="86" spans="1:33" x14ac:dyDescent="0.25">
      <c r="A86" t="s">
        <v>57</v>
      </c>
      <c r="B86" s="3">
        <v>43547</v>
      </c>
      <c r="C86">
        <v>2019082</v>
      </c>
      <c r="D86">
        <v>9.18</v>
      </c>
      <c r="E86" t="s">
        <v>27</v>
      </c>
      <c r="F86">
        <v>2.4</v>
      </c>
      <c r="G86">
        <v>8.1999999999999993</v>
      </c>
      <c r="H86">
        <v>-1.7</v>
      </c>
      <c r="I86">
        <v>78.5</v>
      </c>
      <c r="J86">
        <v>48.1</v>
      </c>
      <c r="K86">
        <v>0.3</v>
      </c>
      <c r="L86">
        <v>1.8</v>
      </c>
      <c r="M86">
        <v>0</v>
      </c>
      <c r="N86">
        <v>0.79</v>
      </c>
      <c r="O86">
        <v>0</v>
      </c>
      <c r="P86" t="s">
        <v>27</v>
      </c>
      <c r="Q86" t="s">
        <v>27</v>
      </c>
      <c r="R86" t="s">
        <v>27</v>
      </c>
      <c r="S86">
        <v>0</v>
      </c>
      <c r="T86">
        <v>0.2</v>
      </c>
      <c r="U86">
        <v>0.6</v>
      </c>
      <c r="V86" t="s">
        <v>27</v>
      </c>
      <c r="W86">
        <v>0.52400000000000002</v>
      </c>
      <c r="X86">
        <v>0.56499999999999995</v>
      </c>
      <c r="Y86" t="s">
        <v>27</v>
      </c>
      <c r="Z86" t="s">
        <v>27</v>
      </c>
      <c r="AA86" t="s">
        <v>27</v>
      </c>
      <c r="AB86" t="s">
        <v>27</v>
      </c>
      <c r="AC86" t="s">
        <v>27</v>
      </c>
      <c r="AD86" t="s">
        <v>27</v>
      </c>
      <c r="AE86" t="s">
        <v>27</v>
      </c>
      <c r="AF86" t="s">
        <v>27</v>
      </c>
      <c r="AG86">
        <v>19.170000000000002</v>
      </c>
    </row>
    <row r="87" spans="1:33" x14ac:dyDescent="0.25">
      <c r="A87" t="s">
        <v>57</v>
      </c>
      <c r="B87" s="3">
        <v>43548</v>
      </c>
      <c r="C87">
        <v>2019083</v>
      </c>
      <c r="D87">
        <v>8.7100000000000009</v>
      </c>
      <c r="E87" t="s">
        <v>27</v>
      </c>
      <c r="F87">
        <v>3.8</v>
      </c>
      <c r="G87">
        <v>9.8000000000000007</v>
      </c>
      <c r="H87">
        <v>-1.2</v>
      </c>
      <c r="I87">
        <v>74.400000000000006</v>
      </c>
      <c r="J87">
        <v>45.2</v>
      </c>
      <c r="K87">
        <v>0.2</v>
      </c>
      <c r="L87">
        <v>2</v>
      </c>
      <c r="M87">
        <v>4</v>
      </c>
      <c r="N87">
        <v>0.77200000000000002</v>
      </c>
      <c r="O87">
        <v>0</v>
      </c>
      <c r="P87" t="s">
        <v>27</v>
      </c>
      <c r="Q87" t="s">
        <v>27</v>
      </c>
      <c r="R87" t="s">
        <v>27</v>
      </c>
      <c r="S87">
        <v>0.1</v>
      </c>
      <c r="T87">
        <v>0.3</v>
      </c>
      <c r="U87">
        <v>0.6</v>
      </c>
      <c r="V87" t="s">
        <v>27</v>
      </c>
      <c r="W87">
        <v>0.54600000000000004</v>
      </c>
      <c r="X87">
        <v>0.66200000000000003</v>
      </c>
      <c r="Y87" t="s">
        <v>27</v>
      </c>
      <c r="Z87" t="s">
        <v>27</v>
      </c>
      <c r="AA87" t="s">
        <v>27</v>
      </c>
      <c r="AB87" t="s">
        <v>27</v>
      </c>
      <c r="AC87" t="s">
        <v>27</v>
      </c>
      <c r="AD87" t="s">
        <v>27</v>
      </c>
      <c r="AE87" t="s">
        <v>27</v>
      </c>
      <c r="AF87" t="s">
        <v>27</v>
      </c>
      <c r="AG87">
        <v>19.43</v>
      </c>
    </row>
    <row r="88" spans="1:33" x14ac:dyDescent="0.25">
      <c r="A88" t="s">
        <v>57</v>
      </c>
      <c r="B88" s="3">
        <v>43549</v>
      </c>
      <c r="C88">
        <v>2019084</v>
      </c>
      <c r="D88">
        <v>11.67</v>
      </c>
      <c r="E88" t="s">
        <v>27</v>
      </c>
      <c r="F88">
        <v>2.2000000000000002</v>
      </c>
      <c r="G88">
        <v>7.6</v>
      </c>
      <c r="H88">
        <v>0</v>
      </c>
      <c r="I88">
        <v>82.1</v>
      </c>
      <c r="J88">
        <v>52.7</v>
      </c>
      <c r="K88">
        <v>0.5</v>
      </c>
      <c r="L88">
        <v>2.4</v>
      </c>
      <c r="M88">
        <v>2</v>
      </c>
      <c r="N88">
        <v>0.7300000000000002</v>
      </c>
      <c r="O88">
        <v>0.1</v>
      </c>
      <c r="P88" t="s">
        <v>27</v>
      </c>
      <c r="Q88" t="s">
        <v>27</v>
      </c>
      <c r="R88" t="s">
        <v>27</v>
      </c>
      <c r="S88">
        <v>0.1</v>
      </c>
      <c r="T88">
        <v>0.2</v>
      </c>
      <c r="U88">
        <v>0.6</v>
      </c>
      <c r="V88" t="s">
        <v>27</v>
      </c>
      <c r="W88">
        <v>0.55000000000000004</v>
      </c>
      <c r="X88">
        <v>0.49399999999999999</v>
      </c>
      <c r="Y88" t="s">
        <v>27</v>
      </c>
      <c r="Z88" t="s">
        <v>27</v>
      </c>
      <c r="AA88" t="s">
        <v>27</v>
      </c>
      <c r="AB88" t="s">
        <v>27</v>
      </c>
      <c r="AC88" t="s">
        <v>27</v>
      </c>
      <c r="AD88" t="s">
        <v>27</v>
      </c>
      <c r="AE88" t="s">
        <v>27</v>
      </c>
      <c r="AF88" t="s">
        <v>27</v>
      </c>
      <c r="AG88">
        <v>19.7</v>
      </c>
    </row>
    <row r="89" spans="1:33" x14ac:dyDescent="0.25">
      <c r="A89" t="s">
        <v>57</v>
      </c>
      <c r="B89" s="3">
        <v>43550</v>
      </c>
      <c r="C89">
        <v>2019085</v>
      </c>
      <c r="D89">
        <v>8.4499999999999993</v>
      </c>
      <c r="E89" t="s">
        <v>27</v>
      </c>
      <c r="F89">
        <v>-1</v>
      </c>
      <c r="G89">
        <v>3.8</v>
      </c>
      <c r="H89">
        <v>-8</v>
      </c>
      <c r="I89">
        <v>85</v>
      </c>
      <c r="J89">
        <v>51.3</v>
      </c>
      <c r="K89">
        <v>0.2</v>
      </c>
      <c r="L89">
        <v>2.7</v>
      </c>
      <c r="M89">
        <v>10.3</v>
      </c>
      <c r="N89">
        <v>0.79800000000000004</v>
      </c>
      <c r="O89">
        <v>0</v>
      </c>
      <c r="P89" t="s">
        <v>27</v>
      </c>
      <c r="Q89" t="s">
        <v>27</v>
      </c>
      <c r="R89" t="s">
        <v>27</v>
      </c>
      <c r="S89">
        <v>0</v>
      </c>
      <c r="T89">
        <v>0.2</v>
      </c>
      <c r="U89">
        <v>0.6</v>
      </c>
      <c r="V89" t="s">
        <v>27</v>
      </c>
      <c r="W89">
        <v>0.41099999999999998</v>
      </c>
      <c r="X89">
        <v>0.39</v>
      </c>
      <c r="Y89" t="s">
        <v>27</v>
      </c>
      <c r="Z89" t="s">
        <v>27</v>
      </c>
      <c r="AA89" t="s">
        <v>27</v>
      </c>
      <c r="AB89" t="s">
        <v>27</v>
      </c>
      <c r="AC89" t="s">
        <v>27</v>
      </c>
      <c r="AD89" t="s">
        <v>27</v>
      </c>
      <c r="AE89" t="s">
        <v>27</v>
      </c>
      <c r="AF89" t="s">
        <v>27</v>
      </c>
      <c r="AG89">
        <v>19.96</v>
      </c>
    </row>
    <row r="90" spans="1:33" x14ac:dyDescent="0.25">
      <c r="A90" t="s">
        <v>57</v>
      </c>
      <c r="B90" s="3">
        <v>43551</v>
      </c>
      <c r="C90">
        <v>2019086</v>
      </c>
      <c r="D90">
        <v>18.100000000000001</v>
      </c>
      <c r="E90" t="s">
        <v>27</v>
      </c>
      <c r="F90">
        <v>-1.4</v>
      </c>
      <c r="G90">
        <v>6.7</v>
      </c>
      <c r="H90">
        <v>-9.6999999999999993</v>
      </c>
      <c r="I90">
        <v>74.8</v>
      </c>
      <c r="J90">
        <v>41.8</v>
      </c>
      <c r="K90">
        <v>0.3</v>
      </c>
      <c r="L90">
        <v>2</v>
      </c>
      <c r="M90">
        <v>0</v>
      </c>
      <c r="N90">
        <v>0.75800000000000001</v>
      </c>
      <c r="O90">
        <v>0</v>
      </c>
      <c r="P90" t="s">
        <v>27</v>
      </c>
      <c r="Q90" t="s">
        <v>27</v>
      </c>
      <c r="R90" t="s">
        <v>27</v>
      </c>
      <c r="S90">
        <v>0</v>
      </c>
      <c r="T90">
        <v>0.2</v>
      </c>
      <c r="U90">
        <v>0.5</v>
      </c>
      <c r="V90" t="s">
        <v>27</v>
      </c>
      <c r="W90">
        <v>0.41</v>
      </c>
      <c r="X90">
        <v>0.57099999999999995</v>
      </c>
      <c r="Y90" t="s">
        <v>27</v>
      </c>
      <c r="Z90" t="s">
        <v>27</v>
      </c>
      <c r="AA90" t="s">
        <v>27</v>
      </c>
      <c r="AB90" t="s">
        <v>27</v>
      </c>
      <c r="AC90" t="s">
        <v>27</v>
      </c>
      <c r="AD90" t="s">
        <v>27</v>
      </c>
      <c r="AE90" t="s">
        <v>27</v>
      </c>
      <c r="AF90" t="s">
        <v>27</v>
      </c>
      <c r="AG90">
        <v>20.22</v>
      </c>
    </row>
    <row r="91" spans="1:33" x14ac:dyDescent="0.25">
      <c r="A91" t="s">
        <v>57</v>
      </c>
      <c r="B91" s="3">
        <v>43552</v>
      </c>
      <c r="C91">
        <v>2019087</v>
      </c>
      <c r="D91">
        <v>12.58</v>
      </c>
      <c r="E91" t="s">
        <v>27</v>
      </c>
      <c r="F91">
        <v>0.2</v>
      </c>
      <c r="G91">
        <v>7.6</v>
      </c>
      <c r="H91">
        <v>-6.8</v>
      </c>
      <c r="I91">
        <v>65.3</v>
      </c>
      <c r="J91">
        <v>34.4</v>
      </c>
      <c r="K91">
        <v>0.2</v>
      </c>
      <c r="L91">
        <v>1.7</v>
      </c>
      <c r="M91">
        <v>0</v>
      </c>
      <c r="N91">
        <v>0.7410000000000001</v>
      </c>
      <c r="O91">
        <v>0</v>
      </c>
      <c r="P91" t="s">
        <v>27</v>
      </c>
      <c r="Q91" t="s">
        <v>27</v>
      </c>
      <c r="R91" t="s">
        <v>27</v>
      </c>
      <c r="S91">
        <v>0</v>
      </c>
      <c r="T91">
        <v>0.2</v>
      </c>
      <c r="U91">
        <v>0.6</v>
      </c>
      <c r="V91" t="s">
        <v>27</v>
      </c>
      <c r="W91">
        <v>0.36</v>
      </c>
      <c r="X91">
        <v>0.68700000000000006</v>
      </c>
      <c r="Y91" t="s">
        <v>27</v>
      </c>
      <c r="Z91" t="s">
        <v>27</v>
      </c>
      <c r="AA91" t="s">
        <v>27</v>
      </c>
      <c r="AB91" t="s">
        <v>27</v>
      </c>
      <c r="AC91" t="s">
        <v>27</v>
      </c>
      <c r="AD91" t="s">
        <v>27</v>
      </c>
      <c r="AE91" t="s">
        <v>27</v>
      </c>
      <c r="AF91" t="s">
        <v>27</v>
      </c>
      <c r="AG91">
        <v>20.48</v>
      </c>
    </row>
    <row r="92" spans="1:33" x14ac:dyDescent="0.25">
      <c r="A92" t="s">
        <v>57</v>
      </c>
      <c r="B92" s="3">
        <v>43553</v>
      </c>
      <c r="C92">
        <v>2019088</v>
      </c>
      <c r="D92">
        <v>16.77</v>
      </c>
      <c r="E92" t="s">
        <v>27</v>
      </c>
      <c r="F92">
        <v>0.5</v>
      </c>
      <c r="G92">
        <v>9.6</v>
      </c>
      <c r="H92">
        <v>-7</v>
      </c>
      <c r="I92">
        <v>62.1</v>
      </c>
      <c r="J92">
        <v>25.2</v>
      </c>
      <c r="K92">
        <v>0.4</v>
      </c>
      <c r="L92">
        <v>2.2000000000000002</v>
      </c>
      <c r="M92">
        <v>0</v>
      </c>
      <c r="N92">
        <v>0.7300000000000002</v>
      </c>
      <c r="O92">
        <v>0</v>
      </c>
      <c r="P92" t="s">
        <v>27</v>
      </c>
      <c r="Q92" t="s">
        <v>27</v>
      </c>
      <c r="R92" t="s">
        <v>27</v>
      </c>
      <c r="S92">
        <v>0</v>
      </c>
      <c r="T92">
        <v>0.2</v>
      </c>
      <c r="U92">
        <v>0.5</v>
      </c>
      <c r="V92" t="s">
        <v>27</v>
      </c>
      <c r="W92">
        <v>0.3</v>
      </c>
      <c r="X92">
        <v>0.89</v>
      </c>
      <c r="Y92" t="s">
        <v>27</v>
      </c>
      <c r="Z92" t="s">
        <v>27</v>
      </c>
      <c r="AA92" t="s">
        <v>27</v>
      </c>
      <c r="AB92" t="s">
        <v>27</v>
      </c>
      <c r="AC92" t="s">
        <v>27</v>
      </c>
      <c r="AD92" t="s">
        <v>27</v>
      </c>
      <c r="AE92" t="s">
        <v>27</v>
      </c>
      <c r="AF92" t="s">
        <v>27</v>
      </c>
      <c r="AG92">
        <v>20.74</v>
      </c>
    </row>
    <row r="93" spans="1:33" x14ac:dyDescent="0.25">
      <c r="A93" t="s">
        <v>57</v>
      </c>
      <c r="B93" s="3">
        <v>43554</v>
      </c>
      <c r="C93">
        <v>2019089</v>
      </c>
      <c r="D93">
        <v>19.78</v>
      </c>
      <c r="E93" t="s">
        <v>27</v>
      </c>
      <c r="F93">
        <v>1.9</v>
      </c>
      <c r="G93">
        <v>11.2</v>
      </c>
      <c r="H93">
        <v>-6.8</v>
      </c>
      <c r="I93">
        <v>58.1</v>
      </c>
      <c r="J93">
        <v>24.1</v>
      </c>
      <c r="K93">
        <v>0.3</v>
      </c>
      <c r="L93">
        <v>2.1</v>
      </c>
      <c r="M93">
        <v>0</v>
      </c>
      <c r="N93">
        <v>0.71200000000000019</v>
      </c>
      <c r="O93">
        <v>0</v>
      </c>
      <c r="P93" t="s">
        <v>27</v>
      </c>
      <c r="Q93" t="s">
        <v>27</v>
      </c>
      <c r="R93" t="s">
        <v>27</v>
      </c>
      <c r="S93">
        <v>0</v>
      </c>
      <c r="T93">
        <v>0.2</v>
      </c>
      <c r="U93">
        <v>0.5</v>
      </c>
      <c r="V93" t="s">
        <v>27</v>
      </c>
      <c r="W93">
        <v>0.32100000000000001</v>
      </c>
      <c r="X93">
        <v>1.0109999999999999</v>
      </c>
      <c r="Y93" t="s">
        <v>27</v>
      </c>
      <c r="Z93" t="s">
        <v>27</v>
      </c>
      <c r="AA93" t="s">
        <v>27</v>
      </c>
      <c r="AB93" t="s">
        <v>27</v>
      </c>
      <c r="AC93" t="s">
        <v>27</v>
      </c>
      <c r="AD93" t="s">
        <v>27</v>
      </c>
      <c r="AE93" t="s">
        <v>27</v>
      </c>
      <c r="AF93" t="s">
        <v>27</v>
      </c>
      <c r="AG93">
        <v>21</v>
      </c>
    </row>
    <row r="94" spans="1:33" x14ac:dyDescent="0.25">
      <c r="A94" t="s">
        <v>57</v>
      </c>
      <c r="B94" s="3">
        <v>43555</v>
      </c>
      <c r="C94">
        <v>2019090</v>
      </c>
      <c r="D94">
        <v>14.13</v>
      </c>
      <c r="E94" t="s">
        <v>27</v>
      </c>
      <c r="F94">
        <v>2.1</v>
      </c>
      <c r="G94">
        <v>9.6</v>
      </c>
      <c r="H94">
        <v>-4.2</v>
      </c>
      <c r="I94">
        <v>68.3</v>
      </c>
      <c r="J94">
        <v>26.9</v>
      </c>
      <c r="K94">
        <v>0.2</v>
      </c>
      <c r="L94">
        <v>2.6</v>
      </c>
      <c r="M94">
        <v>2.2999999999999998</v>
      </c>
      <c r="N94">
        <v>0.69400000000000017</v>
      </c>
      <c r="O94">
        <v>0.1</v>
      </c>
      <c r="P94" t="s">
        <v>27</v>
      </c>
      <c r="Q94" t="s">
        <v>27</v>
      </c>
      <c r="R94" t="s">
        <v>27</v>
      </c>
      <c r="S94">
        <v>0</v>
      </c>
      <c r="T94">
        <v>0.2</v>
      </c>
      <c r="U94">
        <v>0.6</v>
      </c>
      <c r="V94" t="s">
        <v>27</v>
      </c>
      <c r="W94">
        <v>0.32200000000000001</v>
      </c>
      <c r="X94">
        <v>0.875</v>
      </c>
      <c r="Y94" t="s">
        <v>27</v>
      </c>
      <c r="Z94" t="s">
        <v>27</v>
      </c>
      <c r="AA94" t="s">
        <v>27</v>
      </c>
      <c r="AB94" t="s">
        <v>27</v>
      </c>
      <c r="AC94" t="s">
        <v>27</v>
      </c>
      <c r="AD94" t="s">
        <v>27</v>
      </c>
      <c r="AE94" t="s">
        <v>27</v>
      </c>
      <c r="AF94" t="s">
        <v>27</v>
      </c>
      <c r="AG94">
        <v>21.27</v>
      </c>
    </row>
    <row r="95" spans="1:33" x14ac:dyDescent="0.25">
      <c r="A95" t="s">
        <v>57</v>
      </c>
      <c r="B95" s="3">
        <v>43556</v>
      </c>
      <c r="C95">
        <v>2019091</v>
      </c>
      <c r="D95">
        <v>20.82</v>
      </c>
      <c r="E95" t="s">
        <v>27</v>
      </c>
      <c r="F95">
        <v>1</v>
      </c>
      <c r="G95">
        <v>9.3000000000000007</v>
      </c>
      <c r="H95">
        <v>-6.5</v>
      </c>
      <c r="I95">
        <v>60.5</v>
      </c>
      <c r="J95">
        <v>19.600000000000001</v>
      </c>
      <c r="K95">
        <v>0.5</v>
      </c>
      <c r="L95">
        <v>2.1</v>
      </c>
      <c r="M95">
        <v>0</v>
      </c>
      <c r="N95">
        <v>0.68400000000000016</v>
      </c>
      <c r="O95">
        <v>0</v>
      </c>
      <c r="P95" t="s">
        <v>27</v>
      </c>
      <c r="Q95" t="s">
        <v>27</v>
      </c>
      <c r="R95" t="s">
        <v>27</v>
      </c>
      <c r="S95">
        <v>0</v>
      </c>
      <c r="T95">
        <v>0.2</v>
      </c>
      <c r="U95">
        <v>0.5</v>
      </c>
      <c r="V95" t="s">
        <v>27</v>
      </c>
      <c r="W95">
        <v>0.22900000000000001</v>
      </c>
      <c r="X95">
        <v>0.93899999999999995</v>
      </c>
      <c r="Y95" t="s">
        <v>27</v>
      </c>
      <c r="Z95" t="s">
        <v>27</v>
      </c>
      <c r="AA95" t="s">
        <v>27</v>
      </c>
      <c r="AB95" t="s">
        <v>27</v>
      </c>
      <c r="AC95" t="s">
        <v>27</v>
      </c>
      <c r="AD95" t="s">
        <v>27</v>
      </c>
      <c r="AE95" t="s">
        <v>27</v>
      </c>
      <c r="AF95" t="s">
        <v>27</v>
      </c>
      <c r="AG95">
        <v>21.52</v>
      </c>
    </row>
    <row r="96" spans="1:33" x14ac:dyDescent="0.25">
      <c r="A96" t="s">
        <v>57</v>
      </c>
      <c r="B96" s="3">
        <v>43557</v>
      </c>
      <c r="C96">
        <v>2019092</v>
      </c>
      <c r="D96">
        <v>20.58</v>
      </c>
      <c r="E96" t="s">
        <v>27</v>
      </c>
      <c r="F96">
        <v>1.7</v>
      </c>
      <c r="G96">
        <v>10.8</v>
      </c>
      <c r="H96">
        <v>-7.2</v>
      </c>
      <c r="I96">
        <v>55.6</v>
      </c>
      <c r="J96">
        <v>19.3</v>
      </c>
      <c r="K96">
        <v>0.4</v>
      </c>
      <c r="L96">
        <v>2</v>
      </c>
      <c r="M96">
        <v>0</v>
      </c>
      <c r="N96">
        <v>0.65700000000000003</v>
      </c>
      <c r="O96">
        <v>0</v>
      </c>
      <c r="P96" t="s">
        <v>27</v>
      </c>
      <c r="Q96" t="s">
        <v>27</v>
      </c>
      <c r="R96" t="s">
        <v>27</v>
      </c>
      <c r="S96">
        <v>0</v>
      </c>
      <c r="T96">
        <v>0.2</v>
      </c>
      <c r="U96">
        <v>0.5</v>
      </c>
      <c r="V96" t="s">
        <v>27</v>
      </c>
      <c r="W96">
        <v>0.249</v>
      </c>
      <c r="X96">
        <v>1.0409999999999999</v>
      </c>
      <c r="Y96" t="s">
        <v>27</v>
      </c>
      <c r="Z96" t="s">
        <v>27</v>
      </c>
      <c r="AA96" t="s">
        <v>27</v>
      </c>
      <c r="AB96" t="s">
        <v>27</v>
      </c>
      <c r="AC96" t="s">
        <v>27</v>
      </c>
      <c r="AD96" t="s">
        <v>27</v>
      </c>
      <c r="AE96" t="s">
        <v>27</v>
      </c>
      <c r="AF96" t="s">
        <v>27</v>
      </c>
      <c r="AG96">
        <v>21.78</v>
      </c>
    </row>
    <row r="97" spans="1:33" x14ac:dyDescent="0.25">
      <c r="A97" t="s">
        <v>57</v>
      </c>
      <c r="B97" s="3">
        <v>43558</v>
      </c>
      <c r="C97">
        <v>2019093</v>
      </c>
      <c r="D97">
        <v>7.27</v>
      </c>
      <c r="E97" t="s">
        <v>27</v>
      </c>
      <c r="F97">
        <v>1.3</v>
      </c>
      <c r="G97">
        <v>5.7</v>
      </c>
      <c r="H97">
        <v>-2.4</v>
      </c>
      <c r="I97">
        <v>85.2</v>
      </c>
      <c r="J97">
        <v>58.8</v>
      </c>
      <c r="K97">
        <v>0.4</v>
      </c>
      <c r="L97">
        <v>3.4</v>
      </c>
      <c r="M97">
        <v>3</v>
      </c>
      <c r="N97">
        <v>0.66000000000000014</v>
      </c>
      <c r="O97">
        <v>0.1</v>
      </c>
      <c r="P97" t="s">
        <v>27</v>
      </c>
      <c r="Q97" t="s">
        <v>27</v>
      </c>
      <c r="R97" t="s">
        <v>27</v>
      </c>
      <c r="S97">
        <v>0.1</v>
      </c>
      <c r="T97">
        <v>0.3</v>
      </c>
      <c r="U97">
        <v>0.6</v>
      </c>
      <c r="V97" t="s">
        <v>27</v>
      </c>
      <c r="W97">
        <v>0.53800000000000003</v>
      </c>
      <c r="X97">
        <v>0.377</v>
      </c>
      <c r="Y97" t="s">
        <v>27</v>
      </c>
      <c r="Z97" t="s">
        <v>27</v>
      </c>
      <c r="AA97" t="s">
        <v>27</v>
      </c>
      <c r="AB97" t="s">
        <v>27</v>
      </c>
      <c r="AC97" t="s">
        <v>27</v>
      </c>
      <c r="AD97" t="s">
        <v>27</v>
      </c>
      <c r="AE97" t="s">
        <v>27</v>
      </c>
      <c r="AF97" t="s">
        <v>27</v>
      </c>
      <c r="AG97">
        <v>22.03</v>
      </c>
    </row>
    <row r="98" spans="1:33" x14ac:dyDescent="0.25">
      <c r="A98" t="s">
        <v>57</v>
      </c>
      <c r="B98" s="3">
        <v>43559</v>
      </c>
      <c r="C98">
        <v>2019094</v>
      </c>
      <c r="D98">
        <v>12.34</v>
      </c>
      <c r="E98" t="s">
        <v>27</v>
      </c>
      <c r="F98">
        <v>2.2000000000000002</v>
      </c>
      <c r="G98">
        <v>9.6</v>
      </c>
      <c r="H98">
        <v>-4.4000000000000004</v>
      </c>
      <c r="I98">
        <v>73.2</v>
      </c>
      <c r="J98">
        <v>40.200000000000003</v>
      </c>
      <c r="K98">
        <v>0.4</v>
      </c>
      <c r="L98">
        <v>2</v>
      </c>
      <c r="M98">
        <v>0</v>
      </c>
      <c r="N98">
        <v>0.64400000000000013</v>
      </c>
      <c r="O98">
        <v>0.1</v>
      </c>
      <c r="P98" t="s">
        <v>27</v>
      </c>
      <c r="Q98" t="s">
        <v>27</v>
      </c>
      <c r="R98" t="s">
        <v>27</v>
      </c>
      <c r="S98">
        <v>0</v>
      </c>
      <c r="T98">
        <v>0.3</v>
      </c>
      <c r="U98">
        <v>0.6</v>
      </c>
      <c r="V98" t="s">
        <v>27</v>
      </c>
      <c r="W98">
        <v>0.48199999999999998</v>
      </c>
      <c r="X98">
        <v>0.71699999999999997</v>
      </c>
      <c r="Y98" t="s">
        <v>27</v>
      </c>
      <c r="Z98" t="s">
        <v>27</v>
      </c>
      <c r="AA98" t="s">
        <v>27</v>
      </c>
      <c r="AB98" t="s">
        <v>27</v>
      </c>
      <c r="AC98" t="s">
        <v>27</v>
      </c>
      <c r="AD98" t="s">
        <v>27</v>
      </c>
      <c r="AE98" t="s">
        <v>27</v>
      </c>
      <c r="AF98" t="s">
        <v>27</v>
      </c>
      <c r="AG98">
        <v>22.29</v>
      </c>
    </row>
    <row r="99" spans="1:33" x14ac:dyDescent="0.25">
      <c r="A99" t="s">
        <v>57</v>
      </c>
      <c r="B99" s="3">
        <v>43560</v>
      </c>
      <c r="C99">
        <v>2019095</v>
      </c>
      <c r="D99">
        <v>6.98</v>
      </c>
      <c r="E99" t="s">
        <v>27</v>
      </c>
      <c r="F99">
        <v>1.9</v>
      </c>
      <c r="G99">
        <v>6.2</v>
      </c>
      <c r="H99">
        <v>-1.9</v>
      </c>
      <c r="I99">
        <v>82.8</v>
      </c>
      <c r="J99">
        <v>64.7</v>
      </c>
      <c r="K99">
        <v>0.7</v>
      </c>
      <c r="L99">
        <v>2.5</v>
      </c>
      <c r="M99">
        <v>7.8</v>
      </c>
      <c r="N99">
        <v>0.70300000000000007</v>
      </c>
      <c r="O99">
        <v>0.1</v>
      </c>
      <c r="P99" t="s">
        <v>27</v>
      </c>
      <c r="Q99" t="s">
        <v>27</v>
      </c>
      <c r="R99" t="s">
        <v>27</v>
      </c>
      <c r="S99">
        <v>0.1</v>
      </c>
      <c r="T99">
        <v>0.3</v>
      </c>
      <c r="U99">
        <v>0.6</v>
      </c>
      <c r="V99" t="s">
        <v>27</v>
      </c>
      <c r="W99">
        <v>0.61499999999999999</v>
      </c>
      <c r="X99">
        <v>0.33600000000000002</v>
      </c>
      <c r="Y99" t="s">
        <v>27</v>
      </c>
      <c r="Z99" t="s">
        <v>27</v>
      </c>
      <c r="AA99" t="s">
        <v>27</v>
      </c>
      <c r="AB99" t="s">
        <v>27</v>
      </c>
      <c r="AC99" t="s">
        <v>27</v>
      </c>
      <c r="AD99" t="s">
        <v>27</v>
      </c>
      <c r="AE99" t="s">
        <v>27</v>
      </c>
      <c r="AF99" t="s">
        <v>27</v>
      </c>
      <c r="AG99">
        <v>22.55</v>
      </c>
    </row>
    <row r="100" spans="1:33" x14ac:dyDescent="0.25">
      <c r="A100" t="s">
        <v>57</v>
      </c>
      <c r="B100" s="3">
        <v>43561</v>
      </c>
      <c r="C100">
        <v>2019096</v>
      </c>
      <c r="D100">
        <v>5.81</v>
      </c>
      <c r="E100" t="s">
        <v>27</v>
      </c>
      <c r="F100">
        <v>-1.5</v>
      </c>
      <c r="G100">
        <v>2.2000000000000002</v>
      </c>
      <c r="H100">
        <v>-6.6</v>
      </c>
      <c r="I100">
        <v>89.3</v>
      </c>
      <c r="J100">
        <v>80.8</v>
      </c>
      <c r="K100">
        <v>0.5</v>
      </c>
      <c r="L100">
        <v>2.9</v>
      </c>
      <c r="M100">
        <v>0</v>
      </c>
      <c r="N100">
        <v>0.65500000000000003</v>
      </c>
      <c r="O100">
        <v>0</v>
      </c>
      <c r="P100" t="s">
        <v>27</v>
      </c>
      <c r="Q100" t="s">
        <v>27</v>
      </c>
      <c r="R100" t="s">
        <v>27</v>
      </c>
      <c r="S100">
        <v>0</v>
      </c>
      <c r="T100">
        <v>0.2</v>
      </c>
      <c r="U100">
        <v>0.6</v>
      </c>
      <c r="V100" t="s">
        <v>27</v>
      </c>
      <c r="W100">
        <v>0.57699999999999996</v>
      </c>
      <c r="X100">
        <v>0.13700000000000001</v>
      </c>
      <c r="Y100" t="s">
        <v>27</v>
      </c>
      <c r="Z100" t="s">
        <v>27</v>
      </c>
      <c r="AA100" t="s">
        <v>27</v>
      </c>
      <c r="AB100" t="s">
        <v>27</v>
      </c>
      <c r="AC100" t="s">
        <v>27</v>
      </c>
      <c r="AD100" t="s">
        <v>27</v>
      </c>
      <c r="AE100" t="s">
        <v>27</v>
      </c>
      <c r="AF100" t="s">
        <v>27</v>
      </c>
      <c r="AG100">
        <v>22.8</v>
      </c>
    </row>
    <row r="101" spans="1:33" x14ac:dyDescent="0.25">
      <c r="A101" t="s">
        <v>57</v>
      </c>
      <c r="B101" s="3">
        <v>43562</v>
      </c>
      <c r="C101">
        <v>2019097</v>
      </c>
      <c r="D101">
        <v>16.09</v>
      </c>
      <c r="E101" t="s">
        <v>27</v>
      </c>
      <c r="F101">
        <v>0.5</v>
      </c>
      <c r="G101">
        <v>7</v>
      </c>
      <c r="H101">
        <v>-5</v>
      </c>
      <c r="I101">
        <v>72.8</v>
      </c>
      <c r="J101">
        <v>34.200000000000003</v>
      </c>
      <c r="K101">
        <v>1</v>
      </c>
      <c r="L101">
        <v>3.8</v>
      </c>
      <c r="M101">
        <v>2.4</v>
      </c>
      <c r="N101">
        <v>0.65500000000000003</v>
      </c>
      <c r="O101">
        <v>0.1</v>
      </c>
      <c r="P101" t="s">
        <v>27</v>
      </c>
      <c r="Q101" t="s">
        <v>27</v>
      </c>
      <c r="R101" t="s">
        <v>27</v>
      </c>
      <c r="S101">
        <v>0.1</v>
      </c>
      <c r="T101">
        <v>0.3</v>
      </c>
      <c r="U101">
        <v>0.6</v>
      </c>
      <c r="V101" t="s">
        <v>27</v>
      </c>
      <c r="W101">
        <v>0.34200000000000003</v>
      </c>
      <c r="X101">
        <v>0.65800000000000003</v>
      </c>
      <c r="Y101" t="s">
        <v>27</v>
      </c>
      <c r="Z101" t="s">
        <v>27</v>
      </c>
      <c r="AA101" t="s">
        <v>27</v>
      </c>
      <c r="AB101" t="s">
        <v>27</v>
      </c>
      <c r="AC101" t="s">
        <v>27</v>
      </c>
      <c r="AD101" t="s">
        <v>27</v>
      </c>
      <c r="AE101" t="s">
        <v>27</v>
      </c>
      <c r="AF101" t="s">
        <v>27</v>
      </c>
      <c r="AG101">
        <v>23.06</v>
      </c>
    </row>
    <row r="102" spans="1:33" x14ac:dyDescent="0.25">
      <c r="A102" t="s">
        <v>57</v>
      </c>
      <c r="B102" s="3">
        <v>43563</v>
      </c>
      <c r="C102">
        <v>2019098</v>
      </c>
      <c r="D102">
        <v>10.9</v>
      </c>
      <c r="E102" t="s">
        <v>27</v>
      </c>
      <c r="F102">
        <v>0.2</v>
      </c>
      <c r="G102">
        <v>5.9</v>
      </c>
      <c r="H102">
        <v>-6.6</v>
      </c>
      <c r="I102">
        <v>81.2</v>
      </c>
      <c r="J102">
        <v>51.9</v>
      </c>
      <c r="K102">
        <v>0.5</v>
      </c>
      <c r="L102">
        <v>2.4</v>
      </c>
      <c r="M102">
        <v>2</v>
      </c>
      <c r="N102">
        <v>0.65000000000000013</v>
      </c>
      <c r="O102">
        <v>0.1</v>
      </c>
      <c r="P102" t="s">
        <v>27</v>
      </c>
      <c r="Q102" t="s">
        <v>27</v>
      </c>
      <c r="R102" t="s">
        <v>27</v>
      </c>
      <c r="S102">
        <v>0.1</v>
      </c>
      <c r="T102">
        <v>0.3</v>
      </c>
      <c r="U102">
        <v>0.6</v>
      </c>
      <c r="V102" t="s">
        <v>27</v>
      </c>
      <c r="W102">
        <v>0.48299999999999998</v>
      </c>
      <c r="X102">
        <v>0.44800000000000001</v>
      </c>
      <c r="Y102" t="s">
        <v>27</v>
      </c>
      <c r="Z102" t="s">
        <v>27</v>
      </c>
      <c r="AA102" t="s">
        <v>27</v>
      </c>
      <c r="AB102" t="s">
        <v>27</v>
      </c>
      <c r="AC102" t="s">
        <v>27</v>
      </c>
      <c r="AD102" t="s">
        <v>27</v>
      </c>
      <c r="AE102" t="s">
        <v>27</v>
      </c>
      <c r="AF102" t="s">
        <v>27</v>
      </c>
      <c r="AG102">
        <v>23.31</v>
      </c>
    </row>
    <row r="103" spans="1:33" x14ac:dyDescent="0.25">
      <c r="A103" t="s">
        <v>57</v>
      </c>
      <c r="B103" s="3">
        <v>43564</v>
      </c>
      <c r="C103">
        <v>2019099</v>
      </c>
      <c r="D103">
        <v>14.36</v>
      </c>
      <c r="E103" t="s">
        <v>27</v>
      </c>
      <c r="F103">
        <v>1.6</v>
      </c>
      <c r="G103">
        <v>6.3</v>
      </c>
      <c r="H103">
        <v>-0.8</v>
      </c>
      <c r="I103">
        <v>81.5</v>
      </c>
      <c r="J103">
        <v>53.6</v>
      </c>
      <c r="K103">
        <v>0.9</v>
      </c>
      <c r="L103">
        <v>3.2</v>
      </c>
      <c r="M103">
        <v>1</v>
      </c>
      <c r="N103">
        <v>0.64300000000000002</v>
      </c>
      <c r="O103">
        <v>0.1</v>
      </c>
      <c r="P103" t="s">
        <v>27</v>
      </c>
      <c r="Q103" t="s">
        <v>27</v>
      </c>
      <c r="R103" t="s">
        <v>27</v>
      </c>
      <c r="S103">
        <v>0.1</v>
      </c>
      <c r="T103">
        <v>0.3</v>
      </c>
      <c r="U103">
        <v>0.6</v>
      </c>
      <c r="V103" t="s">
        <v>27</v>
      </c>
      <c r="W103">
        <v>0.51</v>
      </c>
      <c r="X103">
        <v>0.441</v>
      </c>
      <c r="Y103" t="s">
        <v>27</v>
      </c>
      <c r="Z103" t="s">
        <v>27</v>
      </c>
      <c r="AA103" t="s">
        <v>27</v>
      </c>
      <c r="AB103" t="s">
        <v>27</v>
      </c>
      <c r="AC103" t="s">
        <v>27</v>
      </c>
      <c r="AD103" t="s">
        <v>27</v>
      </c>
      <c r="AE103" t="s">
        <v>27</v>
      </c>
      <c r="AF103" t="s">
        <v>27</v>
      </c>
      <c r="AG103">
        <v>23.56</v>
      </c>
    </row>
    <row r="104" spans="1:33" x14ac:dyDescent="0.25">
      <c r="A104" t="s">
        <v>57</v>
      </c>
      <c r="B104" s="3">
        <v>43565</v>
      </c>
      <c r="C104">
        <v>2019100</v>
      </c>
      <c r="D104">
        <v>6.35</v>
      </c>
      <c r="E104" t="s">
        <v>27</v>
      </c>
      <c r="F104">
        <v>-0.7</v>
      </c>
      <c r="G104">
        <v>1.5</v>
      </c>
      <c r="H104">
        <v>-3.2</v>
      </c>
      <c r="I104">
        <v>83.4</v>
      </c>
      <c r="J104">
        <v>63</v>
      </c>
      <c r="K104">
        <v>1.2</v>
      </c>
      <c r="L104">
        <v>3.4</v>
      </c>
      <c r="M104">
        <v>6.1</v>
      </c>
      <c r="N104">
        <v>0.69900000000000007</v>
      </c>
      <c r="O104">
        <v>0.1</v>
      </c>
      <c r="P104" t="s">
        <v>27</v>
      </c>
      <c r="Q104" t="s">
        <v>27</v>
      </c>
      <c r="R104" t="s">
        <v>27</v>
      </c>
      <c r="S104">
        <v>0</v>
      </c>
      <c r="T104">
        <v>0.3</v>
      </c>
      <c r="U104">
        <v>0.6</v>
      </c>
      <c r="V104" t="s">
        <v>27</v>
      </c>
      <c r="W104">
        <v>0.42899999999999999</v>
      </c>
      <c r="X104">
        <v>0.252</v>
      </c>
      <c r="Y104" t="s">
        <v>27</v>
      </c>
      <c r="Z104" t="s">
        <v>27</v>
      </c>
      <c r="AA104" t="s">
        <v>27</v>
      </c>
      <c r="AB104" t="s">
        <v>27</v>
      </c>
      <c r="AC104" t="s">
        <v>27</v>
      </c>
      <c r="AD104" t="s">
        <v>27</v>
      </c>
      <c r="AE104" t="s">
        <v>27</v>
      </c>
      <c r="AF104" t="s">
        <v>27</v>
      </c>
      <c r="AG104">
        <v>23.81</v>
      </c>
    </row>
    <row r="105" spans="1:33" x14ac:dyDescent="0.25">
      <c r="A105" t="s">
        <v>57</v>
      </c>
      <c r="B105" s="3">
        <v>43566</v>
      </c>
      <c r="C105">
        <v>2019101</v>
      </c>
      <c r="D105">
        <v>12.79</v>
      </c>
      <c r="E105" t="s">
        <v>27</v>
      </c>
      <c r="F105">
        <v>-1.4</v>
      </c>
      <c r="G105">
        <v>3.4</v>
      </c>
      <c r="H105">
        <v>-5.4</v>
      </c>
      <c r="I105">
        <v>78.8</v>
      </c>
      <c r="J105">
        <v>50.7</v>
      </c>
      <c r="K105">
        <v>0.5</v>
      </c>
      <c r="L105">
        <v>2.1</v>
      </c>
      <c r="M105">
        <v>0</v>
      </c>
      <c r="N105">
        <v>0.65500000000000003</v>
      </c>
      <c r="O105">
        <v>0.1</v>
      </c>
      <c r="P105" t="s">
        <v>27</v>
      </c>
      <c r="Q105" t="s">
        <v>27</v>
      </c>
      <c r="R105" t="s">
        <v>27</v>
      </c>
      <c r="S105">
        <v>0</v>
      </c>
      <c r="T105">
        <v>0.3</v>
      </c>
      <c r="U105">
        <v>0.6</v>
      </c>
      <c r="V105" t="s">
        <v>27</v>
      </c>
      <c r="W105">
        <v>0.39400000000000002</v>
      </c>
      <c r="X105">
        <v>0.38300000000000001</v>
      </c>
      <c r="Y105" t="s">
        <v>27</v>
      </c>
      <c r="Z105" t="s">
        <v>27</v>
      </c>
      <c r="AA105" t="s">
        <v>27</v>
      </c>
      <c r="AB105" t="s">
        <v>27</v>
      </c>
      <c r="AC105" t="s">
        <v>27</v>
      </c>
      <c r="AD105" t="s">
        <v>27</v>
      </c>
      <c r="AE105" t="s">
        <v>27</v>
      </c>
      <c r="AF105" t="s">
        <v>27</v>
      </c>
      <c r="AG105">
        <v>24.05</v>
      </c>
    </row>
    <row r="106" spans="1:33" x14ac:dyDescent="0.25">
      <c r="A106" t="s">
        <v>57</v>
      </c>
      <c r="B106" s="3">
        <v>43567</v>
      </c>
      <c r="C106">
        <v>2019102</v>
      </c>
      <c r="D106">
        <v>12.19</v>
      </c>
      <c r="E106" t="s">
        <v>27</v>
      </c>
      <c r="F106">
        <v>-0.2</v>
      </c>
      <c r="G106">
        <v>5.6</v>
      </c>
      <c r="H106">
        <v>-6.1</v>
      </c>
      <c r="I106">
        <v>71.900000000000006</v>
      </c>
      <c r="J106">
        <v>45</v>
      </c>
      <c r="K106">
        <v>0.5</v>
      </c>
      <c r="L106">
        <v>2.4</v>
      </c>
      <c r="M106">
        <v>0</v>
      </c>
      <c r="N106">
        <v>0.65400000000000014</v>
      </c>
      <c r="O106">
        <v>0</v>
      </c>
      <c r="P106" t="s">
        <v>27</v>
      </c>
      <c r="Q106" t="s">
        <v>27</v>
      </c>
      <c r="R106" t="s">
        <v>27</v>
      </c>
      <c r="S106">
        <v>0</v>
      </c>
      <c r="T106">
        <v>0.3</v>
      </c>
      <c r="U106">
        <v>0.6</v>
      </c>
      <c r="V106" t="s">
        <v>27</v>
      </c>
      <c r="W106">
        <v>0.40899999999999997</v>
      </c>
      <c r="X106">
        <v>0.5</v>
      </c>
      <c r="Y106" t="s">
        <v>27</v>
      </c>
      <c r="Z106" t="s">
        <v>27</v>
      </c>
      <c r="AA106" t="s">
        <v>27</v>
      </c>
      <c r="AB106" t="s">
        <v>27</v>
      </c>
      <c r="AC106" t="s">
        <v>27</v>
      </c>
      <c r="AD106" t="s">
        <v>27</v>
      </c>
      <c r="AE106" t="s">
        <v>27</v>
      </c>
      <c r="AF106" t="s">
        <v>27</v>
      </c>
      <c r="AG106">
        <v>24.3</v>
      </c>
    </row>
    <row r="107" spans="1:33" x14ac:dyDescent="0.25">
      <c r="A107" t="s">
        <v>57</v>
      </c>
      <c r="B107" s="3">
        <v>43568</v>
      </c>
      <c r="C107">
        <v>2019103</v>
      </c>
      <c r="D107">
        <v>3.28</v>
      </c>
      <c r="E107" t="s">
        <v>27</v>
      </c>
      <c r="F107">
        <v>-1.3</v>
      </c>
      <c r="G107">
        <v>2.1</v>
      </c>
      <c r="H107">
        <v>-5.0999999999999996</v>
      </c>
      <c r="I107">
        <v>89.8</v>
      </c>
      <c r="J107">
        <v>71.5</v>
      </c>
      <c r="K107">
        <v>0.6</v>
      </c>
      <c r="L107">
        <v>3.2</v>
      </c>
      <c r="M107">
        <v>8</v>
      </c>
      <c r="N107">
        <v>0.68400000000000016</v>
      </c>
      <c r="O107">
        <v>0</v>
      </c>
      <c r="P107" t="s">
        <v>27</v>
      </c>
      <c r="Q107" t="s">
        <v>27</v>
      </c>
      <c r="R107" t="s">
        <v>27</v>
      </c>
      <c r="S107">
        <v>0</v>
      </c>
      <c r="T107">
        <v>0.3</v>
      </c>
      <c r="U107">
        <v>0.6</v>
      </c>
      <c r="V107" t="s">
        <v>27</v>
      </c>
      <c r="W107">
        <v>0.50800000000000001</v>
      </c>
      <c r="X107">
        <v>0.20200000000000001</v>
      </c>
      <c r="Y107" t="s">
        <v>27</v>
      </c>
      <c r="Z107" t="s">
        <v>27</v>
      </c>
      <c r="AA107" t="s">
        <v>27</v>
      </c>
      <c r="AB107" t="s">
        <v>27</v>
      </c>
      <c r="AC107" t="s">
        <v>27</v>
      </c>
      <c r="AD107" t="s">
        <v>27</v>
      </c>
      <c r="AE107" t="s">
        <v>27</v>
      </c>
      <c r="AF107" t="s">
        <v>27</v>
      </c>
      <c r="AG107">
        <v>24.53</v>
      </c>
    </row>
    <row r="108" spans="1:33" x14ac:dyDescent="0.25">
      <c r="A108" t="s">
        <v>57</v>
      </c>
      <c r="B108" s="3">
        <v>43569</v>
      </c>
      <c r="C108">
        <v>2019104</v>
      </c>
      <c r="D108">
        <v>16.53</v>
      </c>
      <c r="E108" t="s">
        <v>27</v>
      </c>
      <c r="F108">
        <v>-1.2</v>
      </c>
      <c r="G108">
        <v>4</v>
      </c>
      <c r="H108">
        <v>-4.2</v>
      </c>
      <c r="I108">
        <v>64.599999999999994</v>
      </c>
      <c r="J108">
        <v>36.4</v>
      </c>
      <c r="K108">
        <v>1.5</v>
      </c>
      <c r="L108">
        <v>4.2</v>
      </c>
      <c r="M108">
        <v>0</v>
      </c>
      <c r="N108">
        <v>0.67200000000000015</v>
      </c>
      <c r="O108">
        <v>0.1</v>
      </c>
      <c r="P108" t="s">
        <v>27</v>
      </c>
      <c r="Q108" t="s">
        <v>27</v>
      </c>
      <c r="R108" t="s">
        <v>27</v>
      </c>
      <c r="S108">
        <v>0</v>
      </c>
      <c r="T108">
        <v>0.3</v>
      </c>
      <c r="U108">
        <v>0.6</v>
      </c>
      <c r="V108" t="s">
        <v>27</v>
      </c>
      <c r="W108">
        <v>0.29499999999999998</v>
      </c>
      <c r="X108">
        <v>0.51500000000000001</v>
      </c>
      <c r="Y108" t="s">
        <v>27</v>
      </c>
      <c r="Z108" t="s">
        <v>27</v>
      </c>
      <c r="AA108" t="s">
        <v>27</v>
      </c>
      <c r="AB108" t="s">
        <v>27</v>
      </c>
      <c r="AC108" t="s">
        <v>27</v>
      </c>
      <c r="AD108" t="s">
        <v>27</v>
      </c>
      <c r="AE108" t="s">
        <v>27</v>
      </c>
      <c r="AF108" t="s">
        <v>27</v>
      </c>
      <c r="AG108">
        <v>24.78</v>
      </c>
    </row>
    <row r="109" spans="1:33" x14ac:dyDescent="0.25">
      <c r="A109" t="s">
        <v>57</v>
      </c>
      <c r="B109" s="3">
        <v>43570</v>
      </c>
      <c r="C109">
        <v>2019105</v>
      </c>
      <c r="D109">
        <v>15.33</v>
      </c>
      <c r="E109" t="s">
        <v>27</v>
      </c>
      <c r="F109">
        <v>-1.8</v>
      </c>
      <c r="G109">
        <v>5.0999999999999996</v>
      </c>
      <c r="H109">
        <v>-9.1</v>
      </c>
      <c r="I109">
        <v>64.400000000000006</v>
      </c>
      <c r="J109">
        <v>35</v>
      </c>
      <c r="K109">
        <v>0.5</v>
      </c>
      <c r="L109">
        <v>2.2000000000000002</v>
      </c>
      <c r="M109">
        <v>0</v>
      </c>
      <c r="N109">
        <v>0.66900000000000004</v>
      </c>
      <c r="O109">
        <v>0</v>
      </c>
      <c r="P109" t="s">
        <v>27</v>
      </c>
      <c r="Q109" t="s">
        <v>27</v>
      </c>
      <c r="R109" t="s">
        <v>27</v>
      </c>
      <c r="S109">
        <v>0</v>
      </c>
      <c r="T109">
        <v>0.3</v>
      </c>
      <c r="U109">
        <v>0.6</v>
      </c>
      <c r="V109" t="s">
        <v>27</v>
      </c>
      <c r="W109">
        <v>0.307</v>
      </c>
      <c r="X109">
        <v>0.56999999999999995</v>
      </c>
      <c r="Y109" t="s">
        <v>27</v>
      </c>
      <c r="Z109" t="s">
        <v>27</v>
      </c>
      <c r="AA109" t="s">
        <v>27</v>
      </c>
      <c r="AB109" t="s">
        <v>27</v>
      </c>
      <c r="AC109" t="s">
        <v>27</v>
      </c>
      <c r="AD109" t="s">
        <v>27</v>
      </c>
      <c r="AE109" t="s">
        <v>27</v>
      </c>
      <c r="AF109" t="s">
        <v>27</v>
      </c>
      <c r="AG109">
        <v>25.02</v>
      </c>
    </row>
    <row r="110" spans="1:33" x14ac:dyDescent="0.25">
      <c r="A110" t="s">
        <v>57</v>
      </c>
      <c r="B110" s="3">
        <v>43571</v>
      </c>
      <c r="C110">
        <v>2019106</v>
      </c>
      <c r="D110">
        <v>18.12</v>
      </c>
      <c r="E110" t="s">
        <v>27</v>
      </c>
      <c r="F110">
        <v>1.1000000000000001</v>
      </c>
      <c r="G110">
        <v>8</v>
      </c>
      <c r="H110">
        <v>-8.4</v>
      </c>
      <c r="I110">
        <v>59.3</v>
      </c>
      <c r="J110">
        <v>24.3</v>
      </c>
      <c r="K110">
        <v>0.4</v>
      </c>
      <c r="L110">
        <v>2.5</v>
      </c>
      <c r="M110">
        <v>0</v>
      </c>
      <c r="N110">
        <v>0.64900000000000002</v>
      </c>
      <c r="O110">
        <v>0</v>
      </c>
      <c r="P110" t="s">
        <v>27</v>
      </c>
      <c r="Q110" t="s">
        <v>27</v>
      </c>
      <c r="R110" t="s">
        <v>27</v>
      </c>
      <c r="S110">
        <v>0</v>
      </c>
      <c r="T110">
        <v>0.3</v>
      </c>
      <c r="U110">
        <v>0.5</v>
      </c>
      <c r="V110" t="s">
        <v>27</v>
      </c>
      <c r="W110">
        <v>0.26100000000000001</v>
      </c>
      <c r="X110">
        <v>0.81299999999999994</v>
      </c>
      <c r="Y110" t="s">
        <v>27</v>
      </c>
      <c r="Z110" t="s">
        <v>27</v>
      </c>
      <c r="AA110" t="s">
        <v>27</v>
      </c>
      <c r="AB110" t="s">
        <v>27</v>
      </c>
      <c r="AC110" t="s">
        <v>27</v>
      </c>
      <c r="AD110" t="s">
        <v>27</v>
      </c>
      <c r="AE110" t="s">
        <v>27</v>
      </c>
      <c r="AF110" t="s">
        <v>27</v>
      </c>
      <c r="AG110">
        <v>25.26</v>
      </c>
    </row>
    <row r="111" spans="1:33" x14ac:dyDescent="0.25">
      <c r="A111" t="s">
        <v>57</v>
      </c>
      <c r="B111" s="3">
        <v>43572</v>
      </c>
      <c r="C111">
        <v>2019107</v>
      </c>
      <c r="D111">
        <v>22.83</v>
      </c>
      <c r="E111" t="s">
        <v>27</v>
      </c>
      <c r="F111">
        <v>4</v>
      </c>
      <c r="G111">
        <v>9.1</v>
      </c>
      <c r="H111">
        <v>0.6</v>
      </c>
      <c r="I111">
        <v>59</v>
      </c>
      <c r="J111">
        <v>36.200000000000003</v>
      </c>
      <c r="K111">
        <v>0</v>
      </c>
      <c r="L111">
        <v>0.8</v>
      </c>
      <c r="M111">
        <v>0</v>
      </c>
      <c r="N111">
        <v>0.629</v>
      </c>
      <c r="O111">
        <v>0.1</v>
      </c>
      <c r="P111" t="s">
        <v>27</v>
      </c>
      <c r="Q111" t="s">
        <v>27</v>
      </c>
      <c r="R111" t="s">
        <v>27</v>
      </c>
      <c r="S111">
        <v>0.1</v>
      </c>
      <c r="T111">
        <v>0.3</v>
      </c>
      <c r="U111">
        <v>0.6</v>
      </c>
      <c r="V111" t="s">
        <v>27</v>
      </c>
      <c r="W111">
        <v>0.41899999999999998</v>
      </c>
      <c r="X111">
        <v>0.73799999999999999</v>
      </c>
      <c r="Y111" t="s">
        <v>27</v>
      </c>
      <c r="Z111" t="s">
        <v>27</v>
      </c>
      <c r="AA111" t="s">
        <v>27</v>
      </c>
      <c r="AB111" t="s">
        <v>27</v>
      </c>
      <c r="AC111" t="s">
        <v>27</v>
      </c>
      <c r="AD111" t="s">
        <v>27</v>
      </c>
      <c r="AE111" t="s">
        <v>27</v>
      </c>
      <c r="AF111" t="s">
        <v>27</v>
      </c>
      <c r="AG111">
        <v>25.49</v>
      </c>
    </row>
    <row r="112" spans="1:33" x14ac:dyDescent="0.25">
      <c r="A112" t="s">
        <v>57</v>
      </c>
      <c r="B112" s="3">
        <v>43573</v>
      </c>
      <c r="C112">
        <v>2019108</v>
      </c>
      <c r="D112">
        <v>8.33</v>
      </c>
      <c r="E112" t="s">
        <v>27</v>
      </c>
      <c r="F112">
        <v>3.9</v>
      </c>
      <c r="G112">
        <v>7.7</v>
      </c>
      <c r="H112">
        <v>0.5</v>
      </c>
      <c r="I112">
        <v>94.9</v>
      </c>
      <c r="J112">
        <v>87.2</v>
      </c>
      <c r="K112">
        <v>0</v>
      </c>
      <c r="L112">
        <v>0</v>
      </c>
      <c r="M112">
        <v>16</v>
      </c>
      <c r="N112">
        <v>0.60400000000000009</v>
      </c>
      <c r="O112">
        <v>0.1</v>
      </c>
      <c r="P112" t="s">
        <v>27</v>
      </c>
      <c r="Q112" t="s">
        <v>27</v>
      </c>
      <c r="R112" t="s">
        <v>27</v>
      </c>
      <c r="S112">
        <v>0.1</v>
      </c>
      <c r="T112">
        <v>0.3</v>
      </c>
      <c r="U112">
        <v>0.6</v>
      </c>
      <c r="V112" t="s">
        <v>27</v>
      </c>
      <c r="W112">
        <v>0.91700000000000004</v>
      </c>
      <c r="X112">
        <v>0.13500000000000001</v>
      </c>
      <c r="Y112" t="s">
        <v>27</v>
      </c>
      <c r="Z112" t="s">
        <v>27</v>
      </c>
      <c r="AA112" t="s">
        <v>27</v>
      </c>
      <c r="AB112" t="s">
        <v>27</v>
      </c>
      <c r="AC112" t="s">
        <v>27</v>
      </c>
      <c r="AD112" t="s">
        <v>27</v>
      </c>
      <c r="AE112" t="s">
        <v>27</v>
      </c>
      <c r="AF112" t="s">
        <v>27</v>
      </c>
      <c r="AG112">
        <v>25.73</v>
      </c>
    </row>
    <row r="113" spans="1:33" x14ac:dyDescent="0.25">
      <c r="A113" t="s">
        <v>57</v>
      </c>
      <c r="B113" s="3">
        <v>43574</v>
      </c>
      <c r="C113">
        <v>2019109</v>
      </c>
      <c r="D113">
        <v>10.09</v>
      </c>
      <c r="E113" t="s">
        <v>27</v>
      </c>
      <c r="F113">
        <v>4.9000000000000004</v>
      </c>
      <c r="G113">
        <v>8.5</v>
      </c>
      <c r="H113">
        <v>0.5</v>
      </c>
      <c r="I113">
        <v>83.8</v>
      </c>
      <c r="J113">
        <v>58.7</v>
      </c>
      <c r="K113">
        <v>0.7</v>
      </c>
      <c r="L113">
        <v>3</v>
      </c>
      <c r="M113">
        <v>8</v>
      </c>
      <c r="N113">
        <v>0.57800000000000007</v>
      </c>
      <c r="O113">
        <v>0.1</v>
      </c>
      <c r="P113" t="s">
        <v>27</v>
      </c>
      <c r="Q113" t="s">
        <v>27</v>
      </c>
      <c r="R113" t="s">
        <v>27</v>
      </c>
      <c r="S113">
        <v>0.1</v>
      </c>
      <c r="T113">
        <v>0.3</v>
      </c>
      <c r="U113">
        <v>0.5</v>
      </c>
      <c r="V113" t="s">
        <v>27</v>
      </c>
      <c r="W113">
        <v>0.64900000000000002</v>
      </c>
      <c r="X113">
        <v>0.45700000000000002</v>
      </c>
      <c r="Y113" t="s">
        <v>27</v>
      </c>
      <c r="Z113" t="s">
        <v>27</v>
      </c>
      <c r="AA113" t="s">
        <v>27</v>
      </c>
      <c r="AB113" t="s">
        <v>27</v>
      </c>
      <c r="AC113" t="s">
        <v>27</v>
      </c>
      <c r="AD113" t="s">
        <v>27</v>
      </c>
      <c r="AE113" t="s">
        <v>27</v>
      </c>
      <c r="AF113" t="s">
        <v>27</v>
      </c>
      <c r="AG113">
        <v>25.96</v>
      </c>
    </row>
    <row r="114" spans="1:33" x14ac:dyDescent="0.25">
      <c r="A114" t="s">
        <v>57</v>
      </c>
      <c r="B114" s="3">
        <v>43575</v>
      </c>
      <c r="C114">
        <v>2019110</v>
      </c>
      <c r="D114">
        <v>20</v>
      </c>
      <c r="E114" t="s">
        <v>27</v>
      </c>
      <c r="F114">
        <v>1.4</v>
      </c>
      <c r="G114">
        <v>7.2</v>
      </c>
      <c r="H114">
        <v>-5</v>
      </c>
      <c r="I114">
        <v>67.3</v>
      </c>
      <c r="J114">
        <v>33.1</v>
      </c>
      <c r="K114">
        <v>1</v>
      </c>
      <c r="L114">
        <v>2.6</v>
      </c>
      <c r="M114">
        <v>0</v>
      </c>
      <c r="N114">
        <v>0.56000000000000005</v>
      </c>
      <c r="O114">
        <v>0.1</v>
      </c>
      <c r="P114" t="s">
        <v>27</v>
      </c>
      <c r="Q114" t="s">
        <v>27</v>
      </c>
      <c r="R114" t="s">
        <v>27</v>
      </c>
      <c r="S114">
        <v>0</v>
      </c>
      <c r="T114">
        <v>0.2</v>
      </c>
      <c r="U114">
        <v>0.5</v>
      </c>
      <c r="V114" t="s">
        <v>27</v>
      </c>
      <c r="W114">
        <v>0.33600000000000002</v>
      </c>
      <c r="X114">
        <v>0.67900000000000005</v>
      </c>
      <c r="Y114" t="s">
        <v>27</v>
      </c>
      <c r="Z114" t="s">
        <v>27</v>
      </c>
      <c r="AA114" t="s">
        <v>27</v>
      </c>
      <c r="AB114" t="s">
        <v>27</v>
      </c>
      <c r="AC114" t="s">
        <v>27</v>
      </c>
      <c r="AD114" t="s">
        <v>27</v>
      </c>
      <c r="AE114" t="s">
        <v>27</v>
      </c>
      <c r="AF114" t="s">
        <v>27</v>
      </c>
      <c r="AG114">
        <v>26.18</v>
      </c>
    </row>
    <row r="115" spans="1:33" x14ac:dyDescent="0.25">
      <c r="A115" t="s">
        <v>57</v>
      </c>
      <c r="B115" s="3">
        <v>43576</v>
      </c>
      <c r="C115">
        <v>2019111</v>
      </c>
      <c r="D115">
        <v>24.14</v>
      </c>
      <c r="E115" t="s">
        <v>27</v>
      </c>
      <c r="F115">
        <v>3.2</v>
      </c>
      <c r="G115">
        <v>12.8</v>
      </c>
      <c r="H115">
        <v>-7.4</v>
      </c>
      <c r="I115">
        <v>49.4</v>
      </c>
      <c r="J115">
        <v>12.9</v>
      </c>
      <c r="K115">
        <v>0.7</v>
      </c>
      <c r="L115">
        <v>3</v>
      </c>
      <c r="M115">
        <v>0</v>
      </c>
      <c r="N115">
        <v>0.53500000000000014</v>
      </c>
      <c r="O115">
        <v>0</v>
      </c>
      <c r="P115" t="s">
        <v>27</v>
      </c>
      <c r="Q115" t="s">
        <v>27</v>
      </c>
      <c r="R115" t="s">
        <v>27</v>
      </c>
      <c r="S115">
        <v>0</v>
      </c>
      <c r="T115">
        <v>0.2</v>
      </c>
      <c r="U115">
        <v>0.5</v>
      </c>
      <c r="V115" t="s">
        <v>27</v>
      </c>
      <c r="W115">
        <v>0.19</v>
      </c>
      <c r="X115">
        <v>1.2829999999999999</v>
      </c>
      <c r="Y115" t="s">
        <v>27</v>
      </c>
      <c r="Z115" t="s">
        <v>27</v>
      </c>
      <c r="AA115" t="s">
        <v>27</v>
      </c>
      <c r="AB115" t="s">
        <v>27</v>
      </c>
      <c r="AC115" t="s">
        <v>27</v>
      </c>
      <c r="AD115" t="s">
        <v>27</v>
      </c>
      <c r="AE115" t="s">
        <v>27</v>
      </c>
      <c r="AF115" t="s">
        <v>27</v>
      </c>
      <c r="AG115">
        <v>26.41</v>
      </c>
    </row>
    <row r="116" spans="1:33" x14ac:dyDescent="0.25">
      <c r="A116" t="s">
        <v>57</v>
      </c>
      <c r="B116" s="3">
        <v>43577</v>
      </c>
      <c r="C116">
        <v>2019112</v>
      </c>
      <c r="D116">
        <v>7.37</v>
      </c>
      <c r="E116" t="s">
        <v>27</v>
      </c>
      <c r="F116">
        <v>3.8</v>
      </c>
      <c r="G116">
        <v>10.199999999999999</v>
      </c>
      <c r="H116">
        <v>-3.6</v>
      </c>
      <c r="I116">
        <v>66.599999999999994</v>
      </c>
      <c r="J116">
        <v>37.299999999999997</v>
      </c>
      <c r="K116">
        <v>0.5</v>
      </c>
      <c r="L116">
        <v>2.2000000000000002</v>
      </c>
      <c r="M116">
        <v>0</v>
      </c>
      <c r="N116">
        <v>0.51700000000000013</v>
      </c>
      <c r="O116">
        <v>0.1</v>
      </c>
      <c r="P116" t="s">
        <v>27</v>
      </c>
      <c r="Q116" t="s">
        <v>27</v>
      </c>
      <c r="R116" t="s">
        <v>27</v>
      </c>
      <c r="S116">
        <v>0.1</v>
      </c>
      <c r="T116">
        <v>0.3</v>
      </c>
      <c r="U116">
        <v>0.5</v>
      </c>
      <c r="V116" t="s">
        <v>27</v>
      </c>
      <c r="W116">
        <v>0.46400000000000002</v>
      </c>
      <c r="X116">
        <v>0.78</v>
      </c>
      <c r="Y116" t="s">
        <v>27</v>
      </c>
      <c r="Z116" t="s">
        <v>27</v>
      </c>
      <c r="AA116" t="s">
        <v>27</v>
      </c>
      <c r="AB116" t="s">
        <v>27</v>
      </c>
      <c r="AC116" t="s">
        <v>27</v>
      </c>
      <c r="AD116" t="s">
        <v>27</v>
      </c>
      <c r="AE116" t="s">
        <v>27</v>
      </c>
      <c r="AF116" t="s">
        <v>27</v>
      </c>
      <c r="AG116">
        <v>26.63</v>
      </c>
    </row>
    <row r="117" spans="1:33" x14ac:dyDescent="0.25">
      <c r="A117" t="s">
        <v>57</v>
      </c>
      <c r="B117" s="3">
        <v>43578</v>
      </c>
      <c r="C117">
        <v>2019113</v>
      </c>
      <c r="D117">
        <v>16.2</v>
      </c>
      <c r="E117" t="s">
        <v>27</v>
      </c>
      <c r="F117">
        <v>4.2</v>
      </c>
      <c r="G117">
        <v>9.4</v>
      </c>
      <c r="H117">
        <v>-2.2999999999999998</v>
      </c>
      <c r="I117">
        <v>68.5</v>
      </c>
      <c r="J117">
        <v>36.4</v>
      </c>
      <c r="K117">
        <v>1.3</v>
      </c>
      <c r="L117">
        <v>3.8</v>
      </c>
      <c r="M117">
        <v>0</v>
      </c>
      <c r="N117">
        <v>0.49399999999999999</v>
      </c>
      <c r="O117">
        <v>0.1</v>
      </c>
      <c r="P117" t="s">
        <v>27</v>
      </c>
      <c r="Q117" t="s">
        <v>27</v>
      </c>
      <c r="R117" t="s">
        <v>27</v>
      </c>
      <c r="S117">
        <v>0.1</v>
      </c>
      <c r="T117">
        <v>0.3</v>
      </c>
      <c r="U117">
        <v>0.5</v>
      </c>
      <c r="V117" t="s">
        <v>27</v>
      </c>
      <c r="W117">
        <v>0.43</v>
      </c>
      <c r="X117">
        <v>0.751</v>
      </c>
      <c r="Y117" t="s">
        <v>27</v>
      </c>
      <c r="Z117" t="s">
        <v>27</v>
      </c>
      <c r="AA117" t="s">
        <v>27</v>
      </c>
      <c r="AB117" t="s">
        <v>27</v>
      </c>
      <c r="AC117" t="s">
        <v>27</v>
      </c>
      <c r="AD117" t="s">
        <v>27</v>
      </c>
      <c r="AE117" t="s">
        <v>27</v>
      </c>
      <c r="AF117" t="s">
        <v>27</v>
      </c>
      <c r="AG117">
        <v>26.85</v>
      </c>
    </row>
    <row r="118" spans="1:33" x14ac:dyDescent="0.25">
      <c r="A118" t="s">
        <v>57</v>
      </c>
      <c r="B118" s="3">
        <v>43579</v>
      </c>
      <c r="C118">
        <v>2019114</v>
      </c>
      <c r="D118">
        <v>19.73</v>
      </c>
      <c r="E118" t="s">
        <v>27</v>
      </c>
      <c r="F118">
        <v>1.1000000000000001</v>
      </c>
      <c r="G118">
        <v>8.1</v>
      </c>
      <c r="H118">
        <v>-4.3</v>
      </c>
      <c r="I118">
        <v>62.2</v>
      </c>
      <c r="J118">
        <v>29.8</v>
      </c>
      <c r="K118">
        <v>0.8</v>
      </c>
      <c r="L118">
        <v>3.1</v>
      </c>
      <c r="M118">
        <v>0</v>
      </c>
      <c r="N118">
        <v>0.4780000000000002</v>
      </c>
      <c r="O118">
        <v>0.1</v>
      </c>
      <c r="P118" t="s">
        <v>27</v>
      </c>
      <c r="Q118" t="s">
        <v>27</v>
      </c>
      <c r="R118" t="s">
        <v>27</v>
      </c>
      <c r="S118">
        <v>0</v>
      </c>
      <c r="T118">
        <v>0.2</v>
      </c>
      <c r="U118">
        <v>0.5</v>
      </c>
      <c r="V118" t="s">
        <v>27</v>
      </c>
      <c r="W118">
        <v>0.32200000000000001</v>
      </c>
      <c r="X118">
        <v>0.75900000000000001</v>
      </c>
      <c r="Y118" t="s">
        <v>27</v>
      </c>
      <c r="Z118" t="s">
        <v>27</v>
      </c>
      <c r="AA118" t="s">
        <v>27</v>
      </c>
      <c r="AB118" t="s">
        <v>27</v>
      </c>
      <c r="AC118" t="s">
        <v>27</v>
      </c>
      <c r="AD118" t="s">
        <v>27</v>
      </c>
      <c r="AE118" t="s">
        <v>27</v>
      </c>
      <c r="AF118" t="s">
        <v>27</v>
      </c>
      <c r="AG118">
        <v>27.07</v>
      </c>
    </row>
    <row r="119" spans="1:33" x14ac:dyDescent="0.25">
      <c r="A119" t="s">
        <v>57</v>
      </c>
      <c r="B119" s="3">
        <v>43580</v>
      </c>
      <c r="C119">
        <v>2019115</v>
      </c>
      <c r="D119">
        <v>21.1</v>
      </c>
      <c r="E119" t="s">
        <v>27</v>
      </c>
      <c r="F119">
        <v>2.9</v>
      </c>
      <c r="G119">
        <v>11.5</v>
      </c>
      <c r="H119">
        <v>-6.9</v>
      </c>
      <c r="I119">
        <v>53.5</v>
      </c>
      <c r="J119">
        <v>18.600000000000001</v>
      </c>
      <c r="K119">
        <v>0.5</v>
      </c>
      <c r="L119">
        <v>2.2999999999999998</v>
      </c>
      <c r="M119">
        <v>0</v>
      </c>
      <c r="N119">
        <v>0.45400000000000018</v>
      </c>
      <c r="O119">
        <v>0.1</v>
      </c>
      <c r="P119" t="s">
        <v>27</v>
      </c>
      <c r="Q119" t="s">
        <v>27</v>
      </c>
      <c r="R119" t="s">
        <v>27</v>
      </c>
      <c r="S119">
        <v>0</v>
      </c>
      <c r="T119">
        <v>0.2</v>
      </c>
      <c r="U119">
        <v>0.5</v>
      </c>
      <c r="V119" t="s">
        <v>27</v>
      </c>
      <c r="W119">
        <v>0.253</v>
      </c>
      <c r="X119">
        <v>1.107</v>
      </c>
      <c r="Y119" t="s">
        <v>27</v>
      </c>
      <c r="Z119" t="s">
        <v>27</v>
      </c>
      <c r="AA119" t="s">
        <v>27</v>
      </c>
      <c r="AB119" t="s">
        <v>27</v>
      </c>
      <c r="AC119" t="s">
        <v>27</v>
      </c>
      <c r="AD119" t="s">
        <v>27</v>
      </c>
      <c r="AE119" t="s">
        <v>27</v>
      </c>
      <c r="AF119" t="s">
        <v>27</v>
      </c>
      <c r="AG119">
        <v>27.29</v>
      </c>
    </row>
    <row r="120" spans="1:33" x14ac:dyDescent="0.25">
      <c r="A120" t="s">
        <v>57</v>
      </c>
      <c r="B120" s="3">
        <v>43581</v>
      </c>
      <c r="C120">
        <v>2019116</v>
      </c>
      <c r="D120">
        <v>20.36</v>
      </c>
      <c r="E120" t="s">
        <v>27</v>
      </c>
      <c r="F120">
        <v>3.7</v>
      </c>
      <c r="G120">
        <v>9.6</v>
      </c>
      <c r="H120">
        <v>-2.5</v>
      </c>
      <c r="I120">
        <v>51.3</v>
      </c>
      <c r="J120">
        <v>19</v>
      </c>
      <c r="K120">
        <v>1.3</v>
      </c>
      <c r="L120">
        <v>4.4000000000000004</v>
      </c>
      <c r="M120">
        <v>0</v>
      </c>
      <c r="N120">
        <v>0.43199999999999994</v>
      </c>
      <c r="O120">
        <v>0.1</v>
      </c>
      <c r="P120" t="s">
        <v>27</v>
      </c>
      <c r="Q120" t="s">
        <v>27</v>
      </c>
      <c r="R120" t="s">
        <v>27</v>
      </c>
      <c r="S120">
        <v>0</v>
      </c>
      <c r="T120">
        <v>0.2</v>
      </c>
      <c r="U120">
        <v>0.5</v>
      </c>
      <c r="V120" t="s">
        <v>27</v>
      </c>
      <c r="W120">
        <v>0.22700000000000001</v>
      </c>
      <c r="X120">
        <v>0.96799999999999997</v>
      </c>
      <c r="Y120" t="s">
        <v>27</v>
      </c>
      <c r="Z120" t="s">
        <v>27</v>
      </c>
      <c r="AA120" t="s">
        <v>27</v>
      </c>
      <c r="AB120" t="s">
        <v>27</v>
      </c>
      <c r="AC120" t="s">
        <v>27</v>
      </c>
      <c r="AD120" t="s">
        <v>27</v>
      </c>
      <c r="AE120" t="s">
        <v>27</v>
      </c>
      <c r="AF120" t="s">
        <v>27</v>
      </c>
      <c r="AG120">
        <v>27.5</v>
      </c>
    </row>
    <row r="121" spans="1:33" x14ac:dyDescent="0.25">
      <c r="A121" t="s">
        <v>57</v>
      </c>
      <c r="B121" s="3">
        <v>43582</v>
      </c>
      <c r="C121">
        <v>2019117</v>
      </c>
      <c r="D121">
        <v>14.21</v>
      </c>
      <c r="E121" t="s">
        <v>27</v>
      </c>
      <c r="F121">
        <v>-2.2000000000000002</v>
      </c>
      <c r="G121">
        <v>0.4</v>
      </c>
      <c r="H121">
        <v>-4.0999999999999996</v>
      </c>
      <c r="I121">
        <v>72.400000000000006</v>
      </c>
      <c r="J121">
        <v>52.3</v>
      </c>
      <c r="K121">
        <v>1.4</v>
      </c>
      <c r="L121">
        <v>4.2</v>
      </c>
      <c r="M121">
        <v>7.3</v>
      </c>
      <c r="N121">
        <v>0.48</v>
      </c>
      <c r="O121">
        <v>0</v>
      </c>
      <c r="P121" t="s">
        <v>27</v>
      </c>
      <c r="Q121" t="s">
        <v>27</v>
      </c>
      <c r="R121" t="s">
        <v>27</v>
      </c>
      <c r="S121">
        <v>0</v>
      </c>
      <c r="T121">
        <v>0.2</v>
      </c>
      <c r="U121">
        <v>0.5</v>
      </c>
      <c r="V121" t="s">
        <v>27</v>
      </c>
      <c r="W121">
        <v>0.32800000000000001</v>
      </c>
      <c r="X121">
        <v>0.29899999999999999</v>
      </c>
      <c r="Y121" t="s">
        <v>27</v>
      </c>
      <c r="Z121" t="s">
        <v>27</v>
      </c>
      <c r="AA121" t="s">
        <v>27</v>
      </c>
      <c r="AB121" t="s">
        <v>27</v>
      </c>
      <c r="AC121" t="s">
        <v>27</v>
      </c>
      <c r="AD121" t="s">
        <v>27</v>
      </c>
      <c r="AE121" t="s">
        <v>27</v>
      </c>
      <c r="AF121" t="s">
        <v>27</v>
      </c>
      <c r="AG121">
        <v>27.71</v>
      </c>
    </row>
    <row r="122" spans="1:33" x14ac:dyDescent="0.25">
      <c r="A122" t="s">
        <v>57</v>
      </c>
      <c r="B122" s="3">
        <v>43583</v>
      </c>
      <c r="C122">
        <v>2019118</v>
      </c>
      <c r="D122">
        <v>21.54</v>
      </c>
      <c r="E122" t="s">
        <v>27</v>
      </c>
      <c r="F122">
        <v>-0.8</v>
      </c>
      <c r="G122">
        <v>5.8</v>
      </c>
      <c r="H122">
        <v>-6</v>
      </c>
      <c r="I122">
        <v>68.5</v>
      </c>
      <c r="J122">
        <v>29.6</v>
      </c>
      <c r="K122">
        <v>0.9</v>
      </c>
      <c r="L122">
        <v>2.6</v>
      </c>
      <c r="M122">
        <v>0</v>
      </c>
      <c r="N122">
        <v>0.41700000000000026</v>
      </c>
      <c r="O122">
        <v>0</v>
      </c>
      <c r="P122" t="s">
        <v>27</v>
      </c>
      <c r="Q122" t="s">
        <v>27</v>
      </c>
      <c r="R122" t="s">
        <v>27</v>
      </c>
      <c r="S122">
        <v>0</v>
      </c>
      <c r="T122">
        <v>0.2</v>
      </c>
      <c r="U122">
        <v>0.5</v>
      </c>
      <c r="V122" t="s">
        <v>27</v>
      </c>
      <c r="W122">
        <v>0.27300000000000002</v>
      </c>
      <c r="X122">
        <v>0.64900000000000002</v>
      </c>
      <c r="Y122" t="s">
        <v>27</v>
      </c>
      <c r="Z122" t="s">
        <v>27</v>
      </c>
      <c r="AA122" t="s">
        <v>27</v>
      </c>
      <c r="AB122" t="s">
        <v>27</v>
      </c>
      <c r="AC122" t="s">
        <v>27</v>
      </c>
      <c r="AD122" t="s">
        <v>27</v>
      </c>
      <c r="AE122" t="s">
        <v>27</v>
      </c>
      <c r="AF122" t="s">
        <v>27</v>
      </c>
      <c r="AG122">
        <v>27.92</v>
      </c>
    </row>
    <row r="123" spans="1:33" x14ac:dyDescent="0.25">
      <c r="A123" t="s">
        <v>57</v>
      </c>
      <c r="B123" s="3">
        <v>43584</v>
      </c>
      <c r="C123">
        <v>2019119</v>
      </c>
      <c r="D123">
        <v>15.48</v>
      </c>
      <c r="E123" t="s">
        <v>27</v>
      </c>
      <c r="F123">
        <v>-1.7</v>
      </c>
      <c r="G123">
        <v>6.2</v>
      </c>
      <c r="H123">
        <v>-8.1999999999999993</v>
      </c>
      <c r="I123">
        <v>65.7</v>
      </c>
      <c r="J123">
        <v>33</v>
      </c>
      <c r="K123">
        <v>0.4</v>
      </c>
      <c r="L123">
        <v>2.2000000000000002</v>
      </c>
      <c r="M123">
        <v>0</v>
      </c>
      <c r="N123">
        <v>0.43100000000000005</v>
      </c>
      <c r="O123">
        <v>0</v>
      </c>
      <c r="P123" t="s">
        <v>27</v>
      </c>
      <c r="Q123" t="s">
        <v>27</v>
      </c>
      <c r="R123" t="s">
        <v>27</v>
      </c>
      <c r="S123">
        <v>0</v>
      </c>
      <c r="T123">
        <v>0.2</v>
      </c>
      <c r="U123">
        <v>0.5</v>
      </c>
      <c r="V123" t="s">
        <v>27</v>
      </c>
      <c r="W123">
        <v>0.313</v>
      </c>
      <c r="X123">
        <v>0.63500000000000001</v>
      </c>
      <c r="Y123" t="s">
        <v>27</v>
      </c>
      <c r="Z123" t="s">
        <v>27</v>
      </c>
      <c r="AA123" t="s">
        <v>27</v>
      </c>
      <c r="AB123" t="s">
        <v>27</v>
      </c>
      <c r="AC123" t="s">
        <v>27</v>
      </c>
      <c r="AD123" t="s">
        <v>27</v>
      </c>
      <c r="AE123" t="s">
        <v>27</v>
      </c>
      <c r="AF123" t="s">
        <v>27</v>
      </c>
      <c r="AG123">
        <v>28.12</v>
      </c>
    </row>
    <row r="124" spans="1:33" x14ac:dyDescent="0.25">
      <c r="A124" t="s">
        <v>57</v>
      </c>
      <c r="B124" s="3">
        <v>43585</v>
      </c>
      <c r="C124">
        <v>2019120</v>
      </c>
      <c r="D124">
        <v>21.96</v>
      </c>
      <c r="E124" t="s">
        <v>27</v>
      </c>
      <c r="F124">
        <v>0.2</v>
      </c>
      <c r="G124">
        <v>6.8</v>
      </c>
      <c r="H124">
        <v>-9.1</v>
      </c>
      <c r="I124">
        <v>53.3</v>
      </c>
      <c r="J124">
        <v>24.5</v>
      </c>
      <c r="K124">
        <v>0.2</v>
      </c>
      <c r="L124">
        <v>3.1</v>
      </c>
      <c r="M124">
        <v>0</v>
      </c>
      <c r="N124">
        <v>0.41100000000000003</v>
      </c>
      <c r="O124">
        <v>0</v>
      </c>
      <c r="P124" t="s">
        <v>27</v>
      </c>
      <c r="Q124" t="s">
        <v>27</v>
      </c>
      <c r="R124" t="s">
        <v>27</v>
      </c>
      <c r="S124">
        <v>0</v>
      </c>
      <c r="T124">
        <v>0.2</v>
      </c>
      <c r="U124">
        <v>0.5</v>
      </c>
      <c r="V124" t="s">
        <v>27</v>
      </c>
      <c r="W124">
        <v>0.24199999999999999</v>
      </c>
      <c r="X124">
        <v>0.746</v>
      </c>
      <c r="Y124" t="s">
        <v>27</v>
      </c>
      <c r="Z124" t="s">
        <v>27</v>
      </c>
      <c r="AA124" t="s">
        <v>27</v>
      </c>
      <c r="AB124" t="s">
        <v>27</v>
      </c>
      <c r="AC124" t="s">
        <v>27</v>
      </c>
      <c r="AD124" t="s">
        <v>27</v>
      </c>
      <c r="AE124" t="s">
        <v>27</v>
      </c>
      <c r="AF124" t="s">
        <v>27</v>
      </c>
      <c r="AG124">
        <v>28.32</v>
      </c>
    </row>
    <row r="125" spans="1:33" x14ac:dyDescent="0.25">
      <c r="A125" t="s">
        <v>57</v>
      </c>
      <c r="B125" s="3">
        <v>43586</v>
      </c>
      <c r="C125">
        <v>2019121</v>
      </c>
      <c r="D125">
        <v>17.48</v>
      </c>
      <c r="E125" t="s">
        <v>27</v>
      </c>
      <c r="F125">
        <v>2.4</v>
      </c>
      <c r="G125">
        <v>7.8</v>
      </c>
      <c r="H125">
        <v>-2</v>
      </c>
      <c r="I125">
        <v>51</v>
      </c>
      <c r="J125">
        <v>35.700000000000003</v>
      </c>
      <c r="K125">
        <v>0.1</v>
      </c>
      <c r="L125">
        <v>2.2999999999999998</v>
      </c>
      <c r="M125">
        <v>0</v>
      </c>
      <c r="N125">
        <v>0.39900000000000002</v>
      </c>
      <c r="O125">
        <v>0.1</v>
      </c>
      <c r="P125" t="s">
        <v>27</v>
      </c>
      <c r="Q125" t="s">
        <v>27</v>
      </c>
      <c r="R125" t="s">
        <v>27</v>
      </c>
      <c r="S125">
        <v>0</v>
      </c>
      <c r="T125">
        <v>0.3</v>
      </c>
      <c r="U125">
        <v>0.5</v>
      </c>
      <c r="V125" t="s">
        <v>27</v>
      </c>
      <c r="W125">
        <v>0.378</v>
      </c>
      <c r="X125">
        <v>0.68100000000000005</v>
      </c>
      <c r="Y125" t="s">
        <v>27</v>
      </c>
      <c r="Z125" t="s">
        <v>27</v>
      </c>
      <c r="AA125" t="s">
        <v>27</v>
      </c>
      <c r="AB125" t="s">
        <v>27</v>
      </c>
      <c r="AC125" t="s">
        <v>27</v>
      </c>
      <c r="AD125" t="s">
        <v>27</v>
      </c>
      <c r="AE125" t="s">
        <v>27</v>
      </c>
      <c r="AF125" t="s">
        <v>27</v>
      </c>
      <c r="AG125">
        <v>28.52</v>
      </c>
    </row>
    <row r="126" spans="1:33" x14ac:dyDescent="0.25">
      <c r="A126" t="s">
        <v>57</v>
      </c>
      <c r="B126" s="3">
        <v>43587</v>
      </c>
      <c r="C126">
        <v>2019122</v>
      </c>
      <c r="D126">
        <v>15.54</v>
      </c>
      <c r="E126" t="s">
        <v>27</v>
      </c>
      <c r="F126">
        <v>2.6</v>
      </c>
      <c r="G126">
        <v>9.3000000000000007</v>
      </c>
      <c r="H126">
        <v>-2.7</v>
      </c>
      <c r="I126">
        <v>65.3</v>
      </c>
      <c r="J126">
        <v>41.9</v>
      </c>
      <c r="K126">
        <v>0</v>
      </c>
      <c r="L126">
        <v>1.1000000000000001</v>
      </c>
      <c r="M126">
        <v>0</v>
      </c>
      <c r="N126">
        <v>0.38700000000000001</v>
      </c>
      <c r="O126">
        <v>0.1</v>
      </c>
      <c r="P126" t="s">
        <v>27</v>
      </c>
      <c r="Q126" t="s">
        <v>27</v>
      </c>
      <c r="R126" t="s">
        <v>27</v>
      </c>
      <c r="S126">
        <v>0.1</v>
      </c>
      <c r="T126">
        <v>0.3</v>
      </c>
      <c r="U126">
        <v>0.5</v>
      </c>
      <c r="V126" t="s">
        <v>27</v>
      </c>
      <c r="W126">
        <v>0.49</v>
      </c>
      <c r="X126">
        <v>0.67900000000000005</v>
      </c>
      <c r="Y126" t="s">
        <v>27</v>
      </c>
      <c r="Z126" t="s">
        <v>27</v>
      </c>
      <c r="AA126" t="s">
        <v>27</v>
      </c>
      <c r="AB126" t="s">
        <v>27</v>
      </c>
      <c r="AC126" t="s">
        <v>27</v>
      </c>
      <c r="AD126" t="s">
        <v>27</v>
      </c>
      <c r="AE126" t="s">
        <v>27</v>
      </c>
      <c r="AF126" t="s">
        <v>27</v>
      </c>
      <c r="AG126">
        <v>28.7</v>
      </c>
    </row>
    <row r="127" spans="1:33" x14ac:dyDescent="0.25">
      <c r="A127" t="s">
        <v>57</v>
      </c>
      <c r="B127" s="3">
        <v>43588</v>
      </c>
      <c r="C127">
        <v>2019123</v>
      </c>
      <c r="D127">
        <v>25.04</v>
      </c>
      <c r="E127" t="s">
        <v>27</v>
      </c>
      <c r="F127">
        <v>4.9000000000000004</v>
      </c>
      <c r="G127">
        <v>13.6</v>
      </c>
      <c r="H127">
        <v>-3.2</v>
      </c>
      <c r="I127">
        <v>62.7</v>
      </c>
      <c r="J127">
        <v>29.1</v>
      </c>
      <c r="K127">
        <v>0.3</v>
      </c>
      <c r="L127">
        <v>3</v>
      </c>
      <c r="M127">
        <v>0</v>
      </c>
      <c r="N127">
        <v>0.34400000000000031</v>
      </c>
      <c r="O127">
        <v>0.1</v>
      </c>
      <c r="P127" t="s">
        <v>27</v>
      </c>
      <c r="Q127" t="s">
        <v>27</v>
      </c>
      <c r="R127" t="s">
        <v>27</v>
      </c>
      <c r="S127">
        <v>0</v>
      </c>
      <c r="T127">
        <v>0.3</v>
      </c>
      <c r="U127">
        <v>0.5</v>
      </c>
      <c r="V127" t="s">
        <v>27</v>
      </c>
      <c r="W127">
        <v>0.45300000000000001</v>
      </c>
      <c r="X127">
        <v>1.1040000000000001</v>
      </c>
      <c r="Y127" t="s">
        <v>27</v>
      </c>
      <c r="Z127" t="s">
        <v>27</v>
      </c>
      <c r="AA127" t="s">
        <v>27</v>
      </c>
      <c r="AB127" t="s">
        <v>27</v>
      </c>
      <c r="AC127" t="s">
        <v>27</v>
      </c>
      <c r="AD127" t="s">
        <v>27</v>
      </c>
      <c r="AE127" t="s">
        <v>27</v>
      </c>
      <c r="AF127" t="s">
        <v>27</v>
      </c>
      <c r="AG127">
        <v>28.89</v>
      </c>
    </row>
    <row r="128" spans="1:33" x14ac:dyDescent="0.25">
      <c r="A128" t="s">
        <v>57</v>
      </c>
      <c r="B128" s="3">
        <v>43589</v>
      </c>
      <c r="C128">
        <v>2019124</v>
      </c>
      <c r="D128">
        <v>17.53</v>
      </c>
      <c r="E128" t="s">
        <v>27</v>
      </c>
      <c r="F128">
        <v>6.2</v>
      </c>
      <c r="G128">
        <v>13.6</v>
      </c>
      <c r="H128">
        <v>-2.2999999999999998</v>
      </c>
      <c r="I128">
        <v>66.2</v>
      </c>
      <c r="J128">
        <v>38.1</v>
      </c>
      <c r="K128">
        <v>0.6</v>
      </c>
      <c r="L128">
        <v>2.7</v>
      </c>
      <c r="M128">
        <v>0</v>
      </c>
      <c r="N128">
        <v>0.31099999999999994</v>
      </c>
      <c r="O128">
        <v>0.1</v>
      </c>
      <c r="P128" t="s">
        <v>27</v>
      </c>
      <c r="Q128" t="s">
        <v>27</v>
      </c>
      <c r="R128" t="s">
        <v>27</v>
      </c>
      <c r="S128">
        <v>0</v>
      </c>
      <c r="T128">
        <v>0.3</v>
      </c>
      <c r="U128">
        <v>0.5</v>
      </c>
      <c r="V128" t="s">
        <v>27</v>
      </c>
      <c r="W128">
        <v>0.59299999999999997</v>
      </c>
      <c r="X128">
        <v>0.96299999999999997</v>
      </c>
      <c r="Y128" t="s">
        <v>27</v>
      </c>
      <c r="Z128" t="s">
        <v>27</v>
      </c>
      <c r="AA128" t="s">
        <v>27</v>
      </c>
      <c r="AB128" t="s">
        <v>27</v>
      </c>
      <c r="AC128" t="s">
        <v>27</v>
      </c>
      <c r="AD128" t="s">
        <v>27</v>
      </c>
      <c r="AE128" t="s">
        <v>27</v>
      </c>
      <c r="AF128" t="s">
        <v>27</v>
      </c>
      <c r="AG128">
        <v>29.07</v>
      </c>
    </row>
    <row r="129" spans="1:33" x14ac:dyDescent="0.25">
      <c r="A129" t="s">
        <v>57</v>
      </c>
      <c r="B129" s="3">
        <v>43590</v>
      </c>
      <c r="C129">
        <v>2019125</v>
      </c>
      <c r="D129">
        <v>23.78</v>
      </c>
      <c r="E129" t="s">
        <v>27</v>
      </c>
      <c r="F129">
        <v>4.9000000000000004</v>
      </c>
      <c r="G129">
        <v>13.1</v>
      </c>
      <c r="H129">
        <v>-2.9</v>
      </c>
      <c r="I129">
        <v>59.6</v>
      </c>
      <c r="J129">
        <v>27.5</v>
      </c>
      <c r="K129">
        <v>0.6</v>
      </c>
      <c r="L129">
        <v>2.2000000000000002</v>
      </c>
      <c r="M129">
        <v>0</v>
      </c>
      <c r="N129">
        <v>0.25600000000000023</v>
      </c>
      <c r="O129">
        <v>0.1</v>
      </c>
      <c r="P129" t="s">
        <v>27</v>
      </c>
      <c r="Q129" t="s">
        <v>27</v>
      </c>
      <c r="R129" t="s">
        <v>27</v>
      </c>
      <c r="S129">
        <v>0</v>
      </c>
      <c r="T129">
        <v>0.2</v>
      </c>
      <c r="U129">
        <v>0.5</v>
      </c>
      <c r="V129" t="s">
        <v>27</v>
      </c>
      <c r="W129">
        <v>0.41399999999999998</v>
      </c>
      <c r="X129">
        <v>1.091</v>
      </c>
      <c r="Y129" t="s">
        <v>27</v>
      </c>
      <c r="Z129" t="s">
        <v>27</v>
      </c>
      <c r="AA129" t="s">
        <v>27</v>
      </c>
      <c r="AB129" t="s">
        <v>27</v>
      </c>
      <c r="AC129" t="s">
        <v>27</v>
      </c>
      <c r="AD129" t="s">
        <v>27</v>
      </c>
      <c r="AE129" t="s">
        <v>27</v>
      </c>
      <c r="AF129" t="s">
        <v>27</v>
      </c>
      <c r="AG129">
        <v>29.25</v>
      </c>
    </row>
    <row r="130" spans="1:33" x14ac:dyDescent="0.25">
      <c r="A130" t="s">
        <v>57</v>
      </c>
      <c r="B130" s="3">
        <v>43591</v>
      </c>
      <c r="C130">
        <v>2019126</v>
      </c>
      <c r="D130">
        <v>24.74</v>
      </c>
      <c r="E130" t="s">
        <v>27</v>
      </c>
      <c r="F130">
        <v>7.1</v>
      </c>
      <c r="G130">
        <v>15</v>
      </c>
      <c r="H130">
        <v>-2.4</v>
      </c>
      <c r="I130">
        <v>55.7</v>
      </c>
      <c r="J130">
        <v>27</v>
      </c>
      <c r="K130">
        <v>0.7</v>
      </c>
      <c r="L130">
        <v>2.6</v>
      </c>
      <c r="M130">
        <v>0</v>
      </c>
      <c r="N130">
        <v>0.22500000000000009</v>
      </c>
      <c r="O130">
        <v>0.1</v>
      </c>
      <c r="P130" t="s">
        <v>27</v>
      </c>
      <c r="Q130" t="s">
        <v>27</v>
      </c>
      <c r="R130" t="s">
        <v>27</v>
      </c>
      <c r="S130">
        <v>0</v>
      </c>
      <c r="T130">
        <v>0.2</v>
      </c>
      <c r="U130">
        <v>0.5</v>
      </c>
      <c r="V130" t="s">
        <v>27</v>
      </c>
      <c r="W130">
        <v>0.46100000000000002</v>
      </c>
      <c r="X130">
        <v>1.246</v>
      </c>
      <c r="Y130" t="s">
        <v>27</v>
      </c>
      <c r="Z130" t="s">
        <v>27</v>
      </c>
      <c r="AA130" t="s">
        <v>27</v>
      </c>
      <c r="AB130" t="s">
        <v>27</v>
      </c>
      <c r="AC130" t="s">
        <v>27</v>
      </c>
      <c r="AD130" t="s">
        <v>27</v>
      </c>
      <c r="AE130" t="s">
        <v>27</v>
      </c>
      <c r="AF130" t="s">
        <v>27</v>
      </c>
      <c r="AG130">
        <v>29.43</v>
      </c>
    </row>
    <row r="131" spans="1:33" x14ac:dyDescent="0.25">
      <c r="A131" t="s">
        <v>57</v>
      </c>
      <c r="B131" s="3">
        <v>43592</v>
      </c>
      <c r="C131">
        <v>2019127</v>
      </c>
      <c r="D131">
        <v>27.39</v>
      </c>
      <c r="E131" t="s">
        <v>27</v>
      </c>
      <c r="F131">
        <v>6.5</v>
      </c>
      <c r="G131">
        <v>14.2</v>
      </c>
      <c r="H131">
        <v>-2.1</v>
      </c>
      <c r="I131">
        <v>60.7</v>
      </c>
      <c r="J131">
        <v>32.200000000000003</v>
      </c>
      <c r="K131">
        <v>0.7</v>
      </c>
      <c r="L131">
        <v>3.4</v>
      </c>
      <c r="M131">
        <v>0</v>
      </c>
      <c r="N131">
        <v>0.16400000000000015</v>
      </c>
      <c r="O131">
        <v>0</v>
      </c>
      <c r="P131" t="s">
        <v>27</v>
      </c>
      <c r="Q131" t="s">
        <v>27</v>
      </c>
      <c r="R131" t="s">
        <v>27</v>
      </c>
      <c r="S131">
        <v>0</v>
      </c>
      <c r="T131">
        <v>0.2</v>
      </c>
      <c r="U131">
        <v>0.4</v>
      </c>
      <c r="V131" t="s">
        <v>27</v>
      </c>
      <c r="W131">
        <v>0.52</v>
      </c>
      <c r="X131">
        <v>1.095</v>
      </c>
      <c r="Y131" t="s">
        <v>27</v>
      </c>
      <c r="Z131" t="s">
        <v>27</v>
      </c>
      <c r="AA131" t="s">
        <v>27</v>
      </c>
      <c r="AB131" t="s">
        <v>27</v>
      </c>
      <c r="AC131" t="s">
        <v>27</v>
      </c>
      <c r="AD131" t="s">
        <v>27</v>
      </c>
      <c r="AE131" t="s">
        <v>27</v>
      </c>
      <c r="AF131" t="s">
        <v>27</v>
      </c>
      <c r="AG131">
        <v>29.61</v>
      </c>
    </row>
    <row r="132" spans="1:33" x14ac:dyDescent="0.25">
      <c r="A132" t="s">
        <v>57</v>
      </c>
      <c r="B132" s="3">
        <v>43593</v>
      </c>
      <c r="C132">
        <v>2019128</v>
      </c>
      <c r="D132">
        <v>21.26</v>
      </c>
      <c r="E132" t="s">
        <v>27</v>
      </c>
      <c r="F132">
        <v>6.7</v>
      </c>
      <c r="G132">
        <v>14.8</v>
      </c>
      <c r="H132">
        <v>-1.4</v>
      </c>
      <c r="I132">
        <v>64.099999999999994</v>
      </c>
      <c r="J132">
        <v>34.700000000000003</v>
      </c>
      <c r="K132">
        <v>0.6</v>
      </c>
      <c r="L132">
        <v>2.5</v>
      </c>
      <c r="M132">
        <v>0</v>
      </c>
      <c r="N132">
        <v>9.6999999999999975E-2</v>
      </c>
      <c r="O132">
        <v>0</v>
      </c>
      <c r="P132" t="s">
        <v>27</v>
      </c>
      <c r="Q132" t="s">
        <v>27</v>
      </c>
      <c r="R132" t="s">
        <v>27</v>
      </c>
      <c r="S132">
        <v>0</v>
      </c>
      <c r="T132">
        <v>0.2</v>
      </c>
      <c r="U132">
        <v>0.4</v>
      </c>
      <c r="V132" t="s">
        <v>27</v>
      </c>
      <c r="W132">
        <v>0.58299999999999996</v>
      </c>
      <c r="X132">
        <v>1.097</v>
      </c>
      <c r="Y132" t="s">
        <v>27</v>
      </c>
      <c r="Z132" t="s">
        <v>27</v>
      </c>
      <c r="AA132" t="s">
        <v>27</v>
      </c>
      <c r="AB132" t="s">
        <v>27</v>
      </c>
      <c r="AC132" t="s">
        <v>27</v>
      </c>
      <c r="AD132" t="s">
        <v>27</v>
      </c>
      <c r="AE132" t="s">
        <v>27</v>
      </c>
      <c r="AF132" t="s">
        <v>27</v>
      </c>
      <c r="AG132">
        <v>29.77</v>
      </c>
    </row>
    <row r="133" spans="1:33" x14ac:dyDescent="0.25">
      <c r="A133" t="s">
        <v>57</v>
      </c>
      <c r="B133" s="3">
        <v>43594</v>
      </c>
      <c r="C133">
        <v>2019129</v>
      </c>
      <c r="D133">
        <v>28.73</v>
      </c>
      <c r="E133" t="s">
        <v>27</v>
      </c>
      <c r="F133">
        <v>8.1</v>
      </c>
      <c r="G133">
        <v>17.899999999999999</v>
      </c>
      <c r="H133">
        <v>-2.4</v>
      </c>
      <c r="I133">
        <v>54.2</v>
      </c>
      <c r="J133">
        <v>21.7</v>
      </c>
      <c r="K133">
        <v>0.5</v>
      </c>
      <c r="L133">
        <v>2.6</v>
      </c>
      <c r="M133">
        <v>0</v>
      </c>
      <c r="N133">
        <v>1.8000000000000238E-2</v>
      </c>
      <c r="O133">
        <v>0</v>
      </c>
      <c r="P133" t="s">
        <v>27</v>
      </c>
      <c r="Q133" t="s">
        <v>27</v>
      </c>
      <c r="R133" t="s">
        <v>27</v>
      </c>
      <c r="S133">
        <v>0</v>
      </c>
      <c r="T133">
        <v>0.2</v>
      </c>
      <c r="U133">
        <v>0.4</v>
      </c>
      <c r="V133" t="s">
        <v>27</v>
      </c>
      <c r="W133">
        <v>0.44400000000000001</v>
      </c>
      <c r="X133">
        <v>1.6020000000000001</v>
      </c>
      <c r="Y133" t="s">
        <v>27</v>
      </c>
      <c r="Z133" t="s">
        <v>27</v>
      </c>
      <c r="AA133" t="s">
        <v>27</v>
      </c>
      <c r="AB133" t="s">
        <v>27</v>
      </c>
      <c r="AC133" t="s">
        <v>27</v>
      </c>
      <c r="AD133" t="s">
        <v>27</v>
      </c>
      <c r="AE133" t="s">
        <v>27</v>
      </c>
      <c r="AF133" t="s">
        <v>27</v>
      </c>
      <c r="AG133">
        <v>29.94</v>
      </c>
    </row>
    <row r="134" spans="1:33" x14ac:dyDescent="0.25">
      <c r="A134" t="s">
        <v>57</v>
      </c>
      <c r="B134" s="3">
        <v>43595</v>
      </c>
      <c r="C134">
        <v>2019130</v>
      </c>
      <c r="D134">
        <v>25.52</v>
      </c>
      <c r="E134" t="s">
        <v>27</v>
      </c>
      <c r="F134">
        <v>10.199999999999999</v>
      </c>
      <c r="G134">
        <v>20</v>
      </c>
      <c r="H134">
        <v>-0.9</v>
      </c>
      <c r="I134">
        <v>59.1</v>
      </c>
      <c r="J134">
        <v>30.9</v>
      </c>
      <c r="K134">
        <v>0.2</v>
      </c>
      <c r="L134">
        <v>2.2000000000000002</v>
      </c>
      <c r="M134">
        <v>0</v>
      </c>
      <c r="N134">
        <v>0</v>
      </c>
      <c r="O134" t="s">
        <v>27</v>
      </c>
      <c r="P134" t="s">
        <v>27</v>
      </c>
      <c r="Q134" t="s">
        <v>27</v>
      </c>
      <c r="R134" t="s">
        <v>27</v>
      </c>
      <c r="S134">
        <v>0.5</v>
      </c>
      <c r="T134">
        <v>0.6</v>
      </c>
      <c r="U134">
        <v>0.5</v>
      </c>
      <c r="V134" t="s">
        <v>27</v>
      </c>
      <c r="W134">
        <v>0.72299999999999998</v>
      </c>
      <c r="X134">
        <v>1.617</v>
      </c>
      <c r="Y134" t="s">
        <v>27</v>
      </c>
      <c r="Z134" t="s">
        <v>27</v>
      </c>
      <c r="AA134" t="s">
        <v>27</v>
      </c>
      <c r="AB134" t="s">
        <v>27</v>
      </c>
      <c r="AC134" t="s">
        <v>27</v>
      </c>
      <c r="AD134" t="s">
        <v>27</v>
      </c>
      <c r="AE134" t="s">
        <v>27</v>
      </c>
      <c r="AF134" t="s">
        <v>27</v>
      </c>
      <c r="AG134">
        <v>30.1</v>
      </c>
    </row>
    <row r="135" spans="1:33" x14ac:dyDescent="0.25">
      <c r="A135" t="s">
        <v>57</v>
      </c>
      <c r="B135" s="3">
        <v>43596</v>
      </c>
      <c r="C135">
        <v>2019131</v>
      </c>
      <c r="D135">
        <v>23.58</v>
      </c>
      <c r="E135" t="s">
        <v>27</v>
      </c>
      <c r="F135">
        <v>12.6</v>
      </c>
      <c r="G135">
        <v>21.5</v>
      </c>
      <c r="H135">
        <v>0.4</v>
      </c>
      <c r="I135">
        <v>53.4</v>
      </c>
      <c r="J135">
        <v>26.9</v>
      </c>
      <c r="K135">
        <v>0.7</v>
      </c>
      <c r="L135">
        <v>3.2</v>
      </c>
      <c r="M135">
        <v>0</v>
      </c>
      <c r="N135">
        <v>0</v>
      </c>
      <c r="O135" t="s">
        <v>27</v>
      </c>
      <c r="P135" t="s">
        <v>27</v>
      </c>
      <c r="Q135" t="s">
        <v>27</v>
      </c>
      <c r="R135" t="s">
        <v>27</v>
      </c>
      <c r="S135">
        <v>9.4</v>
      </c>
      <c r="T135">
        <v>3.6</v>
      </c>
      <c r="U135">
        <v>1.2</v>
      </c>
      <c r="V135" t="s">
        <v>27</v>
      </c>
      <c r="W135">
        <v>0.69099999999999995</v>
      </c>
      <c r="X135">
        <v>1.8779999999999999</v>
      </c>
      <c r="Y135" t="s">
        <v>27</v>
      </c>
      <c r="Z135" t="s">
        <v>27</v>
      </c>
      <c r="AA135" t="s">
        <v>27</v>
      </c>
      <c r="AB135" t="s">
        <v>27</v>
      </c>
      <c r="AC135" t="s">
        <v>27</v>
      </c>
      <c r="AD135" t="s">
        <v>27</v>
      </c>
      <c r="AE135" t="s">
        <v>27</v>
      </c>
      <c r="AF135" t="s">
        <v>27</v>
      </c>
      <c r="AG135">
        <v>30.26</v>
      </c>
    </row>
    <row r="136" spans="1:33" x14ac:dyDescent="0.25">
      <c r="A136" t="s">
        <v>57</v>
      </c>
      <c r="B136" s="3">
        <v>43597</v>
      </c>
      <c r="C136">
        <v>2019132</v>
      </c>
      <c r="D136">
        <v>28.92</v>
      </c>
      <c r="E136" t="s">
        <v>27</v>
      </c>
      <c r="F136">
        <v>12.3</v>
      </c>
      <c r="G136">
        <v>19.899999999999999</v>
      </c>
      <c r="H136">
        <v>2</v>
      </c>
      <c r="I136">
        <v>39.5</v>
      </c>
      <c r="J136">
        <v>19.2</v>
      </c>
      <c r="K136">
        <v>1.1000000000000001</v>
      </c>
      <c r="L136">
        <v>3.4</v>
      </c>
      <c r="M136">
        <v>0</v>
      </c>
      <c r="N136">
        <v>0</v>
      </c>
      <c r="O136" t="s">
        <v>27</v>
      </c>
      <c r="P136" t="s">
        <v>27</v>
      </c>
      <c r="Q136" t="s">
        <v>27</v>
      </c>
      <c r="R136" t="s">
        <v>27</v>
      </c>
      <c r="S136">
        <v>11.5</v>
      </c>
      <c r="T136">
        <v>6.5</v>
      </c>
      <c r="U136">
        <v>2.5</v>
      </c>
      <c r="V136" t="s">
        <v>27</v>
      </c>
      <c r="W136">
        <v>0.44600000000000001</v>
      </c>
      <c r="X136">
        <v>1.877</v>
      </c>
      <c r="Y136" t="s">
        <v>27</v>
      </c>
      <c r="Z136" t="s">
        <v>27</v>
      </c>
      <c r="AA136" t="s">
        <v>27</v>
      </c>
      <c r="AB136" t="s">
        <v>27</v>
      </c>
      <c r="AC136" t="s">
        <v>27</v>
      </c>
      <c r="AD136" t="s">
        <v>27</v>
      </c>
      <c r="AE136" t="s">
        <v>27</v>
      </c>
      <c r="AF136" t="s">
        <v>27</v>
      </c>
      <c r="AG136">
        <v>30.41</v>
      </c>
    </row>
    <row r="137" spans="1:33" x14ac:dyDescent="0.25">
      <c r="A137" t="s">
        <v>57</v>
      </c>
      <c r="B137" s="3">
        <v>43598</v>
      </c>
      <c r="C137">
        <v>2019133</v>
      </c>
      <c r="D137">
        <v>23.54</v>
      </c>
      <c r="E137" t="s">
        <v>27</v>
      </c>
      <c r="F137">
        <v>10</v>
      </c>
      <c r="G137">
        <v>18.100000000000001</v>
      </c>
      <c r="H137">
        <v>-1.2</v>
      </c>
      <c r="I137">
        <v>46.7</v>
      </c>
      <c r="J137">
        <v>25.3</v>
      </c>
      <c r="K137">
        <v>0.8</v>
      </c>
      <c r="L137">
        <v>3.1</v>
      </c>
      <c r="M137">
        <v>0</v>
      </c>
      <c r="N137">
        <v>0</v>
      </c>
      <c r="O137" t="s">
        <v>27</v>
      </c>
      <c r="P137" t="s">
        <v>27</v>
      </c>
      <c r="Q137" t="s">
        <v>27</v>
      </c>
      <c r="R137" t="s">
        <v>27</v>
      </c>
      <c r="S137">
        <v>11.1</v>
      </c>
      <c r="T137">
        <v>7.3</v>
      </c>
      <c r="U137">
        <v>3.6</v>
      </c>
      <c r="V137" t="s">
        <v>27</v>
      </c>
      <c r="W137">
        <v>0.52400000000000002</v>
      </c>
      <c r="X137">
        <v>1.5469999999999999</v>
      </c>
      <c r="Y137" t="s">
        <v>27</v>
      </c>
      <c r="Z137" t="s">
        <v>27</v>
      </c>
      <c r="AA137" t="s">
        <v>27</v>
      </c>
      <c r="AB137" t="s">
        <v>27</v>
      </c>
      <c r="AC137" t="s">
        <v>27</v>
      </c>
      <c r="AD137" t="s">
        <v>27</v>
      </c>
      <c r="AE137" t="s">
        <v>27</v>
      </c>
      <c r="AF137" t="s">
        <v>27</v>
      </c>
      <c r="AG137">
        <v>30.57</v>
      </c>
    </row>
    <row r="138" spans="1:33" x14ac:dyDescent="0.25">
      <c r="A138" t="s">
        <v>57</v>
      </c>
      <c r="B138" s="3">
        <v>43599</v>
      </c>
      <c r="C138">
        <v>2019134</v>
      </c>
      <c r="D138">
        <v>8.52</v>
      </c>
      <c r="E138" t="s">
        <v>27</v>
      </c>
      <c r="F138">
        <v>5.3</v>
      </c>
      <c r="G138">
        <v>12.1</v>
      </c>
      <c r="H138">
        <v>-1.4</v>
      </c>
      <c r="I138">
        <v>78.900000000000006</v>
      </c>
      <c r="J138">
        <v>41.6</v>
      </c>
      <c r="K138">
        <v>0.7</v>
      </c>
      <c r="L138">
        <v>3.1</v>
      </c>
      <c r="M138">
        <v>9.6999999999999993</v>
      </c>
      <c r="N138">
        <v>0</v>
      </c>
      <c r="O138" t="s">
        <v>27</v>
      </c>
      <c r="P138" t="s">
        <v>27</v>
      </c>
      <c r="Q138" t="s">
        <v>27</v>
      </c>
      <c r="R138" t="s">
        <v>27</v>
      </c>
      <c r="S138">
        <v>6.5</v>
      </c>
      <c r="T138">
        <v>6.3</v>
      </c>
      <c r="U138">
        <v>4.3</v>
      </c>
      <c r="V138" t="s">
        <v>27</v>
      </c>
      <c r="W138">
        <v>0.58599999999999997</v>
      </c>
      <c r="X138">
        <v>0.82299999999999995</v>
      </c>
      <c r="Y138" t="s">
        <v>27</v>
      </c>
      <c r="Z138" t="s">
        <v>27</v>
      </c>
      <c r="AA138" t="s">
        <v>27</v>
      </c>
      <c r="AB138" t="s">
        <v>27</v>
      </c>
      <c r="AC138" t="s">
        <v>27</v>
      </c>
      <c r="AD138" t="s">
        <v>27</v>
      </c>
      <c r="AE138" t="s">
        <v>27</v>
      </c>
      <c r="AF138" t="s">
        <v>27</v>
      </c>
      <c r="AG138">
        <v>30.71</v>
      </c>
    </row>
    <row r="139" spans="1:33" x14ac:dyDescent="0.25">
      <c r="A139" t="s">
        <v>57</v>
      </c>
      <c r="B139" s="3">
        <v>43600</v>
      </c>
      <c r="C139">
        <v>2019135</v>
      </c>
      <c r="D139">
        <v>27.41</v>
      </c>
      <c r="E139" t="s">
        <v>27</v>
      </c>
      <c r="F139">
        <v>7.4</v>
      </c>
      <c r="G139">
        <v>15.1</v>
      </c>
      <c r="H139">
        <v>-1.7</v>
      </c>
      <c r="I139">
        <v>68.2</v>
      </c>
      <c r="J139">
        <v>35.6</v>
      </c>
      <c r="K139">
        <v>0.7</v>
      </c>
      <c r="L139">
        <v>2.7</v>
      </c>
      <c r="M139">
        <v>0</v>
      </c>
      <c r="N139">
        <v>0</v>
      </c>
      <c r="O139" t="s">
        <v>27</v>
      </c>
      <c r="P139" t="s">
        <v>27</v>
      </c>
      <c r="Q139" t="s">
        <v>27</v>
      </c>
      <c r="R139" t="s">
        <v>27</v>
      </c>
      <c r="S139">
        <v>10.4</v>
      </c>
      <c r="T139">
        <v>6.4</v>
      </c>
      <c r="U139">
        <v>4.2</v>
      </c>
      <c r="V139" t="s">
        <v>27</v>
      </c>
      <c r="W139">
        <v>0.61099999999999999</v>
      </c>
      <c r="X139">
        <v>1.105</v>
      </c>
      <c r="Y139" t="s">
        <v>27</v>
      </c>
      <c r="Z139" t="s">
        <v>27</v>
      </c>
      <c r="AA139" t="s">
        <v>27</v>
      </c>
      <c r="AB139" t="s">
        <v>27</v>
      </c>
      <c r="AC139" t="s">
        <v>27</v>
      </c>
      <c r="AD139" t="s">
        <v>27</v>
      </c>
      <c r="AE139" t="s">
        <v>27</v>
      </c>
      <c r="AF139" t="s">
        <v>27</v>
      </c>
      <c r="AG139">
        <v>30.86</v>
      </c>
    </row>
    <row r="140" spans="1:33" x14ac:dyDescent="0.25">
      <c r="A140" t="s">
        <v>57</v>
      </c>
      <c r="B140" s="3">
        <v>43601</v>
      </c>
      <c r="C140">
        <v>2019136</v>
      </c>
      <c r="D140">
        <v>11.19</v>
      </c>
      <c r="E140" t="s">
        <v>27</v>
      </c>
      <c r="F140">
        <v>8</v>
      </c>
      <c r="G140">
        <v>12.2</v>
      </c>
      <c r="H140">
        <v>5.5</v>
      </c>
      <c r="I140">
        <v>90.5</v>
      </c>
      <c r="J140">
        <v>69</v>
      </c>
      <c r="K140">
        <v>0.6</v>
      </c>
      <c r="L140">
        <v>2.5</v>
      </c>
      <c r="M140">
        <v>5.0999999999999996</v>
      </c>
      <c r="N140">
        <v>0</v>
      </c>
      <c r="O140" t="s">
        <v>27</v>
      </c>
      <c r="P140" t="s">
        <v>27</v>
      </c>
      <c r="Q140" t="s">
        <v>27</v>
      </c>
      <c r="R140" t="s">
        <v>27</v>
      </c>
      <c r="S140">
        <v>10.6</v>
      </c>
      <c r="T140">
        <v>7.6</v>
      </c>
      <c r="U140">
        <v>4.7</v>
      </c>
      <c r="V140" t="s">
        <v>27</v>
      </c>
      <c r="W140">
        <v>0.97899999999999998</v>
      </c>
      <c r="X140">
        <v>0.44</v>
      </c>
      <c r="Y140" t="s">
        <v>27</v>
      </c>
      <c r="Z140" t="s">
        <v>27</v>
      </c>
      <c r="AA140" t="s">
        <v>27</v>
      </c>
      <c r="AB140" t="s">
        <v>27</v>
      </c>
      <c r="AC140" t="s">
        <v>27</v>
      </c>
      <c r="AD140" t="s">
        <v>27</v>
      </c>
      <c r="AE140" t="s">
        <v>27</v>
      </c>
      <c r="AF140" t="s">
        <v>27</v>
      </c>
      <c r="AG140">
        <v>31</v>
      </c>
    </row>
    <row r="141" spans="1:33" x14ac:dyDescent="0.25">
      <c r="A141" t="s">
        <v>57</v>
      </c>
      <c r="B141" s="3">
        <v>43602</v>
      </c>
      <c r="C141">
        <v>2019137</v>
      </c>
      <c r="D141">
        <v>10.86</v>
      </c>
      <c r="E141" t="s">
        <v>27</v>
      </c>
      <c r="F141">
        <v>5.3</v>
      </c>
      <c r="G141">
        <v>7.6</v>
      </c>
      <c r="H141">
        <v>0.5</v>
      </c>
      <c r="I141">
        <v>85.7</v>
      </c>
      <c r="J141">
        <v>68.400000000000006</v>
      </c>
      <c r="K141">
        <v>1</v>
      </c>
      <c r="L141">
        <v>3.2</v>
      </c>
      <c r="M141">
        <v>4.8</v>
      </c>
      <c r="N141">
        <v>0</v>
      </c>
      <c r="O141" t="s">
        <v>27</v>
      </c>
      <c r="P141" t="s">
        <v>27</v>
      </c>
      <c r="Q141" t="s">
        <v>27</v>
      </c>
      <c r="R141" t="s">
        <v>27</v>
      </c>
      <c r="S141">
        <v>8.9</v>
      </c>
      <c r="T141">
        <v>7.5</v>
      </c>
      <c r="U141">
        <v>5.0999999999999996</v>
      </c>
      <c r="V141" t="s">
        <v>27</v>
      </c>
      <c r="W141">
        <v>0.71499999999999997</v>
      </c>
      <c r="X141">
        <v>0.33</v>
      </c>
      <c r="Y141" t="s">
        <v>27</v>
      </c>
      <c r="Z141" t="s">
        <v>27</v>
      </c>
      <c r="AA141" t="s">
        <v>27</v>
      </c>
      <c r="AB141" t="s">
        <v>27</v>
      </c>
      <c r="AC141" t="s">
        <v>27</v>
      </c>
      <c r="AD141" t="s">
        <v>27</v>
      </c>
      <c r="AE141" t="s">
        <v>27</v>
      </c>
      <c r="AF141" t="s">
        <v>27</v>
      </c>
      <c r="AG141">
        <v>31.14</v>
      </c>
    </row>
    <row r="142" spans="1:33" x14ac:dyDescent="0.25">
      <c r="A142" t="s">
        <v>57</v>
      </c>
      <c r="B142" s="3">
        <v>43603</v>
      </c>
      <c r="C142">
        <v>2019138</v>
      </c>
      <c r="D142">
        <v>11.5</v>
      </c>
      <c r="E142" t="s">
        <v>27</v>
      </c>
      <c r="F142">
        <v>5.0999999999999996</v>
      </c>
      <c r="G142">
        <v>10.9</v>
      </c>
      <c r="H142">
        <v>1.1000000000000001</v>
      </c>
      <c r="I142">
        <v>80.400000000000006</v>
      </c>
      <c r="J142">
        <v>57.5</v>
      </c>
      <c r="K142">
        <v>0.6</v>
      </c>
      <c r="L142">
        <v>2.6</v>
      </c>
      <c r="M142">
        <v>0.5</v>
      </c>
      <c r="N142">
        <v>0</v>
      </c>
      <c r="O142" t="s">
        <v>27</v>
      </c>
      <c r="P142" t="s">
        <v>27</v>
      </c>
      <c r="Q142" t="s">
        <v>27</v>
      </c>
      <c r="R142" t="s">
        <v>27</v>
      </c>
      <c r="S142">
        <v>8.3000000000000007</v>
      </c>
      <c r="T142">
        <v>6.7</v>
      </c>
      <c r="U142">
        <v>5.2</v>
      </c>
      <c r="V142" t="s">
        <v>27</v>
      </c>
      <c r="W142">
        <v>0.75</v>
      </c>
      <c r="X142">
        <v>0.55400000000000005</v>
      </c>
      <c r="Y142" t="s">
        <v>27</v>
      </c>
      <c r="Z142" t="s">
        <v>27</v>
      </c>
      <c r="AA142" t="s">
        <v>27</v>
      </c>
      <c r="AB142" t="s">
        <v>27</v>
      </c>
      <c r="AC142" t="s">
        <v>27</v>
      </c>
      <c r="AD142" t="s">
        <v>27</v>
      </c>
      <c r="AE142" t="s">
        <v>27</v>
      </c>
      <c r="AF142" t="s">
        <v>27</v>
      </c>
      <c r="AG142">
        <v>31.27</v>
      </c>
    </row>
    <row r="143" spans="1:33" x14ac:dyDescent="0.25">
      <c r="A143" t="s">
        <v>57</v>
      </c>
      <c r="B143" s="3">
        <v>43604</v>
      </c>
      <c r="C143">
        <v>2019139</v>
      </c>
      <c r="D143">
        <v>15.42</v>
      </c>
      <c r="E143" t="s">
        <v>27</v>
      </c>
      <c r="F143">
        <v>7</v>
      </c>
      <c r="G143">
        <v>11.7</v>
      </c>
      <c r="H143">
        <v>2.8</v>
      </c>
      <c r="I143">
        <v>72.900000000000006</v>
      </c>
      <c r="J143">
        <v>43.5</v>
      </c>
      <c r="K143">
        <v>0.6</v>
      </c>
      <c r="L143">
        <v>1.8</v>
      </c>
      <c r="M143">
        <v>0</v>
      </c>
      <c r="N143">
        <v>0</v>
      </c>
      <c r="O143" t="s">
        <v>27</v>
      </c>
      <c r="P143" t="s">
        <v>27</v>
      </c>
      <c r="Q143" t="s">
        <v>27</v>
      </c>
      <c r="R143" t="s">
        <v>27</v>
      </c>
      <c r="S143">
        <v>9.6</v>
      </c>
      <c r="T143">
        <v>7.2</v>
      </c>
      <c r="U143">
        <v>5.2</v>
      </c>
      <c r="V143" t="s">
        <v>27</v>
      </c>
      <c r="W143">
        <v>0.59699999999999998</v>
      </c>
      <c r="X143">
        <v>0.77500000000000002</v>
      </c>
      <c r="Y143" t="s">
        <v>27</v>
      </c>
      <c r="Z143" t="s">
        <v>27</v>
      </c>
      <c r="AA143" t="s">
        <v>27</v>
      </c>
      <c r="AB143" t="s">
        <v>27</v>
      </c>
      <c r="AC143" t="s">
        <v>27</v>
      </c>
      <c r="AD143" t="s">
        <v>27</v>
      </c>
      <c r="AE143" t="s">
        <v>27</v>
      </c>
      <c r="AF143" t="s">
        <v>27</v>
      </c>
      <c r="AG143">
        <v>31.4</v>
      </c>
    </row>
    <row r="144" spans="1:33" x14ac:dyDescent="0.25">
      <c r="A144" t="s">
        <v>57</v>
      </c>
      <c r="B144" s="3">
        <v>43605</v>
      </c>
      <c r="C144">
        <v>2019140</v>
      </c>
      <c r="D144">
        <v>16.329999999999998</v>
      </c>
      <c r="E144" t="s">
        <v>27</v>
      </c>
      <c r="F144">
        <v>6.7</v>
      </c>
      <c r="G144">
        <v>11.6</v>
      </c>
      <c r="H144">
        <v>2.2999999999999998</v>
      </c>
      <c r="I144">
        <v>59</v>
      </c>
      <c r="J144">
        <v>36.799999999999997</v>
      </c>
      <c r="K144">
        <v>0.7</v>
      </c>
      <c r="L144">
        <v>2.4</v>
      </c>
      <c r="M144">
        <v>0</v>
      </c>
      <c r="N144">
        <v>0</v>
      </c>
      <c r="O144" t="s">
        <v>27</v>
      </c>
      <c r="P144" t="s">
        <v>27</v>
      </c>
      <c r="Q144" t="s">
        <v>27</v>
      </c>
      <c r="R144" t="s">
        <v>27</v>
      </c>
      <c r="S144">
        <v>9.1</v>
      </c>
      <c r="T144">
        <v>7.3</v>
      </c>
      <c r="U144">
        <v>5.4</v>
      </c>
      <c r="V144" t="s">
        <v>27</v>
      </c>
      <c r="W144">
        <v>0.501</v>
      </c>
      <c r="X144">
        <v>0.86</v>
      </c>
      <c r="Y144" t="s">
        <v>27</v>
      </c>
      <c r="Z144" t="s">
        <v>27</v>
      </c>
      <c r="AA144" t="s">
        <v>27</v>
      </c>
      <c r="AB144" t="s">
        <v>27</v>
      </c>
      <c r="AC144" t="s">
        <v>27</v>
      </c>
      <c r="AD144" t="s">
        <v>27</v>
      </c>
      <c r="AE144" t="s">
        <v>27</v>
      </c>
      <c r="AF144" t="s">
        <v>27</v>
      </c>
      <c r="AG144">
        <v>31.52</v>
      </c>
    </row>
    <row r="145" spans="1:33" x14ac:dyDescent="0.25">
      <c r="A145" t="s">
        <v>57</v>
      </c>
      <c r="B145" s="3">
        <v>43606</v>
      </c>
      <c r="C145">
        <v>2019141</v>
      </c>
      <c r="D145">
        <v>10.58</v>
      </c>
      <c r="E145" t="s">
        <v>27</v>
      </c>
      <c r="F145">
        <v>5.7</v>
      </c>
      <c r="G145">
        <v>9.8000000000000007</v>
      </c>
      <c r="H145">
        <v>2.1</v>
      </c>
      <c r="I145">
        <v>65.2</v>
      </c>
      <c r="J145">
        <v>47.2</v>
      </c>
      <c r="K145">
        <v>0.5</v>
      </c>
      <c r="L145">
        <v>1.8</v>
      </c>
      <c r="M145">
        <v>0</v>
      </c>
      <c r="N145">
        <v>0</v>
      </c>
      <c r="O145" t="s">
        <v>27</v>
      </c>
      <c r="P145" t="s">
        <v>27</v>
      </c>
      <c r="Q145" t="s">
        <v>27</v>
      </c>
      <c r="R145" t="s">
        <v>27</v>
      </c>
      <c r="S145">
        <v>7.9</v>
      </c>
      <c r="T145">
        <v>6.9</v>
      </c>
      <c r="U145">
        <v>5.5</v>
      </c>
      <c r="V145" t="s">
        <v>27</v>
      </c>
      <c r="W145">
        <v>0.57099999999999995</v>
      </c>
      <c r="X145">
        <v>0.63900000000000001</v>
      </c>
      <c r="Y145" t="s">
        <v>27</v>
      </c>
      <c r="Z145" t="s">
        <v>27</v>
      </c>
      <c r="AA145" t="s">
        <v>27</v>
      </c>
      <c r="AB145" t="s">
        <v>27</v>
      </c>
      <c r="AC145" t="s">
        <v>27</v>
      </c>
      <c r="AD145" t="s">
        <v>27</v>
      </c>
      <c r="AE145" t="s">
        <v>27</v>
      </c>
      <c r="AF145" t="s">
        <v>27</v>
      </c>
      <c r="AG145">
        <v>31.65</v>
      </c>
    </row>
    <row r="146" spans="1:33" x14ac:dyDescent="0.25">
      <c r="A146" t="s">
        <v>57</v>
      </c>
      <c r="B146" s="3">
        <v>43607</v>
      </c>
      <c r="C146">
        <v>2019142</v>
      </c>
      <c r="D146">
        <v>16.87</v>
      </c>
      <c r="E146" t="s">
        <v>27</v>
      </c>
      <c r="F146">
        <v>7.5</v>
      </c>
      <c r="G146">
        <v>14.8</v>
      </c>
      <c r="H146">
        <v>-0.8</v>
      </c>
      <c r="I146">
        <v>69.2</v>
      </c>
      <c r="J146">
        <v>36.200000000000003</v>
      </c>
      <c r="K146">
        <v>0.4</v>
      </c>
      <c r="L146">
        <v>2.1</v>
      </c>
      <c r="M146">
        <v>0</v>
      </c>
      <c r="N146">
        <v>0</v>
      </c>
      <c r="O146" t="s">
        <v>27</v>
      </c>
      <c r="P146" t="s">
        <v>27</v>
      </c>
      <c r="Q146" t="s">
        <v>27</v>
      </c>
      <c r="R146" t="s">
        <v>27</v>
      </c>
      <c r="S146">
        <v>9.8000000000000007</v>
      </c>
      <c r="T146">
        <v>7.3</v>
      </c>
      <c r="U146">
        <v>5.5</v>
      </c>
      <c r="V146" t="s">
        <v>27</v>
      </c>
      <c r="W146">
        <v>0.61</v>
      </c>
      <c r="X146">
        <v>1.075</v>
      </c>
      <c r="Y146" t="s">
        <v>27</v>
      </c>
      <c r="Z146" t="s">
        <v>27</v>
      </c>
      <c r="AA146" t="s">
        <v>27</v>
      </c>
      <c r="AB146" t="s">
        <v>27</v>
      </c>
      <c r="AC146" t="s">
        <v>27</v>
      </c>
      <c r="AD146" t="s">
        <v>27</v>
      </c>
      <c r="AE146" t="s">
        <v>27</v>
      </c>
      <c r="AF146" t="s">
        <v>27</v>
      </c>
      <c r="AG146">
        <v>31.76</v>
      </c>
    </row>
    <row r="147" spans="1:33" x14ac:dyDescent="0.25">
      <c r="A147" t="s">
        <v>57</v>
      </c>
      <c r="B147" s="3">
        <v>43608</v>
      </c>
      <c r="C147">
        <v>2019143</v>
      </c>
      <c r="D147">
        <v>19.510000000000002</v>
      </c>
      <c r="E147" t="s">
        <v>27</v>
      </c>
      <c r="F147">
        <v>8.1</v>
      </c>
      <c r="G147">
        <v>15.9</v>
      </c>
      <c r="H147">
        <v>0.6</v>
      </c>
      <c r="I147">
        <v>73.2</v>
      </c>
      <c r="J147">
        <v>37.9</v>
      </c>
      <c r="K147">
        <v>0.5</v>
      </c>
      <c r="L147">
        <v>2.2999999999999998</v>
      </c>
      <c r="M147">
        <v>0</v>
      </c>
      <c r="N147">
        <v>0</v>
      </c>
      <c r="O147" t="s">
        <v>27</v>
      </c>
      <c r="P147" t="s">
        <v>27</v>
      </c>
      <c r="Q147" t="s">
        <v>27</v>
      </c>
      <c r="R147" t="s">
        <v>27</v>
      </c>
      <c r="S147">
        <v>11.5</v>
      </c>
      <c r="T147">
        <v>8.1999999999999993</v>
      </c>
      <c r="U147">
        <v>5.7</v>
      </c>
      <c r="V147" t="s">
        <v>27</v>
      </c>
      <c r="W147">
        <v>0.68500000000000005</v>
      </c>
      <c r="X147">
        <v>1.1220000000000001</v>
      </c>
      <c r="Y147" t="s">
        <v>27</v>
      </c>
      <c r="Z147" t="s">
        <v>27</v>
      </c>
      <c r="AA147" t="s">
        <v>27</v>
      </c>
      <c r="AB147" t="s">
        <v>27</v>
      </c>
      <c r="AC147" t="s">
        <v>27</v>
      </c>
      <c r="AD147" t="s">
        <v>27</v>
      </c>
      <c r="AE147" t="s">
        <v>27</v>
      </c>
      <c r="AF147" t="s">
        <v>27</v>
      </c>
      <c r="AG147">
        <v>31.88</v>
      </c>
    </row>
    <row r="148" spans="1:33" x14ac:dyDescent="0.25">
      <c r="A148" t="s">
        <v>57</v>
      </c>
      <c r="B148" s="3">
        <v>43609</v>
      </c>
      <c r="C148">
        <v>2019144</v>
      </c>
      <c r="D148">
        <v>22.24</v>
      </c>
      <c r="E148" t="s">
        <v>27</v>
      </c>
      <c r="F148">
        <v>7.3</v>
      </c>
      <c r="G148">
        <v>16.3</v>
      </c>
      <c r="H148">
        <v>0.6</v>
      </c>
      <c r="I148">
        <v>81.900000000000006</v>
      </c>
      <c r="J148">
        <v>37.5</v>
      </c>
      <c r="K148">
        <v>0.5</v>
      </c>
      <c r="L148">
        <v>2.2999999999999998</v>
      </c>
      <c r="M148">
        <v>3.6</v>
      </c>
      <c r="N148">
        <v>0</v>
      </c>
      <c r="O148" t="s">
        <v>27</v>
      </c>
      <c r="P148" t="s">
        <v>27</v>
      </c>
      <c r="Q148" t="s">
        <v>27</v>
      </c>
      <c r="R148" t="s">
        <v>27</v>
      </c>
      <c r="S148">
        <v>12.3</v>
      </c>
      <c r="T148">
        <v>8.9</v>
      </c>
      <c r="U148">
        <v>6.1</v>
      </c>
      <c r="V148" t="s">
        <v>27</v>
      </c>
      <c r="W148">
        <v>0.69299999999999995</v>
      </c>
      <c r="X148">
        <v>1.155</v>
      </c>
      <c r="Y148" t="s">
        <v>27</v>
      </c>
      <c r="Z148" t="s">
        <v>27</v>
      </c>
      <c r="AA148" t="s">
        <v>27</v>
      </c>
      <c r="AB148" t="s">
        <v>27</v>
      </c>
      <c r="AC148" t="s">
        <v>27</v>
      </c>
      <c r="AD148" t="s">
        <v>27</v>
      </c>
      <c r="AE148" t="s">
        <v>27</v>
      </c>
      <c r="AF148" t="s">
        <v>27</v>
      </c>
      <c r="AG148">
        <v>31.99</v>
      </c>
    </row>
    <row r="149" spans="1:33" x14ac:dyDescent="0.25">
      <c r="A149" t="s">
        <v>57</v>
      </c>
      <c r="B149" s="3">
        <v>43610</v>
      </c>
      <c r="C149">
        <v>2019145</v>
      </c>
      <c r="D149">
        <v>10.79</v>
      </c>
      <c r="E149" t="s">
        <v>27</v>
      </c>
      <c r="F149">
        <v>6.6</v>
      </c>
      <c r="G149">
        <v>10</v>
      </c>
      <c r="H149">
        <v>3.9</v>
      </c>
      <c r="I149">
        <v>92.7</v>
      </c>
      <c r="J149">
        <v>77.599999999999994</v>
      </c>
      <c r="K149">
        <v>0.3</v>
      </c>
      <c r="L149">
        <v>1.7</v>
      </c>
      <c r="M149">
        <v>3.8</v>
      </c>
      <c r="N149">
        <v>0</v>
      </c>
      <c r="O149" t="s">
        <v>27</v>
      </c>
      <c r="P149" t="s">
        <v>27</v>
      </c>
      <c r="Q149" t="s">
        <v>27</v>
      </c>
      <c r="R149" t="s">
        <v>27</v>
      </c>
      <c r="S149">
        <v>10.4</v>
      </c>
      <c r="T149">
        <v>8.9</v>
      </c>
      <c r="U149">
        <v>6.6</v>
      </c>
      <c r="V149" t="s">
        <v>27</v>
      </c>
      <c r="W149">
        <v>0.95499999999999996</v>
      </c>
      <c r="X149">
        <v>0.27600000000000002</v>
      </c>
      <c r="Y149" t="s">
        <v>27</v>
      </c>
      <c r="Z149" t="s">
        <v>27</v>
      </c>
      <c r="AA149" t="s">
        <v>27</v>
      </c>
      <c r="AB149" t="s">
        <v>27</v>
      </c>
      <c r="AC149" t="s">
        <v>27</v>
      </c>
      <c r="AD149" t="s">
        <v>27</v>
      </c>
      <c r="AE149" t="s">
        <v>27</v>
      </c>
      <c r="AF149" t="s">
        <v>27</v>
      </c>
      <c r="AG149">
        <v>32.090000000000003</v>
      </c>
    </row>
    <row r="150" spans="1:33" x14ac:dyDescent="0.25">
      <c r="A150" t="s">
        <v>57</v>
      </c>
      <c r="B150" s="3">
        <v>43611</v>
      </c>
      <c r="C150">
        <v>2019146</v>
      </c>
      <c r="D150">
        <v>16.93</v>
      </c>
      <c r="E150" t="s">
        <v>27</v>
      </c>
      <c r="F150">
        <v>7.9</v>
      </c>
      <c r="G150">
        <v>15.5</v>
      </c>
      <c r="H150">
        <v>1.8</v>
      </c>
      <c r="I150">
        <v>76.5</v>
      </c>
      <c r="J150">
        <v>45.5</v>
      </c>
      <c r="K150">
        <v>0.5</v>
      </c>
      <c r="L150">
        <v>2.6</v>
      </c>
      <c r="M150">
        <v>0.3</v>
      </c>
      <c r="N150">
        <v>0</v>
      </c>
      <c r="O150" t="s">
        <v>27</v>
      </c>
      <c r="P150" t="s">
        <v>27</v>
      </c>
      <c r="Q150" t="s">
        <v>27</v>
      </c>
      <c r="R150" t="s">
        <v>27</v>
      </c>
      <c r="S150">
        <v>10.9</v>
      </c>
      <c r="T150">
        <v>8.6</v>
      </c>
      <c r="U150">
        <v>6.6</v>
      </c>
      <c r="V150" t="s">
        <v>27</v>
      </c>
      <c r="W150">
        <v>0.8</v>
      </c>
      <c r="X150">
        <v>0.95799999999999996</v>
      </c>
      <c r="Y150" t="s">
        <v>27</v>
      </c>
      <c r="Z150" t="s">
        <v>27</v>
      </c>
      <c r="AA150" t="s">
        <v>27</v>
      </c>
      <c r="AB150" t="s">
        <v>27</v>
      </c>
      <c r="AC150" t="s">
        <v>27</v>
      </c>
      <c r="AD150" t="s">
        <v>27</v>
      </c>
      <c r="AE150" t="s">
        <v>27</v>
      </c>
      <c r="AF150" t="s">
        <v>27</v>
      </c>
      <c r="AG150">
        <v>32.200000000000003</v>
      </c>
    </row>
    <row r="151" spans="1:33" x14ac:dyDescent="0.25">
      <c r="A151" t="s">
        <v>57</v>
      </c>
      <c r="B151" s="3">
        <v>43612</v>
      </c>
      <c r="C151">
        <v>2019147</v>
      </c>
      <c r="D151">
        <v>30.63</v>
      </c>
      <c r="E151" t="s">
        <v>27</v>
      </c>
      <c r="F151">
        <v>10.3</v>
      </c>
      <c r="G151">
        <v>19.399999999999999</v>
      </c>
      <c r="H151">
        <v>-0.7</v>
      </c>
      <c r="I151">
        <v>57.7</v>
      </c>
      <c r="J151">
        <v>22.9</v>
      </c>
      <c r="K151">
        <v>0.7</v>
      </c>
      <c r="L151">
        <v>2.4</v>
      </c>
      <c r="M151">
        <v>0</v>
      </c>
      <c r="N151">
        <v>0</v>
      </c>
      <c r="O151" t="s">
        <v>27</v>
      </c>
      <c r="P151" t="s">
        <v>27</v>
      </c>
      <c r="Q151" t="s">
        <v>27</v>
      </c>
      <c r="R151" t="s">
        <v>27</v>
      </c>
      <c r="S151">
        <v>12.4</v>
      </c>
      <c r="T151">
        <v>9.3000000000000007</v>
      </c>
      <c r="U151">
        <v>6.7</v>
      </c>
      <c r="V151" t="s">
        <v>27</v>
      </c>
      <c r="W151">
        <v>0.51600000000000001</v>
      </c>
      <c r="X151">
        <v>1.7370000000000001</v>
      </c>
      <c r="Y151" t="s">
        <v>27</v>
      </c>
      <c r="Z151" t="s">
        <v>27</v>
      </c>
      <c r="AA151" t="s">
        <v>27</v>
      </c>
      <c r="AB151" t="s">
        <v>27</v>
      </c>
      <c r="AC151" t="s">
        <v>27</v>
      </c>
      <c r="AD151" t="s">
        <v>27</v>
      </c>
      <c r="AE151" t="s">
        <v>27</v>
      </c>
      <c r="AF151" t="s">
        <v>27</v>
      </c>
      <c r="AG151">
        <v>32.29</v>
      </c>
    </row>
    <row r="152" spans="1:33" x14ac:dyDescent="0.25">
      <c r="A152" t="s">
        <v>57</v>
      </c>
      <c r="B152" s="3">
        <v>43613</v>
      </c>
      <c r="C152">
        <v>2019148</v>
      </c>
      <c r="D152">
        <v>27.2</v>
      </c>
      <c r="E152" t="s">
        <v>27</v>
      </c>
      <c r="F152">
        <v>13.3</v>
      </c>
      <c r="G152">
        <v>22.3</v>
      </c>
      <c r="H152">
        <v>0.2</v>
      </c>
      <c r="I152">
        <v>47.6</v>
      </c>
      <c r="J152">
        <v>17.399999999999999</v>
      </c>
      <c r="K152">
        <v>0.6</v>
      </c>
      <c r="L152">
        <v>2</v>
      </c>
      <c r="M152">
        <v>0</v>
      </c>
      <c r="N152">
        <v>0</v>
      </c>
      <c r="O152" t="s">
        <v>27</v>
      </c>
      <c r="P152" t="s">
        <v>27</v>
      </c>
      <c r="Q152" t="s">
        <v>27</v>
      </c>
      <c r="R152" t="s">
        <v>27</v>
      </c>
      <c r="S152">
        <v>13.1</v>
      </c>
      <c r="T152">
        <v>9.8000000000000007</v>
      </c>
      <c r="U152">
        <v>7.1</v>
      </c>
      <c r="V152" t="s">
        <v>27</v>
      </c>
      <c r="W152">
        <v>0.46899999999999997</v>
      </c>
      <c r="X152">
        <v>2.226</v>
      </c>
      <c r="Y152" t="s">
        <v>27</v>
      </c>
      <c r="Z152" t="s">
        <v>27</v>
      </c>
      <c r="AA152" t="s">
        <v>27</v>
      </c>
      <c r="AB152" t="s">
        <v>27</v>
      </c>
      <c r="AC152" t="s">
        <v>27</v>
      </c>
      <c r="AD152" t="s">
        <v>27</v>
      </c>
      <c r="AE152" t="s">
        <v>27</v>
      </c>
      <c r="AF152" t="s">
        <v>27</v>
      </c>
      <c r="AG152">
        <v>32.39</v>
      </c>
    </row>
    <row r="153" spans="1:33" x14ac:dyDescent="0.25">
      <c r="A153" t="s">
        <v>57</v>
      </c>
      <c r="B153" s="3">
        <v>43614</v>
      </c>
      <c r="C153">
        <v>2019149</v>
      </c>
      <c r="D153">
        <v>26.23</v>
      </c>
      <c r="E153" t="s">
        <v>27</v>
      </c>
      <c r="F153">
        <v>13.6</v>
      </c>
      <c r="G153">
        <v>23.3</v>
      </c>
      <c r="H153">
        <v>2.2000000000000002</v>
      </c>
      <c r="I153">
        <v>54.1</v>
      </c>
      <c r="J153">
        <v>21.3</v>
      </c>
      <c r="K153">
        <v>0.7</v>
      </c>
      <c r="L153">
        <v>3.2</v>
      </c>
      <c r="M153">
        <v>0</v>
      </c>
      <c r="N153">
        <v>0</v>
      </c>
      <c r="O153" t="s">
        <v>27</v>
      </c>
      <c r="P153" t="s">
        <v>27</v>
      </c>
      <c r="Q153" t="s">
        <v>27</v>
      </c>
      <c r="R153" t="s">
        <v>27</v>
      </c>
      <c r="S153">
        <v>14.5</v>
      </c>
      <c r="T153">
        <v>10.5</v>
      </c>
      <c r="U153">
        <v>7.5</v>
      </c>
      <c r="V153" t="s">
        <v>27</v>
      </c>
      <c r="W153">
        <v>0.61</v>
      </c>
      <c r="X153">
        <v>2.254</v>
      </c>
      <c r="Y153" t="s">
        <v>27</v>
      </c>
      <c r="Z153" t="s">
        <v>27</v>
      </c>
      <c r="AA153" t="s">
        <v>27</v>
      </c>
      <c r="AB153" t="s">
        <v>27</v>
      </c>
      <c r="AC153" t="s">
        <v>27</v>
      </c>
      <c r="AD153" t="s">
        <v>27</v>
      </c>
      <c r="AE153" t="s">
        <v>27</v>
      </c>
      <c r="AF153" t="s">
        <v>27</v>
      </c>
      <c r="AG153">
        <v>32.479999999999997</v>
      </c>
    </row>
    <row r="154" spans="1:33" x14ac:dyDescent="0.25">
      <c r="A154" t="s">
        <v>57</v>
      </c>
      <c r="B154" s="3">
        <v>43615</v>
      </c>
      <c r="C154">
        <v>2019150</v>
      </c>
      <c r="D154">
        <v>16.239999999999998</v>
      </c>
      <c r="E154" t="s">
        <v>27</v>
      </c>
      <c r="F154">
        <v>11.7</v>
      </c>
      <c r="G154">
        <v>21.7</v>
      </c>
      <c r="H154">
        <v>3.9</v>
      </c>
      <c r="I154">
        <v>77</v>
      </c>
      <c r="J154">
        <v>33</v>
      </c>
      <c r="K154">
        <v>0.3</v>
      </c>
      <c r="L154">
        <v>2.2000000000000002</v>
      </c>
      <c r="M154">
        <v>5.0999999999999996</v>
      </c>
      <c r="N154">
        <v>0</v>
      </c>
      <c r="O154" t="s">
        <v>27</v>
      </c>
      <c r="P154" t="s">
        <v>27</v>
      </c>
      <c r="Q154" t="s">
        <v>27</v>
      </c>
      <c r="R154" t="s">
        <v>27</v>
      </c>
      <c r="S154">
        <v>12.5</v>
      </c>
      <c r="T154">
        <v>10.6</v>
      </c>
      <c r="U154">
        <v>8</v>
      </c>
      <c r="V154" t="s">
        <v>27</v>
      </c>
      <c r="W154">
        <v>0.85399999999999998</v>
      </c>
      <c r="X154">
        <v>1.734</v>
      </c>
      <c r="Y154" t="s">
        <v>27</v>
      </c>
      <c r="Z154" t="s">
        <v>27</v>
      </c>
      <c r="AA154" t="s">
        <v>27</v>
      </c>
      <c r="AB154" t="s">
        <v>27</v>
      </c>
      <c r="AC154" t="s">
        <v>27</v>
      </c>
      <c r="AD154" t="s">
        <v>27</v>
      </c>
      <c r="AE154" t="s">
        <v>27</v>
      </c>
      <c r="AF154" t="s">
        <v>27</v>
      </c>
      <c r="AG154">
        <v>32.56</v>
      </c>
    </row>
    <row r="155" spans="1:33" x14ac:dyDescent="0.25">
      <c r="A155" t="s">
        <v>57</v>
      </c>
      <c r="B155" s="3">
        <v>43616</v>
      </c>
      <c r="C155">
        <v>2019151</v>
      </c>
      <c r="D155">
        <v>20.79</v>
      </c>
      <c r="E155" t="s">
        <v>27</v>
      </c>
      <c r="F155">
        <v>12.5</v>
      </c>
      <c r="G155">
        <v>21.8</v>
      </c>
      <c r="H155">
        <v>3.5</v>
      </c>
      <c r="I155">
        <v>75.099999999999994</v>
      </c>
      <c r="J155">
        <v>37.799999999999997</v>
      </c>
      <c r="K155">
        <v>0.3</v>
      </c>
      <c r="L155">
        <v>2.2000000000000002</v>
      </c>
      <c r="M155">
        <v>4.3</v>
      </c>
      <c r="N155">
        <v>0</v>
      </c>
      <c r="O155" t="s">
        <v>27</v>
      </c>
      <c r="P155" t="s">
        <v>27</v>
      </c>
      <c r="Q155" t="s">
        <v>27</v>
      </c>
      <c r="R155" t="s">
        <v>27</v>
      </c>
      <c r="S155">
        <v>13.4</v>
      </c>
      <c r="T155">
        <v>10.6</v>
      </c>
      <c r="U155">
        <v>8.1</v>
      </c>
      <c r="V155" t="s">
        <v>27</v>
      </c>
      <c r="W155">
        <v>0.98499999999999999</v>
      </c>
      <c r="X155">
        <v>1.621</v>
      </c>
      <c r="Y155" t="s">
        <v>27</v>
      </c>
      <c r="Z155" t="s">
        <v>27</v>
      </c>
      <c r="AA155" t="s">
        <v>27</v>
      </c>
      <c r="AB155" t="s">
        <v>27</v>
      </c>
      <c r="AC155" t="s">
        <v>27</v>
      </c>
      <c r="AD155" t="s">
        <v>27</v>
      </c>
      <c r="AE155" t="s">
        <v>27</v>
      </c>
      <c r="AF155" t="s">
        <v>27</v>
      </c>
      <c r="AG155">
        <v>32.64</v>
      </c>
    </row>
    <row r="156" spans="1:33" x14ac:dyDescent="0.25">
      <c r="A156" t="s">
        <v>57</v>
      </c>
      <c r="B156" s="3">
        <v>43617</v>
      </c>
      <c r="C156">
        <v>2019152</v>
      </c>
      <c r="D156">
        <v>30.47</v>
      </c>
      <c r="E156" t="s">
        <v>27</v>
      </c>
      <c r="F156">
        <v>14.6</v>
      </c>
      <c r="G156">
        <v>23.8</v>
      </c>
      <c r="H156">
        <v>3.7</v>
      </c>
      <c r="I156">
        <v>47.9</v>
      </c>
      <c r="J156">
        <v>18.399999999999999</v>
      </c>
      <c r="K156">
        <v>0.8</v>
      </c>
      <c r="L156">
        <v>3.5</v>
      </c>
      <c r="M156">
        <v>0</v>
      </c>
      <c r="N156">
        <v>0</v>
      </c>
      <c r="O156" t="s">
        <v>27</v>
      </c>
      <c r="P156" t="s">
        <v>27</v>
      </c>
      <c r="Q156" t="s">
        <v>27</v>
      </c>
      <c r="R156" t="s">
        <v>27</v>
      </c>
      <c r="S156">
        <v>14.9</v>
      </c>
      <c r="T156">
        <v>11.4</v>
      </c>
      <c r="U156">
        <v>8.3000000000000007</v>
      </c>
      <c r="V156" t="s">
        <v>27</v>
      </c>
      <c r="W156">
        <v>0.54200000000000004</v>
      </c>
      <c r="X156">
        <v>2.4039999999999999</v>
      </c>
      <c r="Y156" t="s">
        <v>27</v>
      </c>
      <c r="Z156" t="s">
        <v>27</v>
      </c>
      <c r="AA156" t="s">
        <v>27</v>
      </c>
      <c r="AB156" t="s">
        <v>27</v>
      </c>
      <c r="AC156" t="s">
        <v>27</v>
      </c>
      <c r="AD156" t="s">
        <v>27</v>
      </c>
      <c r="AE156" t="s">
        <v>27</v>
      </c>
      <c r="AF156" t="s">
        <v>27</v>
      </c>
      <c r="AG156">
        <v>32.71</v>
      </c>
    </row>
    <row r="157" spans="1:33" x14ac:dyDescent="0.25">
      <c r="A157" t="s">
        <v>57</v>
      </c>
      <c r="B157" s="3">
        <v>43618</v>
      </c>
      <c r="C157">
        <v>2019153</v>
      </c>
      <c r="D157">
        <v>28.57</v>
      </c>
      <c r="E157" t="s">
        <v>27</v>
      </c>
      <c r="F157">
        <v>14.8</v>
      </c>
      <c r="G157">
        <v>23.4</v>
      </c>
      <c r="H157">
        <v>2.6</v>
      </c>
      <c r="I157">
        <v>49.5</v>
      </c>
      <c r="J157">
        <v>13.9</v>
      </c>
      <c r="K157">
        <v>0.8</v>
      </c>
      <c r="L157">
        <v>3.1</v>
      </c>
      <c r="M157">
        <v>0</v>
      </c>
      <c r="N157">
        <v>0</v>
      </c>
      <c r="O157" t="s">
        <v>27</v>
      </c>
      <c r="P157" t="s">
        <v>27</v>
      </c>
      <c r="Q157" t="s">
        <v>27</v>
      </c>
      <c r="R157" t="s">
        <v>27</v>
      </c>
      <c r="S157">
        <v>16.399999999999999</v>
      </c>
      <c r="T157">
        <v>12.2</v>
      </c>
      <c r="U157">
        <v>8.8000000000000007</v>
      </c>
      <c r="V157" t="s">
        <v>27</v>
      </c>
      <c r="W157">
        <v>0.4</v>
      </c>
      <c r="X157">
        <v>2.4780000000000002</v>
      </c>
      <c r="Y157" t="s">
        <v>27</v>
      </c>
      <c r="Z157" t="s">
        <v>27</v>
      </c>
      <c r="AA157" t="s">
        <v>27</v>
      </c>
      <c r="AB157" t="s">
        <v>27</v>
      </c>
      <c r="AC157" t="s">
        <v>27</v>
      </c>
      <c r="AD157" t="s">
        <v>27</v>
      </c>
      <c r="AE157" t="s">
        <v>27</v>
      </c>
      <c r="AF157" t="s">
        <v>27</v>
      </c>
      <c r="AG157">
        <v>32.78</v>
      </c>
    </row>
    <row r="158" spans="1:33" x14ac:dyDescent="0.25">
      <c r="A158" t="s">
        <v>57</v>
      </c>
      <c r="B158" s="3">
        <v>43619</v>
      </c>
      <c r="C158">
        <v>2019154</v>
      </c>
      <c r="D158">
        <v>29.49</v>
      </c>
      <c r="E158" t="s">
        <v>27</v>
      </c>
      <c r="F158">
        <v>10.7</v>
      </c>
      <c r="G158">
        <v>16.7</v>
      </c>
      <c r="H158">
        <v>1.3</v>
      </c>
      <c r="I158">
        <v>43.7</v>
      </c>
      <c r="J158">
        <v>17.100000000000001</v>
      </c>
      <c r="K158">
        <v>1.3</v>
      </c>
      <c r="L158">
        <v>4.0999999999999996</v>
      </c>
      <c r="M158">
        <v>0</v>
      </c>
      <c r="N158">
        <v>0</v>
      </c>
      <c r="O158" t="s">
        <v>27</v>
      </c>
      <c r="P158" t="s">
        <v>27</v>
      </c>
      <c r="Q158" t="s">
        <v>27</v>
      </c>
      <c r="R158" t="s">
        <v>27</v>
      </c>
      <c r="S158">
        <v>16</v>
      </c>
      <c r="T158">
        <v>12.8</v>
      </c>
      <c r="U158">
        <v>9.3000000000000007</v>
      </c>
      <c r="V158" t="s">
        <v>27</v>
      </c>
      <c r="W158">
        <v>0.32600000000000001</v>
      </c>
      <c r="X158">
        <v>1.58</v>
      </c>
      <c r="Y158" t="s">
        <v>27</v>
      </c>
      <c r="Z158" t="s">
        <v>27</v>
      </c>
      <c r="AA158" t="s">
        <v>27</v>
      </c>
      <c r="AB158" t="s">
        <v>27</v>
      </c>
      <c r="AC158" t="s">
        <v>27</v>
      </c>
      <c r="AD158" t="s">
        <v>27</v>
      </c>
      <c r="AE158" t="s">
        <v>27</v>
      </c>
      <c r="AF158" t="s">
        <v>27</v>
      </c>
      <c r="AG158">
        <v>32.86</v>
      </c>
    </row>
    <row r="159" spans="1:33" x14ac:dyDescent="0.25">
      <c r="A159" t="s">
        <v>57</v>
      </c>
      <c r="B159" s="3">
        <v>43620</v>
      </c>
      <c r="C159">
        <v>2019155</v>
      </c>
      <c r="D159">
        <v>29.1</v>
      </c>
      <c r="E159" t="s">
        <v>27</v>
      </c>
      <c r="F159">
        <v>8.3000000000000007</v>
      </c>
      <c r="G159">
        <v>16</v>
      </c>
      <c r="H159">
        <v>-1.3</v>
      </c>
      <c r="I159">
        <v>48.1</v>
      </c>
      <c r="J159">
        <v>23</v>
      </c>
      <c r="K159">
        <v>0.9</v>
      </c>
      <c r="L159">
        <v>3.7</v>
      </c>
      <c r="M159">
        <v>0</v>
      </c>
      <c r="N159">
        <v>0</v>
      </c>
      <c r="O159" t="s">
        <v>27</v>
      </c>
      <c r="P159" t="s">
        <v>27</v>
      </c>
      <c r="Q159" t="s">
        <v>27</v>
      </c>
      <c r="R159" t="s">
        <v>27</v>
      </c>
      <c r="S159">
        <v>15</v>
      </c>
      <c r="T159">
        <v>11.8</v>
      </c>
      <c r="U159">
        <v>9.4</v>
      </c>
      <c r="V159" t="s">
        <v>27</v>
      </c>
      <c r="W159">
        <v>0.41799999999999998</v>
      </c>
      <c r="X159">
        <v>1.399</v>
      </c>
      <c r="Y159" t="s">
        <v>27</v>
      </c>
      <c r="Z159" t="s">
        <v>27</v>
      </c>
      <c r="AA159" t="s">
        <v>27</v>
      </c>
      <c r="AB159" t="s">
        <v>27</v>
      </c>
      <c r="AC159" t="s">
        <v>27</v>
      </c>
      <c r="AD159" t="s">
        <v>27</v>
      </c>
      <c r="AE159" t="s">
        <v>27</v>
      </c>
      <c r="AF159" t="s">
        <v>27</v>
      </c>
      <c r="AG159">
        <v>32.909999999999997</v>
      </c>
    </row>
    <row r="160" spans="1:33" x14ac:dyDescent="0.25">
      <c r="A160" t="s">
        <v>57</v>
      </c>
      <c r="B160" s="3">
        <v>43621</v>
      </c>
      <c r="C160">
        <v>2019156</v>
      </c>
      <c r="D160">
        <v>12.84</v>
      </c>
      <c r="E160" t="s">
        <v>27</v>
      </c>
      <c r="F160">
        <v>8</v>
      </c>
      <c r="G160">
        <v>14.8</v>
      </c>
      <c r="H160">
        <v>3.4</v>
      </c>
      <c r="I160">
        <v>73.5</v>
      </c>
      <c r="J160">
        <v>32.4</v>
      </c>
      <c r="K160">
        <v>0.6</v>
      </c>
      <c r="L160">
        <v>2.4</v>
      </c>
      <c r="M160">
        <v>7.6</v>
      </c>
      <c r="N160">
        <v>0</v>
      </c>
      <c r="O160" t="s">
        <v>27</v>
      </c>
      <c r="P160" t="s">
        <v>27</v>
      </c>
      <c r="Q160" t="s">
        <v>27</v>
      </c>
      <c r="R160" t="s">
        <v>27</v>
      </c>
      <c r="S160">
        <v>14</v>
      </c>
      <c r="T160">
        <v>11.2</v>
      </c>
      <c r="U160">
        <v>9.5</v>
      </c>
      <c r="V160" t="s">
        <v>27</v>
      </c>
      <c r="W160">
        <v>0.54500000000000004</v>
      </c>
      <c r="X160">
        <v>1.137</v>
      </c>
      <c r="Y160" t="s">
        <v>27</v>
      </c>
      <c r="Z160" t="s">
        <v>27</v>
      </c>
      <c r="AA160" t="s">
        <v>27</v>
      </c>
      <c r="AB160" t="s">
        <v>27</v>
      </c>
      <c r="AC160" t="s">
        <v>27</v>
      </c>
      <c r="AD160" t="s">
        <v>27</v>
      </c>
      <c r="AE160" t="s">
        <v>27</v>
      </c>
      <c r="AF160" t="s">
        <v>27</v>
      </c>
      <c r="AG160">
        <v>32.97</v>
      </c>
    </row>
    <row r="161" spans="1:33" x14ac:dyDescent="0.25">
      <c r="A161" t="s">
        <v>57</v>
      </c>
      <c r="B161" s="3">
        <v>43622</v>
      </c>
      <c r="C161">
        <v>2019157</v>
      </c>
      <c r="D161">
        <v>15.98</v>
      </c>
      <c r="E161" t="s">
        <v>27</v>
      </c>
      <c r="F161">
        <v>4.5</v>
      </c>
      <c r="G161">
        <v>10.3</v>
      </c>
      <c r="H161">
        <v>-0.6</v>
      </c>
      <c r="I161">
        <v>74.2</v>
      </c>
      <c r="J161">
        <v>39.9</v>
      </c>
      <c r="K161">
        <v>0.7</v>
      </c>
      <c r="L161">
        <v>2.5</v>
      </c>
      <c r="M161">
        <v>0.3</v>
      </c>
      <c r="N161">
        <v>0</v>
      </c>
      <c r="O161" t="s">
        <v>27</v>
      </c>
      <c r="P161" t="s">
        <v>27</v>
      </c>
      <c r="Q161" t="s">
        <v>27</v>
      </c>
      <c r="R161" t="s">
        <v>27</v>
      </c>
      <c r="S161">
        <v>10.1</v>
      </c>
      <c r="T161">
        <v>10.199999999999999</v>
      </c>
      <c r="U161">
        <v>9.1999999999999993</v>
      </c>
      <c r="V161" t="s">
        <v>27</v>
      </c>
      <c r="W161">
        <v>0.5</v>
      </c>
      <c r="X161">
        <v>0.753</v>
      </c>
      <c r="Y161" t="s">
        <v>27</v>
      </c>
      <c r="Z161" t="s">
        <v>27</v>
      </c>
      <c r="AA161" t="s">
        <v>27</v>
      </c>
      <c r="AB161" t="s">
        <v>27</v>
      </c>
      <c r="AC161" t="s">
        <v>27</v>
      </c>
      <c r="AD161" t="s">
        <v>27</v>
      </c>
      <c r="AE161" t="s">
        <v>27</v>
      </c>
      <c r="AF161" t="s">
        <v>27</v>
      </c>
      <c r="AG161">
        <v>33.03</v>
      </c>
    </row>
    <row r="162" spans="1:33" x14ac:dyDescent="0.25">
      <c r="A162" t="s">
        <v>57</v>
      </c>
      <c r="B162" s="3">
        <v>43623</v>
      </c>
      <c r="C162">
        <v>2019158</v>
      </c>
      <c r="D162">
        <v>15.96</v>
      </c>
      <c r="E162" t="s">
        <v>27</v>
      </c>
      <c r="F162">
        <v>2.2999999999999998</v>
      </c>
      <c r="G162">
        <v>8</v>
      </c>
      <c r="H162">
        <v>-2.2999999999999998</v>
      </c>
      <c r="I162">
        <v>80.900000000000006</v>
      </c>
      <c r="J162">
        <v>47.6</v>
      </c>
      <c r="K162">
        <v>1</v>
      </c>
      <c r="L162">
        <v>3.3</v>
      </c>
      <c r="M162">
        <v>2.5</v>
      </c>
      <c r="N162">
        <v>0</v>
      </c>
      <c r="O162" t="s">
        <v>27</v>
      </c>
      <c r="P162" t="s">
        <v>27</v>
      </c>
      <c r="Q162" t="s">
        <v>27</v>
      </c>
      <c r="R162" t="s">
        <v>27</v>
      </c>
      <c r="S162">
        <v>7.1</v>
      </c>
      <c r="T162">
        <v>8.6999999999999993</v>
      </c>
      <c r="U162">
        <v>8.8000000000000007</v>
      </c>
      <c r="V162" t="s">
        <v>27</v>
      </c>
      <c r="W162">
        <v>0.51</v>
      </c>
      <c r="X162">
        <v>0.56100000000000005</v>
      </c>
      <c r="Y162" t="s">
        <v>27</v>
      </c>
      <c r="Z162" t="s">
        <v>27</v>
      </c>
      <c r="AA162" t="s">
        <v>27</v>
      </c>
      <c r="AB162" t="s">
        <v>27</v>
      </c>
      <c r="AC162" t="s">
        <v>27</v>
      </c>
      <c r="AD162" t="s">
        <v>27</v>
      </c>
      <c r="AE162" t="s">
        <v>27</v>
      </c>
      <c r="AF162" t="s">
        <v>27</v>
      </c>
      <c r="AG162">
        <v>33.08</v>
      </c>
    </row>
    <row r="163" spans="1:33" x14ac:dyDescent="0.25">
      <c r="A163" t="s">
        <v>57</v>
      </c>
      <c r="B163" s="3">
        <v>43624</v>
      </c>
      <c r="C163">
        <v>2019159</v>
      </c>
      <c r="D163">
        <v>16.73</v>
      </c>
      <c r="E163" t="s">
        <v>27</v>
      </c>
      <c r="F163">
        <v>4.2</v>
      </c>
      <c r="G163">
        <v>11.4</v>
      </c>
      <c r="H163">
        <v>-1.2</v>
      </c>
      <c r="I163">
        <v>84.1</v>
      </c>
      <c r="J163">
        <v>45.2</v>
      </c>
      <c r="K163">
        <v>0.8</v>
      </c>
      <c r="L163">
        <v>3.7</v>
      </c>
      <c r="M163">
        <v>6.9</v>
      </c>
      <c r="N163">
        <v>0</v>
      </c>
      <c r="O163" t="s">
        <v>27</v>
      </c>
      <c r="P163" t="s">
        <v>27</v>
      </c>
      <c r="Q163" t="s">
        <v>27</v>
      </c>
      <c r="R163" t="s">
        <v>27</v>
      </c>
      <c r="S163">
        <v>8.6999999999999993</v>
      </c>
      <c r="T163">
        <v>8.5</v>
      </c>
      <c r="U163">
        <v>8.3000000000000007</v>
      </c>
      <c r="V163" t="s">
        <v>27</v>
      </c>
      <c r="W163">
        <v>0.60699999999999998</v>
      </c>
      <c r="X163">
        <v>0.73599999999999999</v>
      </c>
      <c r="Y163" t="s">
        <v>27</v>
      </c>
      <c r="Z163" t="s">
        <v>27</v>
      </c>
      <c r="AA163" t="s">
        <v>27</v>
      </c>
      <c r="AB163" t="s">
        <v>27</v>
      </c>
      <c r="AC163" t="s">
        <v>27</v>
      </c>
      <c r="AD163" t="s">
        <v>27</v>
      </c>
      <c r="AE163" t="s">
        <v>27</v>
      </c>
      <c r="AF163" t="s">
        <v>27</v>
      </c>
      <c r="AG163">
        <v>33.130000000000003</v>
      </c>
    </row>
    <row r="164" spans="1:33" x14ac:dyDescent="0.25">
      <c r="A164" t="s">
        <v>57</v>
      </c>
      <c r="B164" s="3">
        <v>43625</v>
      </c>
      <c r="C164">
        <v>2019160</v>
      </c>
      <c r="D164">
        <v>24.1</v>
      </c>
      <c r="E164" t="s">
        <v>27</v>
      </c>
      <c r="F164">
        <v>7.3</v>
      </c>
      <c r="G164">
        <v>16.399999999999999</v>
      </c>
      <c r="H164">
        <v>-1.7</v>
      </c>
      <c r="I164">
        <v>64.5</v>
      </c>
      <c r="J164">
        <v>18.5</v>
      </c>
      <c r="K164">
        <v>0.7</v>
      </c>
      <c r="L164">
        <v>2.8</v>
      </c>
      <c r="M164">
        <v>0</v>
      </c>
      <c r="N164">
        <v>0</v>
      </c>
      <c r="O164" t="s">
        <v>27</v>
      </c>
      <c r="P164" t="s">
        <v>27</v>
      </c>
      <c r="Q164" t="s">
        <v>27</v>
      </c>
      <c r="R164" t="s">
        <v>27</v>
      </c>
      <c r="S164">
        <v>11</v>
      </c>
      <c r="T164">
        <v>9</v>
      </c>
      <c r="U164">
        <v>8</v>
      </c>
      <c r="V164" t="s">
        <v>27</v>
      </c>
      <c r="W164">
        <v>0.34399999999999997</v>
      </c>
      <c r="X164">
        <v>1.5149999999999999</v>
      </c>
      <c r="Y164" t="s">
        <v>27</v>
      </c>
      <c r="Z164" t="s">
        <v>27</v>
      </c>
      <c r="AA164" t="s">
        <v>27</v>
      </c>
      <c r="AB164" t="s">
        <v>27</v>
      </c>
      <c r="AC164" t="s">
        <v>27</v>
      </c>
      <c r="AD164" t="s">
        <v>27</v>
      </c>
      <c r="AE164" t="s">
        <v>27</v>
      </c>
      <c r="AF164" t="s">
        <v>27</v>
      </c>
      <c r="AG164">
        <v>33.159999999999997</v>
      </c>
    </row>
    <row r="165" spans="1:33" x14ac:dyDescent="0.25">
      <c r="A165" t="s">
        <v>57</v>
      </c>
      <c r="B165" s="3">
        <v>43626</v>
      </c>
      <c r="C165">
        <v>2019161</v>
      </c>
      <c r="D165">
        <v>15.1</v>
      </c>
      <c r="E165" t="s">
        <v>27</v>
      </c>
      <c r="F165">
        <v>7.8</v>
      </c>
      <c r="G165">
        <v>14.1</v>
      </c>
      <c r="H165">
        <v>0.4</v>
      </c>
      <c r="I165">
        <v>75.2</v>
      </c>
      <c r="J165">
        <v>54.5</v>
      </c>
      <c r="K165">
        <v>0.6</v>
      </c>
      <c r="L165">
        <v>3.2</v>
      </c>
      <c r="M165">
        <v>0</v>
      </c>
      <c r="N165">
        <v>0</v>
      </c>
      <c r="O165" t="s">
        <v>27</v>
      </c>
      <c r="P165" t="s">
        <v>27</v>
      </c>
      <c r="Q165" t="s">
        <v>27</v>
      </c>
      <c r="R165" t="s">
        <v>27</v>
      </c>
      <c r="S165">
        <v>10.4</v>
      </c>
      <c r="T165">
        <v>9.5</v>
      </c>
      <c r="U165">
        <v>8.3000000000000007</v>
      </c>
      <c r="V165" t="s">
        <v>27</v>
      </c>
      <c r="W165">
        <v>0.875</v>
      </c>
      <c r="X165">
        <v>0.73099999999999998</v>
      </c>
      <c r="Y165" t="s">
        <v>27</v>
      </c>
      <c r="Z165" t="s">
        <v>27</v>
      </c>
      <c r="AA165" t="s">
        <v>27</v>
      </c>
      <c r="AB165" t="s">
        <v>27</v>
      </c>
      <c r="AC165" t="s">
        <v>27</v>
      </c>
      <c r="AD165" t="s">
        <v>27</v>
      </c>
      <c r="AE165" t="s">
        <v>27</v>
      </c>
      <c r="AF165" t="s">
        <v>27</v>
      </c>
      <c r="AG165">
        <v>33.200000000000003</v>
      </c>
    </row>
    <row r="166" spans="1:33" x14ac:dyDescent="0.25">
      <c r="A166" t="s">
        <v>57</v>
      </c>
      <c r="B166" s="3">
        <v>43627</v>
      </c>
      <c r="C166">
        <v>2019162</v>
      </c>
      <c r="D166" t="s">
        <v>27</v>
      </c>
      <c r="E166" t="s">
        <v>27</v>
      </c>
      <c r="F166">
        <v>12.8</v>
      </c>
      <c r="G166">
        <v>20.399999999999999</v>
      </c>
      <c r="H166">
        <v>4</v>
      </c>
      <c r="I166">
        <v>68.8</v>
      </c>
      <c r="J166">
        <v>39.6</v>
      </c>
      <c r="K166">
        <v>0.6</v>
      </c>
      <c r="L166">
        <v>2.4</v>
      </c>
      <c r="M166">
        <v>0</v>
      </c>
      <c r="N166">
        <v>0</v>
      </c>
      <c r="O166" t="s">
        <v>27</v>
      </c>
      <c r="P166" t="s">
        <v>27</v>
      </c>
      <c r="Q166" t="s">
        <v>27</v>
      </c>
      <c r="R166" t="s">
        <v>27</v>
      </c>
      <c r="S166">
        <v>15.2</v>
      </c>
      <c r="T166">
        <v>10.9</v>
      </c>
      <c r="U166">
        <v>8.4</v>
      </c>
      <c r="V166" t="s">
        <v>27</v>
      </c>
      <c r="W166">
        <v>0.94799999999999995</v>
      </c>
      <c r="X166">
        <v>1.446</v>
      </c>
      <c r="Y166" t="s">
        <v>27</v>
      </c>
      <c r="Z166" t="s">
        <v>27</v>
      </c>
      <c r="AA166" t="s">
        <v>27</v>
      </c>
      <c r="AB166" t="s">
        <v>27</v>
      </c>
      <c r="AC166" t="s">
        <v>27</v>
      </c>
      <c r="AD166" t="s">
        <v>27</v>
      </c>
      <c r="AE166" t="s">
        <v>27</v>
      </c>
      <c r="AF166" t="s">
        <v>27</v>
      </c>
      <c r="AG166">
        <v>33.229999999999997</v>
      </c>
    </row>
    <row r="167" spans="1:33" x14ac:dyDescent="0.25">
      <c r="A167" t="s">
        <v>57</v>
      </c>
      <c r="B167" s="3">
        <v>43628</v>
      </c>
      <c r="C167">
        <v>2019163</v>
      </c>
      <c r="D167" t="s">
        <v>27</v>
      </c>
      <c r="E167" t="s">
        <v>27</v>
      </c>
      <c r="F167">
        <v>15.3</v>
      </c>
      <c r="G167">
        <v>25.4</v>
      </c>
      <c r="H167">
        <v>3.2</v>
      </c>
      <c r="I167">
        <v>62.8</v>
      </c>
      <c r="J167">
        <v>27.2</v>
      </c>
      <c r="K167">
        <v>0.5</v>
      </c>
      <c r="L167">
        <v>2.4</v>
      </c>
      <c r="M167">
        <v>0</v>
      </c>
      <c r="N167">
        <v>0</v>
      </c>
      <c r="O167" t="s">
        <v>27</v>
      </c>
      <c r="P167" t="s">
        <v>27</v>
      </c>
      <c r="Q167" t="s">
        <v>27</v>
      </c>
      <c r="R167" t="s">
        <v>27</v>
      </c>
      <c r="S167">
        <v>16.899999999999999</v>
      </c>
      <c r="T167">
        <v>12.3</v>
      </c>
      <c r="U167">
        <v>9</v>
      </c>
      <c r="V167" t="s">
        <v>27</v>
      </c>
      <c r="W167">
        <v>0.88200000000000001</v>
      </c>
      <c r="X167">
        <v>2.3610000000000002</v>
      </c>
      <c r="Y167" t="s">
        <v>27</v>
      </c>
      <c r="Z167" t="s">
        <v>27</v>
      </c>
      <c r="AA167" t="s">
        <v>27</v>
      </c>
      <c r="AB167" t="s">
        <v>27</v>
      </c>
      <c r="AC167" t="s">
        <v>27</v>
      </c>
      <c r="AD167" t="s">
        <v>27</v>
      </c>
      <c r="AE167" t="s">
        <v>27</v>
      </c>
      <c r="AF167" t="s">
        <v>27</v>
      </c>
      <c r="AG167">
        <v>33.26</v>
      </c>
    </row>
    <row r="168" spans="1:33" x14ac:dyDescent="0.25">
      <c r="A168" t="s">
        <v>57</v>
      </c>
      <c r="B168" s="3">
        <v>43629</v>
      </c>
      <c r="C168">
        <v>2019164</v>
      </c>
      <c r="D168" t="s">
        <v>27</v>
      </c>
      <c r="E168" t="s">
        <v>27</v>
      </c>
      <c r="F168">
        <v>15.9</v>
      </c>
      <c r="G168">
        <v>23.4</v>
      </c>
      <c r="H168">
        <v>7.3</v>
      </c>
      <c r="I168">
        <v>50.7</v>
      </c>
      <c r="J168">
        <v>28.2</v>
      </c>
      <c r="K168">
        <v>1.3</v>
      </c>
      <c r="L168">
        <v>3.8</v>
      </c>
      <c r="M168">
        <v>0</v>
      </c>
      <c r="N168">
        <v>0</v>
      </c>
      <c r="O168" t="s">
        <v>27</v>
      </c>
      <c r="P168" t="s">
        <v>27</v>
      </c>
      <c r="Q168" t="s">
        <v>27</v>
      </c>
      <c r="R168" t="s">
        <v>27</v>
      </c>
      <c r="S168">
        <v>17.399999999999999</v>
      </c>
      <c r="T168">
        <v>13.2</v>
      </c>
      <c r="U168">
        <v>9.6999999999999993</v>
      </c>
      <c r="V168" t="s">
        <v>27</v>
      </c>
      <c r="W168">
        <v>0.81200000000000006</v>
      </c>
      <c r="X168">
        <v>2.0670000000000002</v>
      </c>
      <c r="Y168" t="s">
        <v>27</v>
      </c>
      <c r="Z168" t="s">
        <v>27</v>
      </c>
      <c r="AA168" t="s">
        <v>27</v>
      </c>
      <c r="AB168" t="s">
        <v>27</v>
      </c>
      <c r="AC168" t="s">
        <v>27</v>
      </c>
      <c r="AD168" t="s">
        <v>27</v>
      </c>
      <c r="AE168" t="s">
        <v>27</v>
      </c>
      <c r="AF168" t="s">
        <v>27</v>
      </c>
      <c r="AG168">
        <v>33.29</v>
      </c>
    </row>
    <row r="169" spans="1:33" x14ac:dyDescent="0.25">
      <c r="A169" t="s">
        <v>57</v>
      </c>
      <c r="B169" s="3">
        <v>43630</v>
      </c>
      <c r="C169">
        <v>2019165</v>
      </c>
      <c r="D169" t="s">
        <v>27</v>
      </c>
      <c r="E169" t="s">
        <v>27</v>
      </c>
      <c r="F169">
        <v>13.3</v>
      </c>
      <c r="G169">
        <v>22.5</v>
      </c>
      <c r="H169">
        <v>3.7</v>
      </c>
      <c r="I169">
        <v>54.8</v>
      </c>
      <c r="J169">
        <v>27.9</v>
      </c>
      <c r="K169">
        <v>0.7</v>
      </c>
      <c r="L169">
        <v>2.4</v>
      </c>
      <c r="M169">
        <v>0</v>
      </c>
      <c r="N169">
        <v>0</v>
      </c>
      <c r="O169" t="s">
        <v>27</v>
      </c>
      <c r="P169" t="s">
        <v>27</v>
      </c>
      <c r="Q169" t="s">
        <v>27</v>
      </c>
      <c r="R169" t="s">
        <v>27</v>
      </c>
      <c r="S169">
        <v>18.600000000000001</v>
      </c>
      <c r="T169">
        <v>13.4</v>
      </c>
      <c r="U169">
        <v>10.1</v>
      </c>
      <c r="V169" t="s">
        <v>27</v>
      </c>
      <c r="W169">
        <v>0.75900000000000001</v>
      </c>
      <c r="X169">
        <v>1.9610000000000001</v>
      </c>
      <c r="Y169" t="s">
        <v>27</v>
      </c>
      <c r="Z169" t="s">
        <v>27</v>
      </c>
      <c r="AA169" t="s">
        <v>27</v>
      </c>
      <c r="AB169" t="s">
        <v>27</v>
      </c>
      <c r="AC169" t="s">
        <v>27</v>
      </c>
      <c r="AD169" t="s">
        <v>27</v>
      </c>
      <c r="AE169" t="s">
        <v>27</v>
      </c>
      <c r="AF169" t="s">
        <v>27</v>
      </c>
      <c r="AG169">
        <v>33.31</v>
      </c>
    </row>
    <row r="170" spans="1:33" x14ac:dyDescent="0.25">
      <c r="A170" t="s">
        <v>57</v>
      </c>
      <c r="B170" s="3">
        <v>43631</v>
      </c>
      <c r="C170">
        <v>2019166</v>
      </c>
      <c r="D170" t="s">
        <v>27</v>
      </c>
      <c r="E170" t="s">
        <v>27</v>
      </c>
      <c r="F170">
        <v>13.9</v>
      </c>
      <c r="G170">
        <v>22.7</v>
      </c>
      <c r="H170">
        <v>4.9000000000000004</v>
      </c>
      <c r="I170">
        <v>55.4</v>
      </c>
      <c r="J170">
        <v>23.1</v>
      </c>
      <c r="K170">
        <v>0.6</v>
      </c>
      <c r="L170">
        <v>2.2999999999999998</v>
      </c>
      <c r="M170">
        <v>0</v>
      </c>
      <c r="N170">
        <v>0</v>
      </c>
      <c r="O170" t="s">
        <v>27</v>
      </c>
      <c r="P170">
        <v>15.8</v>
      </c>
      <c r="Q170">
        <v>36.4</v>
      </c>
      <c r="R170">
        <v>3.6</v>
      </c>
      <c r="S170">
        <v>18.899999999999999</v>
      </c>
      <c r="T170">
        <v>13.8</v>
      </c>
      <c r="U170">
        <v>10.5</v>
      </c>
      <c r="V170" t="s">
        <v>27</v>
      </c>
      <c r="W170">
        <v>0.63800000000000001</v>
      </c>
      <c r="X170">
        <v>2.1240000000000001</v>
      </c>
      <c r="Y170" t="s">
        <v>27</v>
      </c>
      <c r="Z170" t="s">
        <v>27</v>
      </c>
      <c r="AA170" t="s">
        <v>27</v>
      </c>
      <c r="AB170" t="s">
        <v>27</v>
      </c>
      <c r="AC170" t="s">
        <v>27</v>
      </c>
      <c r="AD170" t="s">
        <v>27</v>
      </c>
      <c r="AE170" t="s">
        <v>27</v>
      </c>
      <c r="AF170" t="s">
        <v>27</v>
      </c>
      <c r="AG170">
        <v>33.32</v>
      </c>
    </row>
    <row r="171" spans="1:33" x14ac:dyDescent="0.25">
      <c r="A171" t="s">
        <v>57</v>
      </c>
      <c r="B171" s="3">
        <v>43632</v>
      </c>
      <c r="C171">
        <v>2019167</v>
      </c>
      <c r="D171" t="s">
        <v>27</v>
      </c>
      <c r="E171" t="s">
        <v>27</v>
      </c>
      <c r="F171">
        <v>13.8</v>
      </c>
      <c r="G171">
        <v>22.1</v>
      </c>
      <c r="H171">
        <v>4</v>
      </c>
      <c r="I171">
        <v>62.9</v>
      </c>
      <c r="J171">
        <v>28.1</v>
      </c>
      <c r="K171">
        <v>0.5</v>
      </c>
      <c r="L171">
        <v>2.9</v>
      </c>
      <c r="M171">
        <v>0</v>
      </c>
      <c r="N171">
        <v>0</v>
      </c>
      <c r="O171" t="s">
        <v>27</v>
      </c>
      <c r="P171">
        <v>13.7</v>
      </c>
      <c r="Q171">
        <v>31.1</v>
      </c>
      <c r="R171">
        <v>2.2000000000000002</v>
      </c>
      <c r="S171">
        <v>15.7</v>
      </c>
      <c r="T171">
        <v>13</v>
      </c>
      <c r="U171">
        <v>10.7</v>
      </c>
      <c r="V171" t="s">
        <v>27</v>
      </c>
      <c r="W171">
        <v>0.749</v>
      </c>
      <c r="X171">
        <v>1.9159999999999999</v>
      </c>
      <c r="Y171" t="s">
        <v>27</v>
      </c>
      <c r="Z171" t="s">
        <v>27</v>
      </c>
      <c r="AA171" t="s">
        <v>27</v>
      </c>
      <c r="AB171" t="s">
        <v>27</v>
      </c>
      <c r="AC171" t="s">
        <v>27</v>
      </c>
      <c r="AD171" t="s">
        <v>27</v>
      </c>
      <c r="AE171" t="s">
        <v>27</v>
      </c>
      <c r="AF171" t="s">
        <v>27</v>
      </c>
      <c r="AG171">
        <v>33.33</v>
      </c>
    </row>
    <row r="172" spans="1:33" x14ac:dyDescent="0.25">
      <c r="A172" t="s">
        <v>57</v>
      </c>
      <c r="B172" s="3">
        <v>43633</v>
      </c>
      <c r="C172">
        <v>2019168</v>
      </c>
      <c r="D172" t="s">
        <v>27</v>
      </c>
      <c r="E172" t="s">
        <v>27</v>
      </c>
      <c r="F172">
        <v>15.3</v>
      </c>
      <c r="G172">
        <v>24</v>
      </c>
      <c r="H172">
        <v>4.7</v>
      </c>
      <c r="I172">
        <v>55.4</v>
      </c>
      <c r="J172">
        <v>26.4</v>
      </c>
      <c r="K172">
        <v>1.2</v>
      </c>
      <c r="L172">
        <v>4.3</v>
      </c>
      <c r="M172">
        <v>0</v>
      </c>
      <c r="N172">
        <v>0</v>
      </c>
      <c r="O172" t="s">
        <v>27</v>
      </c>
      <c r="P172">
        <v>17.2</v>
      </c>
      <c r="Q172">
        <v>38.5</v>
      </c>
      <c r="R172">
        <v>2.8</v>
      </c>
      <c r="S172">
        <v>20.7</v>
      </c>
      <c r="T172">
        <v>13.9</v>
      </c>
      <c r="U172">
        <v>10.7</v>
      </c>
      <c r="V172" t="s">
        <v>27</v>
      </c>
      <c r="W172">
        <v>0.78700000000000003</v>
      </c>
      <c r="X172">
        <v>2.194</v>
      </c>
      <c r="Y172" t="s">
        <v>27</v>
      </c>
      <c r="Z172" t="s">
        <v>27</v>
      </c>
      <c r="AA172" t="s">
        <v>27</v>
      </c>
      <c r="AB172" t="s">
        <v>27</v>
      </c>
      <c r="AC172" t="s">
        <v>27</v>
      </c>
      <c r="AD172" t="s">
        <v>27</v>
      </c>
      <c r="AE172" t="s">
        <v>27</v>
      </c>
      <c r="AF172" t="s">
        <v>27</v>
      </c>
      <c r="AG172">
        <v>33.340000000000003</v>
      </c>
    </row>
    <row r="173" spans="1:33" x14ac:dyDescent="0.25">
      <c r="A173" t="s">
        <v>57</v>
      </c>
      <c r="B173" s="3">
        <v>43634</v>
      </c>
      <c r="C173">
        <v>2019169</v>
      </c>
      <c r="D173" t="s">
        <v>27</v>
      </c>
      <c r="E173" t="s">
        <v>27</v>
      </c>
      <c r="F173">
        <v>12.5</v>
      </c>
      <c r="G173">
        <v>19.7</v>
      </c>
      <c r="H173">
        <v>5.7</v>
      </c>
      <c r="I173">
        <v>51.8</v>
      </c>
      <c r="J173">
        <v>24.2</v>
      </c>
      <c r="K173">
        <v>1.6</v>
      </c>
      <c r="L173">
        <v>4.2</v>
      </c>
      <c r="M173">
        <v>0</v>
      </c>
      <c r="N173">
        <v>0</v>
      </c>
      <c r="O173" t="s">
        <v>27</v>
      </c>
      <c r="P173">
        <v>14.6</v>
      </c>
      <c r="Q173">
        <v>36.1</v>
      </c>
      <c r="R173">
        <v>3.5</v>
      </c>
      <c r="S173">
        <v>19.899999999999999</v>
      </c>
      <c r="T173">
        <v>14.4</v>
      </c>
      <c r="U173">
        <v>11.1</v>
      </c>
      <c r="V173" t="s">
        <v>27</v>
      </c>
      <c r="W173">
        <v>0.55600000000000005</v>
      </c>
      <c r="X173">
        <v>1.742</v>
      </c>
      <c r="Y173" t="s">
        <v>27</v>
      </c>
      <c r="Z173" t="s">
        <v>27</v>
      </c>
      <c r="AA173" t="s">
        <v>27</v>
      </c>
      <c r="AB173" t="s">
        <v>27</v>
      </c>
      <c r="AC173" t="s">
        <v>27</v>
      </c>
      <c r="AD173" t="s">
        <v>27</v>
      </c>
      <c r="AE173" t="s">
        <v>27</v>
      </c>
      <c r="AF173" t="s">
        <v>27</v>
      </c>
      <c r="AG173">
        <v>33.35</v>
      </c>
    </row>
    <row r="174" spans="1:33" x14ac:dyDescent="0.25">
      <c r="A174" t="s">
        <v>57</v>
      </c>
      <c r="B174" s="3">
        <v>43635</v>
      </c>
      <c r="C174">
        <v>2019170</v>
      </c>
      <c r="D174" t="s">
        <v>27</v>
      </c>
      <c r="E174" t="s">
        <v>27</v>
      </c>
      <c r="F174">
        <v>4.4000000000000004</v>
      </c>
      <c r="G174">
        <v>9.4</v>
      </c>
      <c r="H174">
        <v>0.9</v>
      </c>
      <c r="I174">
        <v>78.8</v>
      </c>
      <c r="J174">
        <v>49.7</v>
      </c>
      <c r="K174">
        <v>1</v>
      </c>
      <c r="L174">
        <v>3.4</v>
      </c>
      <c r="M174">
        <v>6.6</v>
      </c>
      <c r="N174">
        <v>0</v>
      </c>
      <c r="O174" t="s">
        <v>27</v>
      </c>
      <c r="P174">
        <v>5.4</v>
      </c>
      <c r="Q174">
        <v>16.899999999999999</v>
      </c>
      <c r="R174">
        <v>-0.8</v>
      </c>
      <c r="S174">
        <v>11</v>
      </c>
      <c r="T174">
        <v>12.6</v>
      </c>
      <c r="U174">
        <v>11.2</v>
      </c>
      <c r="V174" t="s">
        <v>27</v>
      </c>
      <c r="W174">
        <v>0.58399999999999996</v>
      </c>
      <c r="X174">
        <v>0.59099999999999997</v>
      </c>
      <c r="Y174" t="s">
        <v>27</v>
      </c>
      <c r="Z174" t="s">
        <v>27</v>
      </c>
      <c r="AA174" t="s">
        <v>27</v>
      </c>
      <c r="AB174" t="s">
        <v>27</v>
      </c>
      <c r="AC174" t="s">
        <v>27</v>
      </c>
      <c r="AD174" t="s">
        <v>27</v>
      </c>
      <c r="AE174" t="s">
        <v>27</v>
      </c>
      <c r="AF174" t="s">
        <v>27</v>
      </c>
      <c r="AG174">
        <v>33.35</v>
      </c>
    </row>
    <row r="175" spans="1:33" x14ac:dyDescent="0.25">
      <c r="A175" t="s">
        <v>57</v>
      </c>
      <c r="B175" s="3">
        <v>43636</v>
      </c>
      <c r="C175">
        <v>2019171</v>
      </c>
      <c r="D175" t="s">
        <v>27</v>
      </c>
      <c r="E175" t="s">
        <v>27</v>
      </c>
      <c r="F175">
        <v>2.5</v>
      </c>
      <c r="G175">
        <v>4.5</v>
      </c>
      <c r="H175">
        <v>1.2</v>
      </c>
      <c r="I175">
        <v>91.2</v>
      </c>
      <c r="J175">
        <v>73.7</v>
      </c>
      <c r="K175">
        <v>0.4</v>
      </c>
      <c r="L175">
        <v>3.2</v>
      </c>
      <c r="M175">
        <v>18.8</v>
      </c>
      <c r="N175">
        <v>0</v>
      </c>
      <c r="O175" t="s">
        <v>27</v>
      </c>
      <c r="P175">
        <v>1.7</v>
      </c>
      <c r="Q175">
        <v>7.6</v>
      </c>
      <c r="R175">
        <v>-0.9</v>
      </c>
      <c r="S175">
        <v>5.2</v>
      </c>
      <c r="T175">
        <v>9.5</v>
      </c>
      <c r="U175">
        <v>10.4</v>
      </c>
      <c r="V175" t="s">
        <v>27</v>
      </c>
      <c r="W175">
        <v>0.61899999999999999</v>
      </c>
      <c r="X175">
        <v>0.221</v>
      </c>
      <c r="Y175" t="s">
        <v>27</v>
      </c>
      <c r="Z175" t="s">
        <v>27</v>
      </c>
      <c r="AA175" t="s">
        <v>27</v>
      </c>
      <c r="AB175" t="s">
        <v>27</v>
      </c>
      <c r="AC175" t="s">
        <v>27</v>
      </c>
      <c r="AD175" t="s">
        <v>27</v>
      </c>
      <c r="AE175" t="s">
        <v>27</v>
      </c>
      <c r="AF175" t="s">
        <v>27</v>
      </c>
      <c r="AG175">
        <v>33.340000000000003</v>
      </c>
    </row>
    <row r="176" spans="1:33" x14ac:dyDescent="0.25">
      <c r="A176" t="s">
        <v>57</v>
      </c>
      <c r="B176" s="3">
        <v>43637</v>
      </c>
      <c r="C176">
        <v>2019172</v>
      </c>
      <c r="D176" t="s">
        <v>27</v>
      </c>
      <c r="E176" t="s">
        <v>27</v>
      </c>
      <c r="F176">
        <v>8.5</v>
      </c>
      <c r="G176">
        <v>15.8</v>
      </c>
      <c r="H176">
        <v>3.5</v>
      </c>
      <c r="I176">
        <v>78.400000000000006</v>
      </c>
      <c r="J176">
        <v>44.3</v>
      </c>
      <c r="K176">
        <v>1.2</v>
      </c>
      <c r="L176">
        <v>3.8</v>
      </c>
      <c r="M176">
        <v>0</v>
      </c>
      <c r="N176">
        <v>0</v>
      </c>
      <c r="O176" t="s">
        <v>27</v>
      </c>
      <c r="P176">
        <v>8.9</v>
      </c>
      <c r="Q176">
        <v>22.9</v>
      </c>
      <c r="R176">
        <v>1.4</v>
      </c>
      <c r="S176">
        <v>12.9</v>
      </c>
      <c r="T176">
        <v>9.8000000000000007</v>
      </c>
      <c r="U176">
        <v>9.4</v>
      </c>
      <c r="V176" t="s">
        <v>27</v>
      </c>
      <c r="W176">
        <v>0.79200000000000004</v>
      </c>
      <c r="X176">
        <v>0.996</v>
      </c>
      <c r="Y176" t="s">
        <v>27</v>
      </c>
      <c r="Z176" t="s">
        <v>27</v>
      </c>
      <c r="AA176" t="s">
        <v>27</v>
      </c>
      <c r="AB176" t="s">
        <v>27</v>
      </c>
      <c r="AC176" t="s">
        <v>27</v>
      </c>
      <c r="AD176" t="s">
        <v>27</v>
      </c>
      <c r="AE176" t="s">
        <v>27</v>
      </c>
      <c r="AF176" t="s">
        <v>27</v>
      </c>
      <c r="AG176">
        <v>33.33</v>
      </c>
    </row>
    <row r="177" spans="1:33" x14ac:dyDescent="0.25">
      <c r="A177" t="s">
        <v>57</v>
      </c>
      <c r="B177" s="3">
        <v>43638</v>
      </c>
      <c r="C177">
        <v>2019173</v>
      </c>
      <c r="D177" t="s">
        <v>27</v>
      </c>
      <c r="E177" t="s">
        <v>27</v>
      </c>
      <c r="F177">
        <v>9.3000000000000007</v>
      </c>
      <c r="G177">
        <v>15.9</v>
      </c>
      <c r="H177">
        <v>2.7</v>
      </c>
      <c r="I177">
        <v>74.900000000000006</v>
      </c>
      <c r="J177">
        <v>44.6</v>
      </c>
      <c r="K177">
        <v>0.9</v>
      </c>
      <c r="L177">
        <v>3.7</v>
      </c>
      <c r="M177">
        <v>0</v>
      </c>
      <c r="N177">
        <v>0</v>
      </c>
      <c r="O177" t="s">
        <v>27</v>
      </c>
      <c r="P177">
        <v>9.1999999999999993</v>
      </c>
      <c r="Q177">
        <v>23.5</v>
      </c>
      <c r="R177">
        <v>0.8</v>
      </c>
      <c r="S177">
        <v>12.7</v>
      </c>
      <c r="T177">
        <v>11.2</v>
      </c>
      <c r="U177">
        <v>9.6999999999999993</v>
      </c>
      <c r="V177" t="s">
        <v>27</v>
      </c>
      <c r="W177">
        <v>0.80700000000000005</v>
      </c>
      <c r="X177">
        <v>1.002</v>
      </c>
      <c r="Y177" t="s">
        <v>27</v>
      </c>
      <c r="Z177" t="s">
        <v>27</v>
      </c>
      <c r="AA177" t="s">
        <v>27</v>
      </c>
      <c r="AB177" t="s">
        <v>27</v>
      </c>
      <c r="AC177" t="s">
        <v>27</v>
      </c>
      <c r="AD177" t="s">
        <v>27</v>
      </c>
      <c r="AE177" t="s">
        <v>27</v>
      </c>
      <c r="AF177" t="s">
        <v>27</v>
      </c>
      <c r="AG177">
        <v>33.32</v>
      </c>
    </row>
    <row r="178" spans="1:33" x14ac:dyDescent="0.25">
      <c r="A178" t="s">
        <v>57</v>
      </c>
      <c r="B178" s="3">
        <v>43639</v>
      </c>
      <c r="C178">
        <v>2019174</v>
      </c>
      <c r="D178" t="s">
        <v>27</v>
      </c>
      <c r="E178" t="s">
        <v>27</v>
      </c>
      <c r="F178">
        <v>8</v>
      </c>
      <c r="G178">
        <v>14.1</v>
      </c>
      <c r="H178">
        <v>4.8</v>
      </c>
      <c r="I178">
        <v>74.7</v>
      </c>
      <c r="J178">
        <v>30</v>
      </c>
      <c r="K178">
        <v>1</v>
      </c>
      <c r="L178">
        <v>3.3</v>
      </c>
      <c r="M178">
        <v>2.2999999999999998</v>
      </c>
      <c r="N178">
        <v>0</v>
      </c>
      <c r="O178" t="s">
        <v>27</v>
      </c>
      <c r="P178">
        <v>7.4</v>
      </c>
      <c r="Q178">
        <v>18.2</v>
      </c>
      <c r="R178">
        <v>3</v>
      </c>
      <c r="S178">
        <v>11.5</v>
      </c>
      <c r="T178">
        <v>11</v>
      </c>
      <c r="U178">
        <v>9.9</v>
      </c>
      <c r="V178" t="s">
        <v>27</v>
      </c>
      <c r="W178">
        <v>0.48299999999999998</v>
      </c>
      <c r="X178">
        <v>1.127</v>
      </c>
      <c r="Y178" t="s">
        <v>27</v>
      </c>
      <c r="Z178" t="s">
        <v>27</v>
      </c>
      <c r="AA178" t="s">
        <v>27</v>
      </c>
      <c r="AB178" t="s">
        <v>27</v>
      </c>
      <c r="AC178" t="s">
        <v>27</v>
      </c>
      <c r="AD178" t="s">
        <v>27</v>
      </c>
      <c r="AE178" t="s">
        <v>27</v>
      </c>
      <c r="AF178" t="s">
        <v>27</v>
      </c>
      <c r="AG178">
        <v>33.299999999999997</v>
      </c>
    </row>
    <row r="179" spans="1:33" x14ac:dyDescent="0.25">
      <c r="A179" t="s">
        <v>57</v>
      </c>
      <c r="B179" s="3">
        <v>43640</v>
      </c>
      <c r="C179">
        <v>2019175</v>
      </c>
      <c r="D179" t="s">
        <v>27</v>
      </c>
      <c r="E179" t="s">
        <v>27</v>
      </c>
      <c r="F179">
        <v>6.7</v>
      </c>
      <c r="G179">
        <v>13.1</v>
      </c>
      <c r="H179">
        <v>1.3</v>
      </c>
      <c r="I179">
        <v>84</v>
      </c>
      <c r="J179">
        <v>50.7</v>
      </c>
      <c r="K179">
        <v>0.4</v>
      </c>
      <c r="L179">
        <v>1.8</v>
      </c>
      <c r="M179">
        <v>5.8</v>
      </c>
      <c r="N179">
        <v>0</v>
      </c>
      <c r="O179" t="s">
        <v>27</v>
      </c>
      <c r="P179">
        <v>6.7</v>
      </c>
      <c r="Q179">
        <v>21.5</v>
      </c>
      <c r="R179">
        <v>0.3</v>
      </c>
      <c r="S179">
        <v>11</v>
      </c>
      <c r="T179">
        <v>10.6</v>
      </c>
      <c r="U179">
        <v>9.8000000000000007</v>
      </c>
      <c r="V179" t="s">
        <v>27</v>
      </c>
      <c r="W179">
        <v>0.76500000000000001</v>
      </c>
      <c r="X179">
        <v>0.74399999999999999</v>
      </c>
      <c r="Y179" t="s">
        <v>27</v>
      </c>
      <c r="Z179" t="s">
        <v>27</v>
      </c>
      <c r="AA179" t="s">
        <v>27</v>
      </c>
      <c r="AB179" t="s">
        <v>27</v>
      </c>
      <c r="AC179" t="s">
        <v>27</v>
      </c>
      <c r="AD179" t="s">
        <v>27</v>
      </c>
      <c r="AE179" t="s">
        <v>27</v>
      </c>
      <c r="AF179" t="s">
        <v>27</v>
      </c>
      <c r="AG179">
        <v>33.270000000000003</v>
      </c>
    </row>
    <row r="180" spans="1:33" x14ac:dyDescent="0.25">
      <c r="A180" t="s">
        <v>57</v>
      </c>
      <c r="B180" s="3">
        <v>43641</v>
      </c>
      <c r="C180">
        <v>2019176</v>
      </c>
      <c r="D180" t="s">
        <v>27</v>
      </c>
      <c r="E180" t="s">
        <v>27</v>
      </c>
      <c r="F180">
        <v>7.7</v>
      </c>
      <c r="G180">
        <v>14.7</v>
      </c>
      <c r="H180">
        <v>1</v>
      </c>
      <c r="I180">
        <v>76.400000000000006</v>
      </c>
      <c r="J180">
        <v>39.700000000000003</v>
      </c>
      <c r="K180">
        <v>0.4</v>
      </c>
      <c r="L180">
        <v>2.4</v>
      </c>
      <c r="M180">
        <v>0.5</v>
      </c>
      <c r="N180">
        <v>0</v>
      </c>
      <c r="O180" t="s">
        <v>27</v>
      </c>
      <c r="P180">
        <v>7.2</v>
      </c>
      <c r="Q180">
        <v>22</v>
      </c>
      <c r="R180">
        <v>-0.3</v>
      </c>
      <c r="S180">
        <v>10.5</v>
      </c>
      <c r="T180">
        <v>10.199999999999999</v>
      </c>
      <c r="U180">
        <v>9.6</v>
      </c>
      <c r="V180" t="s">
        <v>27</v>
      </c>
      <c r="W180">
        <v>0.66400000000000003</v>
      </c>
      <c r="X180">
        <v>1.0089999999999999</v>
      </c>
      <c r="Y180" t="s">
        <v>27</v>
      </c>
      <c r="Z180" t="s">
        <v>27</v>
      </c>
      <c r="AA180" t="s">
        <v>27</v>
      </c>
      <c r="AB180" t="s">
        <v>27</v>
      </c>
      <c r="AC180" t="s">
        <v>27</v>
      </c>
      <c r="AD180" t="s">
        <v>27</v>
      </c>
      <c r="AE180" t="s">
        <v>27</v>
      </c>
      <c r="AF180" t="s">
        <v>27</v>
      </c>
      <c r="AG180">
        <v>33.25</v>
      </c>
    </row>
    <row r="181" spans="1:33" x14ac:dyDescent="0.25">
      <c r="A181" t="s">
        <v>57</v>
      </c>
      <c r="B181" s="3">
        <v>43642</v>
      </c>
      <c r="C181">
        <v>2019177</v>
      </c>
      <c r="D181" t="s">
        <v>27</v>
      </c>
      <c r="E181" t="s">
        <v>27</v>
      </c>
      <c r="F181">
        <v>10.4</v>
      </c>
      <c r="G181">
        <v>18.2</v>
      </c>
      <c r="H181">
        <v>0.1</v>
      </c>
      <c r="I181">
        <v>67.5</v>
      </c>
      <c r="J181">
        <v>31.6</v>
      </c>
      <c r="K181">
        <v>0.7</v>
      </c>
      <c r="L181">
        <v>2.2999999999999998</v>
      </c>
      <c r="M181">
        <v>5.6</v>
      </c>
      <c r="N181">
        <v>0</v>
      </c>
      <c r="O181" t="s">
        <v>27</v>
      </c>
      <c r="P181">
        <v>10.4</v>
      </c>
      <c r="Q181">
        <v>27.8</v>
      </c>
      <c r="R181">
        <v>-1.1000000000000001</v>
      </c>
      <c r="S181">
        <v>13.1</v>
      </c>
      <c r="T181">
        <v>10.9</v>
      </c>
      <c r="U181">
        <v>9.5</v>
      </c>
      <c r="V181" t="s">
        <v>27</v>
      </c>
      <c r="W181">
        <v>0.66100000000000003</v>
      </c>
      <c r="X181">
        <v>1.431</v>
      </c>
      <c r="Y181" t="s">
        <v>27</v>
      </c>
      <c r="Z181" t="s">
        <v>27</v>
      </c>
      <c r="AA181" t="s">
        <v>27</v>
      </c>
      <c r="AB181" t="s">
        <v>27</v>
      </c>
      <c r="AC181" t="s">
        <v>27</v>
      </c>
      <c r="AD181" t="s">
        <v>27</v>
      </c>
      <c r="AE181" t="s">
        <v>27</v>
      </c>
      <c r="AF181" t="s">
        <v>27</v>
      </c>
      <c r="AG181">
        <v>33.22</v>
      </c>
    </row>
    <row r="182" spans="1:33" x14ac:dyDescent="0.25">
      <c r="A182" t="s">
        <v>57</v>
      </c>
      <c r="B182" s="3">
        <v>43643</v>
      </c>
      <c r="C182">
        <v>2019178</v>
      </c>
      <c r="D182" t="s">
        <v>27</v>
      </c>
      <c r="E182" t="s">
        <v>27</v>
      </c>
      <c r="F182">
        <v>8.8000000000000007</v>
      </c>
      <c r="G182">
        <v>15.7</v>
      </c>
      <c r="H182">
        <v>4.5</v>
      </c>
      <c r="I182">
        <v>80.2</v>
      </c>
      <c r="J182">
        <v>38.9</v>
      </c>
      <c r="K182">
        <v>0.8</v>
      </c>
      <c r="L182">
        <v>2.6</v>
      </c>
      <c r="M182">
        <v>11.9</v>
      </c>
      <c r="N182">
        <v>0</v>
      </c>
      <c r="O182" t="s">
        <v>27</v>
      </c>
      <c r="P182">
        <v>9.1</v>
      </c>
      <c r="Q182">
        <v>22.7</v>
      </c>
      <c r="R182">
        <v>4</v>
      </c>
      <c r="S182">
        <v>12.8</v>
      </c>
      <c r="T182">
        <v>11.5</v>
      </c>
      <c r="U182">
        <v>9.8000000000000007</v>
      </c>
      <c r="V182" t="s">
        <v>27</v>
      </c>
      <c r="W182">
        <v>0.69299999999999995</v>
      </c>
      <c r="X182">
        <v>1.0880000000000001</v>
      </c>
      <c r="Y182" t="s">
        <v>27</v>
      </c>
      <c r="Z182" t="s">
        <v>27</v>
      </c>
      <c r="AA182" t="s">
        <v>27</v>
      </c>
      <c r="AB182" t="s">
        <v>27</v>
      </c>
      <c r="AC182" t="s">
        <v>27</v>
      </c>
      <c r="AD182" t="s">
        <v>27</v>
      </c>
      <c r="AE182" t="s">
        <v>27</v>
      </c>
      <c r="AF182" t="s">
        <v>27</v>
      </c>
      <c r="AG182">
        <v>33.18</v>
      </c>
    </row>
    <row r="183" spans="1:33" x14ac:dyDescent="0.25">
      <c r="A183" t="s">
        <v>57</v>
      </c>
      <c r="B183" s="3">
        <v>43644</v>
      </c>
      <c r="C183">
        <v>2019179</v>
      </c>
      <c r="D183" t="s">
        <v>27</v>
      </c>
      <c r="E183" t="s">
        <v>27</v>
      </c>
      <c r="F183">
        <v>7.1</v>
      </c>
      <c r="G183">
        <v>13.9</v>
      </c>
      <c r="H183">
        <v>0.1</v>
      </c>
      <c r="I183">
        <v>81</v>
      </c>
      <c r="J183">
        <v>44.1</v>
      </c>
      <c r="K183">
        <v>0.8</v>
      </c>
      <c r="L183">
        <v>3.9</v>
      </c>
      <c r="M183">
        <v>1.3</v>
      </c>
      <c r="N183">
        <v>0</v>
      </c>
      <c r="O183" t="s">
        <v>27</v>
      </c>
      <c r="P183">
        <v>8.6</v>
      </c>
      <c r="Q183">
        <v>22.6</v>
      </c>
      <c r="R183">
        <v>-0.9</v>
      </c>
      <c r="S183">
        <v>13.2</v>
      </c>
      <c r="T183">
        <v>11.4</v>
      </c>
      <c r="U183">
        <v>9.9</v>
      </c>
      <c r="V183" t="s">
        <v>27</v>
      </c>
      <c r="W183">
        <v>0.7</v>
      </c>
      <c r="X183">
        <v>0.88700000000000001</v>
      </c>
      <c r="Y183" t="s">
        <v>27</v>
      </c>
      <c r="Z183" t="s">
        <v>27</v>
      </c>
      <c r="AA183" t="s">
        <v>27</v>
      </c>
      <c r="AB183" t="s">
        <v>27</v>
      </c>
      <c r="AC183" t="s">
        <v>27</v>
      </c>
      <c r="AD183" t="s">
        <v>27</v>
      </c>
      <c r="AE183" t="s">
        <v>27</v>
      </c>
      <c r="AF183" t="s">
        <v>27</v>
      </c>
      <c r="AG183">
        <v>33.14</v>
      </c>
    </row>
    <row r="184" spans="1:33" x14ac:dyDescent="0.25">
      <c r="A184" t="s">
        <v>57</v>
      </c>
      <c r="B184" s="3">
        <v>43645</v>
      </c>
      <c r="C184">
        <v>2019180</v>
      </c>
      <c r="D184" t="s">
        <v>27</v>
      </c>
      <c r="E184" t="s">
        <v>27</v>
      </c>
      <c r="F184">
        <v>7.5</v>
      </c>
      <c r="G184">
        <v>14.6</v>
      </c>
      <c r="H184">
        <v>-1.1000000000000001</v>
      </c>
      <c r="I184">
        <v>74.099999999999994</v>
      </c>
      <c r="J184">
        <v>47.2</v>
      </c>
      <c r="K184">
        <v>0.5</v>
      </c>
      <c r="L184">
        <v>2.5</v>
      </c>
      <c r="M184">
        <v>0</v>
      </c>
      <c r="N184">
        <v>0</v>
      </c>
      <c r="O184" t="s">
        <v>27</v>
      </c>
      <c r="P184" t="s">
        <v>27</v>
      </c>
      <c r="Q184" t="s">
        <v>27</v>
      </c>
      <c r="R184" t="s">
        <v>27</v>
      </c>
      <c r="S184">
        <v>10.3</v>
      </c>
      <c r="T184">
        <v>10.6</v>
      </c>
      <c r="U184">
        <v>9.9</v>
      </c>
      <c r="V184" t="s">
        <v>27</v>
      </c>
      <c r="W184">
        <v>0.78300000000000003</v>
      </c>
      <c r="X184">
        <v>0.876</v>
      </c>
      <c r="Y184" t="s">
        <v>27</v>
      </c>
      <c r="Z184" t="s">
        <v>27</v>
      </c>
      <c r="AA184" t="s">
        <v>27</v>
      </c>
      <c r="AB184" t="s">
        <v>27</v>
      </c>
      <c r="AC184" t="s">
        <v>27</v>
      </c>
      <c r="AD184" t="s">
        <v>27</v>
      </c>
      <c r="AE184" t="s">
        <v>27</v>
      </c>
      <c r="AF184" t="s">
        <v>27</v>
      </c>
      <c r="AG184">
        <v>33.1</v>
      </c>
    </row>
    <row r="185" spans="1:33" x14ac:dyDescent="0.25">
      <c r="A185" t="s">
        <v>57</v>
      </c>
      <c r="B185" s="3">
        <v>43646</v>
      </c>
      <c r="C185">
        <v>2019181</v>
      </c>
      <c r="D185" t="s">
        <v>27</v>
      </c>
      <c r="E185" t="s">
        <v>27</v>
      </c>
      <c r="F185">
        <v>10.4</v>
      </c>
      <c r="G185">
        <v>19.3</v>
      </c>
      <c r="H185">
        <v>1</v>
      </c>
      <c r="I185">
        <v>68.400000000000006</v>
      </c>
      <c r="J185">
        <v>33.6</v>
      </c>
      <c r="K185">
        <v>0.4</v>
      </c>
      <c r="L185">
        <v>1.7</v>
      </c>
      <c r="M185">
        <v>0</v>
      </c>
      <c r="N185">
        <v>0</v>
      </c>
      <c r="O185" t="s">
        <v>27</v>
      </c>
      <c r="P185" t="s">
        <v>27</v>
      </c>
      <c r="Q185" t="s">
        <v>27</v>
      </c>
      <c r="R185" t="s">
        <v>27</v>
      </c>
      <c r="S185">
        <v>11.9</v>
      </c>
      <c r="T185">
        <v>10.7</v>
      </c>
      <c r="U185">
        <v>9.6999999999999993</v>
      </c>
      <c r="V185" t="s">
        <v>27</v>
      </c>
      <c r="W185">
        <v>0.751</v>
      </c>
      <c r="X185">
        <v>1.484</v>
      </c>
      <c r="Y185" t="s">
        <v>27</v>
      </c>
      <c r="Z185" t="s">
        <v>27</v>
      </c>
      <c r="AA185" t="s">
        <v>27</v>
      </c>
      <c r="AB185" t="s">
        <v>27</v>
      </c>
      <c r="AC185" t="s">
        <v>27</v>
      </c>
      <c r="AD185" t="s">
        <v>27</v>
      </c>
      <c r="AE185" t="s">
        <v>27</v>
      </c>
      <c r="AF185" t="s">
        <v>27</v>
      </c>
      <c r="AG185">
        <v>33.049999999999997</v>
      </c>
    </row>
    <row r="186" spans="1:33" x14ac:dyDescent="0.25">
      <c r="A186" t="s">
        <v>57</v>
      </c>
      <c r="B186" s="3">
        <v>43647</v>
      </c>
      <c r="C186">
        <v>2019182</v>
      </c>
      <c r="D186" t="s">
        <v>27</v>
      </c>
      <c r="E186" t="s">
        <v>27</v>
      </c>
      <c r="F186">
        <v>13.2</v>
      </c>
      <c r="G186">
        <v>21.8</v>
      </c>
      <c r="H186">
        <v>1.9</v>
      </c>
      <c r="I186">
        <v>58.2</v>
      </c>
      <c r="J186">
        <v>24.6</v>
      </c>
      <c r="K186">
        <v>0.7</v>
      </c>
      <c r="L186">
        <v>3.4</v>
      </c>
      <c r="M186">
        <v>0</v>
      </c>
      <c r="N186">
        <v>0</v>
      </c>
      <c r="O186" t="s">
        <v>27</v>
      </c>
      <c r="P186" t="s">
        <v>27</v>
      </c>
      <c r="Q186" t="s">
        <v>27</v>
      </c>
      <c r="R186" t="s">
        <v>27</v>
      </c>
      <c r="S186">
        <v>15.2</v>
      </c>
      <c r="T186">
        <v>11.9</v>
      </c>
      <c r="U186">
        <v>9.8000000000000007</v>
      </c>
      <c r="V186" t="s">
        <v>27</v>
      </c>
      <c r="W186">
        <v>0.64200000000000002</v>
      </c>
      <c r="X186">
        <v>1.968</v>
      </c>
      <c r="Y186" t="s">
        <v>27</v>
      </c>
      <c r="Z186" t="s">
        <v>27</v>
      </c>
      <c r="AA186" t="s">
        <v>27</v>
      </c>
      <c r="AB186" t="s">
        <v>27</v>
      </c>
      <c r="AC186" t="s">
        <v>27</v>
      </c>
      <c r="AD186" t="s">
        <v>27</v>
      </c>
      <c r="AE186" t="s">
        <v>27</v>
      </c>
      <c r="AF186" t="s">
        <v>27</v>
      </c>
      <c r="AG186">
        <v>33</v>
      </c>
    </row>
    <row r="187" spans="1:33" x14ac:dyDescent="0.25">
      <c r="A187" t="s">
        <v>57</v>
      </c>
      <c r="B187" s="3">
        <v>43648</v>
      </c>
      <c r="C187">
        <v>2019183</v>
      </c>
      <c r="D187" t="s">
        <v>27</v>
      </c>
      <c r="E187" t="s">
        <v>27</v>
      </c>
      <c r="F187">
        <v>11</v>
      </c>
      <c r="G187">
        <v>16</v>
      </c>
      <c r="H187">
        <v>6.1</v>
      </c>
      <c r="I187">
        <v>74.8</v>
      </c>
      <c r="J187">
        <v>49.9</v>
      </c>
      <c r="K187">
        <v>0.6</v>
      </c>
      <c r="L187">
        <v>1.9</v>
      </c>
      <c r="M187">
        <v>0</v>
      </c>
      <c r="N187">
        <v>0</v>
      </c>
      <c r="O187" t="s">
        <v>27</v>
      </c>
      <c r="P187">
        <v>11.5</v>
      </c>
      <c r="Q187">
        <v>21.2</v>
      </c>
      <c r="R187">
        <v>5.9</v>
      </c>
      <c r="S187">
        <v>13.5</v>
      </c>
      <c r="T187">
        <v>12.2</v>
      </c>
      <c r="U187">
        <v>10.3</v>
      </c>
      <c r="V187" t="s">
        <v>27</v>
      </c>
      <c r="W187">
        <v>0.90800000000000003</v>
      </c>
      <c r="X187">
        <v>0.91200000000000003</v>
      </c>
      <c r="Y187" t="s">
        <v>27</v>
      </c>
      <c r="Z187" t="s">
        <v>27</v>
      </c>
      <c r="AA187" t="s">
        <v>27</v>
      </c>
      <c r="AB187" t="s">
        <v>27</v>
      </c>
      <c r="AC187" t="s">
        <v>27</v>
      </c>
      <c r="AD187" t="s">
        <v>27</v>
      </c>
      <c r="AE187" t="s">
        <v>27</v>
      </c>
      <c r="AF187" t="s">
        <v>27</v>
      </c>
      <c r="AG187">
        <v>32.950000000000003</v>
      </c>
    </row>
    <row r="188" spans="1:33" x14ac:dyDescent="0.25">
      <c r="A188" t="s">
        <v>57</v>
      </c>
      <c r="B188" s="3">
        <v>43649</v>
      </c>
      <c r="C188">
        <v>2019184</v>
      </c>
      <c r="D188" t="s">
        <v>27</v>
      </c>
      <c r="E188" t="s">
        <v>27</v>
      </c>
      <c r="F188">
        <v>12.7</v>
      </c>
      <c r="G188">
        <v>20.5</v>
      </c>
      <c r="H188">
        <v>2</v>
      </c>
      <c r="I188">
        <v>61.5</v>
      </c>
      <c r="J188">
        <v>27.5</v>
      </c>
      <c r="K188">
        <v>0.6</v>
      </c>
      <c r="L188">
        <v>2.5</v>
      </c>
      <c r="M188">
        <v>0</v>
      </c>
      <c r="N188">
        <v>0</v>
      </c>
      <c r="O188" t="s">
        <v>27</v>
      </c>
      <c r="P188">
        <v>13.7</v>
      </c>
      <c r="Q188">
        <v>31.8</v>
      </c>
      <c r="R188">
        <v>0.9</v>
      </c>
      <c r="S188">
        <v>15.5</v>
      </c>
      <c r="T188">
        <v>12.2</v>
      </c>
      <c r="U188">
        <v>10.3</v>
      </c>
      <c r="V188" t="s">
        <v>27</v>
      </c>
      <c r="W188">
        <v>0.66100000000000003</v>
      </c>
      <c r="X188">
        <v>1.7430000000000001</v>
      </c>
      <c r="Y188" t="s">
        <v>27</v>
      </c>
      <c r="Z188" t="s">
        <v>27</v>
      </c>
      <c r="AA188" t="s">
        <v>27</v>
      </c>
      <c r="AB188" t="s">
        <v>27</v>
      </c>
      <c r="AC188" t="s">
        <v>27</v>
      </c>
      <c r="AD188" t="s">
        <v>27</v>
      </c>
      <c r="AE188" t="s">
        <v>27</v>
      </c>
      <c r="AF188" t="s">
        <v>27</v>
      </c>
      <c r="AG188">
        <v>32.9</v>
      </c>
    </row>
    <row r="189" spans="1:33" x14ac:dyDescent="0.25">
      <c r="A189" t="s">
        <v>57</v>
      </c>
      <c r="B189" s="3">
        <v>43650</v>
      </c>
      <c r="C189">
        <v>2019185</v>
      </c>
      <c r="D189" t="s">
        <v>27</v>
      </c>
      <c r="E189" t="s">
        <v>27</v>
      </c>
      <c r="F189">
        <v>11.5</v>
      </c>
      <c r="G189">
        <v>16.3</v>
      </c>
      <c r="H189">
        <v>7.9</v>
      </c>
      <c r="I189">
        <v>77.2</v>
      </c>
      <c r="J189">
        <v>54.5</v>
      </c>
      <c r="K189">
        <v>0.7</v>
      </c>
      <c r="L189">
        <v>2.8</v>
      </c>
      <c r="M189">
        <v>0</v>
      </c>
      <c r="N189">
        <v>0</v>
      </c>
      <c r="O189" t="s">
        <v>27</v>
      </c>
      <c r="P189">
        <v>11.6</v>
      </c>
      <c r="Q189">
        <v>22.1</v>
      </c>
      <c r="R189">
        <v>6.7</v>
      </c>
      <c r="S189">
        <v>14.5</v>
      </c>
      <c r="T189">
        <v>12.7</v>
      </c>
      <c r="U189">
        <v>10.7</v>
      </c>
      <c r="V189" t="s">
        <v>27</v>
      </c>
      <c r="W189">
        <v>1.0089999999999999</v>
      </c>
      <c r="X189">
        <v>0.84199999999999997</v>
      </c>
      <c r="Y189" t="s">
        <v>27</v>
      </c>
      <c r="Z189" t="s">
        <v>27</v>
      </c>
      <c r="AA189" t="s">
        <v>27</v>
      </c>
      <c r="AB189" t="s">
        <v>27</v>
      </c>
      <c r="AC189" t="s">
        <v>27</v>
      </c>
      <c r="AD189" t="s">
        <v>27</v>
      </c>
      <c r="AE189" t="s">
        <v>27</v>
      </c>
      <c r="AF189" t="s">
        <v>27</v>
      </c>
      <c r="AG189">
        <v>32.840000000000003</v>
      </c>
    </row>
    <row r="190" spans="1:33" x14ac:dyDescent="0.25">
      <c r="A190" t="s">
        <v>57</v>
      </c>
      <c r="B190" s="3">
        <v>43651</v>
      </c>
      <c r="C190">
        <v>2019186</v>
      </c>
      <c r="D190" t="s">
        <v>27</v>
      </c>
      <c r="E190" t="s">
        <v>27</v>
      </c>
      <c r="F190">
        <v>9.8000000000000007</v>
      </c>
      <c r="G190">
        <v>16.899999999999999</v>
      </c>
      <c r="H190">
        <v>6.4</v>
      </c>
      <c r="I190">
        <v>88.4</v>
      </c>
      <c r="J190">
        <v>48.6</v>
      </c>
      <c r="K190">
        <v>0.4</v>
      </c>
      <c r="L190">
        <v>2</v>
      </c>
      <c r="M190">
        <v>29</v>
      </c>
      <c r="N190">
        <v>0</v>
      </c>
      <c r="O190" t="s">
        <v>27</v>
      </c>
      <c r="P190" t="s">
        <v>27</v>
      </c>
      <c r="Q190" t="s">
        <v>27</v>
      </c>
      <c r="R190" t="s">
        <v>27</v>
      </c>
      <c r="S190">
        <v>12.6</v>
      </c>
      <c r="T190">
        <v>12</v>
      </c>
      <c r="U190">
        <v>10.8</v>
      </c>
      <c r="V190" t="s">
        <v>27</v>
      </c>
      <c r="W190">
        <v>0.93600000000000005</v>
      </c>
      <c r="X190">
        <v>0.99</v>
      </c>
      <c r="Y190" t="s">
        <v>27</v>
      </c>
      <c r="Z190" t="s">
        <v>27</v>
      </c>
      <c r="AA190" t="s">
        <v>27</v>
      </c>
      <c r="AB190" t="s">
        <v>27</v>
      </c>
      <c r="AC190" t="s">
        <v>27</v>
      </c>
      <c r="AD190" t="s">
        <v>27</v>
      </c>
      <c r="AE190" t="s">
        <v>27</v>
      </c>
      <c r="AF190" t="s">
        <v>27</v>
      </c>
      <c r="AG190">
        <v>32.78</v>
      </c>
    </row>
    <row r="191" spans="1:33" x14ac:dyDescent="0.25">
      <c r="A191" t="s">
        <v>57</v>
      </c>
      <c r="B191" s="3">
        <v>43652</v>
      </c>
      <c r="C191">
        <v>2019187</v>
      </c>
      <c r="D191" t="s">
        <v>27</v>
      </c>
      <c r="E191" t="s">
        <v>27</v>
      </c>
      <c r="F191">
        <v>10.199999999999999</v>
      </c>
      <c r="G191">
        <v>17</v>
      </c>
      <c r="H191">
        <v>3.9</v>
      </c>
      <c r="I191">
        <v>82.4</v>
      </c>
      <c r="J191">
        <v>52.5</v>
      </c>
      <c r="K191">
        <v>0.4</v>
      </c>
      <c r="L191">
        <v>2.2000000000000002</v>
      </c>
      <c r="M191">
        <v>2.2999999999999998</v>
      </c>
      <c r="N191">
        <v>0</v>
      </c>
      <c r="O191" t="s">
        <v>27</v>
      </c>
      <c r="P191" t="s">
        <v>27</v>
      </c>
      <c r="Q191" t="s">
        <v>27</v>
      </c>
      <c r="R191" t="s">
        <v>27</v>
      </c>
      <c r="S191">
        <v>13.9</v>
      </c>
      <c r="T191">
        <v>12.1</v>
      </c>
      <c r="U191">
        <v>10.7</v>
      </c>
      <c r="V191" t="s">
        <v>27</v>
      </c>
      <c r="W191">
        <v>1.016</v>
      </c>
      <c r="X191">
        <v>0.91900000000000004</v>
      </c>
      <c r="Y191" t="s">
        <v>27</v>
      </c>
      <c r="Z191" t="s">
        <v>27</v>
      </c>
      <c r="AA191" t="s">
        <v>27</v>
      </c>
      <c r="AB191" t="s">
        <v>27</v>
      </c>
      <c r="AC191" t="s">
        <v>27</v>
      </c>
      <c r="AD191" t="s">
        <v>27</v>
      </c>
      <c r="AE191" t="s">
        <v>27</v>
      </c>
      <c r="AF191" t="s">
        <v>27</v>
      </c>
      <c r="AG191">
        <v>32.71</v>
      </c>
    </row>
    <row r="192" spans="1:33" x14ac:dyDescent="0.25">
      <c r="A192" t="s">
        <v>57</v>
      </c>
      <c r="B192" s="3">
        <v>43653</v>
      </c>
      <c r="C192">
        <v>2019188</v>
      </c>
      <c r="D192" t="s">
        <v>27</v>
      </c>
      <c r="E192" t="s">
        <v>27</v>
      </c>
      <c r="F192">
        <v>9.3000000000000007</v>
      </c>
      <c r="G192">
        <v>16</v>
      </c>
      <c r="H192">
        <v>3.6</v>
      </c>
      <c r="I192">
        <v>77.2</v>
      </c>
      <c r="J192">
        <v>45.3</v>
      </c>
      <c r="K192">
        <v>0.5</v>
      </c>
      <c r="L192">
        <v>2.9</v>
      </c>
      <c r="M192">
        <v>0</v>
      </c>
      <c r="N192">
        <v>0</v>
      </c>
      <c r="O192" t="s">
        <v>27</v>
      </c>
      <c r="P192" t="s">
        <v>27</v>
      </c>
      <c r="Q192" t="s">
        <v>27</v>
      </c>
      <c r="R192" t="s">
        <v>27</v>
      </c>
      <c r="S192">
        <v>12.8</v>
      </c>
      <c r="T192">
        <v>12</v>
      </c>
      <c r="U192">
        <v>10.7</v>
      </c>
      <c r="V192" t="s">
        <v>27</v>
      </c>
      <c r="W192">
        <v>0.82399999999999995</v>
      </c>
      <c r="X192">
        <v>0.995</v>
      </c>
      <c r="Y192" t="s">
        <v>27</v>
      </c>
      <c r="Z192" t="s">
        <v>27</v>
      </c>
      <c r="AA192" t="s">
        <v>27</v>
      </c>
      <c r="AB192" t="s">
        <v>27</v>
      </c>
      <c r="AC192" t="s">
        <v>27</v>
      </c>
      <c r="AD192" t="s">
        <v>27</v>
      </c>
      <c r="AE192" t="s">
        <v>27</v>
      </c>
      <c r="AF192" t="s">
        <v>27</v>
      </c>
      <c r="AG192">
        <v>32.64</v>
      </c>
    </row>
    <row r="193" spans="1:33" x14ac:dyDescent="0.25">
      <c r="A193" t="s">
        <v>57</v>
      </c>
      <c r="B193" s="3">
        <v>43654</v>
      </c>
      <c r="C193">
        <v>2019189</v>
      </c>
      <c r="D193" t="s">
        <v>27</v>
      </c>
      <c r="E193" t="s">
        <v>27</v>
      </c>
      <c r="F193">
        <v>9.5</v>
      </c>
      <c r="G193">
        <v>17.3</v>
      </c>
      <c r="H193">
        <v>1.4</v>
      </c>
      <c r="I193">
        <v>81.5</v>
      </c>
      <c r="J193">
        <v>49.6</v>
      </c>
      <c r="K193">
        <v>0.3</v>
      </c>
      <c r="L193">
        <v>1.8</v>
      </c>
      <c r="M193">
        <v>2.2999999999999998</v>
      </c>
      <c r="N193">
        <v>0</v>
      </c>
      <c r="O193" t="s">
        <v>27</v>
      </c>
      <c r="P193" t="s">
        <v>27</v>
      </c>
      <c r="Q193" t="s">
        <v>27</v>
      </c>
      <c r="R193" t="s">
        <v>27</v>
      </c>
      <c r="S193">
        <v>11.9</v>
      </c>
      <c r="T193">
        <v>11.6</v>
      </c>
      <c r="U193">
        <v>10.6</v>
      </c>
      <c r="V193" t="s">
        <v>27</v>
      </c>
      <c r="W193">
        <v>0.97699999999999998</v>
      </c>
      <c r="X193">
        <v>0.99299999999999999</v>
      </c>
      <c r="Y193" t="s">
        <v>27</v>
      </c>
      <c r="Z193" t="s">
        <v>27</v>
      </c>
      <c r="AA193" t="s">
        <v>27</v>
      </c>
      <c r="AB193" t="s">
        <v>27</v>
      </c>
      <c r="AC193" t="s">
        <v>27</v>
      </c>
      <c r="AD193" t="s">
        <v>27</v>
      </c>
      <c r="AE193" t="s">
        <v>27</v>
      </c>
      <c r="AF193" t="s">
        <v>27</v>
      </c>
      <c r="AG193">
        <v>32.56</v>
      </c>
    </row>
    <row r="194" spans="1:33" x14ac:dyDescent="0.25">
      <c r="A194" t="s">
        <v>57</v>
      </c>
      <c r="B194" s="3">
        <v>43655</v>
      </c>
      <c r="C194">
        <v>2019190</v>
      </c>
      <c r="D194" t="s">
        <v>27</v>
      </c>
      <c r="E194" t="s">
        <v>27</v>
      </c>
      <c r="F194">
        <v>13.7</v>
      </c>
      <c r="G194">
        <v>21.9</v>
      </c>
      <c r="H194">
        <v>2.9</v>
      </c>
      <c r="I194">
        <v>63.5</v>
      </c>
      <c r="J194">
        <v>33.4</v>
      </c>
      <c r="K194">
        <v>0.7</v>
      </c>
      <c r="L194">
        <v>2.7</v>
      </c>
      <c r="M194">
        <v>0</v>
      </c>
      <c r="N194">
        <v>0</v>
      </c>
      <c r="O194" t="s">
        <v>27</v>
      </c>
      <c r="P194" t="s">
        <v>27</v>
      </c>
      <c r="Q194" t="s">
        <v>27</v>
      </c>
      <c r="R194" t="s">
        <v>27</v>
      </c>
      <c r="S194">
        <v>14.3</v>
      </c>
      <c r="T194">
        <v>12</v>
      </c>
      <c r="U194">
        <v>10.5</v>
      </c>
      <c r="V194" t="s">
        <v>27</v>
      </c>
      <c r="W194">
        <v>0.879</v>
      </c>
      <c r="X194">
        <v>1.7529999999999999</v>
      </c>
      <c r="Y194" t="s">
        <v>27</v>
      </c>
      <c r="Z194" t="s">
        <v>27</v>
      </c>
      <c r="AA194" t="s">
        <v>27</v>
      </c>
      <c r="AB194" t="s">
        <v>27</v>
      </c>
      <c r="AC194" t="s">
        <v>27</v>
      </c>
      <c r="AD194" t="s">
        <v>27</v>
      </c>
      <c r="AE194" t="s">
        <v>27</v>
      </c>
      <c r="AF194" t="s">
        <v>27</v>
      </c>
      <c r="AG194">
        <v>32.479999999999997</v>
      </c>
    </row>
    <row r="195" spans="1:33" x14ac:dyDescent="0.25">
      <c r="A195" t="s">
        <v>57</v>
      </c>
      <c r="B195" s="3">
        <v>43656</v>
      </c>
      <c r="C195">
        <v>2019191</v>
      </c>
      <c r="D195" t="s">
        <v>27</v>
      </c>
      <c r="E195" t="s">
        <v>27</v>
      </c>
      <c r="F195">
        <v>12.7</v>
      </c>
      <c r="G195">
        <v>19.399999999999999</v>
      </c>
      <c r="H195">
        <v>7.9</v>
      </c>
      <c r="I195">
        <v>80.8</v>
      </c>
      <c r="J195">
        <v>49.3</v>
      </c>
      <c r="K195">
        <v>0.7</v>
      </c>
      <c r="L195">
        <v>3.2</v>
      </c>
      <c r="M195">
        <v>10.199999999999999</v>
      </c>
      <c r="N195">
        <v>0</v>
      </c>
      <c r="O195" t="s">
        <v>27</v>
      </c>
      <c r="P195" t="s">
        <v>27</v>
      </c>
      <c r="Q195" t="s">
        <v>27</v>
      </c>
      <c r="R195" t="s">
        <v>27</v>
      </c>
      <c r="S195">
        <v>15.1</v>
      </c>
      <c r="T195">
        <v>13.1</v>
      </c>
      <c r="U195">
        <v>10.9</v>
      </c>
      <c r="V195" t="s">
        <v>27</v>
      </c>
      <c r="W195">
        <v>1.111</v>
      </c>
      <c r="X195">
        <v>1.143</v>
      </c>
      <c r="Y195" t="s">
        <v>27</v>
      </c>
      <c r="Z195" t="s">
        <v>27</v>
      </c>
      <c r="AA195" t="s">
        <v>27</v>
      </c>
      <c r="AB195" t="s">
        <v>27</v>
      </c>
      <c r="AC195" t="s">
        <v>27</v>
      </c>
      <c r="AD195" t="s">
        <v>27</v>
      </c>
      <c r="AE195" t="s">
        <v>27</v>
      </c>
      <c r="AF195" t="s">
        <v>27</v>
      </c>
      <c r="AG195">
        <v>32.4</v>
      </c>
    </row>
    <row r="196" spans="1:33" x14ac:dyDescent="0.25">
      <c r="A196" t="s">
        <v>57</v>
      </c>
      <c r="B196" s="3">
        <v>43657</v>
      </c>
      <c r="C196">
        <v>2019192</v>
      </c>
      <c r="D196" t="s">
        <v>27</v>
      </c>
      <c r="E196" t="s">
        <v>27</v>
      </c>
      <c r="F196">
        <v>12.9</v>
      </c>
      <c r="G196">
        <v>19.3</v>
      </c>
      <c r="H196">
        <v>7.1</v>
      </c>
      <c r="I196">
        <v>76.099999999999994</v>
      </c>
      <c r="J196">
        <v>44.7</v>
      </c>
      <c r="K196">
        <v>0.3</v>
      </c>
      <c r="L196">
        <v>2.4</v>
      </c>
      <c r="M196">
        <v>0</v>
      </c>
      <c r="N196">
        <v>0</v>
      </c>
      <c r="O196" t="s">
        <v>27</v>
      </c>
      <c r="P196" t="s">
        <v>27</v>
      </c>
      <c r="Q196" t="s">
        <v>27</v>
      </c>
      <c r="R196" t="s">
        <v>27</v>
      </c>
      <c r="S196">
        <v>16</v>
      </c>
      <c r="T196">
        <v>13.4</v>
      </c>
      <c r="U196">
        <v>11.1</v>
      </c>
      <c r="V196" t="s">
        <v>27</v>
      </c>
      <c r="W196">
        <v>0.999</v>
      </c>
      <c r="X196">
        <v>1.236</v>
      </c>
      <c r="Y196" t="s">
        <v>27</v>
      </c>
      <c r="Z196" t="s">
        <v>27</v>
      </c>
      <c r="AA196" t="s">
        <v>27</v>
      </c>
      <c r="AB196" t="s">
        <v>27</v>
      </c>
      <c r="AC196" t="s">
        <v>27</v>
      </c>
      <c r="AD196" t="s">
        <v>27</v>
      </c>
      <c r="AE196" t="s">
        <v>27</v>
      </c>
      <c r="AF196" t="s">
        <v>27</v>
      </c>
      <c r="AG196">
        <v>32.31</v>
      </c>
    </row>
    <row r="197" spans="1:33" x14ac:dyDescent="0.25">
      <c r="A197" t="s">
        <v>57</v>
      </c>
      <c r="B197" s="3">
        <v>43658</v>
      </c>
      <c r="C197">
        <v>2019193</v>
      </c>
      <c r="D197" t="s">
        <v>27</v>
      </c>
      <c r="E197" t="s">
        <v>27</v>
      </c>
      <c r="F197">
        <v>13.3</v>
      </c>
      <c r="G197">
        <v>20.9</v>
      </c>
      <c r="H197">
        <v>4.5</v>
      </c>
      <c r="I197">
        <v>72.5</v>
      </c>
      <c r="J197">
        <v>47.4</v>
      </c>
      <c r="K197">
        <v>0.5</v>
      </c>
      <c r="L197">
        <v>2.1</v>
      </c>
      <c r="M197">
        <v>0</v>
      </c>
      <c r="N197">
        <v>0</v>
      </c>
      <c r="O197" t="s">
        <v>27</v>
      </c>
      <c r="P197" t="s">
        <v>27</v>
      </c>
      <c r="Q197" t="s">
        <v>27</v>
      </c>
      <c r="R197" t="s">
        <v>27</v>
      </c>
      <c r="S197">
        <v>16.3</v>
      </c>
      <c r="T197">
        <v>13.9</v>
      </c>
      <c r="U197">
        <v>11.4</v>
      </c>
      <c r="V197" t="s">
        <v>27</v>
      </c>
      <c r="W197">
        <v>1.171</v>
      </c>
      <c r="X197">
        <v>1.2989999999999999</v>
      </c>
      <c r="Y197" t="s">
        <v>27</v>
      </c>
      <c r="Z197" t="s">
        <v>27</v>
      </c>
      <c r="AA197" t="s">
        <v>27</v>
      </c>
      <c r="AB197" t="s">
        <v>27</v>
      </c>
      <c r="AC197" t="s">
        <v>27</v>
      </c>
      <c r="AD197" t="s">
        <v>27</v>
      </c>
      <c r="AE197" t="s">
        <v>27</v>
      </c>
      <c r="AF197" t="s">
        <v>27</v>
      </c>
      <c r="AG197">
        <v>32.22</v>
      </c>
    </row>
    <row r="198" spans="1:33" x14ac:dyDescent="0.25">
      <c r="A198" t="s">
        <v>57</v>
      </c>
      <c r="B198" s="3">
        <v>43659</v>
      </c>
      <c r="C198">
        <v>2019194</v>
      </c>
      <c r="D198" t="s">
        <v>27</v>
      </c>
      <c r="E198" t="s">
        <v>27</v>
      </c>
      <c r="F198">
        <v>12.9</v>
      </c>
      <c r="G198">
        <v>20.399999999999999</v>
      </c>
      <c r="H198">
        <v>4.4000000000000004</v>
      </c>
      <c r="I198">
        <v>65</v>
      </c>
      <c r="J198">
        <v>38.799999999999997</v>
      </c>
      <c r="K198">
        <v>0.6</v>
      </c>
      <c r="L198">
        <v>2.7</v>
      </c>
      <c r="M198">
        <v>0</v>
      </c>
      <c r="N198">
        <v>0</v>
      </c>
      <c r="O198" t="s">
        <v>27</v>
      </c>
      <c r="P198" t="s">
        <v>27</v>
      </c>
      <c r="Q198" t="s">
        <v>27</v>
      </c>
      <c r="R198" t="s">
        <v>27</v>
      </c>
      <c r="S198">
        <v>15.6</v>
      </c>
      <c r="T198">
        <v>13.8</v>
      </c>
      <c r="U198">
        <v>11.7</v>
      </c>
      <c r="V198" t="s">
        <v>27</v>
      </c>
      <c r="W198">
        <v>0.93100000000000005</v>
      </c>
      <c r="X198">
        <v>1.468</v>
      </c>
      <c r="Y198" t="s">
        <v>27</v>
      </c>
      <c r="Z198" t="s">
        <v>27</v>
      </c>
      <c r="AA198" t="s">
        <v>27</v>
      </c>
      <c r="AB198" t="s">
        <v>27</v>
      </c>
      <c r="AC198" t="s">
        <v>27</v>
      </c>
      <c r="AD198" t="s">
        <v>27</v>
      </c>
      <c r="AE198" t="s">
        <v>27</v>
      </c>
      <c r="AF198" t="s">
        <v>27</v>
      </c>
      <c r="AG198">
        <v>32.119999999999997</v>
      </c>
    </row>
    <row r="199" spans="1:33" x14ac:dyDescent="0.25">
      <c r="A199" t="s">
        <v>57</v>
      </c>
      <c r="B199" s="3">
        <v>43660</v>
      </c>
      <c r="C199">
        <v>2019195</v>
      </c>
      <c r="D199" t="s">
        <v>27</v>
      </c>
      <c r="E199" t="s">
        <v>27</v>
      </c>
      <c r="F199">
        <v>11.7</v>
      </c>
      <c r="G199">
        <v>18.5</v>
      </c>
      <c r="H199">
        <v>4.7</v>
      </c>
      <c r="I199">
        <v>62.7</v>
      </c>
      <c r="J199">
        <v>38.9</v>
      </c>
      <c r="K199">
        <v>0.9</v>
      </c>
      <c r="L199">
        <v>3.2</v>
      </c>
      <c r="M199">
        <v>0</v>
      </c>
      <c r="N199">
        <v>0</v>
      </c>
      <c r="O199" t="s">
        <v>27</v>
      </c>
      <c r="P199" t="s">
        <v>27</v>
      </c>
      <c r="Q199" t="s">
        <v>27</v>
      </c>
      <c r="R199" t="s">
        <v>27</v>
      </c>
      <c r="S199">
        <v>15.2</v>
      </c>
      <c r="T199">
        <v>13.8</v>
      </c>
      <c r="U199">
        <v>11.8</v>
      </c>
      <c r="V199" t="s">
        <v>27</v>
      </c>
      <c r="W199">
        <v>0.82699999999999996</v>
      </c>
      <c r="X199">
        <v>1.2989999999999999</v>
      </c>
      <c r="Y199" t="s">
        <v>27</v>
      </c>
      <c r="Z199" t="s">
        <v>27</v>
      </c>
      <c r="AA199" t="s">
        <v>27</v>
      </c>
      <c r="AB199" t="s">
        <v>27</v>
      </c>
      <c r="AC199" t="s">
        <v>27</v>
      </c>
      <c r="AD199" t="s">
        <v>27</v>
      </c>
      <c r="AE199" t="s">
        <v>27</v>
      </c>
      <c r="AF199" t="s">
        <v>27</v>
      </c>
      <c r="AG199">
        <v>32.020000000000003</v>
      </c>
    </row>
    <row r="200" spans="1:33" x14ac:dyDescent="0.25">
      <c r="A200" t="s">
        <v>57</v>
      </c>
      <c r="B200" s="3">
        <v>43661</v>
      </c>
      <c r="C200">
        <v>2019196</v>
      </c>
      <c r="D200" t="s">
        <v>27</v>
      </c>
      <c r="E200" t="s">
        <v>27</v>
      </c>
      <c r="F200">
        <v>11.1</v>
      </c>
      <c r="G200">
        <v>19.399999999999999</v>
      </c>
      <c r="H200">
        <v>4.2</v>
      </c>
      <c r="I200">
        <v>70.599999999999994</v>
      </c>
      <c r="J200">
        <v>33.200000000000003</v>
      </c>
      <c r="K200">
        <v>0.5</v>
      </c>
      <c r="L200">
        <v>2.8</v>
      </c>
      <c r="M200">
        <v>0.3</v>
      </c>
      <c r="N200">
        <v>0</v>
      </c>
      <c r="O200" t="s">
        <v>27</v>
      </c>
      <c r="P200" t="s">
        <v>27</v>
      </c>
      <c r="Q200" t="s">
        <v>27</v>
      </c>
      <c r="R200" t="s">
        <v>27</v>
      </c>
      <c r="S200">
        <v>16.100000000000001</v>
      </c>
      <c r="T200">
        <v>13.5</v>
      </c>
      <c r="U200">
        <v>11.8</v>
      </c>
      <c r="V200" t="s">
        <v>27</v>
      </c>
      <c r="W200">
        <v>0.747</v>
      </c>
      <c r="X200">
        <v>1.5029999999999999</v>
      </c>
      <c r="Y200" t="s">
        <v>27</v>
      </c>
      <c r="Z200" t="s">
        <v>27</v>
      </c>
      <c r="AA200" t="s">
        <v>27</v>
      </c>
      <c r="AB200" t="s">
        <v>27</v>
      </c>
      <c r="AC200" t="s">
        <v>27</v>
      </c>
      <c r="AD200" t="s">
        <v>27</v>
      </c>
      <c r="AE200" t="s">
        <v>27</v>
      </c>
      <c r="AF200" t="s">
        <v>27</v>
      </c>
      <c r="AG200">
        <v>31.92</v>
      </c>
    </row>
    <row r="201" spans="1:33" x14ac:dyDescent="0.25">
      <c r="A201" t="s">
        <v>57</v>
      </c>
      <c r="B201" s="3">
        <v>43662</v>
      </c>
      <c r="C201">
        <v>2019197</v>
      </c>
      <c r="D201" t="s">
        <v>27</v>
      </c>
      <c r="E201" t="s">
        <v>27</v>
      </c>
      <c r="F201">
        <v>11.3</v>
      </c>
      <c r="G201">
        <v>19.5</v>
      </c>
      <c r="H201">
        <v>3.1</v>
      </c>
      <c r="I201">
        <v>75.3</v>
      </c>
      <c r="J201">
        <v>37.1</v>
      </c>
      <c r="K201">
        <v>0.4</v>
      </c>
      <c r="L201">
        <v>2.2000000000000002</v>
      </c>
      <c r="M201">
        <v>0.3</v>
      </c>
      <c r="N201">
        <v>0</v>
      </c>
      <c r="O201" t="s">
        <v>27</v>
      </c>
      <c r="P201" t="s">
        <v>27</v>
      </c>
      <c r="Q201" t="s">
        <v>27</v>
      </c>
      <c r="R201" t="s">
        <v>27</v>
      </c>
      <c r="S201">
        <v>14.2</v>
      </c>
      <c r="T201">
        <v>13.4</v>
      </c>
      <c r="U201">
        <v>11.8</v>
      </c>
      <c r="V201" t="s">
        <v>27</v>
      </c>
      <c r="W201">
        <v>0.84199999999999997</v>
      </c>
      <c r="X201">
        <v>1.4279999999999999</v>
      </c>
      <c r="Y201" t="s">
        <v>27</v>
      </c>
      <c r="Z201" t="s">
        <v>27</v>
      </c>
      <c r="AA201" t="s">
        <v>27</v>
      </c>
      <c r="AB201" t="s">
        <v>27</v>
      </c>
      <c r="AC201" t="s">
        <v>27</v>
      </c>
      <c r="AD201" t="s">
        <v>27</v>
      </c>
      <c r="AE201" t="s">
        <v>27</v>
      </c>
      <c r="AF201" t="s">
        <v>27</v>
      </c>
      <c r="AG201">
        <v>31.81</v>
      </c>
    </row>
    <row r="202" spans="1:33" x14ac:dyDescent="0.25">
      <c r="A202" t="s">
        <v>57</v>
      </c>
      <c r="B202" s="3">
        <v>43663</v>
      </c>
      <c r="C202">
        <v>2019198</v>
      </c>
      <c r="D202" t="s">
        <v>27</v>
      </c>
      <c r="E202" t="s">
        <v>27</v>
      </c>
      <c r="F202">
        <v>10.3</v>
      </c>
      <c r="G202">
        <v>15.3</v>
      </c>
      <c r="H202">
        <v>6</v>
      </c>
      <c r="I202">
        <v>85.9</v>
      </c>
      <c r="J202">
        <v>61.7</v>
      </c>
      <c r="K202">
        <v>0.7</v>
      </c>
      <c r="L202">
        <v>3.2</v>
      </c>
      <c r="M202">
        <v>5.3</v>
      </c>
      <c r="N202">
        <v>0</v>
      </c>
      <c r="O202" t="s">
        <v>27</v>
      </c>
      <c r="P202" t="s">
        <v>27</v>
      </c>
      <c r="Q202" t="s">
        <v>27</v>
      </c>
      <c r="R202" t="s">
        <v>27</v>
      </c>
      <c r="S202">
        <v>13.1</v>
      </c>
      <c r="T202">
        <v>12.9</v>
      </c>
      <c r="U202">
        <v>11.8</v>
      </c>
      <c r="V202" t="s">
        <v>27</v>
      </c>
      <c r="W202">
        <v>1.069</v>
      </c>
      <c r="X202">
        <v>0.66400000000000003</v>
      </c>
      <c r="Y202" t="s">
        <v>27</v>
      </c>
      <c r="Z202" t="s">
        <v>27</v>
      </c>
      <c r="AA202" t="s">
        <v>27</v>
      </c>
      <c r="AB202" t="s">
        <v>27</v>
      </c>
      <c r="AC202" t="s">
        <v>27</v>
      </c>
      <c r="AD202" t="s">
        <v>27</v>
      </c>
      <c r="AE202" t="s">
        <v>27</v>
      </c>
      <c r="AF202" t="s">
        <v>27</v>
      </c>
      <c r="AG202">
        <v>31.7</v>
      </c>
    </row>
    <row r="203" spans="1:33" x14ac:dyDescent="0.25">
      <c r="A203" t="s">
        <v>57</v>
      </c>
      <c r="B203" s="3">
        <v>43664</v>
      </c>
      <c r="C203">
        <v>2019199</v>
      </c>
      <c r="D203" t="s">
        <v>27</v>
      </c>
      <c r="E203" t="s">
        <v>27</v>
      </c>
      <c r="F203">
        <v>7.7</v>
      </c>
      <c r="G203">
        <v>12.2</v>
      </c>
      <c r="H203">
        <v>2.2000000000000002</v>
      </c>
      <c r="I203">
        <v>67.7</v>
      </c>
      <c r="J203">
        <v>42.1</v>
      </c>
      <c r="K203">
        <v>1.2</v>
      </c>
      <c r="L203">
        <v>3.8</v>
      </c>
      <c r="M203">
        <v>0.8</v>
      </c>
      <c r="N203">
        <v>0</v>
      </c>
      <c r="O203" t="s">
        <v>27</v>
      </c>
      <c r="P203" t="s">
        <v>27</v>
      </c>
      <c r="Q203" t="s">
        <v>27</v>
      </c>
      <c r="R203" t="s">
        <v>27</v>
      </c>
      <c r="S203">
        <v>12</v>
      </c>
      <c r="T203">
        <v>12.2</v>
      </c>
      <c r="U203">
        <v>11.5</v>
      </c>
      <c r="V203" t="s">
        <v>27</v>
      </c>
      <c r="W203">
        <v>0.59799999999999998</v>
      </c>
      <c r="X203">
        <v>0.82199999999999995</v>
      </c>
      <c r="Y203" t="s">
        <v>27</v>
      </c>
      <c r="Z203" t="s">
        <v>27</v>
      </c>
      <c r="AA203" t="s">
        <v>27</v>
      </c>
      <c r="AB203" t="s">
        <v>27</v>
      </c>
      <c r="AC203" t="s">
        <v>27</v>
      </c>
      <c r="AD203" t="s">
        <v>27</v>
      </c>
      <c r="AE203" t="s">
        <v>27</v>
      </c>
      <c r="AF203" t="s">
        <v>27</v>
      </c>
      <c r="AG203">
        <v>31.58</v>
      </c>
    </row>
    <row r="204" spans="1:33" x14ac:dyDescent="0.25">
      <c r="A204" t="s">
        <v>57</v>
      </c>
      <c r="B204" s="3">
        <v>43665</v>
      </c>
      <c r="C204">
        <v>2019200</v>
      </c>
      <c r="D204" t="s">
        <v>27</v>
      </c>
      <c r="E204" t="s">
        <v>27</v>
      </c>
      <c r="F204">
        <v>7.2</v>
      </c>
      <c r="G204">
        <v>14.5</v>
      </c>
      <c r="H204">
        <v>1.5</v>
      </c>
      <c r="I204">
        <v>76.400000000000006</v>
      </c>
      <c r="J204">
        <v>45.2</v>
      </c>
      <c r="K204">
        <v>0.5</v>
      </c>
      <c r="L204">
        <v>3.4</v>
      </c>
      <c r="M204">
        <v>0.8</v>
      </c>
      <c r="N204">
        <v>0</v>
      </c>
      <c r="O204" t="s">
        <v>27</v>
      </c>
      <c r="P204" t="s">
        <v>27</v>
      </c>
      <c r="Q204" t="s">
        <v>27</v>
      </c>
      <c r="R204" t="s">
        <v>27</v>
      </c>
      <c r="S204">
        <v>11.6</v>
      </c>
      <c r="T204">
        <v>11.7</v>
      </c>
      <c r="U204">
        <v>11.3</v>
      </c>
      <c r="V204" t="s">
        <v>27</v>
      </c>
      <c r="W204">
        <v>0.745</v>
      </c>
      <c r="X204">
        <v>0.90300000000000002</v>
      </c>
      <c r="Y204" t="s">
        <v>27</v>
      </c>
      <c r="Z204" t="s">
        <v>27</v>
      </c>
      <c r="AA204" t="s">
        <v>27</v>
      </c>
      <c r="AB204" t="s">
        <v>27</v>
      </c>
      <c r="AC204" t="s">
        <v>27</v>
      </c>
      <c r="AD204" t="s">
        <v>27</v>
      </c>
      <c r="AE204" t="s">
        <v>27</v>
      </c>
      <c r="AF204" t="s">
        <v>27</v>
      </c>
      <c r="AG204">
        <v>31.46</v>
      </c>
    </row>
    <row r="205" spans="1:33" x14ac:dyDescent="0.25">
      <c r="A205" t="s">
        <v>57</v>
      </c>
      <c r="B205" s="3">
        <v>43666</v>
      </c>
      <c r="C205">
        <v>2019201</v>
      </c>
      <c r="D205" t="s">
        <v>27</v>
      </c>
      <c r="E205" t="s">
        <v>27</v>
      </c>
      <c r="F205">
        <v>8.6999999999999993</v>
      </c>
      <c r="G205">
        <v>16.100000000000001</v>
      </c>
      <c r="H205">
        <v>3.2</v>
      </c>
      <c r="I205">
        <v>80.3</v>
      </c>
      <c r="J205">
        <v>48.4</v>
      </c>
      <c r="K205">
        <v>0.4</v>
      </c>
      <c r="L205">
        <v>1.8</v>
      </c>
      <c r="M205">
        <v>1</v>
      </c>
      <c r="N205">
        <v>0</v>
      </c>
      <c r="O205" t="s">
        <v>27</v>
      </c>
      <c r="P205" t="s">
        <v>27</v>
      </c>
      <c r="Q205" t="s">
        <v>27</v>
      </c>
      <c r="R205" t="s">
        <v>27</v>
      </c>
      <c r="S205">
        <v>11.8</v>
      </c>
      <c r="T205">
        <v>11.7</v>
      </c>
      <c r="U205">
        <v>11.1</v>
      </c>
      <c r="V205" t="s">
        <v>27</v>
      </c>
      <c r="W205">
        <v>0.88700000000000001</v>
      </c>
      <c r="X205">
        <v>0.94599999999999995</v>
      </c>
      <c r="Y205" t="s">
        <v>27</v>
      </c>
      <c r="Z205" t="s">
        <v>27</v>
      </c>
      <c r="AA205" t="s">
        <v>27</v>
      </c>
      <c r="AB205" t="s">
        <v>27</v>
      </c>
      <c r="AC205" t="s">
        <v>27</v>
      </c>
      <c r="AD205" t="s">
        <v>27</v>
      </c>
      <c r="AE205" t="s">
        <v>27</v>
      </c>
      <c r="AF205" t="s">
        <v>27</v>
      </c>
      <c r="AG205">
        <v>31.34</v>
      </c>
    </row>
    <row r="206" spans="1:33" x14ac:dyDescent="0.25">
      <c r="A206" t="s">
        <v>57</v>
      </c>
      <c r="B206" s="3">
        <v>43667</v>
      </c>
      <c r="C206">
        <v>2019202</v>
      </c>
      <c r="D206" t="s">
        <v>27</v>
      </c>
      <c r="E206" t="s">
        <v>27</v>
      </c>
      <c r="F206">
        <v>13.3</v>
      </c>
      <c r="G206">
        <v>23.5</v>
      </c>
      <c r="H206">
        <v>2</v>
      </c>
      <c r="I206">
        <v>63.5</v>
      </c>
      <c r="J206">
        <v>24</v>
      </c>
      <c r="K206">
        <v>0.5</v>
      </c>
      <c r="L206">
        <v>2.2000000000000002</v>
      </c>
      <c r="M206">
        <v>0</v>
      </c>
      <c r="N206">
        <v>0</v>
      </c>
      <c r="O206" t="s">
        <v>27</v>
      </c>
      <c r="P206" t="s">
        <v>27</v>
      </c>
      <c r="Q206" t="s">
        <v>27</v>
      </c>
      <c r="R206" t="s">
        <v>27</v>
      </c>
      <c r="S206">
        <v>15.9</v>
      </c>
      <c r="T206">
        <v>12.6</v>
      </c>
      <c r="U206">
        <v>10.9</v>
      </c>
      <c r="V206" t="s">
        <v>27</v>
      </c>
      <c r="W206">
        <v>0.69299999999999995</v>
      </c>
      <c r="X206">
        <v>2.1949999999999998</v>
      </c>
      <c r="Y206" t="s">
        <v>27</v>
      </c>
      <c r="Z206" t="s">
        <v>27</v>
      </c>
      <c r="AA206" t="s">
        <v>27</v>
      </c>
      <c r="AB206" t="s">
        <v>27</v>
      </c>
      <c r="AC206" t="s">
        <v>27</v>
      </c>
      <c r="AD206" t="s">
        <v>27</v>
      </c>
      <c r="AE206" t="s">
        <v>27</v>
      </c>
      <c r="AF206" t="s">
        <v>27</v>
      </c>
      <c r="AG206">
        <v>31.21</v>
      </c>
    </row>
    <row r="207" spans="1:33" x14ac:dyDescent="0.25">
      <c r="A207" t="s">
        <v>57</v>
      </c>
      <c r="B207" s="3">
        <v>43668</v>
      </c>
      <c r="C207">
        <v>2019203</v>
      </c>
      <c r="D207" t="s">
        <v>27</v>
      </c>
      <c r="E207" t="s">
        <v>27</v>
      </c>
      <c r="F207">
        <v>15.8</v>
      </c>
      <c r="G207">
        <v>28</v>
      </c>
      <c r="H207">
        <v>4.2</v>
      </c>
      <c r="I207">
        <v>63.7</v>
      </c>
      <c r="J207">
        <v>24.9</v>
      </c>
      <c r="K207">
        <v>0.5</v>
      </c>
      <c r="L207">
        <v>2.7</v>
      </c>
      <c r="M207">
        <v>0.5</v>
      </c>
      <c r="N207">
        <v>0</v>
      </c>
      <c r="O207" t="s">
        <v>27</v>
      </c>
      <c r="P207" t="s">
        <v>27</v>
      </c>
      <c r="Q207" t="s">
        <v>27</v>
      </c>
      <c r="R207" t="s">
        <v>27</v>
      </c>
      <c r="S207">
        <v>18.2</v>
      </c>
      <c r="T207">
        <v>14</v>
      </c>
      <c r="U207">
        <v>11.4</v>
      </c>
      <c r="V207" t="s">
        <v>27</v>
      </c>
      <c r="W207">
        <v>0.93899999999999995</v>
      </c>
      <c r="X207">
        <v>2.8319999999999999</v>
      </c>
      <c r="Y207" t="s">
        <v>27</v>
      </c>
      <c r="Z207" t="s">
        <v>27</v>
      </c>
      <c r="AA207" t="s">
        <v>27</v>
      </c>
      <c r="AB207" t="s">
        <v>27</v>
      </c>
      <c r="AC207" t="s">
        <v>27</v>
      </c>
      <c r="AD207" t="s">
        <v>27</v>
      </c>
      <c r="AE207" t="s">
        <v>27</v>
      </c>
      <c r="AF207" t="s">
        <v>27</v>
      </c>
      <c r="AG207">
        <v>31.08</v>
      </c>
    </row>
    <row r="208" spans="1:33" x14ac:dyDescent="0.25">
      <c r="A208" t="s">
        <v>57</v>
      </c>
      <c r="B208" s="3">
        <v>43669</v>
      </c>
      <c r="C208">
        <v>2019204</v>
      </c>
      <c r="D208" t="s">
        <v>27</v>
      </c>
      <c r="E208" t="s">
        <v>27</v>
      </c>
      <c r="F208">
        <v>15.2</v>
      </c>
      <c r="G208">
        <v>24.7</v>
      </c>
      <c r="H208">
        <v>7.3</v>
      </c>
      <c r="I208">
        <v>72.7</v>
      </c>
      <c r="J208">
        <v>34.299999999999997</v>
      </c>
      <c r="K208">
        <v>0.5</v>
      </c>
      <c r="L208">
        <v>2.9</v>
      </c>
      <c r="M208">
        <v>2.5</v>
      </c>
      <c r="N208">
        <v>0</v>
      </c>
      <c r="O208" t="s">
        <v>27</v>
      </c>
      <c r="P208" t="s">
        <v>27</v>
      </c>
      <c r="Q208" t="s">
        <v>27</v>
      </c>
      <c r="R208" t="s">
        <v>27</v>
      </c>
      <c r="S208">
        <v>15.6</v>
      </c>
      <c r="T208">
        <v>14.1</v>
      </c>
      <c r="U208">
        <v>11.9</v>
      </c>
      <c r="V208" t="s">
        <v>27</v>
      </c>
      <c r="W208">
        <v>1.0669999999999999</v>
      </c>
      <c r="X208">
        <v>2.044</v>
      </c>
      <c r="Y208" t="s">
        <v>27</v>
      </c>
      <c r="Z208" t="s">
        <v>27</v>
      </c>
      <c r="AA208" t="s">
        <v>27</v>
      </c>
      <c r="AB208" t="s">
        <v>27</v>
      </c>
      <c r="AC208" t="s">
        <v>27</v>
      </c>
      <c r="AD208" t="s">
        <v>27</v>
      </c>
      <c r="AE208" t="s">
        <v>27</v>
      </c>
      <c r="AF208" t="s">
        <v>27</v>
      </c>
      <c r="AG208">
        <v>30.95</v>
      </c>
    </row>
    <row r="209" spans="1:33" x14ac:dyDescent="0.25">
      <c r="A209" t="s">
        <v>57</v>
      </c>
      <c r="B209" s="3">
        <v>43670</v>
      </c>
      <c r="C209">
        <v>2019205</v>
      </c>
      <c r="D209" t="s">
        <v>27</v>
      </c>
      <c r="E209" t="s">
        <v>27</v>
      </c>
      <c r="F209">
        <v>8.6999999999999993</v>
      </c>
      <c r="G209">
        <v>14.2</v>
      </c>
      <c r="H209">
        <v>0.9</v>
      </c>
      <c r="I209">
        <v>74.099999999999994</v>
      </c>
      <c r="J209">
        <v>45.6</v>
      </c>
      <c r="K209">
        <v>1.2</v>
      </c>
      <c r="L209">
        <v>4.2</v>
      </c>
      <c r="M209">
        <v>2.2999999999999998</v>
      </c>
      <c r="N209">
        <v>0</v>
      </c>
      <c r="O209" t="s">
        <v>27</v>
      </c>
      <c r="P209" t="s">
        <v>27</v>
      </c>
      <c r="Q209" t="s">
        <v>27</v>
      </c>
      <c r="R209" t="s">
        <v>27</v>
      </c>
      <c r="S209">
        <v>11.6</v>
      </c>
      <c r="T209">
        <v>13.1</v>
      </c>
      <c r="U209">
        <v>12</v>
      </c>
      <c r="V209" t="s">
        <v>27</v>
      </c>
      <c r="W209">
        <v>0.73899999999999999</v>
      </c>
      <c r="X209">
        <v>0.88200000000000001</v>
      </c>
      <c r="Y209" t="s">
        <v>27</v>
      </c>
      <c r="Z209" t="s">
        <v>27</v>
      </c>
      <c r="AA209" t="s">
        <v>27</v>
      </c>
      <c r="AB209" t="s">
        <v>27</v>
      </c>
      <c r="AC209" t="s">
        <v>27</v>
      </c>
      <c r="AD209" t="s">
        <v>27</v>
      </c>
      <c r="AE209" t="s">
        <v>27</v>
      </c>
      <c r="AF209" t="s">
        <v>27</v>
      </c>
      <c r="AG209">
        <v>30.81</v>
      </c>
    </row>
    <row r="210" spans="1:33" x14ac:dyDescent="0.25">
      <c r="A210" t="s">
        <v>57</v>
      </c>
      <c r="B210" s="3">
        <v>43671</v>
      </c>
      <c r="C210">
        <v>2019206</v>
      </c>
      <c r="D210" t="s">
        <v>27</v>
      </c>
      <c r="E210" t="s">
        <v>27</v>
      </c>
      <c r="F210">
        <v>11.7</v>
      </c>
      <c r="G210">
        <v>21.8</v>
      </c>
      <c r="H210">
        <v>0.5</v>
      </c>
      <c r="I210">
        <v>65</v>
      </c>
      <c r="J210">
        <v>32.9</v>
      </c>
      <c r="K210">
        <v>0.7</v>
      </c>
      <c r="L210">
        <v>2.8</v>
      </c>
      <c r="M210">
        <v>0</v>
      </c>
      <c r="N210">
        <v>0</v>
      </c>
      <c r="O210" t="s">
        <v>27</v>
      </c>
      <c r="P210" t="s">
        <v>27</v>
      </c>
      <c r="Q210" t="s">
        <v>27</v>
      </c>
      <c r="R210" t="s">
        <v>27</v>
      </c>
      <c r="S210">
        <v>14.2</v>
      </c>
      <c r="T210">
        <v>12.5</v>
      </c>
      <c r="U210">
        <v>11.5</v>
      </c>
      <c r="V210" t="s">
        <v>27</v>
      </c>
      <c r="W210">
        <v>0.86</v>
      </c>
      <c r="X210">
        <v>1.754</v>
      </c>
      <c r="Y210" t="s">
        <v>27</v>
      </c>
      <c r="Z210" t="s">
        <v>27</v>
      </c>
      <c r="AA210" t="s">
        <v>27</v>
      </c>
      <c r="AB210" t="s">
        <v>27</v>
      </c>
      <c r="AC210" t="s">
        <v>27</v>
      </c>
      <c r="AD210" t="s">
        <v>27</v>
      </c>
      <c r="AE210" t="s">
        <v>27</v>
      </c>
      <c r="AF210" t="s">
        <v>27</v>
      </c>
      <c r="AG210">
        <v>30.67</v>
      </c>
    </row>
    <row r="211" spans="1:33" x14ac:dyDescent="0.25">
      <c r="A211" t="s">
        <v>57</v>
      </c>
      <c r="B211" s="3">
        <v>43672</v>
      </c>
      <c r="C211">
        <v>2019207</v>
      </c>
      <c r="D211" t="s">
        <v>27</v>
      </c>
      <c r="E211" t="s">
        <v>27</v>
      </c>
      <c r="F211">
        <v>16.2</v>
      </c>
      <c r="G211">
        <v>26.6</v>
      </c>
      <c r="H211">
        <v>3.9</v>
      </c>
      <c r="I211">
        <v>52.6</v>
      </c>
      <c r="J211">
        <v>19.899999999999999</v>
      </c>
      <c r="K211">
        <v>0.6</v>
      </c>
      <c r="L211">
        <v>2.5</v>
      </c>
      <c r="M211">
        <v>0</v>
      </c>
      <c r="N211">
        <v>0</v>
      </c>
      <c r="O211" t="s">
        <v>27</v>
      </c>
      <c r="P211" t="s">
        <v>27</v>
      </c>
      <c r="Q211" t="s">
        <v>27</v>
      </c>
      <c r="R211" t="s">
        <v>27</v>
      </c>
      <c r="S211">
        <v>18.7</v>
      </c>
      <c r="T211">
        <v>14</v>
      </c>
      <c r="U211">
        <v>11.6</v>
      </c>
      <c r="V211" t="s">
        <v>27</v>
      </c>
      <c r="W211">
        <v>0.69399999999999995</v>
      </c>
      <c r="X211">
        <v>2.7930000000000001</v>
      </c>
      <c r="Y211" t="s">
        <v>27</v>
      </c>
      <c r="Z211" t="s">
        <v>27</v>
      </c>
      <c r="AA211" t="s">
        <v>27</v>
      </c>
      <c r="AB211" t="s">
        <v>27</v>
      </c>
      <c r="AC211" t="s">
        <v>27</v>
      </c>
      <c r="AD211" t="s">
        <v>27</v>
      </c>
      <c r="AE211" t="s">
        <v>27</v>
      </c>
      <c r="AF211" t="s">
        <v>27</v>
      </c>
      <c r="AG211">
        <v>30.52</v>
      </c>
    </row>
    <row r="212" spans="1:33" x14ac:dyDescent="0.25">
      <c r="A212" t="s">
        <v>57</v>
      </c>
      <c r="B212" s="3">
        <v>43673</v>
      </c>
      <c r="C212">
        <v>2019208</v>
      </c>
      <c r="D212" t="s">
        <v>27</v>
      </c>
      <c r="E212" t="s">
        <v>27</v>
      </c>
      <c r="F212">
        <v>12.8</v>
      </c>
      <c r="G212">
        <v>18.8</v>
      </c>
      <c r="H212">
        <v>3.4</v>
      </c>
      <c r="I212">
        <v>59.2</v>
      </c>
      <c r="J212">
        <v>33.799999999999997</v>
      </c>
      <c r="K212">
        <v>1</v>
      </c>
      <c r="L212">
        <v>4.2</v>
      </c>
      <c r="M212">
        <v>0</v>
      </c>
      <c r="N212">
        <v>0</v>
      </c>
      <c r="O212" t="s">
        <v>27</v>
      </c>
      <c r="P212" t="s">
        <v>27</v>
      </c>
      <c r="Q212" t="s">
        <v>27</v>
      </c>
      <c r="R212" t="s">
        <v>27</v>
      </c>
      <c r="S212">
        <v>19.3</v>
      </c>
      <c r="T212">
        <v>15</v>
      </c>
      <c r="U212">
        <v>12.1</v>
      </c>
      <c r="V212" t="s">
        <v>27</v>
      </c>
      <c r="W212">
        <v>0.73399999999999999</v>
      </c>
      <c r="X212">
        <v>1.4379999999999999</v>
      </c>
      <c r="Y212" t="s">
        <v>27</v>
      </c>
      <c r="Z212" t="s">
        <v>27</v>
      </c>
      <c r="AA212" t="s">
        <v>27</v>
      </c>
      <c r="AB212" t="s">
        <v>27</v>
      </c>
      <c r="AC212" t="s">
        <v>27</v>
      </c>
      <c r="AD212" t="s">
        <v>27</v>
      </c>
      <c r="AE212" t="s">
        <v>27</v>
      </c>
      <c r="AF212" t="s">
        <v>27</v>
      </c>
      <c r="AG212">
        <v>30.38</v>
      </c>
    </row>
    <row r="213" spans="1:33" x14ac:dyDescent="0.25">
      <c r="A213" t="s">
        <v>57</v>
      </c>
      <c r="B213" s="3">
        <v>43674</v>
      </c>
      <c r="C213">
        <v>2019209</v>
      </c>
      <c r="D213" t="s">
        <v>27</v>
      </c>
      <c r="E213" t="s">
        <v>27</v>
      </c>
      <c r="F213">
        <v>11.5</v>
      </c>
      <c r="G213">
        <v>20.399999999999999</v>
      </c>
      <c r="H213">
        <v>1.6</v>
      </c>
      <c r="I213">
        <v>69.5</v>
      </c>
      <c r="J213">
        <v>34.6</v>
      </c>
      <c r="K213">
        <v>0.5</v>
      </c>
      <c r="L213">
        <v>1.9</v>
      </c>
      <c r="M213">
        <v>0</v>
      </c>
      <c r="N213">
        <v>0</v>
      </c>
      <c r="O213" t="s">
        <v>27</v>
      </c>
      <c r="P213" t="s">
        <v>27</v>
      </c>
      <c r="Q213" t="s">
        <v>27</v>
      </c>
      <c r="R213" t="s">
        <v>27</v>
      </c>
      <c r="S213">
        <v>17.5</v>
      </c>
      <c r="T213">
        <v>14.2</v>
      </c>
      <c r="U213">
        <v>12.3</v>
      </c>
      <c r="V213" t="s">
        <v>27</v>
      </c>
      <c r="W213">
        <v>0.82899999999999996</v>
      </c>
      <c r="X213">
        <v>1.5669999999999999</v>
      </c>
      <c r="Y213" t="s">
        <v>27</v>
      </c>
      <c r="Z213" t="s">
        <v>27</v>
      </c>
      <c r="AA213" t="s">
        <v>27</v>
      </c>
      <c r="AB213" t="s">
        <v>27</v>
      </c>
      <c r="AC213" t="s">
        <v>27</v>
      </c>
      <c r="AD213" t="s">
        <v>27</v>
      </c>
      <c r="AE213" t="s">
        <v>27</v>
      </c>
      <c r="AF213" t="s">
        <v>27</v>
      </c>
      <c r="AG213">
        <v>30.22</v>
      </c>
    </row>
    <row r="214" spans="1:33" x14ac:dyDescent="0.25">
      <c r="A214" t="s">
        <v>57</v>
      </c>
      <c r="B214" s="3">
        <v>43675</v>
      </c>
      <c r="C214">
        <v>2019210</v>
      </c>
      <c r="D214" t="s">
        <v>27</v>
      </c>
      <c r="E214" t="s">
        <v>27</v>
      </c>
      <c r="F214">
        <v>15</v>
      </c>
      <c r="G214">
        <v>24.6</v>
      </c>
      <c r="H214">
        <v>3.4</v>
      </c>
      <c r="I214">
        <v>56.7</v>
      </c>
      <c r="J214">
        <v>21.2</v>
      </c>
      <c r="K214">
        <v>0.5</v>
      </c>
      <c r="L214">
        <v>2.5</v>
      </c>
      <c r="M214">
        <v>0</v>
      </c>
      <c r="N214">
        <v>0</v>
      </c>
      <c r="O214" t="s">
        <v>27</v>
      </c>
      <c r="P214" t="s">
        <v>27</v>
      </c>
      <c r="Q214" t="s">
        <v>27</v>
      </c>
      <c r="R214" t="s">
        <v>27</v>
      </c>
      <c r="S214">
        <v>20.5</v>
      </c>
      <c r="T214">
        <v>14.8</v>
      </c>
      <c r="U214">
        <v>12.3</v>
      </c>
      <c r="V214" t="s">
        <v>27</v>
      </c>
      <c r="W214">
        <v>0.65600000000000003</v>
      </c>
      <c r="X214">
        <v>2.4380000000000002</v>
      </c>
      <c r="Y214" t="s">
        <v>27</v>
      </c>
      <c r="Z214" t="s">
        <v>27</v>
      </c>
      <c r="AA214" t="s">
        <v>27</v>
      </c>
      <c r="AB214" t="s">
        <v>27</v>
      </c>
      <c r="AC214" t="s">
        <v>27</v>
      </c>
      <c r="AD214" t="s">
        <v>27</v>
      </c>
      <c r="AE214" t="s">
        <v>27</v>
      </c>
      <c r="AF214" t="s">
        <v>27</v>
      </c>
      <c r="AG214">
        <v>30.07</v>
      </c>
    </row>
    <row r="215" spans="1:33" x14ac:dyDescent="0.25">
      <c r="A215" t="s">
        <v>57</v>
      </c>
      <c r="B215" s="3">
        <v>43676</v>
      </c>
      <c r="C215">
        <v>2019211</v>
      </c>
      <c r="D215" t="s">
        <v>27</v>
      </c>
      <c r="E215" t="s">
        <v>27</v>
      </c>
      <c r="F215">
        <v>13.9</v>
      </c>
      <c r="G215">
        <v>22.1</v>
      </c>
      <c r="H215">
        <v>6.1</v>
      </c>
      <c r="I215">
        <v>54.6</v>
      </c>
      <c r="J215">
        <v>23.4</v>
      </c>
      <c r="K215">
        <v>0.9</v>
      </c>
      <c r="L215">
        <v>2.9</v>
      </c>
      <c r="M215">
        <v>0</v>
      </c>
      <c r="N215">
        <v>0</v>
      </c>
      <c r="O215" t="s">
        <v>27</v>
      </c>
      <c r="P215" t="s">
        <v>27</v>
      </c>
      <c r="Q215" t="s">
        <v>27</v>
      </c>
      <c r="R215" t="s">
        <v>27</v>
      </c>
      <c r="S215">
        <v>20.6</v>
      </c>
      <c r="T215">
        <v>15.4</v>
      </c>
      <c r="U215">
        <v>12.6</v>
      </c>
      <c r="V215" t="s">
        <v>27</v>
      </c>
      <c r="W215">
        <v>0.623</v>
      </c>
      <c r="X215">
        <v>2.0390000000000001</v>
      </c>
      <c r="Y215" t="s">
        <v>27</v>
      </c>
      <c r="Z215" t="s">
        <v>27</v>
      </c>
      <c r="AA215" t="s">
        <v>27</v>
      </c>
      <c r="AB215" t="s">
        <v>27</v>
      </c>
      <c r="AC215" t="s">
        <v>27</v>
      </c>
      <c r="AD215" t="s">
        <v>27</v>
      </c>
      <c r="AE215" t="s">
        <v>27</v>
      </c>
      <c r="AF215" t="s">
        <v>27</v>
      </c>
      <c r="AG215">
        <v>29.91</v>
      </c>
    </row>
    <row r="216" spans="1:33" x14ac:dyDescent="0.25">
      <c r="A216" t="s">
        <v>57</v>
      </c>
      <c r="B216" s="3">
        <v>43677</v>
      </c>
      <c r="C216">
        <v>2019212</v>
      </c>
      <c r="D216" t="s">
        <v>27</v>
      </c>
      <c r="E216" t="s">
        <v>27</v>
      </c>
      <c r="F216">
        <v>13.6</v>
      </c>
      <c r="G216">
        <v>24.3</v>
      </c>
      <c r="H216">
        <v>2.8</v>
      </c>
      <c r="I216">
        <v>65.099999999999994</v>
      </c>
      <c r="J216">
        <v>30.2</v>
      </c>
      <c r="K216">
        <v>0.5</v>
      </c>
      <c r="L216">
        <v>2.9</v>
      </c>
      <c r="M216">
        <v>0</v>
      </c>
      <c r="N216">
        <v>0</v>
      </c>
      <c r="O216" t="s">
        <v>27</v>
      </c>
      <c r="P216" t="s">
        <v>27</v>
      </c>
      <c r="Q216" t="s">
        <v>27</v>
      </c>
      <c r="R216" t="s">
        <v>27</v>
      </c>
      <c r="S216">
        <v>20.5</v>
      </c>
      <c r="T216">
        <v>15.5</v>
      </c>
      <c r="U216">
        <v>12.8</v>
      </c>
      <c r="V216" t="s">
        <v>27</v>
      </c>
      <c r="W216">
        <v>0.91500000000000004</v>
      </c>
      <c r="X216">
        <v>2.1150000000000002</v>
      </c>
      <c r="Y216" t="s">
        <v>27</v>
      </c>
      <c r="Z216" t="s">
        <v>27</v>
      </c>
      <c r="AA216" t="s">
        <v>27</v>
      </c>
      <c r="AB216" t="s">
        <v>27</v>
      </c>
      <c r="AC216" t="s">
        <v>27</v>
      </c>
      <c r="AD216" t="s">
        <v>27</v>
      </c>
      <c r="AE216" t="s">
        <v>27</v>
      </c>
      <c r="AF216" t="s">
        <v>27</v>
      </c>
      <c r="AG216">
        <v>29.74</v>
      </c>
    </row>
    <row r="217" spans="1:33" x14ac:dyDescent="0.25">
      <c r="A217" t="s">
        <v>57</v>
      </c>
      <c r="B217" s="3">
        <v>43678</v>
      </c>
      <c r="C217">
        <v>2019213</v>
      </c>
      <c r="D217" t="s">
        <v>27</v>
      </c>
      <c r="E217" t="s">
        <v>27</v>
      </c>
      <c r="F217">
        <v>15.6</v>
      </c>
      <c r="G217">
        <v>25.1</v>
      </c>
      <c r="H217">
        <v>4.5999999999999996</v>
      </c>
      <c r="I217">
        <v>55.7</v>
      </c>
      <c r="J217">
        <v>24.8</v>
      </c>
      <c r="K217">
        <v>0.7</v>
      </c>
      <c r="L217">
        <v>2.8</v>
      </c>
      <c r="M217">
        <v>0</v>
      </c>
      <c r="N217">
        <v>0</v>
      </c>
      <c r="O217" t="s">
        <v>27</v>
      </c>
      <c r="P217" t="s">
        <v>27</v>
      </c>
      <c r="Q217" t="s">
        <v>27</v>
      </c>
      <c r="R217" t="s">
        <v>27</v>
      </c>
      <c r="S217">
        <v>20.3</v>
      </c>
      <c r="T217">
        <v>15.7</v>
      </c>
      <c r="U217">
        <v>13</v>
      </c>
      <c r="V217" t="s">
        <v>27</v>
      </c>
      <c r="W217">
        <v>0.79200000000000004</v>
      </c>
      <c r="X217">
        <v>2.4020000000000001</v>
      </c>
      <c r="Y217" t="s">
        <v>27</v>
      </c>
      <c r="Z217" t="s">
        <v>27</v>
      </c>
      <c r="AA217" t="s">
        <v>27</v>
      </c>
      <c r="AB217" t="s">
        <v>27</v>
      </c>
      <c r="AC217" t="s">
        <v>27</v>
      </c>
      <c r="AD217" t="s">
        <v>27</v>
      </c>
      <c r="AE217" t="s">
        <v>27</v>
      </c>
      <c r="AF217" t="s">
        <v>27</v>
      </c>
      <c r="AG217">
        <v>29.59</v>
      </c>
    </row>
    <row r="218" spans="1:33" x14ac:dyDescent="0.25">
      <c r="A218" t="s">
        <v>57</v>
      </c>
      <c r="B218" s="3">
        <v>43679</v>
      </c>
      <c r="C218">
        <v>2019214</v>
      </c>
      <c r="D218" t="s">
        <v>27</v>
      </c>
      <c r="E218" t="s">
        <v>27</v>
      </c>
      <c r="F218">
        <v>15</v>
      </c>
      <c r="G218">
        <v>22.5</v>
      </c>
      <c r="H218">
        <v>7.7</v>
      </c>
      <c r="I218">
        <v>52.6</v>
      </c>
      <c r="J218">
        <v>34.700000000000003</v>
      </c>
      <c r="K218">
        <v>0.9</v>
      </c>
      <c r="L218">
        <v>2.8</v>
      </c>
      <c r="M218">
        <v>0</v>
      </c>
      <c r="N218">
        <v>0</v>
      </c>
      <c r="O218" t="s">
        <v>27</v>
      </c>
      <c r="P218" t="s">
        <v>27</v>
      </c>
      <c r="Q218" t="s">
        <v>27</v>
      </c>
      <c r="R218" t="s">
        <v>27</v>
      </c>
      <c r="S218">
        <v>18.2</v>
      </c>
      <c r="T218">
        <v>15.4</v>
      </c>
      <c r="U218">
        <v>13.2</v>
      </c>
      <c r="V218" t="s">
        <v>27</v>
      </c>
      <c r="W218">
        <v>0.94399999999999995</v>
      </c>
      <c r="X218">
        <v>1.776</v>
      </c>
      <c r="Y218" t="s">
        <v>27</v>
      </c>
      <c r="Z218" t="s">
        <v>27</v>
      </c>
      <c r="AA218" t="s">
        <v>27</v>
      </c>
      <c r="AB218" t="s">
        <v>27</v>
      </c>
      <c r="AC218" t="s">
        <v>27</v>
      </c>
      <c r="AD218" t="s">
        <v>27</v>
      </c>
      <c r="AE218" t="s">
        <v>27</v>
      </c>
      <c r="AF218" t="s">
        <v>27</v>
      </c>
      <c r="AG218">
        <v>29.42</v>
      </c>
    </row>
    <row r="219" spans="1:33" x14ac:dyDescent="0.25">
      <c r="A219" t="s">
        <v>57</v>
      </c>
      <c r="B219" s="3">
        <v>43680</v>
      </c>
      <c r="C219">
        <v>2019215</v>
      </c>
      <c r="D219">
        <v>24.55</v>
      </c>
      <c r="E219" t="s">
        <v>27</v>
      </c>
      <c r="F219">
        <v>10.8</v>
      </c>
      <c r="G219">
        <v>19.100000000000001</v>
      </c>
      <c r="H219">
        <v>1.6</v>
      </c>
      <c r="I219">
        <v>62.6</v>
      </c>
      <c r="J219">
        <v>32.4</v>
      </c>
      <c r="K219">
        <v>0.6</v>
      </c>
      <c r="L219">
        <v>1.9</v>
      </c>
      <c r="M219">
        <v>0</v>
      </c>
      <c r="N219">
        <v>0</v>
      </c>
      <c r="O219" t="s">
        <v>27</v>
      </c>
      <c r="P219" t="s">
        <v>27</v>
      </c>
      <c r="Q219" t="s">
        <v>27</v>
      </c>
      <c r="R219" t="s">
        <v>27</v>
      </c>
      <c r="S219">
        <v>16.399999999999999</v>
      </c>
      <c r="T219">
        <v>14.4</v>
      </c>
      <c r="U219">
        <v>13.1</v>
      </c>
      <c r="V219" t="s">
        <v>27</v>
      </c>
      <c r="W219">
        <v>0.71499999999999997</v>
      </c>
      <c r="X219">
        <v>1.492</v>
      </c>
      <c r="Y219" t="s">
        <v>27</v>
      </c>
      <c r="Z219" t="s">
        <v>27</v>
      </c>
      <c r="AA219" t="s">
        <v>27</v>
      </c>
      <c r="AB219" t="s">
        <v>27</v>
      </c>
      <c r="AC219" t="s">
        <v>27</v>
      </c>
      <c r="AD219" t="s">
        <v>27</v>
      </c>
      <c r="AE219" t="s">
        <v>27</v>
      </c>
      <c r="AF219" t="s">
        <v>27</v>
      </c>
      <c r="AG219">
        <v>29.25</v>
      </c>
    </row>
    <row r="220" spans="1:33" x14ac:dyDescent="0.25">
      <c r="A220" t="s">
        <v>57</v>
      </c>
      <c r="B220" s="3">
        <v>43681</v>
      </c>
      <c r="C220">
        <v>2019216</v>
      </c>
      <c r="D220">
        <v>27.59</v>
      </c>
      <c r="E220" t="s">
        <v>27</v>
      </c>
      <c r="F220">
        <v>12.4</v>
      </c>
      <c r="G220">
        <v>22.2</v>
      </c>
      <c r="H220">
        <v>1.6</v>
      </c>
      <c r="I220">
        <v>61.7</v>
      </c>
      <c r="J220">
        <v>20.5</v>
      </c>
      <c r="K220">
        <v>0.5</v>
      </c>
      <c r="L220">
        <v>1.8</v>
      </c>
      <c r="M220">
        <v>0</v>
      </c>
      <c r="N220">
        <v>0</v>
      </c>
      <c r="O220" t="s">
        <v>27</v>
      </c>
      <c r="P220" t="s">
        <v>27</v>
      </c>
      <c r="Q220" t="s">
        <v>27</v>
      </c>
      <c r="R220" t="s">
        <v>27</v>
      </c>
      <c r="S220">
        <v>18.3</v>
      </c>
      <c r="T220">
        <v>14.4</v>
      </c>
      <c r="U220">
        <v>12.9</v>
      </c>
      <c r="V220" t="s">
        <v>27</v>
      </c>
      <c r="W220">
        <v>0.54900000000000004</v>
      </c>
      <c r="X220">
        <v>2.129</v>
      </c>
      <c r="Y220" t="s">
        <v>27</v>
      </c>
      <c r="Z220" t="s">
        <v>27</v>
      </c>
      <c r="AA220" t="s">
        <v>27</v>
      </c>
      <c r="AB220" t="s">
        <v>27</v>
      </c>
      <c r="AC220" t="s">
        <v>27</v>
      </c>
      <c r="AD220" t="s">
        <v>27</v>
      </c>
      <c r="AE220" t="s">
        <v>27</v>
      </c>
      <c r="AF220" t="s">
        <v>27</v>
      </c>
      <c r="AG220">
        <v>29.08</v>
      </c>
    </row>
    <row r="221" spans="1:33" x14ac:dyDescent="0.25">
      <c r="A221" t="s">
        <v>57</v>
      </c>
      <c r="B221" s="3">
        <v>43682</v>
      </c>
      <c r="C221">
        <v>2019217</v>
      </c>
      <c r="D221">
        <v>27.07</v>
      </c>
      <c r="E221" t="s">
        <v>27</v>
      </c>
      <c r="F221">
        <v>15.9</v>
      </c>
      <c r="G221">
        <v>26.8</v>
      </c>
      <c r="H221">
        <v>3.4</v>
      </c>
      <c r="I221">
        <v>56.7</v>
      </c>
      <c r="J221">
        <v>24.2</v>
      </c>
      <c r="K221">
        <v>0.4</v>
      </c>
      <c r="L221">
        <v>2.7</v>
      </c>
      <c r="M221">
        <v>0</v>
      </c>
      <c r="N221">
        <v>0</v>
      </c>
      <c r="O221" t="s">
        <v>27</v>
      </c>
      <c r="P221" t="s">
        <v>27</v>
      </c>
      <c r="Q221" t="s">
        <v>27</v>
      </c>
      <c r="R221" t="s">
        <v>27</v>
      </c>
      <c r="S221">
        <v>20.399999999999999</v>
      </c>
      <c r="T221">
        <v>15</v>
      </c>
      <c r="U221">
        <v>12.9</v>
      </c>
      <c r="V221" t="s">
        <v>27</v>
      </c>
      <c r="W221">
        <v>0.85199999999999998</v>
      </c>
      <c r="X221">
        <v>2.669</v>
      </c>
      <c r="Y221" t="s">
        <v>27</v>
      </c>
      <c r="Z221" t="s">
        <v>27</v>
      </c>
      <c r="AA221" t="s">
        <v>27</v>
      </c>
      <c r="AB221" t="s">
        <v>27</v>
      </c>
      <c r="AC221" t="s">
        <v>27</v>
      </c>
      <c r="AD221" t="s">
        <v>27</v>
      </c>
      <c r="AE221" t="s">
        <v>27</v>
      </c>
      <c r="AF221" t="s">
        <v>27</v>
      </c>
      <c r="AG221">
        <v>28.91</v>
      </c>
    </row>
    <row r="222" spans="1:33" x14ac:dyDescent="0.25">
      <c r="A222" t="s">
        <v>57</v>
      </c>
      <c r="B222" s="3">
        <v>43683</v>
      </c>
      <c r="C222">
        <v>2019218</v>
      </c>
      <c r="D222">
        <v>27.72</v>
      </c>
      <c r="E222" t="s">
        <v>27</v>
      </c>
      <c r="F222">
        <v>17.7</v>
      </c>
      <c r="G222">
        <v>29.5</v>
      </c>
      <c r="H222">
        <v>5.8</v>
      </c>
      <c r="I222">
        <v>42.5</v>
      </c>
      <c r="J222">
        <v>7.6</v>
      </c>
      <c r="K222">
        <v>0.6</v>
      </c>
      <c r="L222">
        <v>3</v>
      </c>
      <c r="M222">
        <v>0</v>
      </c>
      <c r="N222">
        <v>0</v>
      </c>
      <c r="O222" t="s">
        <v>27</v>
      </c>
      <c r="P222" t="s">
        <v>27</v>
      </c>
      <c r="Q222" t="s">
        <v>27</v>
      </c>
      <c r="R222" t="s">
        <v>27</v>
      </c>
      <c r="S222">
        <v>21.1</v>
      </c>
      <c r="T222">
        <v>15.6</v>
      </c>
      <c r="U222">
        <v>13.1</v>
      </c>
      <c r="V222" t="s">
        <v>27</v>
      </c>
      <c r="W222">
        <v>0.313</v>
      </c>
      <c r="X222">
        <v>3.8050000000000002</v>
      </c>
      <c r="Y222" t="s">
        <v>27</v>
      </c>
      <c r="Z222" t="s">
        <v>27</v>
      </c>
      <c r="AA222" t="s">
        <v>27</v>
      </c>
      <c r="AB222" t="s">
        <v>27</v>
      </c>
      <c r="AC222" t="s">
        <v>27</v>
      </c>
      <c r="AD222" t="s">
        <v>27</v>
      </c>
      <c r="AE222" t="s">
        <v>27</v>
      </c>
      <c r="AF222" t="s">
        <v>27</v>
      </c>
      <c r="AG222">
        <v>28.73</v>
      </c>
    </row>
    <row r="223" spans="1:33" x14ac:dyDescent="0.25">
      <c r="A223" t="s">
        <v>57</v>
      </c>
      <c r="B223" s="3">
        <v>43684</v>
      </c>
      <c r="C223">
        <v>2019219</v>
      </c>
      <c r="D223">
        <v>27.66</v>
      </c>
      <c r="E223" t="s">
        <v>27</v>
      </c>
      <c r="F223">
        <v>18.3</v>
      </c>
      <c r="G223">
        <v>29.2</v>
      </c>
      <c r="H223">
        <v>4.7</v>
      </c>
      <c r="I223">
        <v>35.700000000000003</v>
      </c>
      <c r="J223">
        <v>11.1</v>
      </c>
      <c r="K223">
        <v>0.8</v>
      </c>
      <c r="L223">
        <v>3.2</v>
      </c>
      <c r="M223">
        <v>0</v>
      </c>
      <c r="N223">
        <v>0</v>
      </c>
      <c r="O223" t="s">
        <v>27</v>
      </c>
      <c r="P223" t="s">
        <v>27</v>
      </c>
      <c r="Q223" t="s">
        <v>27</v>
      </c>
      <c r="R223" t="s">
        <v>27</v>
      </c>
      <c r="S223">
        <v>21.2</v>
      </c>
      <c r="T223">
        <v>15.7</v>
      </c>
      <c r="U223">
        <v>13.3</v>
      </c>
      <c r="V223" t="s">
        <v>27</v>
      </c>
      <c r="W223">
        <v>0.44800000000000001</v>
      </c>
      <c r="X223">
        <v>3.5880000000000001</v>
      </c>
      <c r="Y223" t="s">
        <v>27</v>
      </c>
      <c r="Z223" t="s">
        <v>27</v>
      </c>
      <c r="AA223" t="s">
        <v>27</v>
      </c>
      <c r="AB223" t="s">
        <v>27</v>
      </c>
      <c r="AC223" t="s">
        <v>27</v>
      </c>
      <c r="AD223" t="s">
        <v>27</v>
      </c>
      <c r="AE223" t="s">
        <v>27</v>
      </c>
      <c r="AF223" t="s">
        <v>27</v>
      </c>
      <c r="AG223">
        <v>28.55</v>
      </c>
    </row>
    <row r="224" spans="1:33" x14ac:dyDescent="0.25">
      <c r="A224" t="s">
        <v>57</v>
      </c>
      <c r="B224" s="3">
        <v>43685</v>
      </c>
      <c r="C224">
        <v>2019220</v>
      </c>
      <c r="D224">
        <v>27.24</v>
      </c>
      <c r="E224" t="s">
        <v>27</v>
      </c>
      <c r="F224">
        <v>19.3</v>
      </c>
      <c r="G224">
        <v>27.9</v>
      </c>
      <c r="H224">
        <v>8.6</v>
      </c>
      <c r="I224">
        <v>35.4</v>
      </c>
      <c r="J224">
        <v>13.8</v>
      </c>
      <c r="K224">
        <v>0.8</v>
      </c>
      <c r="L224">
        <v>3.7</v>
      </c>
      <c r="M224">
        <v>0</v>
      </c>
      <c r="N224">
        <v>0</v>
      </c>
      <c r="O224" t="s">
        <v>27</v>
      </c>
      <c r="P224" t="s">
        <v>27</v>
      </c>
      <c r="Q224" t="s">
        <v>27</v>
      </c>
      <c r="R224" t="s">
        <v>27</v>
      </c>
      <c r="S224">
        <v>22.1</v>
      </c>
      <c r="T224">
        <v>16.2</v>
      </c>
      <c r="U224">
        <v>13.5</v>
      </c>
      <c r="V224" t="s">
        <v>27</v>
      </c>
      <c r="W224">
        <v>0.51900000000000002</v>
      </c>
      <c r="X224">
        <v>3.242</v>
      </c>
      <c r="Y224" t="s">
        <v>27</v>
      </c>
      <c r="Z224" t="s">
        <v>27</v>
      </c>
      <c r="AA224" t="s">
        <v>27</v>
      </c>
      <c r="AB224" t="s">
        <v>27</v>
      </c>
      <c r="AC224" t="s">
        <v>27</v>
      </c>
      <c r="AD224" t="s">
        <v>27</v>
      </c>
      <c r="AE224" t="s">
        <v>27</v>
      </c>
      <c r="AF224" t="s">
        <v>27</v>
      </c>
      <c r="AG224">
        <v>28.36</v>
      </c>
    </row>
    <row r="225" spans="1:33" x14ac:dyDescent="0.25">
      <c r="A225" t="s">
        <v>57</v>
      </c>
      <c r="B225" s="3">
        <v>43686</v>
      </c>
      <c r="C225">
        <v>2019221</v>
      </c>
      <c r="D225">
        <v>21.53</v>
      </c>
      <c r="E225" t="s">
        <v>27</v>
      </c>
      <c r="F225">
        <v>17.3</v>
      </c>
      <c r="G225">
        <v>25.6</v>
      </c>
      <c r="H225">
        <v>8.6999999999999993</v>
      </c>
      <c r="I225">
        <v>50.6</v>
      </c>
      <c r="J225">
        <v>28.3</v>
      </c>
      <c r="K225">
        <v>0.7</v>
      </c>
      <c r="L225">
        <v>2.4</v>
      </c>
      <c r="M225">
        <v>0</v>
      </c>
      <c r="N225">
        <v>0</v>
      </c>
      <c r="O225" t="s">
        <v>27</v>
      </c>
      <c r="P225" t="s">
        <v>27</v>
      </c>
      <c r="Q225" t="s">
        <v>27</v>
      </c>
      <c r="R225" t="s">
        <v>27</v>
      </c>
      <c r="S225">
        <v>21.2</v>
      </c>
      <c r="T225">
        <v>16.3</v>
      </c>
      <c r="U225">
        <v>13.8</v>
      </c>
      <c r="V225" t="s">
        <v>27</v>
      </c>
      <c r="W225">
        <v>0.93100000000000005</v>
      </c>
      <c r="X225">
        <v>2.359</v>
      </c>
      <c r="Y225" t="s">
        <v>27</v>
      </c>
      <c r="Z225" t="s">
        <v>27</v>
      </c>
      <c r="AA225" t="s">
        <v>27</v>
      </c>
      <c r="AB225" t="s">
        <v>27</v>
      </c>
      <c r="AC225" t="s">
        <v>27</v>
      </c>
      <c r="AD225" t="s">
        <v>27</v>
      </c>
      <c r="AE225" t="s">
        <v>27</v>
      </c>
      <c r="AF225" t="s">
        <v>27</v>
      </c>
      <c r="AG225">
        <v>28.17</v>
      </c>
    </row>
    <row r="226" spans="1:33" x14ac:dyDescent="0.25">
      <c r="A226" t="s">
        <v>57</v>
      </c>
      <c r="B226" s="3">
        <v>43687</v>
      </c>
      <c r="C226">
        <v>2019222</v>
      </c>
      <c r="D226">
        <v>11.5</v>
      </c>
      <c r="E226" t="s">
        <v>27</v>
      </c>
      <c r="F226">
        <v>13.8</v>
      </c>
      <c r="G226">
        <v>20.8</v>
      </c>
      <c r="H226">
        <v>9</v>
      </c>
      <c r="I226">
        <v>80.099999999999994</v>
      </c>
      <c r="J226">
        <v>43.8</v>
      </c>
      <c r="K226">
        <v>0.3</v>
      </c>
      <c r="L226">
        <v>2.2000000000000002</v>
      </c>
      <c r="M226">
        <v>23.1</v>
      </c>
      <c r="N226">
        <v>0</v>
      </c>
      <c r="O226" t="s">
        <v>27</v>
      </c>
      <c r="P226" t="s">
        <v>27</v>
      </c>
      <c r="Q226" t="s">
        <v>27</v>
      </c>
      <c r="R226" t="s">
        <v>27</v>
      </c>
      <c r="S226">
        <v>16.5</v>
      </c>
      <c r="T226">
        <v>15.8</v>
      </c>
      <c r="U226">
        <v>13.9</v>
      </c>
      <c r="V226" t="s">
        <v>27</v>
      </c>
      <c r="W226">
        <v>1.0740000000000001</v>
      </c>
      <c r="X226">
        <v>1.3779999999999999</v>
      </c>
      <c r="Y226" t="s">
        <v>27</v>
      </c>
      <c r="Z226" t="s">
        <v>27</v>
      </c>
      <c r="AA226" t="s">
        <v>27</v>
      </c>
      <c r="AB226" t="s">
        <v>27</v>
      </c>
      <c r="AC226" t="s">
        <v>27</v>
      </c>
      <c r="AD226" t="s">
        <v>27</v>
      </c>
      <c r="AE226" t="s">
        <v>27</v>
      </c>
      <c r="AF226" t="s">
        <v>27</v>
      </c>
      <c r="AG226">
        <v>27.99</v>
      </c>
    </row>
    <row r="227" spans="1:33" x14ac:dyDescent="0.25">
      <c r="A227" t="s">
        <v>57</v>
      </c>
      <c r="B227" s="3">
        <v>43688</v>
      </c>
      <c r="C227">
        <v>2019223</v>
      </c>
      <c r="D227">
        <v>6.93</v>
      </c>
      <c r="E227" t="s">
        <v>27</v>
      </c>
      <c r="F227">
        <v>9.9</v>
      </c>
      <c r="G227">
        <v>12.8</v>
      </c>
      <c r="H227">
        <v>8.1</v>
      </c>
      <c r="I227">
        <v>91.2</v>
      </c>
      <c r="J227">
        <v>71.3</v>
      </c>
      <c r="K227">
        <v>0.6</v>
      </c>
      <c r="L227">
        <v>2.6</v>
      </c>
      <c r="M227">
        <v>8.6</v>
      </c>
      <c r="N227">
        <v>0</v>
      </c>
      <c r="O227" t="s">
        <v>27</v>
      </c>
      <c r="P227" t="s">
        <v>27</v>
      </c>
      <c r="Q227" t="s">
        <v>27</v>
      </c>
      <c r="R227" t="s">
        <v>27</v>
      </c>
      <c r="S227">
        <v>12.6</v>
      </c>
      <c r="T227">
        <v>13.8</v>
      </c>
      <c r="U227">
        <v>13.5</v>
      </c>
      <c r="V227" t="s">
        <v>27</v>
      </c>
      <c r="W227">
        <v>1.056</v>
      </c>
      <c r="X227">
        <v>0.42499999999999999</v>
      </c>
      <c r="Y227" t="s">
        <v>27</v>
      </c>
      <c r="Z227" t="s">
        <v>27</v>
      </c>
      <c r="AA227" t="s">
        <v>27</v>
      </c>
      <c r="AB227" t="s">
        <v>27</v>
      </c>
      <c r="AC227" t="s">
        <v>27</v>
      </c>
      <c r="AD227" t="s">
        <v>27</v>
      </c>
      <c r="AE227" t="s">
        <v>27</v>
      </c>
      <c r="AF227" t="s">
        <v>27</v>
      </c>
      <c r="AG227">
        <v>27.79</v>
      </c>
    </row>
    <row r="228" spans="1:33" x14ac:dyDescent="0.25">
      <c r="A228" t="s">
        <v>57</v>
      </c>
      <c r="B228" s="3">
        <v>43689</v>
      </c>
      <c r="C228">
        <v>2019224</v>
      </c>
      <c r="D228">
        <v>21.98</v>
      </c>
      <c r="E228" t="s">
        <v>27</v>
      </c>
      <c r="F228">
        <v>11.8</v>
      </c>
      <c r="G228">
        <v>19.7</v>
      </c>
      <c r="H228">
        <v>6.3</v>
      </c>
      <c r="I228">
        <v>72.099999999999994</v>
      </c>
      <c r="J228">
        <v>32.200000000000003</v>
      </c>
      <c r="K228">
        <v>0.6</v>
      </c>
      <c r="L228">
        <v>2.7</v>
      </c>
      <c r="M228">
        <v>0.3</v>
      </c>
      <c r="N228">
        <v>0</v>
      </c>
      <c r="O228" t="s">
        <v>27</v>
      </c>
      <c r="P228" t="s">
        <v>27</v>
      </c>
      <c r="Q228" t="s">
        <v>27</v>
      </c>
      <c r="R228" t="s">
        <v>27</v>
      </c>
      <c r="S228">
        <v>14.6</v>
      </c>
      <c r="T228">
        <v>13.8</v>
      </c>
      <c r="U228">
        <v>13.1</v>
      </c>
      <c r="V228" t="s">
        <v>27</v>
      </c>
      <c r="W228">
        <v>0.74</v>
      </c>
      <c r="X228">
        <v>1.5580000000000001</v>
      </c>
      <c r="Y228" t="s">
        <v>27</v>
      </c>
      <c r="Z228" t="s">
        <v>27</v>
      </c>
      <c r="AA228" t="s">
        <v>27</v>
      </c>
      <c r="AB228" t="s">
        <v>27</v>
      </c>
      <c r="AC228" t="s">
        <v>27</v>
      </c>
      <c r="AD228" t="s">
        <v>27</v>
      </c>
      <c r="AE228" t="s">
        <v>27</v>
      </c>
      <c r="AF228" t="s">
        <v>27</v>
      </c>
      <c r="AG228">
        <v>27.6</v>
      </c>
    </row>
    <row r="229" spans="1:33" x14ac:dyDescent="0.25">
      <c r="A229" t="s">
        <v>57</v>
      </c>
      <c r="B229" s="3">
        <v>43690</v>
      </c>
      <c r="C229">
        <v>2019225</v>
      </c>
      <c r="D229">
        <v>14.6</v>
      </c>
      <c r="E229" t="s">
        <v>27</v>
      </c>
      <c r="F229">
        <v>10.9</v>
      </c>
      <c r="G229">
        <v>19.3</v>
      </c>
      <c r="H229">
        <v>3.8</v>
      </c>
      <c r="I229">
        <v>82.3</v>
      </c>
      <c r="J229">
        <v>38.4</v>
      </c>
      <c r="K229">
        <v>0.4</v>
      </c>
      <c r="L229">
        <v>2.5</v>
      </c>
      <c r="M229">
        <v>5.6</v>
      </c>
      <c r="N229">
        <v>0</v>
      </c>
      <c r="O229" t="s">
        <v>27</v>
      </c>
      <c r="P229" t="s">
        <v>27</v>
      </c>
      <c r="Q229" t="s">
        <v>27</v>
      </c>
      <c r="R229" t="s">
        <v>27</v>
      </c>
      <c r="S229">
        <v>12.4</v>
      </c>
      <c r="T229">
        <v>13.3</v>
      </c>
      <c r="U229">
        <v>13</v>
      </c>
      <c r="V229" t="s">
        <v>27</v>
      </c>
      <c r="W229">
        <v>0.86099999999999999</v>
      </c>
      <c r="X229">
        <v>1.381</v>
      </c>
      <c r="Y229" t="s">
        <v>27</v>
      </c>
      <c r="Z229" t="s">
        <v>27</v>
      </c>
      <c r="AA229" t="s">
        <v>27</v>
      </c>
      <c r="AB229" t="s">
        <v>27</v>
      </c>
      <c r="AC229" t="s">
        <v>27</v>
      </c>
      <c r="AD229" t="s">
        <v>27</v>
      </c>
      <c r="AE229" t="s">
        <v>27</v>
      </c>
      <c r="AF229" t="s">
        <v>27</v>
      </c>
      <c r="AG229">
        <v>27.4</v>
      </c>
    </row>
    <row r="230" spans="1:33" x14ac:dyDescent="0.25">
      <c r="A230" t="s">
        <v>57</v>
      </c>
      <c r="B230" s="3">
        <v>43691</v>
      </c>
      <c r="C230">
        <v>2019226</v>
      </c>
      <c r="D230">
        <v>24.07</v>
      </c>
      <c r="E230" t="s">
        <v>27</v>
      </c>
      <c r="F230">
        <v>12.3</v>
      </c>
      <c r="G230">
        <v>21.2</v>
      </c>
      <c r="H230">
        <v>5</v>
      </c>
      <c r="I230">
        <v>71.5</v>
      </c>
      <c r="J230">
        <v>30.3</v>
      </c>
      <c r="K230">
        <v>0.4</v>
      </c>
      <c r="L230">
        <v>2.6</v>
      </c>
      <c r="M230">
        <v>0</v>
      </c>
      <c r="N230">
        <v>0</v>
      </c>
      <c r="O230" t="s">
        <v>27</v>
      </c>
      <c r="P230" t="s">
        <v>27</v>
      </c>
      <c r="Q230" t="s">
        <v>27</v>
      </c>
      <c r="R230" t="s">
        <v>27</v>
      </c>
      <c r="S230">
        <v>14.1</v>
      </c>
      <c r="T230">
        <v>13.4</v>
      </c>
      <c r="U230">
        <v>12.7</v>
      </c>
      <c r="V230" t="s">
        <v>27</v>
      </c>
      <c r="W230">
        <v>0.76500000000000001</v>
      </c>
      <c r="X230">
        <v>1.76</v>
      </c>
      <c r="Y230" t="s">
        <v>27</v>
      </c>
      <c r="Z230" t="s">
        <v>27</v>
      </c>
      <c r="AA230" t="s">
        <v>27</v>
      </c>
      <c r="AB230" t="s">
        <v>27</v>
      </c>
      <c r="AC230" t="s">
        <v>27</v>
      </c>
      <c r="AD230" t="s">
        <v>27</v>
      </c>
      <c r="AE230" t="s">
        <v>27</v>
      </c>
      <c r="AF230" t="s">
        <v>27</v>
      </c>
      <c r="AG230">
        <v>27.2</v>
      </c>
    </row>
    <row r="231" spans="1:33" x14ac:dyDescent="0.25">
      <c r="A231" t="s">
        <v>57</v>
      </c>
      <c r="B231" s="3">
        <v>43692</v>
      </c>
      <c r="C231">
        <v>2019227</v>
      </c>
      <c r="D231">
        <v>21.13</v>
      </c>
      <c r="E231" t="s">
        <v>27</v>
      </c>
      <c r="F231">
        <v>13</v>
      </c>
      <c r="G231">
        <v>22.3</v>
      </c>
      <c r="H231">
        <v>3.8</v>
      </c>
      <c r="I231">
        <v>62.7</v>
      </c>
      <c r="J231">
        <v>33.4</v>
      </c>
      <c r="K231">
        <v>0.6</v>
      </c>
      <c r="L231">
        <v>2.7</v>
      </c>
      <c r="M231">
        <v>0</v>
      </c>
      <c r="N231">
        <v>0</v>
      </c>
      <c r="O231" t="s">
        <v>27</v>
      </c>
      <c r="P231" t="s">
        <v>27</v>
      </c>
      <c r="Q231" t="s">
        <v>27</v>
      </c>
      <c r="R231" t="s">
        <v>27</v>
      </c>
      <c r="S231">
        <v>13.4</v>
      </c>
      <c r="T231">
        <v>13.4</v>
      </c>
      <c r="U231">
        <v>12.7</v>
      </c>
      <c r="V231" t="s">
        <v>27</v>
      </c>
      <c r="W231">
        <v>0.9</v>
      </c>
      <c r="X231">
        <v>1.7949999999999999</v>
      </c>
      <c r="Y231" t="s">
        <v>27</v>
      </c>
      <c r="Z231" t="s">
        <v>27</v>
      </c>
      <c r="AA231" t="s">
        <v>27</v>
      </c>
      <c r="AB231" t="s">
        <v>27</v>
      </c>
      <c r="AC231" t="s">
        <v>27</v>
      </c>
      <c r="AD231" t="s">
        <v>27</v>
      </c>
      <c r="AE231" t="s">
        <v>27</v>
      </c>
      <c r="AF231" t="s">
        <v>27</v>
      </c>
      <c r="AG231">
        <v>26.99</v>
      </c>
    </row>
    <row r="232" spans="1:33" x14ac:dyDescent="0.25">
      <c r="A232" t="s">
        <v>57</v>
      </c>
      <c r="B232" s="3">
        <v>43693</v>
      </c>
      <c r="C232">
        <v>2019228</v>
      </c>
      <c r="D232">
        <v>8.93</v>
      </c>
      <c r="E232" t="s">
        <v>27</v>
      </c>
      <c r="F232">
        <v>11.1</v>
      </c>
      <c r="G232">
        <v>16.5</v>
      </c>
      <c r="H232">
        <v>4.8</v>
      </c>
      <c r="I232">
        <v>75.5</v>
      </c>
      <c r="J232">
        <v>51.1</v>
      </c>
      <c r="K232">
        <v>0.8</v>
      </c>
      <c r="L232">
        <v>2.6</v>
      </c>
      <c r="M232">
        <v>0.3</v>
      </c>
      <c r="N232">
        <v>0</v>
      </c>
      <c r="O232" t="s">
        <v>27</v>
      </c>
      <c r="P232" t="s">
        <v>27</v>
      </c>
      <c r="Q232" t="s">
        <v>27</v>
      </c>
      <c r="R232" t="s">
        <v>27</v>
      </c>
      <c r="S232">
        <v>12.2</v>
      </c>
      <c r="T232">
        <v>12.8</v>
      </c>
      <c r="U232">
        <v>12.6</v>
      </c>
      <c r="V232" t="s">
        <v>27</v>
      </c>
      <c r="W232">
        <v>0.95699999999999996</v>
      </c>
      <c r="X232">
        <v>0.91600000000000004</v>
      </c>
      <c r="Y232" t="s">
        <v>27</v>
      </c>
      <c r="Z232" t="s">
        <v>27</v>
      </c>
      <c r="AA232" t="s">
        <v>27</v>
      </c>
      <c r="AB232" t="s">
        <v>27</v>
      </c>
      <c r="AC232" t="s">
        <v>27</v>
      </c>
      <c r="AD232" t="s">
        <v>27</v>
      </c>
      <c r="AE232" t="s">
        <v>27</v>
      </c>
      <c r="AF232" t="s">
        <v>27</v>
      </c>
      <c r="AG232">
        <v>26.79</v>
      </c>
    </row>
    <row r="233" spans="1:33" x14ac:dyDescent="0.25">
      <c r="A233" t="s">
        <v>57</v>
      </c>
      <c r="B233" s="3">
        <v>43694</v>
      </c>
      <c r="C233">
        <v>2019229</v>
      </c>
      <c r="D233">
        <v>18.57</v>
      </c>
      <c r="E233" t="s">
        <v>27</v>
      </c>
      <c r="F233">
        <v>11</v>
      </c>
      <c r="G233">
        <v>18.399999999999999</v>
      </c>
      <c r="H233">
        <v>3.1</v>
      </c>
      <c r="I233">
        <v>66.900000000000006</v>
      </c>
      <c r="J233">
        <v>40</v>
      </c>
      <c r="K233">
        <v>0.9</v>
      </c>
      <c r="L233">
        <v>3</v>
      </c>
      <c r="M233">
        <v>0</v>
      </c>
      <c r="N233">
        <v>0</v>
      </c>
      <c r="O233" t="s">
        <v>27</v>
      </c>
      <c r="P233" t="s">
        <v>27</v>
      </c>
      <c r="Q233" t="s">
        <v>27</v>
      </c>
      <c r="R233" t="s">
        <v>27</v>
      </c>
      <c r="S233">
        <v>12.3</v>
      </c>
      <c r="T233">
        <v>12.6</v>
      </c>
      <c r="U233">
        <v>12.4</v>
      </c>
      <c r="V233" t="s">
        <v>27</v>
      </c>
      <c r="W233">
        <v>0.84499999999999997</v>
      </c>
      <c r="X233">
        <v>1.268</v>
      </c>
      <c r="Y233" t="s">
        <v>27</v>
      </c>
      <c r="Z233" t="s">
        <v>27</v>
      </c>
      <c r="AA233" t="s">
        <v>27</v>
      </c>
      <c r="AB233" t="s">
        <v>27</v>
      </c>
      <c r="AC233" t="s">
        <v>27</v>
      </c>
      <c r="AD233" t="s">
        <v>27</v>
      </c>
      <c r="AE233" t="s">
        <v>27</v>
      </c>
      <c r="AF233" t="s">
        <v>27</v>
      </c>
      <c r="AG233">
        <v>26.58</v>
      </c>
    </row>
    <row r="234" spans="1:33" x14ac:dyDescent="0.25">
      <c r="A234" t="s">
        <v>57</v>
      </c>
      <c r="B234" s="3">
        <v>43695</v>
      </c>
      <c r="C234">
        <v>2019230</v>
      </c>
      <c r="D234">
        <v>25.06</v>
      </c>
      <c r="E234" t="s">
        <v>27</v>
      </c>
      <c r="F234">
        <v>13.4</v>
      </c>
      <c r="G234">
        <v>23</v>
      </c>
      <c r="H234">
        <v>2</v>
      </c>
      <c r="I234">
        <v>58.7</v>
      </c>
      <c r="J234">
        <v>29.4</v>
      </c>
      <c r="K234">
        <v>0.8</v>
      </c>
      <c r="L234">
        <v>2.6</v>
      </c>
      <c r="M234">
        <v>0</v>
      </c>
      <c r="N234">
        <v>0</v>
      </c>
      <c r="O234" t="s">
        <v>27</v>
      </c>
      <c r="P234" t="s">
        <v>27</v>
      </c>
      <c r="Q234" t="s">
        <v>27</v>
      </c>
      <c r="R234" t="s">
        <v>27</v>
      </c>
      <c r="S234">
        <v>14</v>
      </c>
      <c r="T234">
        <v>12.9</v>
      </c>
      <c r="U234">
        <v>12.2</v>
      </c>
      <c r="V234" t="s">
        <v>27</v>
      </c>
      <c r="W234">
        <v>0.82699999999999996</v>
      </c>
      <c r="X234">
        <v>1.986</v>
      </c>
      <c r="Y234" t="s">
        <v>27</v>
      </c>
      <c r="Z234" t="s">
        <v>27</v>
      </c>
      <c r="AA234" t="s">
        <v>27</v>
      </c>
      <c r="AB234" t="s">
        <v>27</v>
      </c>
      <c r="AC234" t="s">
        <v>27</v>
      </c>
      <c r="AD234" t="s">
        <v>27</v>
      </c>
      <c r="AE234" t="s">
        <v>27</v>
      </c>
      <c r="AF234" t="s">
        <v>27</v>
      </c>
      <c r="AG234">
        <v>26.37</v>
      </c>
    </row>
    <row r="235" spans="1:33" x14ac:dyDescent="0.25">
      <c r="A235" t="s">
        <v>57</v>
      </c>
      <c r="B235" s="3">
        <v>43696</v>
      </c>
      <c r="C235">
        <v>2019231</v>
      </c>
      <c r="D235">
        <v>24.15</v>
      </c>
      <c r="E235" t="s">
        <v>27</v>
      </c>
      <c r="F235">
        <v>12.9</v>
      </c>
      <c r="G235">
        <v>22.3</v>
      </c>
      <c r="H235">
        <v>4.8</v>
      </c>
      <c r="I235">
        <v>53.1</v>
      </c>
      <c r="J235">
        <v>25.8</v>
      </c>
      <c r="K235">
        <v>0.7</v>
      </c>
      <c r="L235">
        <v>2.8</v>
      </c>
      <c r="M235">
        <v>0</v>
      </c>
      <c r="N235">
        <v>0</v>
      </c>
      <c r="O235" t="s">
        <v>27</v>
      </c>
      <c r="P235" t="s">
        <v>27</v>
      </c>
      <c r="Q235" t="s">
        <v>27</v>
      </c>
      <c r="R235" t="s">
        <v>27</v>
      </c>
      <c r="S235">
        <v>14.2</v>
      </c>
      <c r="T235">
        <v>13.2</v>
      </c>
      <c r="U235">
        <v>12.3</v>
      </c>
      <c r="V235" t="s">
        <v>27</v>
      </c>
      <c r="W235">
        <v>0.69499999999999995</v>
      </c>
      <c r="X235">
        <v>1.9990000000000001</v>
      </c>
      <c r="Y235" t="s">
        <v>27</v>
      </c>
      <c r="Z235" t="s">
        <v>27</v>
      </c>
      <c r="AA235" t="s">
        <v>27</v>
      </c>
      <c r="AB235" t="s">
        <v>27</v>
      </c>
      <c r="AC235" t="s">
        <v>27</v>
      </c>
      <c r="AD235" t="s">
        <v>27</v>
      </c>
      <c r="AE235" t="s">
        <v>27</v>
      </c>
      <c r="AF235" t="s">
        <v>27</v>
      </c>
      <c r="AG235">
        <v>26.15</v>
      </c>
    </row>
    <row r="236" spans="1:33" x14ac:dyDescent="0.25">
      <c r="A236" t="s">
        <v>57</v>
      </c>
      <c r="B236" s="3">
        <v>43697</v>
      </c>
      <c r="C236">
        <v>2019232</v>
      </c>
      <c r="D236">
        <v>22.99</v>
      </c>
      <c r="E236" t="s">
        <v>27</v>
      </c>
      <c r="F236">
        <v>15.3</v>
      </c>
      <c r="G236">
        <v>25.8</v>
      </c>
      <c r="H236">
        <v>3.2</v>
      </c>
      <c r="I236">
        <v>54.9</v>
      </c>
      <c r="J236">
        <v>22.6</v>
      </c>
      <c r="K236">
        <v>0.6</v>
      </c>
      <c r="L236">
        <v>2.6</v>
      </c>
      <c r="M236">
        <v>0</v>
      </c>
      <c r="N236">
        <v>0</v>
      </c>
      <c r="O236" t="s">
        <v>27</v>
      </c>
      <c r="P236" t="s">
        <v>27</v>
      </c>
      <c r="Q236" t="s">
        <v>27</v>
      </c>
      <c r="R236" t="s">
        <v>27</v>
      </c>
      <c r="S236">
        <v>16.399999999999999</v>
      </c>
      <c r="T236">
        <v>13.6</v>
      </c>
      <c r="U236">
        <v>12.4</v>
      </c>
      <c r="V236" t="s">
        <v>27</v>
      </c>
      <c r="W236">
        <v>0.748</v>
      </c>
      <c r="X236">
        <v>2.5619999999999998</v>
      </c>
      <c r="Y236" t="s">
        <v>27</v>
      </c>
      <c r="Z236" t="s">
        <v>27</v>
      </c>
      <c r="AA236" t="s">
        <v>27</v>
      </c>
      <c r="AB236" t="s">
        <v>27</v>
      </c>
      <c r="AC236" t="s">
        <v>27</v>
      </c>
      <c r="AD236" t="s">
        <v>27</v>
      </c>
      <c r="AE236" t="s">
        <v>27</v>
      </c>
      <c r="AF236" t="s">
        <v>27</v>
      </c>
      <c r="AG236">
        <v>25.94</v>
      </c>
    </row>
    <row r="237" spans="1:33" x14ac:dyDescent="0.25">
      <c r="A237" t="s">
        <v>57</v>
      </c>
      <c r="B237" s="3">
        <v>43698</v>
      </c>
      <c r="C237">
        <v>2019233</v>
      </c>
      <c r="D237">
        <v>10.98</v>
      </c>
      <c r="E237" t="s">
        <v>27</v>
      </c>
      <c r="F237">
        <v>13.3</v>
      </c>
      <c r="G237">
        <v>21.2</v>
      </c>
      <c r="H237">
        <v>6.2</v>
      </c>
      <c r="I237">
        <v>70.099999999999994</v>
      </c>
      <c r="J237">
        <v>31.1</v>
      </c>
      <c r="K237">
        <v>0.4</v>
      </c>
      <c r="L237">
        <v>2.6</v>
      </c>
      <c r="M237">
        <v>0.5</v>
      </c>
      <c r="N237">
        <v>0</v>
      </c>
      <c r="O237" t="s">
        <v>27</v>
      </c>
      <c r="P237" t="s">
        <v>27</v>
      </c>
      <c r="Q237" t="s">
        <v>27</v>
      </c>
      <c r="R237" t="s">
        <v>27</v>
      </c>
      <c r="S237">
        <v>13.6</v>
      </c>
      <c r="T237">
        <v>13.6</v>
      </c>
      <c r="U237">
        <v>12.6</v>
      </c>
      <c r="V237" t="s">
        <v>27</v>
      </c>
      <c r="W237">
        <v>0.78400000000000003</v>
      </c>
      <c r="X237">
        <v>1.7370000000000001</v>
      </c>
      <c r="Y237" t="s">
        <v>27</v>
      </c>
      <c r="Z237" t="s">
        <v>27</v>
      </c>
      <c r="AA237" t="s">
        <v>27</v>
      </c>
      <c r="AB237" t="s">
        <v>27</v>
      </c>
      <c r="AC237" t="s">
        <v>27</v>
      </c>
      <c r="AD237" t="s">
        <v>27</v>
      </c>
      <c r="AE237" t="s">
        <v>27</v>
      </c>
      <c r="AF237" t="s">
        <v>27</v>
      </c>
      <c r="AG237">
        <v>25.72</v>
      </c>
    </row>
    <row r="238" spans="1:33" x14ac:dyDescent="0.25">
      <c r="A238" t="s">
        <v>57</v>
      </c>
      <c r="B238" s="3">
        <v>43699</v>
      </c>
      <c r="C238">
        <v>2019234</v>
      </c>
      <c r="D238">
        <v>23.53</v>
      </c>
      <c r="E238" t="s">
        <v>27</v>
      </c>
      <c r="F238">
        <v>10.199999999999999</v>
      </c>
      <c r="G238">
        <v>18.7</v>
      </c>
      <c r="H238">
        <v>1.9</v>
      </c>
      <c r="I238">
        <v>68.7</v>
      </c>
      <c r="J238">
        <v>31.4</v>
      </c>
      <c r="K238">
        <v>0.6</v>
      </c>
      <c r="L238">
        <v>2.4</v>
      </c>
      <c r="M238">
        <v>0</v>
      </c>
      <c r="N238">
        <v>0</v>
      </c>
      <c r="O238" t="s">
        <v>27</v>
      </c>
      <c r="P238" t="s">
        <v>27</v>
      </c>
      <c r="Q238" t="s">
        <v>27</v>
      </c>
      <c r="R238" t="s">
        <v>27</v>
      </c>
      <c r="S238">
        <v>13.4</v>
      </c>
      <c r="T238">
        <v>13.2</v>
      </c>
      <c r="U238">
        <v>12.5</v>
      </c>
      <c r="V238" t="s">
        <v>27</v>
      </c>
      <c r="W238">
        <v>0.67600000000000005</v>
      </c>
      <c r="X238">
        <v>1.4770000000000001</v>
      </c>
      <c r="Y238" t="s">
        <v>27</v>
      </c>
      <c r="Z238" t="s">
        <v>27</v>
      </c>
      <c r="AA238" t="s">
        <v>27</v>
      </c>
      <c r="AB238" t="s">
        <v>27</v>
      </c>
      <c r="AC238" t="s">
        <v>27</v>
      </c>
      <c r="AD238" t="s">
        <v>27</v>
      </c>
      <c r="AE238" t="s">
        <v>27</v>
      </c>
      <c r="AF238" t="s">
        <v>27</v>
      </c>
      <c r="AG238">
        <v>25.5</v>
      </c>
    </row>
    <row r="239" spans="1:33" x14ac:dyDescent="0.25">
      <c r="A239" t="s">
        <v>57</v>
      </c>
      <c r="B239" s="3">
        <v>43700</v>
      </c>
      <c r="C239">
        <v>2019235</v>
      </c>
      <c r="D239">
        <v>8.07</v>
      </c>
      <c r="E239" t="s">
        <v>27</v>
      </c>
      <c r="F239">
        <v>9</v>
      </c>
      <c r="G239">
        <v>15.9</v>
      </c>
      <c r="H239">
        <v>2.9</v>
      </c>
      <c r="I239">
        <v>85.5</v>
      </c>
      <c r="J239">
        <v>49</v>
      </c>
      <c r="K239">
        <v>0.4</v>
      </c>
      <c r="L239">
        <v>2.6</v>
      </c>
      <c r="M239">
        <v>1</v>
      </c>
      <c r="N239">
        <v>0</v>
      </c>
      <c r="O239" t="s">
        <v>27</v>
      </c>
      <c r="P239" t="s">
        <v>27</v>
      </c>
      <c r="Q239" t="s">
        <v>27</v>
      </c>
      <c r="R239" t="s">
        <v>27</v>
      </c>
      <c r="S239">
        <v>10.8</v>
      </c>
      <c r="T239">
        <v>12.3</v>
      </c>
      <c r="U239">
        <v>12.4</v>
      </c>
      <c r="V239" t="s">
        <v>27</v>
      </c>
      <c r="W239">
        <v>0.88300000000000001</v>
      </c>
      <c r="X239">
        <v>0.91900000000000004</v>
      </c>
      <c r="Y239" t="s">
        <v>27</v>
      </c>
      <c r="Z239" t="s">
        <v>27</v>
      </c>
      <c r="AA239" t="s">
        <v>27</v>
      </c>
      <c r="AB239" t="s">
        <v>27</v>
      </c>
      <c r="AC239" t="s">
        <v>27</v>
      </c>
      <c r="AD239" t="s">
        <v>27</v>
      </c>
      <c r="AE239" t="s">
        <v>27</v>
      </c>
      <c r="AF239" t="s">
        <v>27</v>
      </c>
      <c r="AG239">
        <v>25.27</v>
      </c>
    </row>
    <row r="240" spans="1:33" x14ac:dyDescent="0.25">
      <c r="A240" t="s">
        <v>57</v>
      </c>
      <c r="B240" s="3">
        <v>43701</v>
      </c>
      <c r="C240">
        <v>2019236</v>
      </c>
      <c r="D240">
        <v>22.43</v>
      </c>
      <c r="E240" t="s">
        <v>27</v>
      </c>
      <c r="F240">
        <v>10</v>
      </c>
      <c r="G240">
        <v>16.8</v>
      </c>
      <c r="H240">
        <v>2.2999999999999998</v>
      </c>
      <c r="I240">
        <v>63</v>
      </c>
      <c r="J240">
        <v>40.9</v>
      </c>
      <c r="K240">
        <v>1.2</v>
      </c>
      <c r="L240">
        <v>3.6</v>
      </c>
      <c r="M240">
        <v>0</v>
      </c>
      <c r="N240">
        <v>0</v>
      </c>
      <c r="O240" t="s">
        <v>27</v>
      </c>
      <c r="P240" t="s">
        <v>27</v>
      </c>
      <c r="Q240" t="s">
        <v>27</v>
      </c>
      <c r="R240" t="s">
        <v>27</v>
      </c>
      <c r="S240">
        <v>12</v>
      </c>
      <c r="T240">
        <v>12.1</v>
      </c>
      <c r="U240">
        <v>12</v>
      </c>
      <c r="V240" t="s">
        <v>27</v>
      </c>
      <c r="W240">
        <v>0.78300000000000003</v>
      </c>
      <c r="X240">
        <v>1.131</v>
      </c>
      <c r="Y240" t="s">
        <v>27</v>
      </c>
      <c r="Z240" t="s">
        <v>27</v>
      </c>
      <c r="AA240" t="s">
        <v>27</v>
      </c>
      <c r="AB240" t="s">
        <v>27</v>
      </c>
      <c r="AC240" t="s">
        <v>27</v>
      </c>
      <c r="AD240" t="s">
        <v>27</v>
      </c>
      <c r="AE240" t="s">
        <v>27</v>
      </c>
      <c r="AF240" t="s">
        <v>27</v>
      </c>
      <c r="AG240">
        <v>25.04</v>
      </c>
    </row>
    <row r="241" spans="1:33" x14ac:dyDescent="0.25">
      <c r="A241" t="s">
        <v>57</v>
      </c>
      <c r="B241" s="3">
        <v>43702</v>
      </c>
      <c r="C241">
        <v>2019237</v>
      </c>
      <c r="D241">
        <v>14.82</v>
      </c>
      <c r="E241" t="s">
        <v>27</v>
      </c>
      <c r="F241">
        <v>8.1</v>
      </c>
      <c r="G241">
        <v>14.9</v>
      </c>
      <c r="H241">
        <v>1.8</v>
      </c>
      <c r="I241">
        <v>82.4</v>
      </c>
      <c r="J241">
        <v>47.7</v>
      </c>
      <c r="K241">
        <v>0.6</v>
      </c>
      <c r="L241">
        <v>2.7</v>
      </c>
      <c r="M241">
        <v>7.9</v>
      </c>
      <c r="N241">
        <v>0</v>
      </c>
      <c r="O241" t="s">
        <v>27</v>
      </c>
      <c r="P241" t="s">
        <v>27</v>
      </c>
      <c r="Q241" t="s">
        <v>27</v>
      </c>
      <c r="R241" t="s">
        <v>27</v>
      </c>
      <c r="S241">
        <v>10.9</v>
      </c>
      <c r="T241">
        <v>11.9</v>
      </c>
      <c r="U241">
        <v>11.9</v>
      </c>
      <c r="V241" t="s">
        <v>27</v>
      </c>
      <c r="W241">
        <v>0.80700000000000005</v>
      </c>
      <c r="X241">
        <v>0.88500000000000001</v>
      </c>
      <c r="Y241" t="s">
        <v>27</v>
      </c>
      <c r="Z241" t="s">
        <v>27</v>
      </c>
      <c r="AA241" t="s">
        <v>27</v>
      </c>
      <c r="AB241" t="s">
        <v>27</v>
      </c>
      <c r="AC241" t="s">
        <v>27</v>
      </c>
      <c r="AD241" t="s">
        <v>27</v>
      </c>
      <c r="AE241" t="s">
        <v>27</v>
      </c>
      <c r="AF241" t="s">
        <v>27</v>
      </c>
      <c r="AG241">
        <v>24.82</v>
      </c>
    </row>
    <row r="242" spans="1:33" x14ac:dyDescent="0.25">
      <c r="A242" t="s">
        <v>57</v>
      </c>
      <c r="B242" s="3">
        <v>43703</v>
      </c>
      <c r="C242">
        <v>2019238</v>
      </c>
      <c r="D242">
        <v>21.37</v>
      </c>
      <c r="E242" t="s">
        <v>27</v>
      </c>
      <c r="F242">
        <v>8.3000000000000007</v>
      </c>
      <c r="G242">
        <v>17.100000000000001</v>
      </c>
      <c r="H242">
        <v>0.5</v>
      </c>
      <c r="I242">
        <v>75.8</v>
      </c>
      <c r="J242">
        <v>35.5</v>
      </c>
      <c r="K242">
        <v>0.4</v>
      </c>
      <c r="L242">
        <v>1.8</v>
      </c>
      <c r="M242">
        <v>0.3</v>
      </c>
      <c r="N242">
        <v>0</v>
      </c>
      <c r="O242" t="s">
        <v>27</v>
      </c>
      <c r="P242" t="s">
        <v>27</v>
      </c>
      <c r="Q242" t="s">
        <v>27</v>
      </c>
      <c r="R242" t="s">
        <v>27</v>
      </c>
      <c r="S242">
        <v>10.1</v>
      </c>
      <c r="T242">
        <v>11.2</v>
      </c>
      <c r="U242">
        <v>11.6</v>
      </c>
      <c r="V242" t="s">
        <v>27</v>
      </c>
      <c r="W242">
        <v>0.69099999999999995</v>
      </c>
      <c r="X242">
        <v>1.2549999999999999</v>
      </c>
      <c r="Y242" t="s">
        <v>27</v>
      </c>
      <c r="Z242" t="s">
        <v>27</v>
      </c>
      <c r="AA242" t="s">
        <v>27</v>
      </c>
      <c r="AB242" t="s">
        <v>27</v>
      </c>
      <c r="AC242" t="s">
        <v>27</v>
      </c>
      <c r="AD242" t="s">
        <v>27</v>
      </c>
      <c r="AE242" t="s">
        <v>27</v>
      </c>
      <c r="AF242" t="s">
        <v>27</v>
      </c>
      <c r="AG242">
        <v>24.59</v>
      </c>
    </row>
    <row r="243" spans="1:33" x14ac:dyDescent="0.25">
      <c r="A243" t="s">
        <v>57</v>
      </c>
      <c r="B243" s="3">
        <v>43704</v>
      </c>
      <c r="C243">
        <v>2019239</v>
      </c>
      <c r="D243">
        <v>23.02</v>
      </c>
      <c r="E243" t="s">
        <v>27</v>
      </c>
      <c r="F243">
        <v>12.7</v>
      </c>
      <c r="G243">
        <v>24.5</v>
      </c>
      <c r="H243">
        <v>1.2</v>
      </c>
      <c r="I243">
        <v>63.1</v>
      </c>
      <c r="J243">
        <v>26.6</v>
      </c>
      <c r="K243">
        <v>0.4</v>
      </c>
      <c r="L243">
        <v>2.2999999999999998</v>
      </c>
      <c r="M243">
        <v>0</v>
      </c>
      <c r="N243">
        <v>0</v>
      </c>
      <c r="O243" t="s">
        <v>27</v>
      </c>
      <c r="P243" t="s">
        <v>27</v>
      </c>
      <c r="Q243" t="s">
        <v>27</v>
      </c>
      <c r="R243" t="s">
        <v>27</v>
      </c>
      <c r="S243">
        <v>11.6</v>
      </c>
      <c r="T243">
        <v>11.4</v>
      </c>
      <c r="U243">
        <v>11.4</v>
      </c>
      <c r="V243" t="s">
        <v>27</v>
      </c>
      <c r="W243">
        <v>0.81899999999999995</v>
      </c>
      <c r="X243">
        <v>2.2599999999999998</v>
      </c>
      <c r="Y243" t="s">
        <v>27</v>
      </c>
      <c r="Z243" t="s">
        <v>27</v>
      </c>
      <c r="AA243" t="s">
        <v>27</v>
      </c>
      <c r="AB243" t="s">
        <v>27</v>
      </c>
      <c r="AC243" t="s">
        <v>27</v>
      </c>
      <c r="AD243" t="s">
        <v>27</v>
      </c>
      <c r="AE243" t="s">
        <v>27</v>
      </c>
      <c r="AF243" t="s">
        <v>27</v>
      </c>
      <c r="AG243">
        <v>24.36</v>
      </c>
    </row>
    <row r="244" spans="1:33" x14ac:dyDescent="0.25">
      <c r="A244" t="s">
        <v>57</v>
      </c>
      <c r="B244" s="3">
        <v>43705</v>
      </c>
      <c r="C244">
        <v>2019240</v>
      </c>
      <c r="D244">
        <v>22.94</v>
      </c>
      <c r="E244" t="s">
        <v>27</v>
      </c>
      <c r="F244">
        <v>14.1</v>
      </c>
      <c r="G244">
        <v>25.1</v>
      </c>
      <c r="H244">
        <v>3.9</v>
      </c>
      <c r="I244">
        <v>63.4</v>
      </c>
      <c r="J244">
        <v>24.8</v>
      </c>
      <c r="K244">
        <v>0.4</v>
      </c>
      <c r="L244">
        <v>2.2999999999999998</v>
      </c>
      <c r="M244">
        <v>0</v>
      </c>
      <c r="N244">
        <v>0</v>
      </c>
      <c r="O244" t="s">
        <v>27</v>
      </c>
      <c r="P244" t="s">
        <v>27</v>
      </c>
      <c r="Q244" t="s">
        <v>27</v>
      </c>
      <c r="R244" t="s">
        <v>27</v>
      </c>
      <c r="S244">
        <v>13.3</v>
      </c>
      <c r="T244">
        <v>12.2</v>
      </c>
      <c r="U244">
        <v>11.4</v>
      </c>
      <c r="V244" t="s">
        <v>27</v>
      </c>
      <c r="W244">
        <v>0.79100000000000004</v>
      </c>
      <c r="X244">
        <v>2.399</v>
      </c>
      <c r="Y244" t="s">
        <v>27</v>
      </c>
      <c r="Z244" t="s">
        <v>27</v>
      </c>
      <c r="AA244" t="s">
        <v>27</v>
      </c>
      <c r="AB244" t="s">
        <v>27</v>
      </c>
      <c r="AC244" t="s">
        <v>27</v>
      </c>
      <c r="AD244" t="s">
        <v>27</v>
      </c>
      <c r="AE244" t="s">
        <v>27</v>
      </c>
      <c r="AF244" t="s">
        <v>27</v>
      </c>
      <c r="AG244">
        <v>24.12</v>
      </c>
    </row>
    <row r="245" spans="1:33" x14ac:dyDescent="0.25">
      <c r="A245" t="s">
        <v>57</v>
      </c>
      <c r="B245" s="3">
        <v>43706</v>
      </c>
      <c r="C245">
        <v>2019241</v>
      </c>
      <c r="D245">
        <v>22.97</v>
      </c>
      <c r="E245" t="s">
        <v>27</v>
      </c>
      <c r="F245">
        <v>15.1</v>
      </c>
      <c r="G245">
        <v>26.5</v>
      </c>
      <c r="H245">
        <v>3.4</v>
      </c>
      <c r="I245">
        <v>53.2</v>
      </c>
      <c r="J245">
        <v>15.6</v>
      </c>
      <c r="K245">
        <v>0.5</v>
      </c>
      <c r="L245">
        <v>2.8</v>
      </c>
      <c r="M245">
        <v>0</v>
      </c>
      <c r="N245">
        <v>0</v>
      </c>
      <c r="O245" t="s">
        <v>27</v>
      </c>
      <c r="P245" t="s">
        <v>27</v>
      </c>
      <c r="Q245" t="s">
        <v>27</v>
      </c>
      <c r="R245" t="s">
        <v>27</v>
      </c>
      <c r="S245">
        <v>13.6</v>
      </c>
      <c r="T245">
        <v>12.4</v>
      </c>
      <c r="U245">
        <v>11.6</v>
      </c>
      <c r="V245" t="s">
        <v>27</v>
      </c>
      <c r="W245">
        <v>0.53800000000000003</v>
      </c>
      <c r="X245">
        <v>2.911</v>
      </c>
      <c r="Y245" t="s">
        <v>27</v>
      </c>
      <c r="Z245" t="s">
        <v>27</v>
      </c>
      <c r="AA245" t="s">
        <v>27</v>
      </c>
      <c r="AB245" t="s">
        <v>27</v>
      </c>
      <c r="AC245" t="s">
        <v>27</v>
      </c>
      <c r="AD245" t="s">
        <v>27</v>
      </c>
      <c r="AE245" t="s">
        <v>27</v>
      </c>
      <c r="AF245" t="s">
        <v>27</v>
      </c>
      <c r="AG245">
        <v>23.89</v>
      </c>
    </row>
    <row r="246" spans="1:33" x14ac:dyDescent="0.25">
      <c r="A246" t="s">
        <v>57</v>
      </c>
      <c r="B246" s="3">
        <v>43707</v>
      </c>
      <c r="C246">
        <v>2019242</v>
      </c>
      <c r="D246">
        <v>16.62</v>
      </c>
      <c r="E246" t="s">
        <v>27</v>
      </c>
      <c r="F246">
        <v>14.4</v>
      </c>
      <c r="G246">
        <v>23</v>
      </c>
      <c r="H246">
        <v>7.7</v>
      </c>
      <c r="I246">
        <v>70</v>
      </c>
      <c r="J246">
        <v>36</v>
      </c>
      <c r="K246">
        <v>0.4</v>
      </c>
      <c r="L246">
        <v>2.4</v>
      </c>
      <c r="M246">
        <v>0</v>
      </c>
      <c r="N246">
        <v>0</v>
      </c>
      <c r="O246" t="s">
        <v>27</v>
      </c>
      <c r="P246" t="s">
        <v>27</v>
      </c>
      <c r="Q246" t="s">
        <v>27</v>
      </c>
      <c r="R246" t="s">
        <v>27</v>
      </c>
      <c r="S246">
        <v>16</v>
      </c>
      <c r="T246">
        <v>13.2</v>
      </c>
      <c r="U246">
        <v>11.8</v>
      </c>
      <c r="V246" t="s">
        <v>27</v>
      </c>
      <c r="W246">
        <v>1.01</v>
      </c>
      <c r="X246">
        <v>1.796</v>
      </c>
      <c r="Y246" t="s">
        <v>27</v>
      </c>
      <c r="Z246" t="s">
        <v>27</v>
      </c>
      <c r="AA246" t="s">
        <v>27</v>
      </c>
      <c r="AB246" t="s">
        <v>27</v>
      </c>
      <c r="AC246" t="s">
        <v>27</v>
      </c>
      <c r="AD246" t="s">
        <v>27</v>
      </c>
      <c r="AE246" t="s">
        <v>27</v>
      </c>
      <c r="AF246" t="s">
        <v>27</v>
      </c>
      <c r="AG246">
        <v>23.65</v>
      </c>
    </row>
    <row r="247" spans="1:33" x14ac:dyDescent="0.25">
      <c r="A247" t="s">
        <v>57</v>
      </c>
      <c r="B247" s="3">
        <v>43708</v>
      </c>
      <c r="C247">
        <v>2019243</v>
      </c>
      <c r="D247">
        <v>13.06</v>
      </c>
      <c r="E247" t="s">
        <v>27</v>
      </c>
      <c r="F247">
        <v>14.2</v>
      </c>
      <c r="G247">
        <v>23</v>
      </c>
      <c r="H247">
        <v>7.9</v>
      </c>
      <c r="I247">
        <v>79.400000000000006</v>
      </c>
      <c r="J247">
        <v>37.200000000000003</v>
      </c>
      <c r="K247">
        <v>0.4</v>
      </c>
      <c r="L247">
        <v>2.5</v>
      </c>
      <c r="M247">
        <v>1</v>
      </c>
      <c r="N247">
        <v>0</v>
      </c>
      <c r="O247" t="s">
        <v>27</v>
      </c>
      <c r="P247" t="s">
        <v>27</v>
      </c>
      <c r="Q247" t="s">
        <v>27</v>
      </c>
      <c r="R247" t="s">
        <v>27</v>
      </c>
      <c r="S247">
        <v>15.7</v>
      </c>
      <c r="T247">
        <v>13.7</v>
      </c>
      <c r="U247">
        <v>12</v>
      </c>
      <c r="V247" t="s">
        <v>27</v>
      </c>
      <c r="W247">
        <v>1.046</v>
      </c>
      <c r="X247">
        <v>1.766</v>
      </c>
      <c r="Y247" t="s">
        <v>27</v>
      </c>
      <c r="Z247" t="s">
        <v>27</v>
      </c>
      <c r="AA247" t="s">
        <v>27</v>
      </c>
      <c r="AB247" t="s">
        <v>27</v>
      </c>
      <c r="AC247" t="s">
        <v>27</v>
      </c>
      <c r="AD247" t="s">
        <v>27</v>
      </c>
      <c r="AE247" t="s">
        <v>27</v>
      </c>
      <c r="AF247" t="s">
        <v>27</v>
      </c>
      <c r="AG247">
        <v>23.41</v>
      </c>
    </row>
    <row r="248" spans="1:33" x14ac:dyDescent="0.25">
      <c r="A248" t="s">
        <v>57</v>
      </c>
      <c r="B248" s="3">
        <v>43709</v>
      </c>
      <c r="C248">
        <v>2019244</v>
      </c>
      <c r="D248">
        <v>17.670000000000002</v>
      </c>
      <c r="E248" t="s">
        <v>27</v>
      </c>
      <c r="F248">
        <v>13.6</v>
      </c>
      <c r="G248">
        <v>21.8</v>
      </c>
      <c r="H248">
        <v>5.8</v>
      </c>
      <c r="I248">
        <v>70.400000000000006</v>
      </c>
      <c r="J248">
        <v>37.5</v>
      </c>
      <c r="K248">
        <v>0.5</v>
      </c>
      <c r="L248">
        <v>2.2999999999999998</v>
      </c>
      <c r="M248">
        <v>0.3</v>
      </c>
      <c r="N248">
        <v>0</v>
      </c>
      <c r="O248" t="s">
        <v>27</v>
      </c>
      <c r="P248" t="s">
        <v>27</v>
      </c>
      <c r="Q248" t="s">
        <v>27</v>
      </c>
      <c r="R248" t="s">
        <v>27</v>
      </c>
      <c r="S248">
        <v>13.3</v>
      </c>
      <c r="T248">
        <v>13.1</v>
      </c>
      <c r="U248">
        <v>12.2</v>
      </c>
      <c r="V248" t="s">
        <v>27</v>
      </c>
      <c r="W248">
        <v>0.98</v>
      </c>
      <c r="X248">
        <v>1.633</v>
      </c>
      <c r="Y248" t="s">
        <v>27</v>
      </c>
      <c r="Z248" t="s">
        <v>27</v>
      </c>
      <c r="AA248" t="s">
        <v>27</v>
      </c>
      <c r="AB248" t="s">
        <v>27</v>
      </c>
      <c r="AC248" t="s">
        <v>27</v>
      </c>
      <c r="AD248" t="s">
        <v>27</v>
      </c>
      <c r="AE248" t="s">
        <v>27</v>
      </c>
      <c r="AF248" t="s">
        <v>27</v>
      </c>
      <c r="AG248">
        <v>23.17</v>
      </c>
    </row>
    <row r="249" spans="1:33" x14ac:dyDescent="0.25">
      <c r="A249" t="s">
        <v>57</v>
      </c>
      <c r="B249" s="3">
        <v>43710</v>
      </c>
      <c r="C249">
        <v>2019245</v>
      </c>
      <c r="D249">
        <v>21.14</v>
      </c>
      <c r="E249" t="s">
        <v>27</v>
      </c>
      <c r="F249">
        <v>11.9</v>
      </c>
      <c r="G249">
        <v>21</v>
      </c>
      <c r="H249">
        <v>4.3</v>
      </c>
      <c r="I249">
        <v>69.5</v>
      </c>
      <c r="J249">
        <v>32.6</v>
      </c>
      <c r="K249">
        <v>0.5</v>
      </c>
      <c r="L249">
        <v>1.8</v>
      </c>
      <c r="M249">
        <v>0</v>
      </c>
      <c r="N249">
        <v>0</v>
      </c>
      <c r="O249" t="s">
        <v>27</v>
      </c>
      <c r="P249" t="s">
        <v>27</v>
      </c>
      <c r="Q249" t="s">
        <v>27</v>
      </c>
      <c r="R249" t="s">
        <v>27</v>
      </c>
      <c r="S249">
        <v>12.6</v>
      </c>
      <c r="T249">
        <v>12.7</v>
      </c>
      <c r="U249">
        <v>12.1</v>
      </c>
      <c r="V249" t="s">
        <v>27</v>
      </c>
      <c r="W249">
        <v>0.81100000000000005</v>
      </c>
      <c r="X249">
        <v>1.677</v>
      </c>
      <c r="Y249" t="s">
        <v>27</v>
      </c>
      <c r="Z249" t="s">
        <v>27</v>
      </c>
      <c r="AA249" t="s">
        <v>27</v>
      </c>
      <c r="AB249" t="s">
        <v>27</v>
      </c>
      <c r="AC249" t="s">
        <v>27</v>
      </c>
      <c r="AD249" t="s">
        <v>27</v>
      </c>
      <c r="AE249" t="s">
        <v>27</v>
      </c>
      <c r="AF249" t="s">
        <v>27</v>
      </c>
      <c r="AG249">
        <v>22.93</v>
      </c>
    </row>
    <row r="250" spans="1:33" x14ac:dyDescent="0.25">
      <c r="A250" t="s">
        <v>57</v>
      </c>
      <c r="B250" s="3">
        <v>43711</v>
      </c>
      <c r="C250">
        <v>2019246</v>
      </c>
      <c r="D250">
        <v>21.11</v>
      </c>
      <c r="E250" t="s">
        <v>27</v>
      </c>
      <c r="F250">
        <v>13.9</v>
      </c>
      <c r="G250">
        <v>25.3</v>
      </c>
      <c r="H250">
        <v>3.2</v>
      </c>
      <c r="I250">
        <v>64</v>
      </c>
      <c r="J250">
        <v>23.9</v>
      </c>
      <c r="K250">
        <v>0.7</v>
      </c>
      <c r="L250">
        <v>4.2</v>
      </c>
      <c r="M250">
        <v>5.0999999999999996</v>
      </c>
      <c r="N250">
        <v>0</v>
      </c>
      <c r="O250" t="s">
        <v>27</v>
      </c>
      <c r="P250" t="s">
        <v>27</v>
      </c>
      <c r="Q250" t="s">
        <v>27</v>
      </c>
      <c r="R250" t="s">
        <v>27</v>
      </c>
      <c r="S250">
        <v>14.4</v>
      </c>
      <c r="T250">
        <v>12.5</v>
      </c>
      <c r="U250">
        <v>11.9</v>
      </c>
      <c r="V250" t="s">
        <v>27</v>
      </c>
      <c r="W250">
        <v>0.76900000000000002</v>
      </c>
      <c r="X250">
        <v>2.4489999999999998</v>
      </c>
      <c r="Y250" t="s">
        <v>27</v>
      </c>
      <c r="Z250" t="s">
        <v>27</v>
      </c>
      <c r="AA250" t="s">
        <v>27</v>
      </c>
      <c r="AB250" t="s">
        <v>27</v>
      </c>
      <c r="AC250" t="s">
        <v>27</v>
      </c>
      <c r="AD250" t="s">
        <v>27</v>
      </c>
      <c r="AE250" t="s">
        <v>27</v>
      </c>
      <c r="AF250" t="s">
        <v>27</v>
      </c>
      <c r="AG250">
        <v>22.69</v>
      </c>
    </row>
    <row r="251" spans="1:33" x14ac:dyDescent="0.25">
      <c r="A251" t="s">
        <v>57</v>
      </c>
      <c r="B251" s="3">
        <v>43712</v>
      </c>
      <c r="C251">
        <v>2019247</v>
      </c>
      <c r="D251">
        <v>18.54</v>
      </c>
      <c r="E251" t="s">
        <v>27</v>
      </c>
      <c r="F251">
        <v>11.5</v>
      </c>
      <c r="G251">
        <v>22.1</v>
      </c>
      <c r="H251">
        <v>3.9</v>
      </c>
      <c r="I251">
        <v>77.2</v>
      </c>
      <c r="J251">
        <v>32.5</v>
      </c>
      <c r="K251">
        <v>0.3</v>
      </c>
      <c r="L251">
        <v>2.2000000000000002</v>
      </c>
      <c r="M251">
        <v>0.3</v>
      </c>
      <c r="N251">
        <v>0</v>
      </c>
      <c r="O251" t="s">
        <v>27</v>
      </c>
      <c r="P251" t="s">
        <v>27</v>
      </c>
      <c r="Q251" t="s">
        <v>27</v>
      </c>
      <c r="R251" t="s">
        <v>27</v>
      </c>
      <c r="S251">
        <v>11.2</v>
      </c>
      <c r="T251">
        <v>12.5</v>
      </c>
      <c r="U251">
        <v>11.9</v>
      </c>
      <c r="V251" t="s">
        <v>27</v>
      </c>
      <c r="W251">
        <v>0.86299999999999999</v>
      </c>
      <c r="X251">
        <v>1.792</v>
      </c>
      <c r="Y251" t="s">
        <v>27</v>
      </c>
      <c r="Z251" t="s">
        <v>27</v>
      </c>
      <c r="AA251" t="s">
        <v>27</v>
      </c>
      <c r="AB251" t="s">
        <v>27</v>
      </c>
      <c r="AC251" t="s">
        <v>27</v>
      </c>
      <c r="AD251" t="s">
        <v>27</v>
      </c>
      <c r="AE251" t="s">
        <v>27</v>
      </c>
      <c r="AF251" t="s">
        <v>27</v>
      </c>
      <c r="AG251">
        <v>22.44</v>
      </c>
    </row>
    <row r="252" spans="1:33" x14ac:dyDescent="0.25">
      <c r="A252" t="s">
        <v>57</v>
      </c>
      <c r="B252" s="3">
        <v>43713</v>
      </c>
      <c r="C252">
        <v>2019248</v>
      </c>
      <c r="D252">
        <v>20.57</v>
      </c>
      <c r="E252" t="s">
        <v>27</v>
      </c>
      <c r="F252">
        <v>13.4</v>
      </c>
      <c r="G252">
        <v>24.6</v>
      </c>
      <c r="H252">
        <v>2.9</v>
      </c>
      <c r="I252">
        <v>67.5</v>
      </c>
      <c r="J252">
        <v>28</v>
      </c>
      <c r="K252">
        <v>0.3</v>
      </c>
      <c r="L252">
        <v>2.2000000000000002</v>
      </c>
      <c r="M252">
        <v>0</v>
      </c>
      <c r="N252">
        <v>0</v>
      </c>
      <c r="O252" t="s">
        <v>27</v>
      </c>
      <c r="P252" t="s">
        <v>27</v>
      </c>
      <c r="Q252" t="s">
        <v>27</v>
      </c>
      <c r="R252" t="s">
        <v>27</v>
      </c>
      <c r="S252">
        <v>11.9</v>
      </c>
      <c r="T252">
        <v>12</v>
      </c>
      <c r="U252">
        <v>11.8</v>
      </c>
      <c r="V252" t="s">
        <v>27</v>
      </c>
      <c r="W252">
        <v>0.86599999999999999</v>
      </c>
      <c r="X252">
        <v>2.2269999999999999</v>
      </c>
      <c r="Y252" t="s">
        <v>27</v>
      </c>
      <c r="Z252" t="s">
        <v>27</v>
      </c>
      <c r="AA252" t="s">
        <v>27</v>
      </c>
      <c r="AB252" t="s">
        <v>27</v>
      </c>
      <c r="AC252" t="s">
        <v>27</v>
      </c>
      <c r="AD252" t="s">
        <v>27</v>
      </c>
      <c r="AE252" t="s">
        <v>27</v>
      </c>
      <c r="AF252" t="s">
        <v>27</v>
      </c>
      <c r="AG252">
        <v>22.2</v>
      </c>
    </row>
    <row r="253" spans="1:33" x14ac:dyDescent="0.25">
      <c r="A253" t="s">
        <v>57</v>
      </c>
      <c r="B253" s="3">
        <v>43714</v>
      </c>
      <c r="C253">
        <v>2019249</v>
      </c>
      <c r="D253">
        <v>14.69</v>
      </c>
      <c r="E253" t="s">
        <v>27</v>
      </c>
      <c r="F253">
        <v>13.8</v>
      </c>
      <c r="G253">
        <v>24.4</v>
      </c>
      <c r="H253">
        <v>6.8</v>
      </c>
      <c r="I253">
        <v>68.2</v>
      </c>
      <c r="J253">
        <v>28.6</v>
      </c>
      <c r="K253">
        <v>0.3</v>
      </c>
      <c r="L253">
        <v>2.2000000000000002</v>
      </c>
      <c r="M253">
        <v>0</v>
      </c>
      <c r="N253">
        <v>0</v>
      </c>
      <c r="O253" t="s">
        <v>27</v>
      </c>
      <c r="P253" t="s">
        <v>27</v>
      </c>
      <c r="Q253" t="s">
        <v>27</v>
      </c>
      <c r="R253" t="s">
        <v>27</v>
      </c>
      <c r="S253">
        <v>12.9</v>
      </c>
      <c r="T253">
        <v>12.5</v>
      </c>
      <c r="U253">
        <v>11.8</v>
      </c>
      <c r="V253" t="s">
        <v>27</v>
      </c>
      <c r="W253">
        <v>0.872</v>
      </c>
      <c r="X253">
        <v>2.177</v>
      </c>
      <c r="Y253" t="s">
        <v>27</v>
      </c>
      <c r="Z253" t="s">
        <v>27</v>
      </c>
      <c r="AA253" t="s">
        <v>27</v>
      </c>
      <c r="AB253" t="s">
        <v>27</v>
      </c>
      <c r="AC253" t="s">
        <v>27</v>
      </c>
      <c r="AD253" t="s">
        <v>27</v>
      </c>
      <c r="AE253" t="s">
        <v>27</v>
      </c>
      <c r="AF253" t="s">
        <v>27</v>
      </c>
      <c r="AG253">
        <v>21.95</v>
      </c>
    </row>
    <row r="254" spans="1:33" x14ac:dyDescent="0.25">
      <c r="A254" t="s">
        <v>57</v>
      </c>
      <c r="B254" s="3">
        <v>43715</v>
      </c>
      <c r="C254">
        <v>2019250</v>
      </c>
      <c r="D254">
        <v>14.9</v>
      </c>
      <c r="E254" t="s">
        <v>27</v>
      </c>
      <c r="F254">
        <v>13.4</v>
      </c>
      <c r="G254">
        <v>22.9</v>
      </c>
      <c r="H254">
        <v>4.8</v>
      </c>
      <c r="I254">
        <v>75.400000000000006</v>
      </c>
      <c r="J254">
        <v>37.299999999999997</v>
      </c>
      <c r="K254">
        <v>0.5</v>
      </c>
      <c r="L254">
        <v>2.6</v>
      </c>
      <c r="M254">
        <v>0</v>
      </c>
      <c r="N254">
        <v>0</v>
      </c>
      <c r="O254" t="s">
        <v>27</v>
      </c>
      <c r="P254" t="s">
        <v>27</v>
      </c>
      <c r="Q254" t="s">
        <v>27</v>
      </c>
      <c r="R254" t="s">
        <v>27</v>
      </c>
      <c r="S254">
        <v>12.4</v>
      </c>
      <c r="T254">
        <v>12.1</v>
      </c>
      <c r="U254">
        <v>11.7</v>
      </c>
      <c r="V254" t="s">
        <v>27</v>
      </c>
      <c r="W254">
        <v>1.04</v>
      </c>
      <c r="X254">
        <v>1.748</v>
      </c>
      <c r="Y254" t="s">
        <v>27</v>
      </c>
      <c r="Z254" t="s">
        <v>27</v>
      </c>
      <c r="AA254" t="s">
        <v>27</v>
      </c>
      <c r="AB254" t="s">
        <v>27</v>
      </c>
      <c r="AC254" t="s">
        <v>27</v>
      </c>
      <c r="AD254" t="s">
        <v>27</v>
      </c>
      <c r="AE254" t="s">
        <v>27</v>
      </c>
      <c r="AF254" t="s">
        <v>27</v>
      </c>
      <c r="AG254">
        <v>21.71</v>
      </c>
    </row>
    <row r="255" spans="1:33" x14ac:dyDescent="0.25">
      <c r="A255" t="s">
        <v>57</v>
      </c>
      <c r="B255" s="3">
        <v>43716</v>
      </c>
      <c r="C255">
        <v>2019251</v>
      </c>
      <c r="D255">
        <v>4.28</v>
      </c>
      <c r="E255" t="s">
        <v>27</v>
      </c>
      <c r="F255">
        <v>9.5</v>
      </c>
      <c r="G255">
        <v>12.8</v>
      </c>
      <c r="H255">
        <v>7.2</v>
      </c>
      <c r="I255">
        <v>91.6</v>
      </c>
      <c r="J255">
        <v>70.2</v>
      </c>
      <c r="K255">
        <v>0.2</v>
      </c>
      <c r="L255">
        <v>1.6</v>
      </c>
      <c r="M255">
        <v>8.9</v>
      </c>
      <c r="N255">
        <v>0</v>
      </c>
      <c r="O255" t="s">
        <v>27</v>
      </c>
      <c r="P255" t="s">
        <v>27</v>
      </c>
      <c r="Q255" t="s">
        <v>27</v>
      </c>
      <c r="R255" t="s">
        <v>27</v>
      </c>
      <c r="S255">
        <v>10.9</v>
      </c>
      <c r="T255">
        <v>11.9</v>
      </c>
      <c r="U255">
        <v>11.7</v>
      </c>
      <c r="V255" t="s">
        <v>27</v>
      </c>
      <c r="W255">
        <v>1.0389999999999999</v>
      </c>
      <c r="X255">
        <v>0.441</v>
      </c>
      <c r="Y255" t="s">
        <v>27</v>
      </c>
      <c r="Z255" t="s">
        <v>27</v>
      </c>
      <c r="AA255" t="s">
        <v>27</v>
      </c>
      <c r="AB255" t="s">
        <v>27</v>
      </c>
      <c r="AC255" t="s">
        <v>27</v>
      </c>
      <c r="AD255" t="s">
        <v>27</v>
      </c>
      <c r="AE255" t="s">
        <v>27</v>
      </c>
      <c r="AF255" t="s">
        <v>27</v>
      </c>
      <c r="AG255">
        <v>21.46</v>
      </c>
    </row>
    <row r="256" spans="1:33" x14ac:dyDescent="0.25">
      <c r="A256" t="s">
        <v>57</v>
      </c>
      <c r="B256" s="3">
        <v>43717</v>
      </c>
      <c r="C256">
        <v>2019252</v>
      </c>
      <c r="D256">
        <v>7.89</v>
      </c>
      <c r="E256" t="s">
        <v>27</v>
      </c>
      <c r="F256">
        <v>7.9</v>
      </c>
      <c r="G256">
        <v>14.4</v>
      </c>
      <c r="H256">
        <v>4.7</v>
      </c>
      <c r="I256">
        <v>90.9</v>
      </c>
      <c r="J256">
        <v>53</v>
      </c>
      <c r="K256">
        <v>0.2</v>
      </c>
      <c r="L256">
        <v>2</v>
      </c>
      <c r="M256">
        <v>5.3</v>
      </c>
      <c r="N256">
        <v>0</v>
      </c>
      <c r="O256" t="s">
        <v>27</v>
      </c>
      <c r="P256" t="s">
        <v>27</v>
      </c>
      <c r="Q256" t="s">
        <v>27</v>
      </c>
      <c r="R256" t="s">
        <v>27</v>
      </c>
      <c r="S256">
        <v>10.3</v>
      </c>
      <c r="T256">
        <v>11.3</v>
      </c>
      <c r="U256">
        <v>11.5</v>
      </c>
      <c r="V256" t="s">
        <v>27</v>
      </c>
      <c r="W256">
        <v>0.871</v>
      </c>
      <c r="X256">
        <v>0.77200000000000002</v>
      </c>
      <c r="Y256" t="s">
        <v>27</v>
      </c>
      <c r="Z256" t="s">
        <v>27</v>
      </c>
      <c r="AA256" t="s">
        <v>27</v>
      </c>
      <c r="AB256" t="s">
        <v>27</v>
      </c>
      <c r="AC256" t="s">
        <v>27</v>
      </c>
      <c r="AD256" t="s">
        <v>27</v>
      </c>
      <c r="AE256" t="s">
        <v>27</v>
      </c>
      <c r="AF256" t="s">
        <v>27</v>
      </c>
      <c r="AG256">
        <v>21.21</v>
      </c>
    </row>
    <row r="257" spans="1:33" x14ac:dyDescent="0.25">
      <c r="A257" t="s">
        <v>57</v>
      </c>
      <c r="B257" s="3">
        <v>43718</v>
      </c>
      <c r="C257">
        <v>2019253</v>
      </c>
      <c r="D257">
        <v>7.64</v>
      </c>
      <c r="E257" t="s">
        <v>27</v>
      </c>
      <c r="F257">
        <v>7.5</v>
      </c>
      <c r="G257">
        <v>13.4</v>
      </c>
      <c r="H257">
        <v>3.9</v>
      </c>
      <c r="I257">
        <v>93.7</v>
      </c>
      <c r="J257">
        <v>64.599999999999994</v>
      </c>
      <c r="K257">
        <v>0.1</v>
      </c>
      <c r="L257">
        <v>1.6</v>
      </c>
      <c r="M257">
        <v>7.9</v>
      </c>
      <c r="N257">
        <v>0</v>
      </c>
      <c r="O257" t="s">
        <v>27</v>
      </c>
      <c r="P257" t="s">
        <v>27</v>
      </c>
      <c r="Q257" t="s">
        <v>27</v>
      </c>
      <c r="R257" t="s">
        <v>27</v>
      </c>
      <c r="S257">
        <v>9.6999999999999993</v>
      </c>
      <c r="T257">
        <v>10.9</v>
      </c>
      <c r="U257">
        <v>11.2</v>
      </c>
      <c r="V257" t="s">
        <v>27</v>
      </c>
      <c r="W257">
        <v>0.99299999999999999</v>
      </c>
      <c r="X257">
        <v>0.54400000000000004</v>
      </c>
      <c r="Y257" t="s">
        <v>27</v>
      </c>
      <c r="Z257" t="s">
        <v>27</v>
      </c>
      <c r="AA257" t="s">
        <v>27</v>
      </c>
      <c r="AB257" t="s">
        <v>27</v>
      </c>
      <c r="AC257" t="s">
        <v>27</v>
      </c>
      <c r="AD257" t="s">
        <v>27</v>
      </c>
      <c r="AE257" t="s">
        <v>27</v>
      </c>
      <c r="AF257" t="s">
        <v>27</v>
      </c>
      <c r="AG257">
        <v>20.96</v>
      </c>
    </row>
    <row r="258" spans="1:33" x14ac:dyDescent="0.25">
      <c r="A258" t="s">
        <v>57</v>
      </c>
      <c r="B258" s="3">
        <v>43719</v>
      </c>
      <c r="C258">
        <v>2019254</v>
      </c>
      <c r="D258">
        <v>12.09</v>
      </c>
      <c r="E258" t="s">
        <v>27</v>
      </c>
      <c r="F258">
        <v>9.3000000000000007</v>
      </c>
      <c r="G258">
        <v>14.7</v>
      </c>
      <c r="H258">
        <v>5.5</v>
      </c>
      <c r="I258">
        <v>86.6</v>
      </c>
      <c r="J258">
        <v>52.4</v>
      </c>
      <c r="K258">
        <v>0.3</v>
      </c>
      <c r="L258">
        <v>2.5</v>
      </c>
      <c r="M258">
        <v>3.6</v>
      </c>
      <c r="N258">
        <v>0</v>
      </c>
      <c r="O258" t="s">
        <v>27</v>
      </c>
      <c r="P258" t="s">
        <v>27</v>
      </c>
      <c r="Q258" t="s">
        <v>27</v>
      </c>
      <c r="R258" t="s">
        <v>27</v>
      </c>
      <c r="S258">
        <v>11.3</v>
      </c>
      <c r="T258">
        <v>10.9</v>
      </c>
      <c r="U258">
        <v>11</v>
      </c>
      <c r="V258" t="s">
        <v>27</v>
      </c>
      <c r="W258">
        <v>0.875</v>
      </c>
      <c r="X258">
        <v>0.79500000000000004</v>
      </c>
      <c r="Y258" t="s">
        <v>27</v>
      </c>
      <c r="Z258" t="s">
        <v>27</v>
      </c>
      <c r="AA258" t="s">
        <v>27</v>
      </c>
      <c r="AB258" t="s">
        <v>27</v>
      </c>
      <c r="AC258" t="s">
        <v>27</v>
      </c>
      <c r="AD258" t="s">
        <v>27</v>
      </c>
      <c r="AE258" t="s">
        <v>27</v>
      </c>
      <c r="AF258" t="s">
        <v>27</v>
      </c>
      <c r="AG258">
        <v>20.71</v>
      </c>
    </row>
    <row r="259" spans="1:33" x14ac:dyDescent="0.25">
      <c r="A259" t="s">
        <v>57</v>
      </c>
      <c r="B259" s="3">
        <v>43720</v>
      </c>
      <c r="C259">
        <v>2019255</v>
      </c>
      <c r="D259">
        <v>13.8</v>
      </c>
      <c r="E259" t="s">
        <v>27</v>
      </c>
      <c r="F259">
        <v>10.199999999999999</v>
      </c>
      <c r="G259">
        <v>16.7</v>
      </c>
      <c r="H259">
        <v>3.6</v>
      </c>
      <c r="I259">
        <v>77.099999999999994</v>
      </c>
      <c r="J259">
        <v>44.6</v>
      </c>
      <c r="K259">
        <v>0.7</v>
      </c>
      <c r="L259">
        <v>2.8</v>
      </c>
      <c r="M259">
        <v>0.5</v>
      </c>
      <c r="N259">
        <v>0</v>
      </c>
      <c r="O259" t="s">
        <v>27</v>
      </c>
      <c r="P259" t="s">
        <v>27</v>
      </c>
      <c r="Q259" t="s">
        <v>27</v>
      </c>
      <c r="R259" t="s">
        <v>27</v>
      </c>
      <c r="S259">
        <v>10.7</v>
      </c>
      <c r="T259">
        <v>11</v>
      </c>
      <c r="U259">
        <v>10.9</v>
      </c>
      <c r="V259" t="s">
        <v>27</v>
      </c>
      <c r="W259">
        <v>0.84699999999999998</v>
      </c>
      <c r="X259">
        <v>1.052</v>
      </c>
      <c r="Y259" t="s">
        <v>27</v>
      </c>
      <c r="Z259" t="s">
        <v>27</v>
      </c>
      <c r="AA259" t="s">
        <v>27</v>
      </c>
      <c r="AB259" t="s">
        <v>27</v>
      </c>
      <c r="AC259" t="s">
        <v>27</v>
      </c>
      <c r="AD259" t="s">
        <v>27</v>
      </c>
      <c r="AE259" t="s">
        <v>27</v>
      </c>
      <c r="AF259" t="s">
        <v>27</v>
      </c>
      <c r="AG259">
        <v>20.46</v>
      </c>
    </row>
    <row r="260" spans="1:33" x14ac:dyDescent="0.25">
      <c r="A260" t="s">
        <v>57</v>
      </c>
      <c r="B260" s="3">
        <v>43721</v>
      </c>
      <c r="C260">
        <v>2019256</v>
      </c>
      <c r="D260">
        <v>11.14</v>
      </c>
      <c r="E260" t="s">
        <v>27</v>
      </c>
      <c r="F260">
        <v>8.6</v>
      </c>
      <c r="G260">
        <v>13.6</v>
      </c>
      <c r="H260">
        <v>5.4</v>
      </c>
      <c r="I260">
        <v>80.3</v>
      </c>
      <c r="J260">
        <v>55</v>
      </c>
      <c r="K260">
        <v>0.8</v>
      </c>
      <c r="L260">
        <v>3.2</v>
      </c>
      <c r="M260">
        <v>1.5</v>
      </c>
      <c r="N260">
        <v>0</v>
      </c>
      <c r="O260" t="s">
        <v>27</v>
      </c>
      <c r="P260" t="s">
        <v>27</v>
      </c>
      <c r="Q260" t="s">
        <v>27</v>
      </c>
      <c r="R260" t="s">
        <v>27</v>
      </c>
      <c r="S260">
        <v>9.9</v>
      </c>
      <c r="T260">
        <v>10.9</v>
      </c>
      <c r="U260">
        <v>10.9</v>
      </c>
      <c r="V260" t="s">
        <v>27</v>
      </c>
      <c r="W260">
        <v>0.85799999999999998</v>
      </c>
      <c r="X260">
        <v>0.70199999999999996</v>
      </c>
      <c r="Y260" t="s">
        <v>27</v>
      </c>
      <c r="Z260" t="s">
        <v>27</v>
      </c>
      <c r="AA260" t="s">
        <v>27</v>
      </c>
      <c r="AB260" t="s">
        <v>27</v>
      </c>
      <c r="AC260" t="s">
        <v>27</v>
      </c>
      <c r="AD260" t="s">
        <v>27</v>
      </c>
      <c r="AE260" t="s">
        <v>27</v>
      </c>
      <c r="AF260" t="s">
        <v>27</v>
      </c>
      <c r="AG260">
        <v>20.21</v>
      </c>
    </row>
    <row r="261" spans="1:33" x14ac:dyDescent="0.25">
      <c r="A261" t="s">
        <v>57</v>
      </c>
      <c r="B261" s="3">
        <v>43722</v>
      </c>
      <c r="C261">
        <v>2019257</v>
      </c>
      <c r="D261">
        <v>6.42</v>
      </c>
      <c r="E261" t="s">
        <v>27</v>
      </c>
      <c r="F261">
        <v>8.3000000000000007</v>
      </c>
      <c r="G261">
        <v>12.1</v>
      </c>
      <c r="H261">
        <v>6.3</v>
      </c>
      <c r="I261">
        <v>88.4</v>
      </c>
      <c r="J261">
        <v>68.3</v>
      </c>
      <c r="K261">
        <v>0.4</v>
      </c>
      <c r="L261">
        <v>2</v>
      </c>
      <c r="M261">
        <v>1.3</v>
      </c>
      <c r="N261">
        <v>0</v>
      </c>
      <c r="O261" t="s">
        <v>27</v>
      </c>
      <c r="P261" t="s">
        <v>27</v>
      </c>
      <c r="Q261" t="s">
        <v>27</v>
      </c>
      <c r="R261" t="s">
        <v>27</v>
      </c>
      <c r="S261">
        <v>10.199999999999999</v>
      </c>
      <c r="T261">
        <v>10.6</v>
      </c>
      <c r="U261">
        <v>10.8</v>
      </c>
      <c r="V261" t="s">
        <v>27</v>
      </c>
      <c r="W261">
        <v>0.96499999999999997</v>
      </c>
      <c r="X261">
        <v>0.44800000000000001</v>
      </c>
      <c r="Y261" t="s">
        <v>27</v>
      </c>
      <c r="Z261" t="s">
        <v>27</v>
      </c>
      <c r="AA261" t="s">
        <v>27</v>
      </c>
      <c r="AB261" t="s">
        <v>27</v>
      </c>
      <c r="AC261" t="s">
        <v>27</v>
      </c>
      <c r="AD261" t="s">
        <v>27</v>
      </c>
      <c r="AE261" t="s">
        <v>27</v>
      </c>
      <c r="AF261" t="s">
        <v>27</v>
      </c>
      <c r="AG261">
        <v>19.95</v>
      </c>
    </row>
    <row r="262" spans="1:33" x14ac:dyDescent="0.25">
      <c r="A262" t="s">
        <v>57</v>
      </c>
      <c r="B262" s="3">
        <v>43723</v>
      </c>
      <c r="C262">
        <v>2019258</v>
      </c>
      <c r="D262">
        <v>3.05</v>
      </c>
      <c r="E262" t="s">
        <v>27</v>
      </c>
      <c r="F262">
        <v>7</v>
      </c>
      <c r="G262">
        <v>8.6999999999999993</v>
      </c>
      <c r="H262">
        <v>5.0999999999999996</v>
      </c>
      <c r="I262">
        <v>95.8</v>
      </c>
      <c r="J262">
        <v>87.8</v>
      </c>
      <c r="K262">
        <v>0.2</v>
      </c>
      <c r="L262">
        <v>1.7</v>
      </c>
      <c r="M262">
        <v>22.9</v>
      </c>
      <c r="N262">
        <v>0</v>
      </c>
      <c r="O262" t="s">
        <v>27</v>
      </c>
      <c r="P262" t="s">
        <v>27</v>
      </c>
      <c r="Q262" t="s">
        <v>27</v>
      </c>
      <c r="R262" t="s">
        <v>27</v>
      </c>
      <c r="S262">
        <v>8.6999999999999993</v>
      </c>
      <c r="T262">
        <v>10.1</v>
      </c>
      <c r="U262">
        <v>10.6</v>
      </c>
      <c r="V262" t="s">
        <v>27</v>
      </c>
      <c r="W262">
        <v>0.98699999999999999</v>
      </c>
      <c r="X262">
        <v>0.13700000000000001</v>
      </c>
      <c r="Y262" t="s">
        <v>27</v>
      </c>
      <c r="Z262" t="s">
        <v>27</v>
      </c>
      <c r="AA262" t="s">
        <v>27</v>
      </c>
      <c r="AB262" t="s">
        <v>27</v>
      </c>
      <c r="AC262" t="s">
        <v>27</v>
      </c>
      <c r="AD262" t="s">
        <v>27</v>
      </c>
      <c r="AE262" t="s">
        <v>27</v>
      </c>
      <c r="AF262" t="s">
        <v>27</v>
      </c>
      <c r="AG262">
        <v>19.7</v>
      </c>
    </row>
    <row r="263" spans="1:33" x14ac:dyDescent="0.25">
      <c r="A263" t="s">
        <v>57</v>
      </c>
      <c r="B263" s="3">
        <v>43724</v>
      </c>
      <c r="C263">
        <v>2019259</v>
      </c>
      <c r="D263">
        <v>8.86</v>
      </c>
      <c r="E263" t="s">
        <v>27</v>
      </c>
      <c r="F263">
        <v>6.1</v>
      </c>
      <c r="G263">
        <v>10.199999999999999</v>
      </c>
      <c r="H263">
        <v>2.2000000000000002</v>
      </c>
      <c r="I263">
        <v>88.1</v>
      </c>
      <c r="J263">
        <v>60</v>
      </c>
      <c r="K263">
        <v>0.2</v>
      </c>
      <c r="L263">
        <v>2.4</v>
      </c>
      <c r="M263">
        <v>2</v>
      </c>
      <c r="N263">
        <v>0</v>
      </c>
      <c r="O263" t="s">
        <v>27</v>
      </c>
      <c r="P263" t="s">
        <v>27</v>
      </c>
      <c r="Q263" t="s">
        <v>27</v>
      </c>
      <c r="R263" t="s">
        <v>27</v>
      </c>
      <c r="S263">
        <v>9</v>
      </c>
      <c r="T263">
        <v>9.9</v>
      </c>
      <c r="U263">
        <v>10.3</v>
      </c>
      <c r="V263" t="s">
        <v>27</v>
      </c>
      <c r="W263">
        <v>0.746</v>
      </c>
      <c r="X263">
        <v>0.497</v>
      </c>
      <c r="Y263" t="s">
        <v>27</v>
      </c>
      <c r="Z263" t="s">
        <v>27</v>
      </c>
      <c r="AA263" t="s">
        <v>27</v>
      </c>
      <c r="AB263" t="s">
        <v>27</v>
      </c>
      <c r="AC263" t="s">
        <v>27</v>
      </c>
      <c r="AD263" t="s">
        <v>27</v>
      </c>
      <c r="AE263" t="s">
        <v>27</v>
      </c>
      <c r="AF263" t="s">
        <v>27</v>
      </c>
      <c r="AG263">
        <v>19.45</v>
      </c>
    </row>
    <row r="264" spans="1:33" x14ac:dyDescent="0.25">
      <c r="A264" t="s">
        <v>57</v>
      </c>
      <c r="B264" s="3">
        <v>43725</v>
      </c>
      <c r="C264">
        <v>2019260</v>
      </c>
      <c r="D264">
        <v>6.15</v>
      </c>
      <c r="E264" t="s">
        <v>27</v>
      </c>
      <c r="F264">
        <v>4.8</v>
      </c>
      <c r="G264">
        <v>8.6999999999999993</v>
      </c>
      <c r="H264">
        <v>3.3</v>
      </c>
      <c r="I264">
        <v>92.8</v>
      </c>
      <c r="J264">
        <v>65.900000000000006</v>
      </c>
      <c r="K264">
        <v>0.5</v>
      </c>
      <c r="L264">
        <v>3.3</v>
      </c>
      <c r="M264">
        <v>6.6</v>
      </c>
      <c r="N264">
        <v>0</v>
      </c>
      <c r="O264" t="s">
        <v>27</v>
      </c>
      <c r="P264" t="s">
        <v>27</v>
      </c>
      <c r="Q264" t="s">
        <v>27</v>
      </c>
      <c r="R264" t="s">
        <v>27</v>
      </c>
      <c r="S264">
        <v>7.3</v>
      </c>
      <c r="T264">
        <v>9.1999999999999993</v>
      </c>
      <c r="U264">
        <v>10.1</v>
      </c>
      <c r="V264" t="s">
        <v>27</v>
      </c>
      <c r="W264">
        <v>0.74099999999999999</v>
      </c>
      <c r="X264">
        <v>0.38300000000000001</v>
      </c>
      <c r="Y264" t="s">
        <v>27</v>
      </c>
      <c r="Z264" t="s">
        <v>27</v>
      </c>
      <c r="AA264" t="s">
        <v>27</v>
      </c>
      <c r="AB264" t="s">
        <v>27</v>
      </c>
      <c r="AC264" t="s">
        <v>27</v>
      </c>
      <c r="AD264" t="s">
        <v>27</v>
      </c>
      <c r="AE264" t="s">
        <v>27</v>
      </c>
      <c r="AF264" t="s">
        <v>27</v>
      </c>
      <c r="AG264">
        <v>19.2</v>
      </c>
    </row>
    <row r="265" spans="1:33" x14ac:dyDescent="0.25">
      <c r="A265" t="s">
        <v>57</v>
      </c>
      <c r="B265" s="3">
        <v>43726</v>
      </c>
      <c r="C265">
        <v>2019261</v>
      </c>
      <c r="D265">
        <v>5.52</v>
      </c>
      <c r="E265" t="s">
        <v>27</v>
      </c>
      <c r="F265">
        <v>5.6</v>
      </c>
      <c r="G265">
        <v>9</v>
      </c>
      <c r="H265">
        <v>3.6</v>
      </c>
      <c r="I265">
        <v>94.8</v>
      </c>
      <c r="J265">
        <v>78.5</v>
      </c>
      <c r="K265">
        <v>0.1</v>
      </c>
      <c r="L265">
        <v>1.7</v>
      </c>
      <c r="M265">
        <v>3.8</v>
      </c>
      <c r="N265">
        <v>0</v>
      </c>
      <c r="O265" t="s">
        <v>27</v>
      </c>
      <c r="P265" t="s">
        <v>27</v>
      </c>
      <c r="Q265" t="s">
        <v>27</v>
      </c>
      <c r="R265" t="s">
        <v>27</v>
      </c>
      <c r="S265">
        <v>8.1999999999999993</v>
      </c>
      <c r="T265">
        <v>9.1</v>
      </c>
      <c r="U265">
        <v>9.8000000000000007</v>
      </c>
      <c r="V265" t="s">
        <v>27</v>
      </c>
      <c r="W265">
        <v>0.89800000000000002</v>
      </c>
      <c r="X265">
        <v>0.246</v>
      </c>
      <c r="Y265" t="s">
        <v>27</v>
      </c>
      <c r="Z265" t="s">
        <v>27</v>
      </c>
      <c r="AA265" t="s">
        <v>27</v>
      </c>
      <c r="AB265" t="s">
        <v>27</v>
      </c>
      <c r="AC265" t="s">
        <v>27</v>
      </c>
      <c r="AD265" t="s">
        <v>27</v>
      </c>
      <c r="AE265" t="s">
        <v>27</v>
      </c>
      <c r="AF265" t="s">
        <v>27</v>
      </c>
      <c r="AG265">
        <v>18.940000000000001</v>
      </c>
    </row>
    <row r="266" spans="1:33" x14ac:dyDescent="0.25">
      <c r="A266" t="s">
        <v>57</v>
      </c>
      <c r="B266" s="3">
        <v>43727</v>
      </c>
      <c r="C266">
        <v>2019262</v>
      </c>
      <c r="D266">
        <v>12.95</v>
      </c>
      <c r="E266" t="s">
        <v>27</v>
      </c>
      <c r="F266">
        <v>7.2</v>
      </c>
      <c r="G266">
        <v>12.8</v>
      </c>
      <c r="H266">
        <v>1</v>
      </c>
      <c r="I266">
        <v>84.1</v>
      </c>
      <c r="J266">
        <v>51.1</v>
      </c>
      <c r="K266">
        <v>0.4</v>
      </c>
      <c r="L266">
        <v>2.2000000000000002</v>
      </c>
      <c r="M266">
        <v>1</v>
      </c>
      <c r="N266">
        <v>0</v>
      </c>
      <c r="O266" t="s">
        <v>27</v>
      </c>
      <c r="P266" t="s">
        <v>27</v>
      </c>
      <c r="Q266" t="s">
        <v>27</v>
      </c>
      <c r="R266" t="s">
        <v>27</v>
      </c>
      <c r="S266">
        <v>8.4</v>
      </c>
      <c r="T266">
        <v>9</v>
      </c>
      <c r="U266">
        <v>9.6</v>
      </c>
      <c r="V266" t="s">
        <v>27</v>
      </c>
      <c r="W266">
        <v>0.753</v>
      </c>
      <c r="X266">
        <v>0.72099999999999997</v>
      </c>
      <c r="Y266" t="s">
        <v>27</v>
      </c>
      <c r="Z266" t="s">
        <v>27</v>
      </c>
      <c r="AA266" t="s">
        <v>27</v>
      </c>
      <c r="AB266" t="s">
        <v>27</v>
      </c>
      <c r="AC266" t="s">
        <v>27</v>
      </c>
      <c r="AD266" t="s">
        <v>27</v>
      </c>
      <c r="AE266" t="s">
        <v>27</v>
      </c>
      <c r="AF266" t="s">
        <v>27</v>
      </c>
      <c r="AG266">
        <v>18.690000000000001</v>
      </c>
    </row>
    <row r="267" spans="1:33" x14ac:dyDescent="0.25">
      <c r="A267" t="s">
        <v>57</v>
      </c>
      <c r="B267" s="3">
        <v>43728</v>
      </c>
      <c r="C267">
        <v>2019263</v>
      </c>
      <c r="D267">
        <v>9.6199999999999992</v>
      </c>
      <c r="E267" t="s">
        <v>27</v>
      </c>
      <c r="F267">
        <v>6</v>
      </c>
      <c r="G267">
        <v>11.9</v>
      </c>
      <c r="H267">
        <v>-0.4</v>
      </c>
      <c r="I267">
        <v>86</v>
      </c>
      <c r="J267">
        <v>51.7</v>
      </c>
      <c r="K267">
        <v>0.4</v>
      </c>
      <c r="L267">
        <v>2.7</v>
      </c>
      <c r="M267">
        <v>3.3</v>
      </c>
      <c r="N267">
        <v>0</v>
      </c>
      <c r="O267" t="s">
        <v>27</v>
      </c>
      <c r="P267" t="s">
        <v>27</v>
      </c>
      <c r="Q267" t="s">
        <v>27</v>
      </c>
      <c r="R267" t="s">
        <v>27</v>
      </c>
      <c r="S267">
        <v>7.8</v>
      </c>
      <c r="T267">
        <v>9.1999999999999993</v>
      </c>
      <c r="U267">
        <v>9.5</v>
      </c>
      <c r="V267" t="s">
        <v>27</v>
      </c>
      <c r="W267">
        <v>0.71799999999999997</v>
      </c>
      <c r="X267">
        <v>0.67100000000000004</v>
      </c>
      <c r="Y267" t="s">
        <v>27</v>
      </c>
      <c r="Z267" t="s">
        <v>27</v>
      </c>
      <c r="AA267" t="s">
        <v>27</v>
      </c>
      <c r="AB267" t="s">
        <v>27</v>
      </c>
      <c r="AC267" t="s">
        <v>27</v>
      </c>
      <c r="AD267" t="s">
        <v>27</v>
      </c>
      <c r="AE267" t="s">
        <v>27</v>
      </c>
      <c r="AF267" t="s">
        <v>27</v>
      </c>
      <c r="AG267">
        <v>18.440000000000001</v>
      </c>
    </row>
    <row r="268" spans="1:33" x14ac:dyDescent="0.25">
      <c r="A268" t="s">
        <v>57</v>
      </c>
      <c r="B268" s="3">
        <v>43729</v>
      </c>
      <c r="C268">
        <v>2019264</v>
      </c>
      <c r="D268">
        <v>16.010000000000002</v>
      </c>
      <c r="E268" t="s">
        <v>27</v>
      </c>
      <c r="F268">
        <v>7.1</v>
      </c>
      <c r="G268">
        <v>16.600000000000001</v>
      </c>
      <c r="H268">
        <v>-0.8</v>
      </c>
      <c r="I268">
        <v>81.400000000000006</v>
      </c>
      <c r="J268">
        <v>48.9</v>
      </c>
      <c r="K268">
        <v>0.4</v>
      </c>
      <c r="L268">
        <v>2</v>
      </c>
      <c r="M268">
        <v>0</v>
      </c>
      <c r="N268">
        <v>0</v>
      </c>
      <c r="O268" t="s">
        <v>27</v>
      </c>
      <c r="P268" t="s">
        <v>27</v>
      </c>
      <c r="Q268" t="s">
        <v>27</v>
      </c>
      <c r="R268" t="s">
        <v>27</v>
      </c>
      <c r="S268">
        <v>6.6</v>
      </c>
      <c r="T268">
        <v>8.1999999999999993</v>
      </c>
      <c r="U268">
        <v>9.3000000000000007</v>
      </c>
      <c r="V268" t="s">
        <v>27</v>
      </c>
      <c r="W268">
        <v>0.92300000000000004</v>
      </c>
      <c r="X268">
        <v>0.96499999999999997</v>
      </c>
      <c r="Y268" t="s">
        <v>27</v>
      </c>
      <c r="Z268" t="s">
        <v>27</v>
      </c>
      <c r="AA268" t="s">
        <v>27</v>
      </c>
      <c r="AB268" t="s">
        <v>27</v>
      </c>
      <c r="AC268" t="s">
        <v>27</v>
      </c>
      <c r="AD268" t="s">
        <v>27</v>
      </c>
      <c r="AE268" t="s">
        <v>27</v>
      </c>
      <c r="AF268" t="s">
        <v>27</v>
      </c>
      <c r="AG268">
        <v>18.18</v>
      </c>
    </row>
    <row r="269" spans="1:33" x14ac:dyDescent="0.25">
      <c r="A269" t="s">
        <v>57</v>
      </c>
      <c r="B269" s="3">
        <v>43730</v>
      </c>
      <c r="C269">
        <v>2019265</v>
      </c>
      <c r="D269">
        <v>5.76</v>
      </c>
      <c r="E269" t="s">
        <v>27</v>
      </c>
      <c r="F269">
        <v>6.9</v>
      </c>
      <c r="G269">
        <v>11.2</v>
      </c>
      <c r="H269">
        <v>1.2</v>
      </c>
      <c r="I269">
        <v>93.6</v>
      </c>
      <c r="J269">
        <v>74</v>
      </c>
      <c r="K269">
        <v>0.3</v>
      </c>
      <c r="L269">
        <v>2.2000000000000002</v>
      </c>
      <c r="M269">
        <v>9.6999999999999993</v>
      </c>
      <c r="N269">
        <v>0</v>
      </c>
      <c r="O269" t="s">
        <v>27</v>
      </c>
      <c r="P269" t="s">
        <v>27</v>
      </c>
      <c r="Q269" t="s">
        <v>27</v>
      </c>
      <c r="R269" t="s">
        <v>27</v>
      </c>
      <c r="S269">
        <v>7.5</v>
      </c>
      <c r="T269">
        <v>8.1999999999999993</v>
      </c>
      <c r="U269">
        <v>9</v>
      </c>
      <c r="V269" t="s">
        <v>27</v>
      </c>
      <c r="W269">
        <v>0.98299999999999998</v>
      </c>
      <c r="X269">
        <v>0.34499999999999997</v>
      </c>
      <c r="Y269" t="s">
        <v>27</v>
      </c>
      <c r="Z269" t="s">
        <v>27</v>
      </c>
      <c r="AA269" t="s">
        <v>27</v>
      </c>
      <c r="AB269" t="s">
        <v>27</v>
      </c>
      <c r="AC269" t="s">
        <v>27</v>
      </c>
      <c r="AD269" t="s">
        <v>27</v>
      </c>
      <c r="AE269" t="s">
        <v>27</v>
      </c>
      <c r="AF269" t="s">
        <v>27</v>
      </c>
      <c r="AG269">
        <v>17.93</v>
      </c>
    </row>
    <row r="270" spans="1:33" x14ac:dyDescent="0.25">
      <c r="A270" t="s">
        <v>57</v>
      </c>
      <c r="B270" s="3">
        <v>43731</v>
      </c>
      <c r="C270">
        <v>2019266</v>
      </c>
      <c r="D270">
        <v>3.27</v>
      </c>
      <c r="E270" t="s">
        <v>27</v>
      </c>
      <c r="F270">
        <v>6.1</v>
      </c>
      <c r="G270">
        <v>7.6</v>
      </c>
      <c r="H270">
        <v>4.4000000000000004</v>
      </c>
      <c r="I270">
        <v>93</v>
      </c>
      <c r="J270">
        <v>76.2</v>
      </c>
      <c r="K270">
        <v>0.5</v>
      </c>
      <c r="L270">
        <v>2.6</v>
      </c>
      <c r="M270">
        <v>5.0999999999999996</v>
      </c>
      <c r="N270">
        <v>0</v>
      </c>
      <c r="O270" t="s">
        <v>27</v>
      </c>
      <c r="P270" t="s">
        <v>27</v>
      </c>
      <c r="Q270" t="s">
        <v>27</v>
      </c>
      <c r="R270" t="s">
        <v>27</v>
      </c>
      <c r="S270">
        <v>7.2</v>
      </c>
      <c r="T270">
        <v>8.4</v>
      </c>
      <c r="U270">
        <v>9</v>
      </c>
      <c r="V270" t="s">
        <v>27</v>
      </c>
      <c r="W270">
        <v>0.79600000000000004</v>
      </c>
      <c r="X270">
        <v>0.249</v>
      </c>
      <c r="Y270" t="s">
        <v>27</v>
      </c>
      <c r="Z270" t="s">
        <v>27</v>
      </c>
      <c r="AA270" t="s">
        <v>27</v>
      </c>
      <c r="AB270" t="s">
        <v>27</v>
      </c>
      <c r="AC270" t="s">
        <v>27</v>
      </c>
      <c r="AD270" t="s">
        <v>27</v>
      </c>
      <c r="AE270" t="s">
        <v>27</v>
      </c>
      <c r="AF270" t="s">
        <v>27</v>
      </c>
      <c r="AG270">
        <v>17.68</v>
      </c>
    </row>
    <row r="271" spans="1:33" x14ac:dyDescent="0.25">
      <c r="A271" t="s">
        <v>57</v>
      </c>
      <c r="B271" s="3">
        <v>43732</v>
      </c>
      <c r="C271">
        <v>2019267</v>
      </c>
      <c r="D271">
        <v>11.66</v>
      </c>
      <c r="E271" t="s">
        <v>27</v>
      </c>
      <c r="F271">
        <v>6.2</v>
      </c>
      <c r="G271">
        <v>10.6</v>
      </c>
      <c r="H271">
        <v>-1.5</v>
      </c>
      <c r="I271">
        <v>76.400000000000006</v>
      </c>
      <c r="J271">
        <v>52.7</v>
      </c>
      <c r="K271">
        <v>1.2</v>
      </c>
      <c r="L271">
        <v>3.8</v>
      </c>
      <c r="M271">
        <v>0.3</v>
      </c>
      <c r="N271">
        <v>0</v>
      </c>
      <c r="O271" t="s">
        <v>27</v>
      </c>
      <c r="P271" t="s">
        <v>27</v>
      </c>
      <c r="Q271" t="s">
        <v>27</v>
      </c>
      <c r="R271" t="s">
        <v>27</v>
      </c>
      <c r="S271">
        <v>6.5</v>
      </c>
      <c r="T271">
        <v>8.1999999999999993</v>
      </c>
      <c r="U271">
        <v>8.8000000000000007</v>
      </c>
      <c r="V271" t="s">
        <v>27</v>
      </c>
      <c r="W271">
        <v>0.67500000000000004</v>
      </c>
      <c r="X271">
        <v>0.60599999999999998</v>
      </c>
      <c r="Y271" t="s">
        <v>27</v>
      </c>
      <c r="Z271" t="s">
        <v>27</v>
      </c>
      <c r="AA271" t="s">
        <v>27</v>
      </c>
      <c r="AB271" t="s">
        <v>27</v>
      </c>
      <c r="AC271" t="s">
        <v>27</v>
      </c>
      <c r="AD271" t="s">
        <v>27</v>
      </c>
      <c r="AE271" t="s">
        <v>27</v>
      </c>
      <c r="AF271" t="s">
        <v>27</v>
      </c>
      <c r="AG271">
        <v>17.43</v>
      </c>
    </row>
    <row r="272" spans="1:33" x14ac:dyDescent="0.25">
      <c r="A272" t="s">
        <v>57</v>
      </c>
      <c r="B272" s="3">
        <v>43733</v>
      </c>
      <c r="C272">
        <v>2019268</v>
      </c>
      <c r="D272">
        <v>8.42</v>
      </c>
      <c r="E272" t="s">
        <v>27</v>
      </c>
      <c r="F272">
        <v>5.3</v>
      </c>
      <c r="G272">
        <v>9.6999999999999993</v>
      </c>
      <c r="H272">
        <v>-1.6</v>
      </c>
      <c r="I272">
        <v>73.900000000000006</v>
      </c>
      <c r="J272">
        <v>48.8</v>
      </c>
      <c r="K272">
        <v>0.7</v>
      </c>
      <c r="L272">
        <v>2.8</v>
      </c>
      <c r="M272">
        <v>0</v>
      </c>
      <c r="N272">
        <v>0</v>
      </c>
      <c r="O272" t="s">
        <v>27</v>
      </c>
      <c r="P272" t="s">
        <v>27</v>
      </c>
      <c r="Q272" t="s">
        <v>27</v>
      </c>
      <c r="R272" t="s">
        <v>27</v>
      </c>
      <c r="S272">
        <v>5.9</v>
      </c>
      <c r="T272">
        <v>7.3</v>
      </c>
      <c r="U272">
        <v>8.5</v>
      </c>
      <c r="V272" t="s">
        <v>27</v>
      </c>
      <c r="W272">
        <v>0.58599999999999997</v>
      </c>
      <c r="X272">
        <v>0.61499999999999999</v>
      </c>
      <c r="Y272" t="s">
        <v>27</v>
      </c>
      <c r="Z272" t="s">
        <v>27</v>
      </c>
      <c r="AA272" t="s">
        <v>27</v>
      </c>
      <c r="AB272" t="s">
        <v>27</v>
      </c>
      <c r="AC272" t="s">
        <v>27</v>
      </c>
      <c r="AD272" t="s">
        <v>27</v>
      </c>
      <c r="AE272" t="s">
        <v>27</v>
      </c>
      <c r="AF272" t="s">
        <v>27</v>
      </c>
      <c r="AG272">
        <v>17.170000000000002</v>
      </c>
    </row>
    <row r="273" spans="1:33" x14ac:dyDescent="0.25">
      <c r="A273" t="s">
        <v>57</v>
      </c>
      <c r="B273" s="3">
        <v>43734</v>
      </c>
      <c r="C273">
        <v>2019269</v>
      </c>
      <c r="D273">
        <v>7.49</v>
      </c>
      <c r="E273" t="s">
        <v>27</v>
      </c>
      <c r="F273">
        <v>4.0999999999999996</v>
      </c>
      <c r="G273">
        <v>9.3000000000000007</v>
      </c>
      <c r="H273">
        <v>-1.3</v>
      </c>
      <c r="I273">
        <v>89.2</v>
      </c>
      <c r="J273">
        <v>65.3</v>
      </c>
      <c r="K273">
        <v>0.6</v>
      </c>
      <c r="L273">
        <v>3</v>
      </c>
      <c r="M273">
        <v>20.3</v>
      </c>
      <c r="N273">
        <v>0</v>
      </c>
      <c r="O273" t="s">
        <v>27</v>
      </c>
      <c r="P273" t="s">
        <v>27</v>
      </c>
      <c r="Q273" t="s">
        <v>27</v>
      </c>
      <c r="R273" t="s">
        <v>27</v>
      </c>
      <c r="S273">
        <v>6.9</v>
      </c>
      <c r="T273">
        <v>7.9</v>
      </c>
      <c r="U273">
        <v>8.3000000000000007</v>
      </c>
      <c r="V273" t="s">
        <v>27</v>
      </c>
      <c r="W273">
        <v>0.76600000000000001</v>
      </c>
      <c r="X273">
        <v>0.40699999999999997</v>
      </c>
      <c r="Y273" t="s">
        <v>27</v>
      </c>
      <c r="Z273" t="s">
        <v>27</v>
      </c>
      <c r="AA273" t="s">
        <v>27</v>
      </c>
      <c r="AB273" t="s">
        <v>27</v>
      </c>
      <c r="AC273" t="s">
        <v>27</v>
      </c>
      <c r="AD273" t="s">
        <v>27</v>
      </c>
      <c r="AE273" t="s">
        <v>27</v>
      </c>
      <c r="AF273" t="s">
        <v>27</v>
      </c>
      <c r="AG273">
        <v>16.93</v>
      </c>
    </row>
    <row r="274" spans="1:33" x14ac:dyDescent="0.25">
      <c r="A274" t="s">
        <v>57</v>
      </c>
      <c r="B274" s="3">
        <v>43735</v>
      </c>
      <c r="C274">
        <v>2019270</v>
      </c>
      <c r="D274">
        <v>4.32</v>
      </c>
      <c r="E274" t="s">
        <v>27</v>
      </c>
      <c r="F274">
        <v>0.6</v>
      </c>
      <c r="G274">
        <v>4.0999999999999996</v>
      </c>
      <c r="H274">
        <v>-0.4</v>
      </c>
      <c r="I274">
        <v>92.7</v>
      </c>
      <c r="J274">
        <v>70</v>
      </c>
      <c r="K274">
        <v>0.1</v>
      </c>
      <c r="L274">
        <v>1.8</v>
      </c>
      <c r="M274">
        <v>13.4</v>
      </c>
      <c r="N274">
        <v>9.5000000000000195E-2</v>
      </c>
      <c r="O274" t="s">
        <v>27</v>
      </c>
      <c r="P274" t="s">
        <v>27</v>
      </c>
      <c r="Q274" t="s">
        <v>27</v>
      </c>
      <c r="R274" t="s">
        <v>27</v>
      </c>
      <c r="S274">
        <v>2.8</v>
      </c>
      <c r="T274">
        <v>6.3</v>
      </c>
      <c r="U274">
        <v>8.1</v>
      </c>
      <c r="V274" t="s">
        <v>27</v>
      </c>
      <c r="W274">
        <v>0.57399999999999995</v>
      </c>
      <c r="X274">
        <v>0.246</v>
      </c>
      <c r="Y274" t="s">
        <v>27</v>
      </c>
      <c r="Z274" t="s">
        <v>27</v>
      </c>
      <c r="AA274" t="s">
        <v>27</v>
      </c>
      <c r="AB274" t="s">
        <v>27</v>
      </c>
      <c r="AC274" t="s">
        <v>27</v>
      </c>
      <c r="AD274" t="s">
        <v>27</v>
      </c>
      <c r="AE274" t="s">
        <v>27</v>
      </c>
      <c r="AF274" t="s">
        <v>27</v>
      </c>
      <c r="AG274">
        <v>16.68</v>
      </c>
    </row>
    <row r="275" spans="1:33" x14ac:dyDescent="0.25">
      <c r="A275" t="s">
        <v>57</v>
      </c>
      <c r="B275" s="3">
        <v>43736</v>
      </c>
      <c r="C275">
        <v>2019271</v>
      </c>
      <c r="D275">
        <v>4.03</v>
      </c>
      <c r="E275" t="s">
        <v>27</v>
      </c>
      <c r="F275">
        <v>-1.1000000000000001</v>
      </c>
      <c r="G275">
        <v>1.2</v>
      </c>
      <c r="H275">
        <v>-3.4</v>
      </c>
      <c r="I275">
        <v>91.6</v>
      </c>
      <c r="J275">
        <v>83.4</v>
      </c>
      <c r="K275">
        <v>0.3</v>
      </c>
      <c r="L275">
        <v>1.6</v>
      </c>
      <c r="M275">
        <v>11.7</v>
      </c>
      <c r="N275">
        <v>0.15100000000000025</v>
      </c>
      <c r="O275" t="s">
        <v>27</v>
      </c>
      <c r="P275" t="s">
        <v>27</v>
      </c>
      <c r="Q275" t="s">
        <v>27</v>
      </c>
      <c r="R275" t="s">
        <v>27</v>
      </c>
      <c r="S275">
        <v>1.5</v>
      </c>
      <c r="T275">
        <v>5.0999999999999996</v>
      </c>
      <c r="U275">
        <v>7.5</v>
      </c>
      <c r="V275" t="s">
        <v>27</v>
      </c>
      <c r="W275">
        <v>0.55600000000000005</v>
      </c>
      <c r="X275">
        <v>0.111</v>
      </c>
      <c r="Y275" t="s">
        <v>27</v>
      </c>
      <c r="Z275" t="s">
        <v>27</v>
      </c>
      <c r="AA275" t="s">
        <v>27</v>
      </c>
      <c r="AB275" t="s">
        <v>27</v>
      </c>
      <c r="AC275" t="s">
        <v>27</v>
      </c>
      <c r="AD275" t="s">
        <v>27</v>
      </c>
      <c r="AE275" t="s">
        <v>27</v>
      </c>
      <c r="AF275" t="s">
        <v>27</v>
      </c>
      <c r="AG275">
        <v>16.43</v>
      </c>
    </row>
    <row r="276" spans="1:33" x14ac:dyDescent="0.25">
      <c r="A276" t="s">
        <v>57</v>
      </c>
      <c r="B276" s="3">
        <v>43737</v>
      </c>
      <c r="C276">
        <v>2019272</v>
      </c>
      <c r="D276">
        <v>3.44</v>
      </c>
      <c r="E276" t="s">
        <v>27</v>
      </c>
      <c r="F276">
        <v>-2.9</v>
      </c>
      <c r="G276">
        <v>0</v>
      </c>
      <c r="H276">
        <v>-5.8</v>
      </c>
      <c r="I276">
        <v>88.9</v>
      </c>
      <c r="J276">
        <v>80.3</v>
      </c>
      <c r="K276">
        <v>0.5</v>
      </c>
      <c r="L276">
        <v>1.8</v>
      </c>
      <c r="M276">
        <v>2.4</v>
      </c>
      <c r="N276">
        <v>0.16100000000000003</v>
      </c>
      <c r="O276" t="s">
        <v>27</v>
      </c>
      <c r="P276" t="s">
        <v>27</v>
      </c>
      <c r="Q276" t="s">
        <v>27</v>
      </c>
      <c r="R276" t="s">
        <v>27</v>
      </c>
      <c r="S276">
        <v>1.3</v>
      </c>
      <c r="T276">
        <v>4.4000000000000004</v>
      </c>
      <c r="U276">
        <v>6.8</v>
      </c>
      <c r="V276" t="s">
        <v>27</v>
      </c>
      <c r="W276">
        <v>0.49199999999999999</v>
      </c>
      <c r="X276">
        <v>0.121</v>
      </c>
      <c r="Y276" t="s">
        <v>27</v>
      </c>
      <c r="Z276" t="s">
        <v>27</v>
      </c>
      <c r="AA276" t="s">
        <v>27</v>
      </c>
      <c r="AB276" t="s">
        <v>27</v>
      </c>
      <c r="AC276" t="s">
        <v>27</v>
      </c>
      <c r="AD276" t="s">
        <v>27</v>
      </c>
      <c r="AE276" t="s">
        <v>27</v>
      </c>
      <c r="AF276" t="s">
        <v>27</v>
      </c>
      <c r="AG276">
        <v>16.18</v>
      </c>
    </row>
    <row r="277" spans="1:33" x14ac:dyDescent="0.25">
      <c r="A277" t="s">
        <v>57</v>
      </c>
      <c r="B277" s="3">
        <v>43738</v>
      </c>
      <c r="C277">
        <v>2019273</v>
      </c>
      <c r="D277">
        <v>8.34</v>
      </c>
      <c r="E277" t="s">
        <v>27</v>
      </c>
      <c r="F277">
        <v>-1.7</v>
      </c>
      <c r="G277">
        <v>2</v>
      </c>
      <c r="H277">
        <v>-5.2</v>
      </c>
      <c r="I277">
        <v>86.1</v>
      </c>
      <c r="J277">
        <v>58.7</v>
      </c>
      <c r="K277">
        <v>0.2</v>
      </c>
      <c r="L277">
        <v>1.7</v>
      </c>
      <c r="M277">
        <v>0</v>
      </c>
      <c r="N277">
        <v>0.1030000000000002</v>
      </c>
      <c r="O277" t="s">
        <v>27</v>
      </c>
      <c r="P277" t="s">
        <v>27</v>
      </c>
      <c r="Q277" t="s">
        <v>27</v>
      </c>
      <c r="R277" t="s">
        <v>27</v>
      </c>
      <c r="S277">
        <v>1.2</v>
      </c>
      <c r="T277">
        <v>4.0999999999999996</v>
      </c>
      <c r="U277">
        <v>6.4</v>
      </c>
      <c r="V277" t="s">
        <v>27</v>
      </c>
      <c r="W277">
        <v>0.41499999999999998</v>
      </c>
      <c r="X277">
        <v>0.29199999999999998</v>
      </c>
      <c r="Y277" t="s">
        <v>27</v>
      </c>
      <c r="Z277" t="s">
        <v>27</v>
      </c>
      <c r="AA277" t="s">
        <v>27</v>
      </c>
      <c r="AB277" t="s">
        <v>27</v>
      </c>
      <c r="AC277" t="s">
        <v>27</v>
      </c>
      <c r="AD277" t="s">
        <v>27</v>
      </c>
      <c r="AE277" t="s">
        <v>27</v>
      </c>
      <c r="AF277" t="s">
        <v>27</v>
      </c>
      <c r="AG277">
        <v>15.93</v>
      </c>
    </row>
    <row r="278" spans="1:33" x14ac:dyDescent="0.25">
      <c r="A278" t="s">
        <v>57</v>
      </c>
      <c r="B278" s="3">
        <v>43739</v>
      </c>
      <c r="C278">
        <v>2019274</v>
      </c>
      <c r="D278">
        <v>12.34</v>
      </c>
      <c r="E278" t="s">
        <v>27</v>
      </c>
      <c r="F278">
        <v>0.1</v>
      </c>
      <c r="G278">
        <v>6.7</v>
      </c>
      <c r="H278">
        <v>-6.8</v>
      </c>
      <c r="I278">
        <v>85</v>
      </c>
      <c r="J278">
        <v>51</v>
      </c>
      <c r="K278">
        <v>0.2</v>
      </c>
      <c r="L278">
        <v>1.7</v>
      </c>
      <c r="M278">
        <v>0</v>
      </c>
      <c r="N278">
        <v>6.899999999999995E-2</v>
      </c>
      <c r="O278" t="s">
        <v>27</v>
      </c>
      <c r="P278" t="s">
        <v>27</v>
      </c>
      <c r="Q278" t="s">
        <v>27</v>
      </c>
      <c r="R278" t="s">
        <v>27</v>
      </c>
      <c r="S278">
        <v>1.1000000000000001</v>
      </c>
      <c r="T278">
        <v>3.8</v>
      </c>
      <c r="U278">
        <v>6</v>
      </c>
      <c r="V278" t="s">
        <v>27</v>
      </c>
      <c r="W278">
        <v>0.5</v>
      </c>
      <c r="X278">
        <v>0.48</v>
      </c>
      <c r="Y278" t="s">
        <v>27</v>
      </c>
      <c r="Z278" t="s">
        <v>27</v>
      </c>
      <c r="AA278" t="s">
        <v>27</v>
      </c>
      <c r="AB278" t="s">
        <v>27</v>
      </c>
      <c r="AC278" t="s">
        <v>27</v>
      </c>
      <c r="AD278" t="s">
        <v>27</v>
      </c>
      <c r="AE278" t="s">
        <v>27</v>
      </c>
      <c r="AF278" t="s">
        <v>27</v>
      </c>
      <c r="AG278">
        <v>15.69</v>
      </c>
    </row>
    <row r="279" spans="1:33" x14ac:dyDescent="0.25">
      <c r="A279" t="s">
        <v>57</v>
      </c>
      <c r="B279" s="3">
        <v>43740</v>
      </c>
      <c r="C279">
        <v>2019275</v>
      </c>
      <c r="D279">
        <v>6.45</v>
      </c>
      <c r="E279" t="s">
        <v>27</v>
      </c>
      <c r="F279">
        <v>0.7</v>
      </c>
      <c r="G279">
        <v>5.0999999999999996</v>
      </c>
      <c r="H279">
        <v>-3.1</v>
      </c>
      <c r="I279">
        <v>84.6</v>
      </c>
      <c r="J279">
        <v>60.7</v>
      </c>
      <c r="K279">
        <v>0.3</v>
      </c>
      <c r="L279">
        <v>1.6</v>
      </c>
      <c r="M279">
        <v>0</v>
      </c>
      <c r="N279">
        <v>5.500000000000016E-2</v>
      </c>
      <c r="O279" t="s">
        <v>27</v>
      </c>
      <c r="P279" t="s">
        <v>27</v>
      </c>
      <c r="Q279" t="s">
        <v>27</v>
      </c>
      <c r="R279" t="s">
        <v>27</v>
      </c>
      <c r="S279">
        <v>1.1000000000000001</v>
      </c>
      <c r="T279">
        <v>3.6</v>
      </c>
      <c r="U279">
        <v>5.7</v>
      </c>
      <c r="V279" t="s">
        <v>27</v>
      </c>
      <c r="W279">
        <v>0.53300000000000003</v>
      </c>
      <c r="X279">
        <v>0.34499999999999997</v>
      </c>
      <c r="Y279" t="s">
        <v>27</v>
      </c>
      <c r="Z279" t="s">
        <v>27</v>
      </c>
      <c r="AA279" t="s">
        <v>27</v>
      </c>
      <c r="AB279" t="s">
        <v>27</v>
      </c>
      <c r="AC279" t="s">
        <v>27</v>
      </c>
      <c r="AD279" t="s">
        <v>27</v>
      </c>
      <c r="AE279" t="s">
        <v>27</v>
      </c>
      <c r="AF279" t="s">
        <v>27</v>
      </c>
      <c r="AG279">
        <v>15.45</v>
      </c>
    </row>
    <row r="280" spans="1:33" x14ac:dyDescent="0.25">
      <c r="A280" t="s">
        <v>57</v>
      </c>
      <c r="B280" s="3">
        <v>43741</v>
      </c>
      <c r="C280">
        <v>2019276</v>
      </c>
      <c r="D280">
        <v>6.88</v>
      </c>
      <c r="E280" t="s">
        <v>27</v>
      </c>
      <c r="F280">
        <v>1.3</v>
      </c>
      <c r="G280">
        <v>7.1</v>
      </c>
      <c r="H280">
        <v>-1.6</v>
      </c>
      <c r="I280">
        <v>85.8</v>
      </c>
      <c r="J280">
        <v>59.6</v>
      </c>
      <c r="K280">
        <v>0.2</v>
      </c>
      <c r="L280">
        <v>1.6</v>
      </c>
      <c r="M280">
        <v>0</v>
      </c>
      <c r="N280">
        <v>2.6000000000000245E-2</v>
      </c>
      <c r="O280" t="s">
        <v>27</v>
      </c>
      <c r="P280" t="s">
        <v>27</v>
      </c>
      <c r="Q280" t="s">
        <v>27</v>
      </c>
      <c r="R280" t="s">
        <v>27</v>
      </c>
      <c r="S280">
        <v>1</v>
      </c>
      <c r="T280">
        <v>3.4</v>
      </c>
      <c r="U280">
        <v>5.4</v>
      </c>
      <c r="V280" t="s">
        <v>27</v>
      </c>
      <c r="W280">
        <v>0.6</v>
      </c>
      <c r="X280">
        <v>0.40699999999999997</v>
      </c>
      <c r="Y280" t="s">
        <v>27</v>
      </c>
      <c r="Z280" t="s">
        <v>27</v>
      </c>
      <c r="AA280" t="s">
        <v>27</v>
      </c>
      <c r="AB280" t="s">
        <v>27</v>
      </c>
      <c r="AC280" t="s">
        <v>27</v>
      </c>
      <c r="AD280" t="s">
        <v>27</v>
      </c>
      <c r="AE280" t="s">
        <v>27</v>
      </c>
      <c r="AF280" t="s">
        <v>27</v>
      </c>
      <c r="AG280">
        <v>15.2</v>
      </c>
    </row>
    <row r="281" spans="1:33" x14ac:dyDescent="0.25">
      <c r="A281" t="s">
        <v>57</v>
      </c>
      <c r="B281" s="3">
        <v>43742</v>
      </c>
      <c r="C281">
        <v>2019277</v>
      </c>
      <c r="D281">
        <v>6.86</v>
      </c>
      <c r="E281" t="s">
        <v>27</v>
      </c>
      <c r="F281">
        <v>1.4</v>
      </c>
      <c r="G281">
        <v>6.1</v>
      </c>
      <c r="H281">
        <v>-2.1</v>
      </c>
      <c r="I281">
        <v>86.7</v>
      </c>
      <c r="J281">
        <v>53.8</v>
      </c>
      <c r="K281">
        <v>0.3</v>
      </c>
      <c r="L281">
        <v>2.4</v>
      </c>
      <c r="M281">
        <v>1</v>
      </c>
      <c r="N281">
        <v>2.3000000000000131E-2</v>
      </c>
      <c r="O281" t="s">
        <v>27</v>
      </c>
      <c r="P281" t="s">
        <v>27</v>
      </c>
      <c r="Q281" t="s">
        <v>27</v>
      </c>
      <c r="R281" t="s">
        <v>27</v>
      </c>
      <c r="S281">
        <v>1</v>
      </c>
      <c r="T281">
        <v>3.2</v>
      </c>
      <c r="U281">
        <v>5.0999999999999996</v>
      </c>
      <c r="V281" t="s">
        <v>27</v>
      </c>
      <c r="W281">
        <v>0.50800000000000001</v>
      </c>
      <c r="X281">
        <v>0.436</v>
      </c>
      <c r="Y281" t="s">
        <v>27</v>
      </c>
      <c r="Z281" t="s">
        <v>27</v>
      </c>
      <c r="AA281" t="s">
        <v>27</v>
      </c>
      <c r="AB281" t="s">
        <v>27</v>
      </c>
      <c r="AC281" t="s">
        <v>27</v>
      </c>
      <c r="AD281" t="s">
        <v>27</v>
      </c>
      <c r="AE281" t="s">
        <v>27</v>
      </c>
      <c r="AF281" t="s">
        <v>27</v>
      </c>
      <c r="AG281">
        <v>14.96</v>
      </c>
    </row>
    <row r="282" spans="1:33" x14ac:dyDescent="0.25">
      <c r="A282" t="s">
        <v>57</v>
      </c>
      <c r="B282" s="3">
        <v>43743</v>
      </c>
      <c r="C282">
        <v>2019278</v>
      </c>
      <c r="D282">
        <v>9.24</v>
      </c>
      <c r="E282" t="s">
        <v>27</v>
      </c>
      <c r="F282">
        <v>1.8</v>
      </c>
      <c r="G282">
        <v>7.9</v>
      </c>
      <c r="H282">
        <v>-3.2</v>
      </c>
      <c r="I282">
        <v>84.3</v>
      </c>
      <c r="J282">
        <v>50.3</v>
      </c>
      <c r="K282">
        <v>0.6</v>
      </c>
      <c r="L282">
        <v>2.6</v>
      </c>
      <c r="M282">
        <v>3</v>
      </c>
      <c r="N282">
        <v>8.0000000000000071E-3</v>
      </c>
      <c r="O282" t="s">
        <v>27</v>
      </c>
      <c r="P282" t="s">
        <v>27</v>
      </c>
      <c r="Q282" t="s">
        <v>27</v>
      </c>
      <c r="R282" t="s">
        <v>27</v>
      </c>
      <c r="S282">
        <v>0.9</v>
      </c>
      <c r="T282">
        <v>3.1</v>
      </c>
      <c r="U282">
        <v>4.9000000000000004</v>
      </c>
      <c r="V282" t="s">
        <v>27</v>
      </c>
      <c r="W282">
        <v>0.53400000000000003</v>
      </c>
      <c r="X282">
        <v>0.52800000000000002</v>
      </c>
      <c r="Y282" t="s">
        <v>27</v>
      </c>
      <c r="Z282" t="s">
        <v>27</v>
      </c>
      <c r="AA282" t="s">
        <v>27</v>
      </c>
      <c r="AB282" t="s">
        <v>27</v>
      </c>
      <c r="AC282" t="s">
        <v>27</v>
      </c>
      <c r="AD282" t="s">
        <v>27</v>
      </c>
      <c r="AE282" t="s">
        <v>27</v>
      </c>
      <c r="AF282" t="s">
        <v>27</v>
      </c>
      <c r="AG282">
        <v>14.72</v>
      </c>
    </row>
    <row r="283" spans="1:33" x14ac:dyDescent="0.25">
      <c r="A283" t="s">
        <v>57</v>
      </c>
      <c r="B283" s="3">
        <v>43744</v>
      </c>
      <c r="C283">
        <v>2019279</v>
      </c>
      <c r="D283">
        <v>11.48</v>
      </c>
      <c r="E283" t="s">
        <v>27</v>
      </c>
      <c r="F283">
        <v>1.7</v>
      </c>
      <c r="G283">
        <v>9.5</v>
      </c>
      <c r="H283">
        <v>-5</v>
      </c>
      <c r="I283">
        <v>77.400000000000006</v>
      </c>
      <c r="J283">
        <v>47.7</v>
      </c>
      <c r="K283">
        <v>0.3</v>
      </c>
      <c r="L283">
        <v>2.2999999999999998</v>
      </c>
      <c r="M283">
        <v>1</v>
      </c>
      <c r="N283">
        <v>0</v>
      </c>
      <c r="O283" t="s">
        <v>27</v>
      </c>
      <c r="P283" t="s">
        <v>27</v>
      </c>
      <c r="Q283" t="s">
        <v>27</v>
      </c>
      <c r="R283" t="s">
        <v>27</v>
      </c>
      <c r="S283">
        <v>0.2</v>
      </c>
      <c r="T283">
        <v>2.7</v>
      </c>
      <c r="U283">
        <v>4.7</v>
      </c>
      <c r="V283" t="s">
        <v>27</v>
      </c>
      <c r="W283">
        <v>0.56699999999999995</v>
      </c>
      <c r="X283">
        <v>0.622</v>
      </c>
      <c r="Y283" t="s">
        <v>27</v>
      </c>
      <c r="Z283" t="s">
        <v>27</v>
      </c>
      <c r="AA283" t="s">
        <v>27</v>
      </c>
      <c r="AB283" t="s">
        <v>27</v>
      </c>
      <c r="AC283" t="s">
        <v>27</v>
      </c>
      <c r="AD283" t="s">
        <v>27</v>
      </c>
      <c r="AE283" t="s">
        <v>27</v>
      </c>
      <c r="AF283" t="s">
        <v>27</v>
      </c>
      <c r="AG283">
        <v>14.48</v>
      </c>
    </row>
    <row r="284" spans="1:33" x14ac:dyDescent="0.25">
      <c r="A284" t="s">
        <v>57</v>
      </c>
      <c r="B284" s="3">
        <v>43745</v>
      </c>
      <c r="C284">
        <v>2019280</v>
      </c>
      <c r="D284">
        <v>3.81</v>
      </c>
      <c r="E284" t="s">
        <v>27</v>
      </c>
      <c r="F284">
        <v>4.0999999999999996</v>
      </c>
      <c r="G284">
        <v>8.5</v>
      </c>
      <c r="H284">
        <v>1.2</v>
      </c>
      <c r="I284">
        <v>85.1</v>
      </c>
      <c r="J284">
        <v>59.9</v>
      </c>
      <c r="K284">
        <v>0.4</v>
      </c>
      <c r="L284">
        <v>3.1</v>
      </c>
      <c r="M284">
        <v>5.6</v>
      </c>
      <c r="N284">
        <v>0</v>
      </c>
      <c r="O284" t="s">
        <v>27</v>
      </c>
      <c r="P284" t="s">
        <v>27</v>
      </c>
      <c r="Q284" t="s">
        <v>27</v>
      </c>
      <c r="R284" t="s">
        <v>27</v>
      </c>
      <c r="S284">
        <v>2.2999999999999998</v>
      </c>
      <c r="T284">
        <v>3.1</v>
      </c>
      <c r="U284">
        <v>4.5</v>
      </c>
      <c r="V284" t="s">
        <v>27</v>
      </c>
      <c r="W284">
        <v>0.66600000000000004</v>
      </c>
      <c r="X284">
        <v>0.44600000000000001</v>
      </c>
      <c r="Y284" t="s">
        <v>27</v>
      </c>
      <c r="Z284" t="s">
        <v>27</v>
      </c>
      <c r="AA284" t="s">
        <v>27</v>
      </c>
      <c r="AB284" t="s">
        <v>27</v>
      </c>
      <c r="AC284" t="s">
        <v>27</v>
      </c>
      <c r="AD284" t="s">
        <v>27</v>
      </c>
      <c r="AE284" t="s">
        <v>27</v>
      </c>
      <c r="AF284" t="s">
        <v>27</v>
      </c>
      <c r="AG284">
        <v>14.24</v>
      </c>
    </row>
    <row r="285" spans="1:33" x14ac:dyDescent="0.25">
      <c r="A285" t="s">
        <v>57</v>
      </c>
      <c r="B285" s="3">
        <v>43746</v>
      </c>
      <c r="C285">
        <v>2019281</v>
      </c>
      <c r="D285">
        <v>3.27</v>
      </c>
      <c r="E285" t="s">
        <v>27</v>
      </c>
      <c r="F285">
        <v>-2.9</v>
      </c>
      <c r="G285">
        <v>2.6</v>
      </c>
      <c r="H285">
        <v>-6.4</v>
      </c>
      <c r="I285">
        <v>82.1</v>
      </c>
      <c r="J285">
        <v>65.3</v>
      </c>
      <c r="K285">
        <v>0.2</v>
      </c>
      <c r="L285">
        <v>2.8</v>
      </c>
      <c r="M285">
        <v>4</v>
      </c>
      <c r="N285">
        <v>1.5000000000000124E-2</v>
      </c>
      <c r="O285" t="s">
        <v>27</v>
      </c>
      <c r="P285" t="s">
        <v>27</v>
      </c>
      <c r="Q285" t="s">
        <v>27</v>
      </c>
      <c r="R285" t="s">
        <v>27</v>
      </c>
      <c r="S285">
        <v>0.6</v>
      </c>
      <c r="T285">
        <v>3</v>
      </c>
      <c r="U285">
        <v>4.5999999999999996</v>
      </c>
      <c r="V285" t="s">
        <v>27</v>
      </c>
      <c r="W285">
        <v>0.48099999999999998</v>
      </c>
      <c r="X285">
        <v>0.25600000000000001</v>
      </c>
      <c r="Y285" t="s">
        <v>27</v>
      </c>
      <c r="Z285" t="s">
        <v>27</v>
      </c>
      <c r="AA285" t="s">
        <v>27</v>
      </c>
      <c r="AB285" t="s">
        <v>27</v>
      </c>
      <c r="AC285" t="s">
        <v>27</v>
      </c>
      <c r="AD285" t="s">
        <v>27</v>
      </c>
      <c r="AE285" t="s">
        <v>27</v>
      </c>
      <c r="AF285" t="s">
        <v>27</v>
      </c>
      <c r="AG285">
        <v>14.01</v>
      </c>
    </row>
    <row r="286" spans="1:33" x14ac:dyDescent="0.25">
      <c r="A286" t="s">
        <v>57</v>
      </c>
      <c r="B286" s="3">
        <v>43747</v>
      </c>
      <c r="C286">
        <v>2019282</v>
      </c>
      <c r="D286">
        <v>11.72</v>
      </c>
      <c r="E286" t="s">
        <v>27</v>
      </c>
      <c r="F286">
        <v>-6.6</v>
      </c>
      <c r="G286">
        <v>-1.3</v>
      </c>
      <c r="H286">
        <v>-12.5</v>
      </c>
      <c r="I286">
        <v>73.599999999999994</v>
      </c>
      <c r="J286">
        <v>41.8</v>
      </c>
      <c r="K286">
        <v>0.8</v>
      </c>
      <c r="L286">
        <v>2</v>
      </c>
      <c r="M286">
        <v>3</v>
      </c>
      <c r="N286">
        <v>2.0999999999999908E-2</v>
      </c>
      <c r="O286">
        <v>0.2</v>
      </c>
      <c r="P286" t="s">
        <v>27</v>
      </c>
      <c r="Q286" t="s">
        <v>27</v>
      </c>
      <c r="R286" t="s">
        <v>27</v>
      </c>
      <c r="S286">
        <v>0.2</v>
      </c>
      <c r="T286">
        <v>2.5</v>
      </c>
      <c r="U286">
        <v>4.3</v>
      </c>
      <c r="V286" t="s">
        <v>27</v>
      </c>
      <c r="W286">
        <v>0.23200000000000001</v>
      </c>
      <c r="X286">
        <v>0.32300000000000001</v>
      </c>
      <c r="Y286" t="s">
        <v>27</v>
      </c>
      <c r="Z286" t="s">
        <v>27</v>
      </c>
      <c r="AA286" t="s">
        <v>27</v>
      </c>
      <c r="AB286" t="s">
        <v>27</v>
      </c>
      <c r="AC286" t="s">
        <v>27</v>
      </c>
      <c r="AD286" t="s">
        <v>27</v>
      </c>
      <c r="AE286" t="s">
        <v>27</v>
      </c>
      <c r="AF286" t="s">
        <v>27</v>
      </c>
      <c r="AG286">
        <v>13.78</v>
      </c>
    </row>
    <row r="287" spans="1:33" x14ac:dyDescent="0.25">
      <c r="A287" t="s">
        <v>57</v>
      </c>
      <c r="B287" s="3">
        <v>43748</v>
      </c>
      <c r="C287">
        <v>2019283</v>
      </c>
      <c r="D287">
        <v>12.28</v>
      </c>
      <c r="E287" t="s">
        <v>27</v>
      </c>
      <c r="F287">
        <v>-4.3</v>
      </c>
      <c r="G287">
        <v>5.6</v>
      </c>
      <c r="H287">
        <v>-12.9</v>
      </c>
      <c r="I287">
        <v>64.2</v>
      </c>
      <c r="J287">
        <v>19</v>
      </c>
      <c r="K287">
        <v>0</v>
      </c>
      <c r="L287">
        <v>0.7</v>
      </c>
      <c r="M287">
        <v>0</v>
      </c>
      <c r="N287">
        <v>1.4000000000000234E-2</v>
      </c>
      <c r="O287">
        <v>-0.2</v>
      </c>
      <c r="P287" t="s">
        <v>27</v>
      </c>
      <c r="Q287" t="s">
        <v>27</v>
      </c>
      <c r="R287" t="s">
        <v>27</v>
      </c>
      <c r="S287">
        <v>-0.2</v>
      </c>
      <c r="T287">
        <v>2.2000000000000002</v>
      </c>
      <c r="U287">
        <v>4.0999999999999996</v>
      </c>
      <c r="V287" t="s">
        <v>27</v>
      </c>
      <c r="W287">
        <v>0.17299999999999999</v>
      </c>
      <c r="X287">
        <v>0.73799999999999999</v>
      </c>
      <c r="Y287" t="s">
        <v>27</v>
      </c>
      <c r="Z287" t="s">
        <v>27</v>
      </c>
      <c r="AA287" t="s">
        <v>27</v>
      </c>
      <c r="AB287" t="s">
        <v>27</v>
      </c>
      <c r="AC287" t="s">
        <v>27</v>
      </c>
      <c r="AD287" t="s">
        <v>27</v>
      </c>
      <c r="AE287" t="s">
        <v>27</v>
      </c>
      <c r="AF287" t="s">
        <v>27</v>
      </c>
      <c r="AG287">
        <v>13.55</v>
      </c>
    </row>
    <row r="288" spans="1:33" x14ac:dyDescent="0.25">
      <c r="A288" t="s">
        <v>57</v>
      </c>
      <c r="B288" s="3">
        <v>43749</v>
      </c>
      <c r="C288">
        <v>2019284</v>
      </c>
      <c r="D288">
        <v>12.2</v>
      </c>
      <c r="E288" t="s">
        <v>27</v>
      </c>
      <c r="F288">
        <v>-2.2000000000000002</v>
      </c>
      <c r="G288">
        <v>6.1</v>
      </c>
      <c r="H288">
        <v>-10.6</v>
      </c>
      <c r="I288">
        <v>65.2</v>
      </c>
      <c r="J288">
        <v>34</v>
      </c>
      <c r="K288">
        <v>0</v>
      </c>
      <c r="L288">
        <v>0</v>
      </c>
      <c r="M288">
        <v>0</v>
      </c>
      <c r="N288">
        <v>4.9999999999998934E-3</v>
      </c>
      <c r="O288">
        <v>-0.7</v>
      </c>
      <c r="P288" t="s">
        <v>27</v>
      </c>
      <c r="Q288" t="s">
        <v>27</v>
      </c>
      <c r="R288" t="s">
        <v>27</v>
      </c>
      <c r="S288">
        <v>-0.7</v>
      </c>
      <c r="T288">
        <v>2</v>
      </c>
      <c r="U288">
        <v>3.9</v>
      </c>
      <c r="V288" t="s">
        <v>27</v>
      </c>
      <c r="W288">
        <v>0.32100000000000001</v>
      </c>
      <c r="X288">
        <v>0.623</v>
      </c>
      <c r="Y288" t="s">
        <v>27</v>
      </c>
      <c r="Z288" t="s">
        <v>27</v>
      </c>
      <c r="AA288" t="s">
        <v>27</v>
      </c>
      <c r="AB288" t="s">
        <v>27</v>
      </c>
      <c r="AC288" t="s">
        <v>27</v>
      </c>
      <c r="AD288" t="s">
        <v>27</v>
      </c>
      <c r="AE288" t="s">
        <v>27</v>
      </c>
      <c r="AF288" t="s">
        <v>27</v>
      </c>
      <c r="AG288">
        <v>13.32</v>
      </c>
    </row>
    <row r="289" spans="1:33" x14ac:dyDescent="0.25">
      <c r="A289" t="s">
        <v>57</v>
      </c>
      <c r="B289" s="3">
        <v>43750</v>
      </c>
      <c r="C289">
        <v>2019285</v>
      </c>
      <c r="D289">
        <v>7.96</v>
      </c>
      <c r="E289" t="s">
        <v>27</v>
      </c>
      <c r="F289">
        <v>0.3</v>
      </c>
      <c r="G289">
        <v>7.1</v>
      </c>
      <c r="H289">
        <v>-5.7</v>
      </c>
      <c r="I289">
        <v>64.5</v>
      </c>
      <c r="J289">
        <v>31.9</v>
      </c>
      <c r="K289">
        <v>0</v>
      </c>
      <c r="L289">
        <v>0</v>
      </c>
      <c r="M289">
        <v>0</v>
      </c>
      <c r="N289">
        <v>9.9999999999988987E-4</v>
      </c>
      <c r="O289">
        <v>-0.5</v>
      </c>
      <c r="P289" t="s">
        <v>27</v>
      </c>
      <c r="Q289" t="s">
        <v>27</v>
      </c>
      <c r="R289" t="s">
        <v>27</v>
      </c>
      <c r="S289">
        <v>-0.5</v>
      </c>
      <c r="T289">
        <v>1.7</v>
      </c>
      <c r="U289">
        <v>3.6</v>
      </c>
      <c r="V289" t="s">
        <v>27</v>
      </c>
      <c r="W289">
        <v>0.32200000000000001</v>
      </c>
      <c r="X289">
        <v>0.68700000000000006</v>
      </c>
      <c r="Y289" t="s">
        <v>27</v>
      </c>
      <c r="Z289" t="s">
        <v>27</v>
      </c>
      <c r="AA289" t="s">
        <v>27</v>
      </c>
      <c r="AB289" t="s">
        <v>27</v>
      </c>
      <c r="AC289" t="s">
        <v>27</v>
      </c>
      <c r="AD289" t="s">
        <v>27</v>
      </c>
      <c r="AE289" t="s">
        <v>27</v>
      </c>
      <c r="AF289" t="s">
        <v>27</v>
      </c>
      <c r="AG289">
        <v>13.09</v>
      </c>
    </row>
    <row r="290" spans="1:33" x14ac:dyDescent="0.25">
      <c r="A290" t="s">
        <v>57</v>
      </c>
      <c r="B290" s="3">
        <v>43751</v>
      </c>
      <c r="C290">
        <v>2019286</v>
      </c>
      <c r="D290">
        <v>1.76</v>
      </c>
      <c r="E290" t="s">
        <v>27</v>
      </c>
      <c r="F290">
        <v>0.8</v>
      </c>
      <c r="G290">
        <v>2.1</v>
      </c>
      <c r="H290">
        <v>-0.4</v>
      </c>
      <c r="I290">
        <v>92.6</v>
      </c>
      <c r="J290">
        <v>69.900000000000006</v>
      </c>
      <c r="K290">
        <v>0.1</v>
      </c>
      <c r="L290">
        <v>1.2</v>
      </c>
      <c r="M290">
        <v>4</v>
      </c>
      <c r="N290">
        <v>1.2999999999999901E-2</v>
      </c>
      <c r="O290">
        <v>0</v>
      </c>
      <c r="P290" t="s">
        <v>27</v>
      </c>
      <c r="Q290" t="s">
        <v>27</v>
      </c>
      <c r="R290" t="s">
        <v>27</v>
      </c>
      <c r="S290">
        <v>0</v>
      </c>
      <c r="T290">
        <v>1.7</v>
      </c>
      <c r="U290">
        <v>3.5</v>
      </c>
      <c r="V290" t="s">
        <v>27</v>
      </c>
      <c r="W290">
        <v>0.498</v>
      </c>
      <c r="X290">
        <v>0.214</v>
      </c>
      <c r="Y290" t="s">
        <v>27</v>
      </c>
      <c r="Z290" t="s">
        <v>27</v>
      </c>
      <c r="AA290" t="s">
        <v>27</v>
      </c>
      <c r="AB290" t="s">
        <v>27</v>
      </c>
      <c r="AC290" t="s">
        <v>27</v>
      </c>
      <c r="AD290" t="s">
        <v>27</v>
      </c>
      <c r="AE290" t="s">
        <v>27</v>
      </c>
      <c r="AF290" t="s">
        <v>27</v>
      </c>
      <c r="AG290">
        <v>12.87</v>
      </c>
    </row>
    <row r="291" spans="1:33" x14ac:dyDescent="0.25">
      <c r="A291" t="s">
        <v>57</v>
      </c>
      <c r="B291" s="3">
        <v>43752</v>
      </c>
      <c r="C291">
        <v>2019287</v>
      </c>
      <c r="D291">
        <v>8.5299999999999994</v>
      </c>
      <c r="E291" t="s">
        <v>27</v>
      </c>
      <c r="F291">
        <v>0.7</v>
      </c>
      <c r="G291">
        <v>6.4</v>
      </c>
      <c r="H291">
        <v>-2.2999999999999998</v>
      </c>
      <c r="I291">
        <v>86.8</v>
      </c>
      <c r="J291">
        <v>48.2</v>
      </c>
      <c r="K291">
        <v>0.2</v>
      </c>
      <c r="L291">
        <v>1.8</v>
      </c>
      <c r="M291">
        <v>0</v>
      </c>
      <c r="N291">
        <v>6.0000000000002274E-3</v>
      </c>
      <c r="O291">
        <v>0</v>
      </c>
      <c r="P291" t="s">
        <v>27</v>
      </c>
      <c r="Q291" t="s">
        <v>27</v>
      </c>
      <c r="R291" t="s">
        <v>27</v>
      </c>
      <c r="S291">
        <v>0</v>
      </c>
      <c r="T291">
        <v>1.6</v>
      </c>
      <c r="U291">
        <v>3.3</v>
      </c>
      <c r="V291" t="s">
        <v>27</v>
      </c>
      <c r="W291">
        <v>0.46200000000000002</v>
      </c>
      <c r="X291">
        <v>0.497</v>
      </c>
      <c r="Y291" t="s">
        <v>27</v>
      </c>
      <c r="Z291" t="s">
        <v>27</v>
      </c>
      <c r="AA291" t="s">
        <v>27</v>
      </c>
      <c r="AB291" t="s">
        <v>27</v>
      </c>
      <c r="AC291" t="s">
        <v>27</v>
      </c>
      <c r="AD291" t="s">
        <v>27</v>
      </c>
      <c r="AE291" t="s">
        <v>27</v>
      </c>
      <c r="AF291" t="s">
        <v>27</v>
      </c>
      <c r="AG291">
        <v>12.65</v>
      </c>
    </row>
    <row r="292" spans="1:33" x14ac:dyDescent="0.25">
      <c r="A292" t="s">
        <v>57</v>
      </c>
      <c r="B292" s="3">
        <v>43753</v>
      </c>
      <c r="C292">
        <v>2019288</v>
      </c>
      <c r="D292">
        <v>4.03</v>
      </c>
      <c r="E292" t="s">
        <v>27</v>
      </c>
      <c r="F292">
        <v>1.1000000000000001</v>
      </c>
      <c r="G292">
        <v>4.0999999999999996</v>
      </c>
      <c r="H292">
        <v>-2.2000000000000002</v>
      </c>
      <c r="I292">
        <v>81.5</v>
      </c>
      <c r="J292">
        <v>67</v>
      </c>
      <c r="K292">
        <v>0.4</v>
      </c>
      <c r="L292">
        <v>1.9</v>
      </c>
      <c r="M292">
        <v>0</v>
      </c>
      <c r="N292">
        <v>0</v>
      </c>
      <c r="O292">
        <v>0</v>
      </c>
      <c r="P292" t="s">
        <v>27</v>
      </c>
      <c r="Q292" t="s">
        <v>27</v>
      </c>
      <c r="R292" t="s">
        <v>27</v>
      </c>
      <c r="S292">
        <v>0</v>
      </c>
      <c r="T292">
        <v>1.6</v>
      </c>
      <c r="U292">
        <v>3.2</v>
      </c>
      <c r="V292" t="s">
        <v>27</v>
      </c>
      <c r="W292">
        <v>0.54900000000000004</v>
      </c>
      <c r="X292">
        <v>0.27</v>
      </c>
      <c r="Y292" t="s">
        <v>27</v>
      </c>
      <c r="Z292" t="s">
        <v>27</v>
      </c>
      <c r="AA292" t="s">
        <v>27</v>
      </c>
      <c r="AB292" t="s">
        <v>27</v>
      </c>
      <c r="AC292" t="s">
        <v>27</v>
      </c>
      <c r="AD292" t="s">
        <v>27</v>
      </c>
      <c r="AE292" t="s">
        <v>27</v>
      </c>
      <c r="AF292" t="s">
        <v>27</v>
      </c>
      <c r="AG292">
        <v>12.43</v>
      </c>
    </row>
    <row r="293" spans="1:33" x14ac:dyDescent="0.25">
      <c r="A293" t="s">
        <v>57</v>
      </c>
      <c r="B293" s="3">
        <v>43754</v>
      </c>
      <c r="C293">
        <v>2019289</v>
      </c>
      <c r="D293">
        <v>4.5</v>
      </c>
      <c r="E293" t="s">
        <v>27</v>
      </c>
      <c r="F293">
        <v>4.0999999999999996</v>
      </c>
      <c r="G293">
        <v>9</v>
      </c>
      <c r="H293">
        <v>0.3</v>
      </c>
      <c r="I293">
        <v>75.8</v>
      </c>
      <c r="J293">
        <v>49.3</v>
      </c>
      <c r="K293">
        <v>0.9</v>
      </c>
      <c r="L293">
        <v>2.7</v>
      </c>
      <c r="M293">
        <v>0.5</v>
      </c>
      <c r="N293">
        <v>0</v>
      </c>
      <c r="O293">
        <v>0.1</v>
      </c>
      <c r="P293" t="s">
        <v>27</v>
      </c>
      <c r="Q293" t="s">
        <v>27</v>
      </c>
      <c r="R293" t="s">
        <v>27</v>
      </c>
      <c r="S293">
        <v>0.1</v>
      </c>
      <c r="T293">
        <v>1.6</v>
      </c>
      <c r="U293">
        <v>3.1</v>
      </c>
      <c r="V293" t="s">
        <v>27</v>
      </c>
      <c r="W293">
        <v>0.56699999999999995</v>
      </c>
      <c r="X293">
        <v>0.58299999999999996</v>
      </c>
      <c r="Y293" t="s">
        <v>27</v>
      </c>
      <c r="Z293" t="s">
        <v>27</v>
      </c>
      <c r="AA293" t="s">
        <v>27</v>
      </c>
      <c r="AB293" t="s">
        <v>27</v>
      </c>
      <c r="AC293" t="s">
        <v>27</v>
      </c>
      <c r="AD293" t="s">
        <v>27</v>
      </c>
      <c r="AE293" t="s">
        <v>27</v>
      </c>
      <c r="AF293" t="s">
        <v>27</v>
      </c>
      <c r="AG293">
        <v>12.21</v>
      </c>
    </row>
    <row r="294" spans="1:33" x14ac:dyDescent="0.25">
      <c r="A294" t="s">
        <v>57</v>
      </c>
      <c r="B294" s="3">
        <v>43755</v>
      </c>
      <c r="C294">
        <v>2019290</v>
      </c>
      <c r="D294">
        <v>6.76</v>
      </c>
      <c r="E294" t="s">
        <v>27</v>
      </c>
      <c r="F294">
        <v>2.1</v>
      </c>
      <c r="G294">
        <v>5.7</v>
      </c>
      <c r="H294">
        <v>0</v>
      </c>
      <c r="I294">
        <v>88.3</v>
      </c>
      <c r="J294">
        <v>67.900000000000006</v>
      </c>
      <c r="K294">
        <v>0.6</v>
      </c>
      <c r="L294">
        <v>2.8</v>
      </c>
      <c r="M294">
        <v>9</v>
      </c>
      <c r="N294">
        <v>1.1000000000000121E-2</v>
      </c>
      <c r="O294">
        <v>0.1</v>
      </c>
      <c r="P294" t="s">
        <v>27</v>
      </c>
      <c r="Q294" t="s">
        <v>27</v>
      </c>
      <c r="R294" t="s">
        <v>27</v>
      </c>
      <c r="S294">
        <v>0.1</v>
      </c>
      <c r="T294">
        <v>1.5</v>
      </c>
      <c r="U294">
        <v>3</v>
      </c>
      <c r="V294" t="s">
        <v>27</v>
      </c>
      <c r="W294">
        <v>0.623</v>
      </c>
      <c r="X294">
        <v>0.29499999999999998</v>
      </c>
      <c r="Y294" t="s">
        <v>27</v>
      </c>
      <c r="Z294" t="s">
        <v>27</v>
      </c>
      <c r="AA294" t="s">
        <v>27</v>
      </c>
      <c r="AB294" t="s">
        <v>27</v>
      </c>
      <c r="AC294" t="s">
        <v>27</v>
      </c>
      <c r="AD294" t="s">
        <v>27</v>
      </c>
      <c r="AE294" t="s">
        <v>27</v>
      </c>
      <c r="AF294" t="s">
        <v>27</v>
      </c>
      <c r="AG294">
        <v>11.99</v>
      </c>
    </row>
    <row r="295" spans="1:33" x14ac:dyDescent="0.25">
      <c r="A295" t="s">
        <v>57</v>
      </c>
      <c r="B295" s="3">
        <v>43756</v>
      </c>
      <c r="C295">
        <v>2019291</v>
      </c>
      <c r="D295">
        <v>5.75</v>
      </c>
      <c r="E295" t="s">
        <v>27</v>
      </c>
      <c r="F295">
        <v>0.1</v>
      </c>
      <c r="G295">
        <v>2.2000000000000002</v>
      </c>
      <c r="H295">
        <v>-1.5</v>
      </c>
      <c r="I295">
        <v>87.1</v>
      </c>
      <c r="J295">
        <v>71.7</v>
      </c>
      <c r="K295">
        <v>0.8</v>
      </c>
      <c r="L295">
        <v>3.7</v>
      </c>
      <c r="M295">
        <v>1.8</v>
      </c>
      <c r="N295">
        <v>2.4000000000000021E-2</v>
      </c>
      <c r="O295">
        <v>0.1</v>
      </c>
      <c r="P295" t="s">
        <v>27</v>
      </c>
      <c r="Q295" t="s">
        <v>27</v>
      </c>
      <c r="R295" t="s">
        <v>27</v>
      </c>
      <c r="S295">
        <v>0.1</v>
      </c>
      <c r="T295">
        <v>1.5</v>
      </c>
      <c r="U295">
        <v>2.9</v>
      </c>
      <c r="V295" t="s">
        <v>27</v>
      </c>
      <c r="W295">
        <v>0.51400000000000001</v>
      </c>
      <c r="X295">
        <v>0.20300000000000001</v>
      </c>
      <c r="Y295" t="s">
        <v>27</v>
      </c>
      <c r="Z295" t="s">
        <v>27</v>
      </c>
      <c r="AA295" t="s">
        <v>27</v>
      </c>
      <c r="AB295" t="s">
        <v>27</v>
      </c>
      <c r="AC295" t="s">
        <v>27</v>
      </c>
      <c r="AD295" t="s">
        <v>27</v>
      </c>
      <c r="AE295" t="s">
        <v>27</v>
      </c>
      <c r="AF295" t="s">
        <v>27</v>
      </c>
      <c r="AG295">
        <v>11.78</v>
      </c>
    </row>
    <row r="296" spans="1:33" x14ac:dyDescent="0.25">
      <c r="A296" t="s">
        <v>57</v>
      </c>
      <c r="B296" s="3">
        <v>43757</v>
      </c>
      <c r="C296">
        <v>2019292</v>
      </c>
      <c r="D296">
        <v>5.94</v>
      </c>
      <c r="E296" t="s">
        <v>27</v>
      </c>
      <c r="F296">
        <v>-1.4</v>
      </c>
      <c r="G296">
        <v>3</v>
      </c>
      <c r="H296">
        <v>-5.3</v>
      </c>
      <c r="I296">
        <v>88.7</v>
      </c>
      <c r="J296">
        <v>65.3</v>
      </c>
      <c r="K296">
        <v>0.2</v>
      </c>
      <c r="L296">
        <v>1.6</v>
      </c>
      <c r="M296">
        <v>0</v>
      </c>
      <c r="N296">
        <v>1.8000000000000238E-2</v>
      </c>
      <c r="O296">
        <v>0.1</v>
      </c>
      <c r="P296" t="s">
        <v>27</v>
      </c>
      <c r="Q296" t="s">
        <v>27</v>
      </c>
      <c r="R296" t="s">
        <v>27</v>
      </c>
      <c r="S296">
        <v>0.1</v>
      </c>
      <c r="T296">
        <v>1.5</v>
      </c>
      <c r="U296">
        <v>2.8</v>
      </c>
      <c r="V296" t="s">
        <v>27</v>
      </c>
      <c r="W296">
        <v>0.495</v>
      </c>
      <c r="X296">
        <v>0.26300000000000001</v>
      </c>
      <c r="Y296" t="s">
        <v>27</v>
      </c>
      <c r="Z296" t="s">
        <v>27</v>
      </c>
      <c r="AA296" t="s">
        <v>27</v>
      </c>
      <c r="AB296" t="s">
        <v>27</v>
      </c>
      <c r="AC296" t="s">
        <v>27</v>
      </c>
      <c r="AD296" t="s">
        <v>27</v>
      </c>
      <c r="AE296" t="s">
        <v>27</v>
      </c>
      <c r="AF296" t="s">
        <v>27</v>
      </c>
      <c r="AG296">
        <v>11.57</v>
      </c>
    </row>
    <row r="297" spans="1:33" x14ac:dyDescent="0.25">
      <c r="A297" t="s">
        <v>57</v>
      </c>
      <c r="B297" s="3">
        <v>43758</v>
      </c>
      <c r="C297">
        <v>2019293</v>
      </c>
      <c r="D297">
        <v>1.88</v>
      </c>
      <c r="E297" t="s">
        <v>27</v>
      </c>
      <c r="F297">
        <v>-1.2</v>
      </c>
      <c r="G297">
        <v>1.9</v>
      </c>
      <c r="H297">
        <v>-2.2999999999999998</v>
      </c>
      <c r="I297">
        <v>89.5</v>
      </c>
      <c r="J297">
        <v>63.8</v>
      </c>
      <c r="K297">
        <v>0.3</v>
      </c>
      <c r="L297">
        <v>2.1</v>
      </c>
      <c r="M297">
        <v>13.1</v>
      </c>
      <c r="N297">
        <v>0.14599999999999991</v>
      </c>
      <c r="O297">
        <v>0.1</v>
      </c>
      <c r="P297" t="s">
        <v>27</v>
      </c>
      <c r="Q297" t="s">
        <v>27</v>
      </c>
      <c r="R297" t="s">
        <v>27</v>
      </c>
      <c r="S297">
        <v>0.1</v>
      </c>
      <c r="T297">
        <v>1.5</v>
      </c>
      <c r="U297">
        <v>2.8</v>
      </c>
      <c r="V297" t="s">
        <v>27</v>
      </c>
      <c r="W297">
        <v>0.44600000000000001</v>
      </c>
      <c r="X297">
        <v>0.253</v>
      </c>
      <c r="Y297" t="s">
        <v>27</v>
      </c>
      <c r="Z297" t="s">
        <v>27</v>
      </c>
      <c r="AA297" t="s">
        <v>27</v>
      </c>
      <c r="AB297" t="s">
        <v>27</v>
      </c>
      <c r="AC297" t="s">
        <v>27</v>
      </c>
      <c r="AD297" t="s">
        <v>27</v>
      </c>
      <c r="AE297" t="s">
        <v>27</v>
      </c>
      <c r="AF297" t="s">
        <v>27</v>
      </c>
      <c r="AG297">
        <v>11.36</v>
      </c>
    </row>
    <row r="298" spans="1:33" x14ac:dyDescent="0.25">
      <c r="A298" t="s">
        <v>57</v>
      </c>
      <c r="B298" s="3">
        <v>43759</v>
      </c>
      <c r="C298">
        <v>2019294</v>
      </c>
      <c r="D298">
        <v>0.28000000000000003</v>
      </c>
      <c r="E298" t="s">
        <v>27</v>
      </c>
      <c r="F298">
        <v>-0.2</v>
      </c>
      <c r="G298">
        <v>1</v>
      </c>
      <c r="H298">
        <v>-2</v>
      </c>
      <c r="I298">
        <v>94.2</v>
      </c>
      <c r="J298">
        <v>89.9</v>
      </c>
      <c r="K298">
        <v>0.2</v>
      </c>
      <c r="L298">
        <v>1.4</v>
      </c>
      <c r="M298">
        <v>6.6</v>
      </c>
      <c r="N298">
        <v>0.19700000000000006</v>
      </c>
      <c r="O298">
        <v>0.1</v>
      </c>
      <c r="P298" t="s">
        <v>27</v>
      </c>
      <c r="Q298" t="s">
        <v>27</v>
      </c>
      <c r="R298" t="s">
        <v>27</v>
      </c>
      <c r="S298">
        <v>0.1</v>
      </c>
      <c r="T298">
        <v>1.5</v>
      </c>
      <c r="U298">
        <v>2.7</v>
      </c>
      <c r="V298" t="s">
        <v>27</v>
      </c>
      <c r="W298">
        <v>0.59</v>
      </c>
      <c r="X298">
        <v>6.6000000000000003E-2</v>
      </c>
      <c r="Y298" t="s">
        <v>27</v>
      </c>
      <c r="Z298" t="s">
        <v>27</v>
      </c>
      <c r="AA298" t="s">
        <v>27</v>
      </c>
      <c r="AB298" t="s">
        <v>27</v>
      </c>
      <c r="AC298" t="s">
        <v>27</v>
      </c>
      <c r="AD298" t="s">
        <v>27</v>
      </c>
      <c r="AE298" t="s">
        <v>27</v>
      </c>
      <c r="AF298" t="s">
        <v>27</v>
      </c>
      <c r="AG298">
        <v>11.15</v>
      </c>
    </row>
    <row r="299" spans="1:33" x14ac:dyDescent="0.25">
      <c r="A299" t="s">
        <v>57</v>
      </c>
      <c r="B299" s="3">
        <v>43760</v>
      </c>
      <c r="C299">
        <v>2019295</v>
      </c>
      <c r="D299">
        <v>6.3</v>
      </c>
      <c r="E299" t="s">
        <v>27</v>
      </c>
      <c r="F299">
        <v>1.7</v>
      </c>
      <c r="G299">
        <v>5.7</v>
      </c>
      <c r="H299">
        <v>-0.2</v>
      </c>
      <c r="I299">
        <v>86.6</v>
      </c>
      <c r="J299">
        <v>62.5</v>
      </c>
      <c r="K299">
        <v>1.1000000000000001</v>
      </c>
      <c r="L299">
        <v>4.2</v>
      </c>
      <c r="M299">
        <v>2</v>
      </c>
      <c r="N299">
        <v>0.17500000000000027</v>
      </c>
      <c r="O299">
        <v>0.2</v>
      </c>
      <c r="P299" t="s">
        <v>27</v>
      </c>
      <c r="Q299" t="s">
        <v>27</v>
      </c>
      <c r="R299" t="s">
        <v>27</v>
      </c>
      <c r="S299">
        <v>0.2</v>
      </c>
      <c r="T299">
        <v>1.5</v>
      </c>
      <c r="U299">
        <v>2.7</v>
      </c>
      <c r="V299" t="s">
        <v>27</v>
      </c>
      <c r="W299">
        <v>0.57099999999999995</v>
      </c>
      <c r="X299">
        <v>0.34300000000000003</v>
      </c>
      <c r="Y299" t="s">
        <v>27</v>
      </c>
      <c r="Z299" t="s">
        <v>27</v>
      </c>
      <c r="AA299" t="s">
        <v>27</v>
      </c>
      <c r="AB299" t="s">
        <v>27</v>
      </c>
      <c r="AC299" t="s">
        <v>27</v>
      </c>
      <c r="AD299" t="s">
        <v>27</v>
      </c>
      <c r="AE299" t="s">
        <v>27</v>
      </c>
      <c r="AF299" t="s">
        <v>27</v>
      </c>
      <c r="AG299">
        <v>10.95</v>
      </c>
    </row>
    <row r="300" spans="1:33" x14ac:dyDescent="0.25">
      <c r="A300" t="s">
        <v>57</v>
      </c>
      <c r="B300" s="3">
        <v>43761</v>
      </c>
      <c r="C300">
        <v>2019296</v>
      </c>
      <c r="D300">
        <v>7.05</v>
      </c>
      <c r="E300" t="s">
        <v>27</v>
      </c>
      <c r="F300">
        <v>-0.1</v>
      </c>
      <c r="G300">
        <v>4.9000000000000004</v>
      </c>
      <c r="H300">
        <v>-3.3</v>
      </c>
      <c r="I300">
        <v>73.3</v>
      </c>
      <c r="J300">
        <v>48</v>
      </c>
      <c r="K300">
        <v>0.7</v>
      </c>
      <c r="L300">
        <v>2.7</v>
      </c>
      <c r="M300">
        <v>0</v>
      </c>
      <c r="N300">
        <v>0.16700000000000026</v>
      </c>
      <c r="O300">
        <v>0.2</v>
      </c>
      <c r="P300" t="s">
        <v>27</v>
      </c>
      <c r="Q300" t="s">
        <v>27</v>
      </c>
      <c r="R300" t="s">
        <v>27</v>
      </c>
      <c r="S300">
        <v>0.2</v>
      </c>
      <c r="T300">
        <v>1.5</v>
      </c>
      <c r="U300">
        <v>2.7</v>
      </c>
      <c r="V300" t="s">
        <v>27</v>
      </c>
      <c r="W300">
        <v>0.41499999999999998</v>
      </c>
      <c r="X300">
        <v>0.45</v>
      </c>
      <c r="Y300" t="s">
        <v>27</v>
      </c>
      <c r="Z300" t="s">
        <v>27</v>
      </c>
      <c r="AA300" t="s">
        <v>27</v>
      </c>
      <c r="AB300" t="s">
        <v>27</v>
      </c>
      <c r="AC300" t="s">
        <v>27</v>
      </c>
      <c r="AD300" t="s">
        <v>27</v>
      </c>
      <c r="AE300" t="s">
        <v>27</v>
      </c>
      <c r="AF300" t="s">
        <v>27</v>
      </c>
      <c r="AG300">
        <v>10.75</v>
      </c>
    </row>
    <row r="301" spans="1:33" x14ac:dyDescent="0.25">
      <c r="A301" t="s">
        <v>57</v>
      </c>
      <c r="B301" s="3">
        <v>43762</v>
      </c>
      <c r="C301">
        <v>2019297</v>
      </c>
      <c r="D301">
        <v>8.2200000000000006</v>
      </c>
      <c r="E301" t="s">
        <v>27</v>
      </c>
      <c r="F301">
        <v>3.7</v>
      </c>
      <c r="G301">
        <v>11</v>
      </c>
      <c r="H301">
        <v>-1.8</v>
      </c>
      <c r="I301">
        <v>79.400000000000006</v>
      </c>
      <c r="J301">
        <v>55.4</v>
      </c>
      <c r="K301">
        <v>0.5</v>
      </c>
      <c r="L301">
        <v>2.7</v>
      </c>
      <c r="M301">
        <v>0</v>
      </c>
      <c r="N301">
        <v>0.13500000000000023</v>
      </c>
      <c r="O301">
        <v>0.3</v>
      </c>
      <c r="P301" t="s">
        <v>27</v>
      </c>
      <c r="Q301" t="s">
        <v>27</v>
      </c>
      <c r="R301" t="s">
        <v>27</v>
      </c>
      <c r="S301">
        <v>0.3</v>
      </c>
      <c r="T301">
        <v>1.5</v>
      </c>
      <c r="U301">
        <v>2.7</v>
      </c>
      <c r="V301" t="s">
        <v>27</v>
      </c>
      <c r="W301">
        <v>0.72599999999999998</v>
      </c>
      <c r="X301">
        <v>0.58399999999999996</v>
      </c>
      <c r="Y301" t="s">
        <v>27</v>
      </c>
      <c r="Z301" t="s">
        <v>27</v>
      </c>
      <c r="AA301" t="s">
        <v>27</v>
      </c>
      <c r="AB301" t="s">
        <v>27</v>
      </c>
      <c r="AC301" t="s">
        <v>27</v>
      </c>
      <c r="AD301" t="s">
        <v>27</v>
      </c>
      <c r="AE301" t="s">
        <v>27</v>
      </c>
      <c r="AF301" t="s">
        <v>27</v>
      </c>
      <c r="AG301">
        <v>10.55</v>
      </c>
    </row>
    <row r="302" spans="1:33" x14ac:dyDescent="0.25">
      <c r="A302" t="s">
        <v>57</v>
      </c>
      <c r="B302" s="3">
        <v>43763</v>
      </c>
      <c r="C302">
        <v>2019298</v>
      </c>
      <c r="D302">
        <v>2.48</v>
      </c>
      <c r="E302" t="s">
        <v>27</v>
      </c>
      <c r="F302">
        <v>2.2999999999999998</v>
      </c>
      <c r="G302">
        <v>8.9</v>
      </c>
      <c r="H302">
        <v>-2.1</v>
      </c>
      <c r="I302">
        <v>79.900000000000006</v>
      </c>
      <c r="J302">
        <v>60.3</v>
      </c>
      <c r="K302">
        <v>1.2</v>
      </c>
      <c r="L302">
        <v>4.5999999999999996</v>
      </c>
      <c r="M302">
        <v>0</v>
      </c>
      <c r="N302">
        <v>9.8000000000000309E-2</v>
      </c>
      <c r="O302">
        <v>0.3</v>
      </c>
      <c r="P302" t="s">
        <v>27</v>
      </c>
      <c r="Q302" t="s">
        <v>27</v>
      </c>
      <c r="R302" t="s">
        <v>27</v>
      </c>
      <c r="S302">
        <v>0.3</v>
      </c>
      <c r="T302">
        <v>1.5</v>
      </c>
      <c r="U302">
        <v>2.6</v>
      </c>
      <c r="V302" t="s">
        <v>27</v>
      </c>
      <c r="W302">
        <v>0.68500000000000005</v>
      </c>
      <c r="X302">
        <v>0.45100000000000001</v>
      </c>
      <c r="Y302" t="s">
        <v>27</v>
      </c>
      <c r="Z302" t="s">
        <v>27</v>
      </c>
      <c r="AA302" t="s">
        <v>27</v>
      </c>
      <c r="AB302" t="s">
        <v>27</v>
      </c>
      <c r="AC302" t="s">
        <v>27</v>
      </c>
      <c r="AD302" t="s">
        <v>27</v>
      </c>
      <c r="AE302" t="s">
        <v>27</v>
      </c>
      <c r="AF302" t="s">
        <v>27</v>
      </c>
      <c r="AG302">
        <v>10.36</v>
      </c>
    </row>
    <row r="303" spans="1:33" x14ac:dyDescent="0.25">
      <c r="A303" t="s">
        <v>57</v>
      </c>
      <c r="B303" s="3">
        <v>43764</v>
      </c>
      <c r="C303">
        <v>2019299</v>
      </c>
      <c r="D303">
        <v>7.91</v>
      </c>
      <c r="E303" t="s">
        <v>27</v>
      </c>
      <c r="F303">
        <v>-2.7</v>
      </c>
      <c r="G303">
        <v>0.9</v>
      </c>
      <c r="H303">
        <v>-6.5</v>
      </c>
      <c r="I303">
        <v>77</v>
      </c>
      <c r="J303">
        <v>60</v>
      </c>
      <c r="K303">
        <v>1.1000000000000001</v>
      </c>
      <c r="L303">
        <v>2.8</v>
      </c>
      <c r="M303">
        <v>1.4</v>
      </c>
      <c r="N303">
        <v>0.11900000000000022</v>
      </c>
      <c r="O303">
        <v>0.3</v>
      </c>
      <c r="P303" t="s">
        <v>27</v>
      </c>
      <c r="Q303" t="s">
        <v>27</v>
      </c>
      <c r="R303" t="s">
        <v>27</v>
      </c>
      <c r="S303">
        <v>0.3</v>
      </c>
      <c r="T303">
        <v>1.5</v>
      </c>
      <c r="U303">
        <v>2.5</v>
      </c>
      <c r="V303" t="s">
        <v>27</v>
      </c>
      <c r="W303">
        <v>0.39200000000000002</v>
      </c>
      <c r="X303">
        <v>0.26100000000000001</v>
      </c>
      <c r="Y303" t="s">
        <v>27</v>
      </c>
      <c r="Z303" t="s">
        <v>27</v>
      </c>
      <c r="AA303" t="s">
        <v>27</v>
      </c>
      <c r="AB303" t="s">
        <v>27</v>
      </c>
      <c r="AC303" t="s">
        <v>27</v>
      </c>
      <c r="AD303" t="s">
        <v>27</v>
      </c>
      <c r="AE303" t="s">
        <v>27</v>
      </c>
      <c r="AF303" t="s">
        <v>27</v>
      </c>
      <c r="AG303">
        <v>10.17</v>
      </c>
    </row>
    <row r="304" spans="1:33" x14ac:dyDescent="0.25">
      <c r="A304" t="s">
        <v>57</v>
      </c>
      <c r="B304" s="3">
        <v>43765</v>
      </c>
      <c r="C304">
        <v>2019300</v>
      </c>
      <c r="D304">
        <v>9.1199999999999992</v>
      </c>
      <c r="E304" t="s">
        <v>27</v>
      </c>
      <c r="F304">
        <v>-3.7</v>
      </c>
      <c r="G304">
        <v>0.9</v>
      </c>
      <c r="H304">
        <v>-8.6</v>
      </c>
      <c r="I304">
        <v>62.7</v>
      </c>
      <c r="J304">
        <v>39.700000000000003</v>
      </c>
      <c r="K304">
        <v>0.8</v>
      </c>
      <c r="L304">
        <v>3.3</v>
      </c>
      <c r="M304">
        <v>0</v>
      </c>
      <c r="N304">
        <v>0.11900000000000022</v>
      </c>
      <c r="O304">
        <v>0.2</v>
      </c>
      <c r="P304" t="s">
        <v>27</v>
      </c>
      <c r="Q304" t="s">
        <v>27</v>
      </c>
      <c r="R304" t="s">
        <v>27</v>
      </c>
      <c r="S304">
        <v>0.2</v>
      </c>
      <c r="T304">
        <v>1.4</v>
      </c>
      <c r="U304">
        <v>2.5</v>
      </c>
      <c r="V304" t="s">
        <v>27</v>
      </c>
      <c r="W304">
        <v>0.25900000000000001</v>
      </c>
      <c r="X304">
        <v>0.39300000000000002</v>
      </c>
      <c r="Y304" t="s">
        <v>27</v>
      </c>
      <c r="Z304" t="s">
        <v>27</v>
      </c>
      <c r="AA304" t="s">
        <v>27</v>
      </c>
      <c r="AB304" t="s">
        <v>27</v>
      </c>
      <c r="AC304" t="s">
        <v>27</v>
      </c>
      <c r="AD304" t="s">
        <v>27</v>
      </c>
      <c r="AE304" t="s">
        <v>27</v>
      </c>
      <c r="AF304" t="s">
        <v>27</v>
      </c>
      <c r="AG304">
        <v>9.98</v>
      </c>
    </row>
    <row r="305" spans="1:33" x14ac:dyDescent="0.25">
      <c r="A305" t="s">
        <v>57</v>
      </c>
      <c r="B305" s="3">
        <v>43766</v>
      </c>
      <c r="C305">
        <v>2019301</v>
      </c>
      <c r="D305">
        <v>3.27</v>
      </c>
      <c r="E305" t="s">
        <v>27</v>
      </c>
      <c r="F305">
        <v>-5</v>
      </c>
      <c r="G305">
        <v>-1.7</v>
      </c>
      <c r="H305">
        <v>-15</v>
      </c>
      <c r="I305">
        <v>55.6</v>
      </c>
      <c r="J305">
        <v>29.1</v>
      </c>
      <c r="K305">
        <v>1.1000000000000001</v>
      </c>
      <c r="L305">
        <v>4.2</v>
      </c>
      <c r="M305">
        <v>0</v>
      </c>
      <c r="N305">
        <v>0.12300000000000022</v>
      </c>
      <c r="O305">
        <v>0.1</v>
      </c>
      <c r="P305" t="s">
        <v>27</v>
      </c>
      <c r="Q305" t="s">
        <v>27</v>
      </c>
      <c r="R305" t="s">
        <v>27</v>
      </c>
      <c r="S305">
        <v>0.1</v>
      </c>
      <c r="T305">
        <v>1.3</v>
      </c>
      <c r="U305">
        <v>2.4</v>
      </c>
      <c r="V305" t="s">
        <v>27</v>
      </c>
      <c r="W305">
        <v>0.157</v>
      </c>
      <c r="X305">
        <v>0.38300000000000001</v>
      </c>
      <c r="Y305" t="s">
        <v>27</v>
      </c>
      <c r="Z305" t="s">
        <v>27</v>
      </c>
      <c r="AA305" t="s">
        <v>27</v>
      </c>
      <c r="AB305" t="s">
        <v>27</v>
      </c>
      <c r="AC305" t="s">
        <v>27</v>
      </c>
      <c r="AD305" t="s">
        <v>27</v>
      </c>
      <c r="AE305" t="s">
        <v>27</v>
      </c>
      <c r="AF305" t="s">
        <v>27</v>
      </c>
      <c r="AG305">
        <v>9.8000000000000007</v>
      </c>
    </row>
    <row r="306" spans="1:33" x14ac:dyDescent="0.25">
      <c r="A306" t="s">
        <v>57</v>
      </c>
      <c r="B306" s="3">
        <v>43767</v>
      </c>
      <c r="C306">
        <v>2019302</v>
      </c>
      <c r="D306">
        <v>8.9700000000000006</v>
      </c>
      <c r="E306" t="s">
        <v>27</v>
      </c>
      <c r="F306">
        <v>-10.7</v>
      </c>
      <c r="G306">
        <v>-1.7</v>
      </c>
      <c r="H306">
        <v>-19.5</v>
      </c>
      <c r="I306">
        <v>60.8</v>
      </c>
      <c r="J306">
        <v>20.5</v>
      </c>
      <c r="K306">
        <v>0.3</v>
      </c>
      <c r="L306">
        <v>1.8</v>
      </c>
      <c r="M306">
        <v>0</v>
      </c>
      <c r="N306">
        <v>0.125</v>
      </c>
      <c r="O306">
        <v>0</v>
      </c>
      <c r="P306" t="s">
        <v>27</v>
      </c>
      <c r="Q306" t="s">
        <v>27</v>
      </c>
      <c r="R306" t="s">
        <v>27</v>
      </c>
      <c r="S306">
        <v>0</v>
      </c>
      <c r="T306">
        <v>1.2</v>
      </c>
      <c r="U306">
        <v>2.2999999999999998</v>
      </c>
      <c r="V306" t="s">
        <v>27</v>
      </c>
      <c r="W306">
        <v>0.11</v>
      </c>
      <c r="X306">
        <v>0.42699999999999999</v>
      </c>
      <c r="Y306" t="s">
        <v>27</v>
      </c>
      <c r="Z306" t="s">
        <v>27</v>
      </c>
      <c r="AA306" t="s">
        <v>27</v>
      </c>
      <c r="AB306" t="s">
        <v>27</v>
      </c>
      <c r="AC306" t="s">
        <v>27</v>
      </c>
      <c r="AD306" t="s">
        <v>27</v>
      </c>
      <c r="AE306" t="s">
        <v>27</v>
      </c>
      <c r="AF306" t="s">
        <v>27</v>
      </c>
      <c r="AG306">
        <v>9.6199999999999992</v>
      </c>
    </row>
    <row r="307" spans="1:33" x14ac:dyDescent="0.25">
      <c r="A307" t="s">
        <v>57</v>
      </c>
      <c r="B307" s="3">
        <v>43768</v>
      </c>
      <c r="C307">
        <v>2019303</v>
      </c>
      <c r="D307">
        <v>7.7</v>
      </c>
      <c r="E307" t="s">
        <v>27</v>
      </c>
      <c r="F307">
        <v>-6.4</v>
      </c>
      <c r="G307">
        <v>2.5</v>
      </c>
      <c r="H307">
        <v>-14</v>
      </c>
      <c r="I307">
        <v>56.8</v>
      </c>
      <c r="J307">
        <v>25.3</v>
      </c>
      <c r="K307">
        <v>0.3</v>
      </c>
      <c r="L307">
        <v>1.5</v>
      </c>
      <c r="M307">
        <v>0</v>
      </c>
      <c r="N307">
        <v>0.125</v>
      </c>
      <c r="O307">
        <v>-0.1</v>
      </c>
      <c r="P307" t="s">
        <v>27</v>
      </c>
      <c r="Q307" t="s">
        <v>27</v>
      </c>
      <c r="R307" t="s">
        <v>27</v>
      </c>
      <c r="S307">
        <v>-0.1</v>
      </c>
      <c r="T307">
        <v>1.2</v>
      </c>
      <c r="U307">
        <v>2.2999999999999998</v>
      </c>
      <c r="V307" t="s">
        <v>27</v>
      </c>
      <c r="W307">
        <v>0.185</v>
      </c>
      <c r="X307">
        <v>0.54600000000000004</v>
      </c>
      <c r="Y307" t="s">
        <v>27</v>
      </c>
      <c r="Z307" t="s">
        <v>27</v>
      </c>
      <c r="AA307" t="s">
        <v>27</v>
      </c>
      <c r="AB307" t="s">
        <v>27</v>
      </c>
      <c r="AC307" t="s">
        <v>27</v>
      </c>
      <c r="AD307" t="s">
        <v>27</v>
      </c>
      <c r="AE307" t="s">
        <v>27</v>
      </c>
      <c r="AF307" t="s">
        <v>27</v>
      </c>
      <c r="AG307">
        <v>9.44</v>
      </c>
    </row>
    <row r="308" spans="1:33" x14ac:dyDescent="0.25">
      <c r="A308" t="s">
        <v>57</v>
      </c>
      <c r="B308" s="3">
        <v>43769</v>
      </c>
      <c r="C308">
        <v>2019304</v>
      </c>
      <c r="D308">
        <v>5.13</v>
      </c>
      <c r="E308" t="s">
        <v>27</v>
      </c>
      <c r="F308">
        <v>-3.8</v>
      </c>
      <c r="G308">
        <v>2.2999999999999998</v>
      </c>
      <c r="H308">
        <v>-9.8000000000000007</v>
      </c>
      <c r="I308">
        <v>66.8</v>
      </c>
      <c r="J308">
        <v>44</v>
      </c>
      <c r="K308">
        <v>0</v>
      </c>
      <c r="L308">
        <v>1.5</v>
      </c>
      <c r="M308">
        <v>0</v>
      </c>
      <c r="N308">
        <v>0.12199999999999989</v>
      </c>
      <c r="O308">
        <v>-0.1</v>
      </c>
      <c r="P308" t="s">
        <v>27</v>
      </c>
      <c r="Q308" t="s">
        <v>27</v>
      </c>
      <c r="R308" t="s">
        <v>27</v>
      </c>
      <c r="S308">
        <v>-0.1</v>
      </c>
      <c r="T308">
        <v>1.1000000000000001</v>
      </c>
      <c r="U308">
        <v>2.2999999999999998</v>
      </c>
      <c r="V308" t="s">
        <v>27</v>
      </c>
      <c r="W308">
        <v>0.317</v>
      </c>
      <c r="X308">
        <v>0.40300000000000002</v>
      </c>
      <c r="Y308" t="s">
        <v>27</v>
      </c>
      <c r="Z308" t="s">
        <v>27</v>
      </c>
      <c r="AA308" t="s">
        <v>27</v>
      </c>
      <c r="AB308" t="s">
        <v>27</v>
      </c>
      <c r="AC308" t="s">
        <v>27</v>
      </c>
      <c r="AD308" t="s">
        <v>27</v>
      </c>
      <c r="AE308" t="s">
        <v>27</v>
      </c>
      <c r="AF308" t="s">
        <v>27</v>
      </c>
      <c r="AG308">
        <v>9.26</v>
      </c>
    </row>
    <row r="309" spans="1:33" x14ac:dyDescent="0.25">
      <c r="A309" t="s">
        <v>57</v>
      </c>
      <c r="B309" s="3">
        <v>43770</v>
      </c>
      <c r="C309">
        <v>2019305</v>
      </c>
      <c r="D309">
        <v>8.0399999999999991</v>
      </c>
      <c r="E309" t="s">
        <v>27</v>
      </c>
      <c r="F309">
        <v>-3</v>
      </c>
      <c r="G309">
        <v>7</v>
      </c>
      <c r="H309">
        <v>-11.6</v>
      </c>
      <c r="I309">
        <v>69.599999999999994</v>
      </c>
      <c r="J309">
        <v>27.8</v>
      </c>
      <c r="K309">
        <v>0</v>
      </c>
      <c r="L309">
        <v>0.9</v>
      </c>
      <c r="M309">
        <v>0</v>
      </c>
      <c r="N309">
        <v>0.12599999999999989</v>
      </c>
      <c r="O309">
        <v>-0.2</v>
      </c>
      <c r="P309" t="s">
        <v>27</v>
      </c>
      <c r="Q309" t="s">
        <v>27</v>
      </c>
      <c r="R309" t="s">
        <v>27</v>
      </c>
      <c r="S309">
        <v>-0.2</v>
      </c>
      <c r="T309">
        <v>1.1000000000000001</v>
      </c>
      <c r="U309">
        <v>2.2000000000000002</v>
      </c>
      <c r="V309" t="s">
        <v>27</v>
      </c>
      <c r="W309">
        <v>0.27900000000000003</v>
      </c>
      <c r="X309">
        <v>0.72499999999999998</v>
      </c>
      <c r="Y309" t="s">
        <v>27</v>
      </c>
      <c r="Z309" t="s">
        <v>27</v>
      </c>
      <c r="AA309" t="s">
        <v>27</v>
      </c>
      <c r="AB309" t="s">
        <v>27</v>
      </c>
      <c r="AC309" t="s">
        <v>27</v>
      </c>
      <c r="AD309" t="s">
        <v>27</v>
      </c>
      <c r="AE309" t="s">
        <v>27</v>
      </c>
      <c r="AF309" t="s">
        <v>27</v>
      </c>
      <c r="AG309">
        <v>9.09</v>
      </c>
    </row>
    <row r="310" spans="1:33" x14ac:dyDescent="0.25">
      <c r="A310" t="s">
        <v>57</v>
      </c>
      <c r="B310" s="3">
        <v>43771</v>
      </c>
      <c r="C310">
        <v>2019306</v>
      </c>
      <c r="D310">
        <v>5.58</v>
      </c>
      <c r="E310" t="s">
        <v>27</v>
      </c>
      <c r="F310">
        <v>1.6</v>
      </c>
      <c r="G310">
        <v>8.9</v>
      </c>
      <c r="H310">
        <v>-2</v>
      </c>
      <c r="I310">
        <v>79.3</v>
      </c>
      <c r="J310">
        <v>50</v>
      </c>
      <c r="K310">
        <v>0</v>
      </c>
      <c r="L310">
        <v>0</v>
      </c>
      <c r="M310">
        <v>0.3</v>
      </c>
      <c r="N310">
        <v>0.10600000000000032</v>
      </c>
      <c r="O310">
        <v>0</v>
      </c>
      <c r="P310" t="s">
        <v>27</v>
      </c>
      <c r="Q310" t="s">
        <v>27</v>
      </c>
      <c r="R310" t="s">
        <v>27</v>
      </c>
      <c r="S310">
        <v>0</v>
      </c>
      <c r="T310">
        <v>1.1000000000000001</v>
      </c>
      <c r="U310">
        <v>2.2000000000000002</v>
      </c>
      <c r="V310" t="s">
        <v>27</v>
      </c>
      <c r="W310">
        <v>0.56799999999999995</v>
      </c>
      <c r="X310">
        <v>0.56799999999999995</v>
      </c>
      <c r="Y310" t="s">
        <v>27</v>
      </c>
      <c r="Z310" t="s">
        <v>27</v>
      </c>
      <c r="AA310" t="s">
        <v>27</v>
      </c>
      <c r="AB310" t="s">
        <v>27</v>
      </c>
      <c r="AC310" t="s">
        <v>27</v>
      </c>
      <c r="AD310" t="s">
        <v>27</v>
      </c>
      <c r="AE310" t="s">
        <v>27</v>
      </c>
      <c r="AF310" t="s">
        <v>27</v>
      </c>
      <c r="AG310">
        <v>8.92</v>
      </c>
    </row>
    <row r="311" spans="1:33" x14ac:dyDescent="0.25">
      <c r="A311" t="s">
        <v>57</v>
      </c>
      <c r="B311" s="3">
        <v>43772</v>
      </c>
      <c r="C311">
        <v>2019307</v>
      </c>
      <c r="D311">
        <v>4.9800000000000004</v>
      </c>
      <c r="E311" t="s">
        <v>27</v>
      </c>
      <c r="F311">
        <v>3</v>
      </c>
      <c r="G311">
        <v>6.1</v>
      </c>
      <c r="H311">
        <v>-0.3</v>
      </c>
      <c r="I311">
        <v>77.400000000000006</v>
      </c>
      <c r="J311">
        <v>50.4</v>
      </c>
      <c r="K311">
        <v>0.1</v>
      </c>
      <c r="L311">
        <v>1.9</v>
      </c>
      <c r="M311">
        <v>0</v>
      </c>
      <c r="N311">
        <v>0.1030000000000002</v>
      </c>
      <c r="O311">
        <v>0</v>
      </c>
      <c r="P311" t="s">
        <v>27</v>
      </c>
      <c r="Q311" t="s">
        <v>27</v>
      </c>
      <c r="R311" t="s">
        <v>27</v>
      </c>
      <c r="S311">
        <v>0</v>
      </c>
      <c r="T311">
        <v>1.1000000000000001</v>
      </c>
      <c r="U311">
        <v>2.1</v>
      </c>
      <c r="V311" t="s">
        <v>27</v>
      </c>
      <c r="W311">
        <v>0.47499999999999998</v>
      </c>
      <c r="X311">
        <v>0.46700000000000003</v>
      </c>
      <c r="Y311" t="s">
        <v>27</v>
      </c>
      <c r="Z311" t="s">
        <v>27</v>
      </c>
      <c r="AA311" t="s">
        <v>27</v>
      </c>
      <c r="AB311" t="s">
        <v>27</v>
      </c>
      <c r="AC311" t="s">
        <v>27</v>
      </c>
      <c r="AD311" t="s">
        <v>27</v>
      </c>
      <c r="AE311" t="s">
        <v>27</v>
      </c>
      <c r="AF311" t="s">
        <v>27</v>
      </c>
      <c r="AG311">
        <v>8.76</v>
      </c>
    </row>
    <row r="312" spans="1:33" x14ac:dyDescent="0.25">
      <c r="A312" t="s">
        <v>57</v>
      </c>
      <c r="B312" s="3">
        <v>43773</v>
      </c>
      <c r="C312">
        <v>2019308</v>
      </c>
      <c r="D312">
        <v>6.35</v>
      </c>
      <c r="E312" t="s">
        <v>27</v>
      </c>
      <c r="F312">
        <v>3.7</v>
      </c>
      <c r="G312">
        <v>11.2</v>
      </c>
      <c r="H312">
        <v>-3</v>
      </c>
      <c r="I312">
        <v>79.8</v>
      </c>
      <c r="J312">
        <v>48.7</v>
      </c>
      <c r="K312">
        <v>0.6</v>
      </c>
      <c r="L312">
        <v>3.1</v>
      </c>
      <c r="M312">
        <v>0</v>
      </c>
      <c r="N312">
        <v>8.4000000000000075E-2</v>
      </c>
      <c r="O312">
        <v>0.1</v>
      </c>
      <c r="P312" t="s">
        <v>27</v>
      </c>
      <c r="Q312" t="s">
        <v>27</v>
      </c>
      <c r="R312" t="s">
        <v>27</v>
      </c>
      <c r="S312">
        <v>0.1</v>
      </c>
      <c r="T312">
        <v>1.1000000000000001</v>
      </c>
      <c r="U312">
        <v>2.1</v>
      </c>
      <c r="V312" t="s">
        <v>27</v>
      </c>
      <c r="W312">
        <v>0.64900000000000002</v>
      </c>
      <c r="X312">
        <v>0.68400000000000005</v>
      </c>
      <c r="Y312" t="s">
        <v>27</v>
      </c>
      <c r="Z312" t="s">
        <v>27</v>
      </c>
      <c r="AA312" t="s">
        <v>27</v>
      </c>
      <c r="AB312" t="s">
        <v>27</v>
      </c>
      <c r="AC312" t="s">
        <v>27</v>
      </c>
      <c r="AD312" t="s">
        <v>27</v>
      </c>
      <c r="AE312" t="s">
        <v>27</v>
      </c>
      <c r="AF312" t="s">
        <v>27</v>
      </c>
      <c r="AG312">
        <v>8.59</v>
      </c>
    </row>
    <row r="313" spans="1:33" x14ac:dyDescent="0.25">
      <c r="A313" t="s">
        <v>57</v>
      </c>
      <c r="B313" s="3">
        <v>43774</v>
      </c>
      <c r="C313">
        <v>2019309</v>
      </c>
      <c r="D313">
        <v>7.68</v>
      </c>
      <c r="E313" t="s">
        <v>27</v>
      </c>
      <c r="F313">
        <v>0.9</v>
      </c>
      <c r="G313">
        <v>7.9</v>
      </c>
      <c r="H313">
        <v>-3.8</v>
      </c>
      <c r="I313">
        <v>79</v>
      </c>
      <c r="J313">
        <v>47.3</v>
      </c>
      <c r="K313">
        <v>0.5</v>
      </c>
      <c r="L313">
        <v>2.4</v>
      </c>
      <c r="M313">
        <v>0</v>
      </c>
      <c r="N313">
        <v>8.3000000000000185E-2</v>
      </c>
      <c r="O313">
        <v>0</v>
      </c>
      <c r="P313" t="s">
        <v>27</v>
      </c>
      <c r="Q313" t="s">
        <v>27</v>
      </c>
      <c r="R313" t="s">
        <v>27</v>
      </c>
      <c r="S313">
        <v>0</v>
      </c>
      <c r="T313">
        <v>1</v>
      </c>
      <c r="U313">
        <v>2</v>
      </c>
      <c r="V313" t="s">
        <v>27</v>
      </c>
      <c r="W313">
        <v>0.502</v>
      </c>
      <c r="X313">
        <v>0.55900000000000005</v>
      </c>
      <c r="Y313" t="s">
        <v>27</v>
      </c>
      <c r="Z313" t="s">
        <v>27</v>
      </c>
      <c r="AA313" t="s">
        <v>27</v>
      </c>
      <c r="AB313" t="s">
        <v>27</v>
      </c>
      <c r="AC313" t="s">
        <v>27</v>
      </c>
      <c r="AD313" t="s">
        <v>27</v>
      </c>
      <c r="AE313" t="s">
        <v>27</v>
      </c>
      <c r="AF313" t="s">
        <v>27</v>
      </c>
      <c r="AG313">
        <v>8.43</v>
      </c>
    </row>
    <row r="314" spans="1:33" x14ac:dyDescent="0.25">
      <c r="A314" t="s">
        <v>57</v>
      </c>
      <c r="B314" s="3">
        <v>43775</v>
      </c>
      <c r="C314">
        <v>2019310</v>
      </c>
      <c r="D314">
        <v>7.89</v>
      </c>
      <c r="E314" t="s">
        <v>27</v>
      </c>
      <c r="F314">
        <v>-1</v>
      </c>
      <c r="G314">
        <v>6.3</v>
      </c>
      <c r="H314">
        <v>-6</v>
      </c>
      <c r="I314">
        <v>79.900000000000006</v>
      </c>
      <c r="J314">
        <v>46.5</v>
      </c>
      <c r="K314">
        <v>0.3</v>
      </c>
      <c r="L314">
        <v>1.8</v>
      </c>
      <c r="M314">
        <v>0</v>
      </c>
      <c r="N314">
        <v>8.6000000000000298E-2</v>
      </c>
      <c r="O314">
        <v>-0.1</v>
      </c>
      <c r="P314" t="s">
        <v>27</v>
      </c>
      <c r="Q314" t="s">
        <v>27</v>
      </c>
      <c r="R314" t="s">
        <v>27</v>
      </c>
      <c r="S314">
        <v>-0.1</v>
      </c>
      <c r="T314">
        <v>1</v>
      </c>
      <c r="U314">
        <v>2</v>
      </c>
      <c r="V314" t="s">
        <v>27</v>
      </c>
      <c r="W314">
        <v>0.44500000000000001</v>
      </c>
      <c r="X314">
        <v>0.51200000000000001</v>
      </c>
      <c r="Y314" t="s">
        <v>27</v>
      </c>
      <c r="Z314" t="s">
        <v>27</v>
      </c>
      <c r="AA314" t="s">
        <v>27</v>
      </c>
      <c r="AB314" t="s">
        <v>27</v>
      </c>
      <c r="AC314" t="s">
        <v>27</v>
      </c>
      <c r="AD314" t="s">
        <v>27</v>
      </c>
      <c r="AE314" t="s">
        <v>27</v>
      </c>
      <c r="AF314" t="s">
        <v>27</v>
      </c>
      <c r="AG314">
        <v>8.2799999999999994</v>
      </c>
    </row>
    <row r="315" spans="1:33" x14ac:dyDescent="0.25">
      <c r="A315" t="s">
        <v>57</v>
      </c>
      <c r="B315" s="3">
        <v>43776</v>
      </c>
      <c r="C315">
        <v>2019311</v>
      </c>
      <c r="D315">
        <v>5.73</v>
      </c>
      <c r="E315" t="s">
        <v>27</v>
      </c>
      <c r="F315">
        <v>-1.1000000000000001</v>
      </c>
      <c r="G315">
        <v>5.8</v>
      </c>
      <c r="H315">
        <v>-6.3</v>
      </c>
      <c r="I315">
        <v>80.2</v>
      </c>
      <c r="J315">
        <v>50.1</v>
      </c>
      <c r="K315">
        <v>0.3</v>
      </c>
      <c r="L315">
        <v>1.5</v>
      </c>
      <c r="M315">
        <v>0</v>
      </c>
      <c r="N315">
        <v>8.4000000000000075E-2</v>
      </c>
      <c r="O315">
        <v>-0.3</v>
      </c>
      <c r="P315" t="s">
        <v>27</v>
      </c>
      <c r="Q315" t="s">
        <v>27</v>
      </c>
      <c r="R315" t="s">
        <v>27</v>
      </c>
      <c r="S315">
        <v>-0.3</v>
      </c>
      <c r="T315">
        <v>1</v>
      </c>
      <c r="U315">
        <v>2</v>
      </c>
      <c r="V315" t="s">
        <v>27</v>
      </c>
      <c r="W315">
        <v>0.46100000000000002</v>
      </c>
      <c r="X315">
        <v>0.45900000000000002</v>
      </c>
      <c r="Y315" t="s">
        <v>27</v>
      </c>
      <c r="Z315" t="s">
        <v>27</v>
      </c>
      <c r="AA315" t="s">
        <v>27</v>
      </c>
      <c r="AB315" t="s">
        <v>27</v>
      </c>
      <c r="AC315" t="s">
        <v>27</v>
      </c>
      <c r="AD315" t="s">
        <v>27</v>
      </c>
      <c r="AE315" t="s">
        <v>27</v>
      </c>
      <c r="AF315" t="s">
        <v>27</v>
      </c>
      <c r="AG315">
        <v>8.1199999999999992</v>
      </c>
    </row>
    <row r="316" spans="1:33" x14ac:dyDescent="0.25">
      <c r="A316" t="s">
        <v>57</v>
      </c>
      <c r="B316" s="3">
        <v>43777</v>
      </c>
      <c r="C316">
        <v>2019312</v>
      </c>
      <c r="D316">
        <v>1.45</v>
      </c>
      <c r="E316" t="s">
        <v>27</v>
      </c>
      <c r="F316">
        <v>0.1</v>
      </c>
      <c r="G316">
        <v>2.2999999999999998</v>
      </c>
      <c r="H316">
        <v>-1.6</v>
      </c>
      <c r="I316">
        <v>86.3</v>
      </c>
      <c r="J316">
        <v>72.5</v>
      </c>
      <c r="K316">
        <v>0.1</v>
      </c>
      <c r="L316">
        <v>1.3</v>
      </c>
      <c r="M316">
        <v>0</v>
      </c>
      <c r="N316">
        <v>8.3000000000000185E-2</v>
      </c>
      <c r="O316">
        <v>-0.1</v>
      </c>
      <c r="P316" t="s">
        <v>27</v>
      </c>
      <c r="Q316" t="s">
        <v>27</v>
      </c>
      <c r="R316" t="s">
        <v>27</v>
      </c>
      <c r="S316">
        <v>-0.1</v>
      </c>
      <c r="T316">
        <v>0.9</v>
      </c>
      <c r="U316">
        <v>1.9</v>
      </c>
      <c r="V316" t="s">
        <v>27</v>
      </c>
      <c r="W316">
        <v>0.52100000000000002</v>
      </c>
      <c r="X316">
        <v>0.19800000000000001</v>
      </c>
      <c r="Y316" t="s">
        <v>27</v>
      </c>
      <c r="Z316" t="s">
        <v>27</v>
      </c>
      <c r="AA316" t="s">
        <v>27</v>
      </c>
      <c r="AB316" t="s">
        <v>27</v>
      </c>
      <c r="AC316" t="s">
        <v>27</v>
      </c>
      <c r="AD316" t="s">
        <v>27</v>
      </c>
      <c r="AE316" t="s">
        <v>27</v>
      </c>
      <c r="AF316" t="s">
        <v>27</v>
      </c>
      <c r="AG316">
        <v>7.98</v>
      </c>
    </row>
    <row r="317" spans="1:33" x14ac:dyDescent="0.25">
      <c r="A317" t="s">
        <v>57</v>
      </c>
      <c r="B317" s="3">
        <v>43778</v>
      </c>
      <c r="C317">
        <v>2019313</v>
      </c>
      <c r="D317">
        <v>2.5499999999999998</v>
      </c>
      <c r="E317" t="s">
        <v>27</v>
      </c>
      <c r="F317">
        <v>3.3</v>
      </c>
      <c r="G317">
        <v>6.1</v>
      </c>
      <c r="H317">
        <v>0.1</v>
      </c>
      <c r="I317">
        <v>79.5</v>
      </c>
      <c r="J317">
        <v>62.7</v>
      </c>
      <c r="K317">
        <v>0.7</v>
      </c>
      <c r="L317">
        <v>2.5</v>
      </c>
      <c r="M317">
        <v>1</v>
      </c>
      <c r="N317">
        <v>8.0000000000000071E-2</v>
      </c>
      <c r="O317">
        <v>0</v>
      </c>
      <c r="P317" t="s">
        <v>27</v>
      </c>
      <c r="Q317" t="s">
        <v>27</v>
      </c>
      <c r="R317" t="s">
        <v>27</v>
      </c>
      <c r="S317">
        <v>0</v>
      </c>
      <c r="T317">
        <v>0.9</v>
      </c>
      <c r="U317">
        <v>1.9</v>
      </c>
      <c r="V317" t="s">
        <v>27</v>
      </c>
      <c r="W317">
        <v>0.59099999999999997</v>
      </c>
      <c r="X317">
        <v>0.35199999999999998</v>
      </c>
      <c r="Y317" t="s">
        <v>27</v>
      </c>
      <c r="Z317" t="s">
        <v>27</v>
      </c>
      <c r="AA317" t="s">
        <v>27</v>
      </c>
      <c r="AB317" t="s">
        <v>27</v>
      </c>
      <c r="AC317" t="s">
        <v>27</v>
      </c>
      <c r="AD317" t="s">
        <v>27</v>
      </c>
      <c r="AE317" t="s">
        <v>27</v>
      </c>
      <c r="AF317" t="s">
        <v>27</v>
      </c>
      <c r="AG317">
        <v>7.83</v>
      </c>
    </row>
    <row r="318" spans="1:33" x14ac:dyDescent="0.25">
      <c r="A318" t="s">
        <v>57</v>
      </c>
      <c r="B318" s="3">
        <v>43779</v>
      </c>
      <c r="C318">
        <v>2019314</v>
      </c>
      <c r="D318">
        <v>5.87</v>
      </c>
      <c r="E318" t="s">
        <v>27</v>
      </c>
      <c r="F318">
        <v>-0.4</v>
      </c>
      <c r="G318">
        <v>2.9</v>
      </c>
      <c r="H318">
        <v>-8.1999999999999993</v>
      </c>
      <c r="I318">
        <v>80.599999999999994</v>
      </c>
      <c r="J318">
        <v>59.7</v>
      </c>
      <c r="K318">
        <v>0.7</v>
      </c>
      <c r="L318">
        <v>3.8</v>
      </c>
      <c r="M318">
        <v>0</v>
      </c>
      <c r="N318">
        <v>8.0999999999999961E-2</v>
      </c>
      <c r="O318">
        <v>0</v>
      </c>
      <c r="P318" t="s">
        <v>27</v>
      </c>
      <c r="Q318" t="s">
        <v>27</v>
      </c>
      <c r="R318" t="s">
        <v>27</v>
      </c>
      <c r="S318">
        <v>0</v>
      </c>
      <c r="T318">
        <v>0.9</v>
      </c>
      <c r="U318">
        <v>1.9</v>
      </c>
      <c r="V318" t="s">
        <v>27</v>
      </c>
      <c r="W318">
        <v>0.45</v>
      </c>
      <c r="X318">
        <v>0.30399999999999999</v>
      </c>
      <c r="Y318" t="s">
        <v>27</v>
      </c>
      <c r="Z318" t="s">
        <v>27</v>
      </c>
      <c r="AA318" t="s">
        <v>27</v>
      </c>
      <c r="AB318" t="s">
        <v>27</v>
      </c>
      <c r="AC318" t="s">
        <v>27</v>
      </c>
      <c r="AD318" t="s">
        <v>27</v>
      </c>
      <c r="AE318" t="s">
        <v>27</v>
      </c>
      <c r="AF318" t="s">
        <v>27</v>
      </c>
      <c r="AG318">
        <v>7.69</v>
      </c>
    </row>
    <row r="319" spans="1:33" x14ac:dyDescent="0.25">
      <c r="A319" t="s">
        <v>57</v>
      </c>
      <c r="B319" s="3">
        <v>43780</v>
      </c>
      <c r="C319">
        <v>2019315</v>
      </c>
      <c r="D319">
        <v>4.5999999999999996</v>
      </c>
      <c r="E319" t="s">
        <v>27</v>
      </c>
      <c r="F319">
        <v>-3</v>
      </c>
      <c r="G319">
        <v>1.9</v>
      </c>
      <c r="H319">
        <v>-9</v>
      </c>
      <c r="I319">
        <v>78.2</v>
      </c>
      <c r="J319">
        <v>61.5</v>
      </c>
      <c r="K319">
        <v>0.1</v>
      </c>
      <c r="L319">
        <v>1.4</v>
      </c>
      <c r="M319">
        <v>0</v>
      </c>
      <c r="N319">
        <v>8.0000000000000071E-2</v>
      </c>
      <c r="O319">
        <v>-0.3</v>
      </c>
      <c r="P319" t="s">
        <v>27</v>
      </c>
      <c r="Q319" t="s">
        <v>27</v>
      </c>
      <c r="R319" t="s">
        <v>27</v>
      </c>
      <c r="S319">
        <v>-0.3</v>
      </c>
      <c r="T319">
        <v>0.8</v>
      </c>
      <c r="U319">
        <v>1.8</v>
      </c>
      <c r="V319" t="s">
        <v>27</v>
      </c>
      <c r="W319">
        <v>0.43099999999999999</v>
      </c>
      <c r="X319">
        <v>0.27</v>
      </c>
      <c r="Y319" t="s">
        <v>27</v>
      </c>
      <c r="Z319" t="s">
        <v>27</v>
      </c>
      <c r="AA319" t="s">
        <v>27</v>
      </c>
      <c r="AB319" t="s">
        <v>27</v>
      </c>
      <c r="AC319" t="s">
        <v>27</v>
      </c>
      <c r="AD319" t="s">
        <v>27</v>
      </c>
      <c r="AE319" t="s">
        <v>27</v>
      </c>
      <c r="AF319" t="s">
        <v>27</v>
      </c>
      <c r="AG319">
        <v>7.55</v>
      </c>
    </row>
    <row r="320" spans="1:33" x14ac:dyDescent="0.25">
      <c r="A320" t="s">
        <v>57</v>
      </c>
      <c r="B320" s="3">
        <v>43781</v>
      </c>
      <c r="C320">
        <v>2019316</v>
      </c>
      <c r="D320">
        <v>0.42</v>
      </c>
      <c r="E320" t="s">
        <v>27</v>
      </c>
      <c r="F320">
        <v>-0.4</v>
      </c>
      <c r="G320">
        <v>1.7</v>
      </c>
      <c r="H320">
        <v>-2.5</v>
      </c>
      <c r="I320">
        <v>91.6</v>
      </c>
      <c r="J320">
        <v>72.5</v>
      </c>
      <c r="K320">
        <v>0.4</v>
      </c>
      <c r="L320">
        <v>2.5</v>
      </c>
      <c r="M320">
        <v>5.5</v>
      </c>
      <c r="N320">
        <v>0.14300000000000024</v>
      </c>
      <c r="O320">
        <v>-0.1</v>
      </c>
      <c r="P320" t="s">
        <v>27</v>
      </c>
      <c r="Q320" t="s">
        <v>27</v>
      </c>
      <c r="R320" t="s">
        <v>27</v>
      </c>
      <c r="S320">
        <v>-0.1</v>
      </c>
      <c r="T320">
        <v>0.8</v>
      </c>
      <c r="U320">
        <v>1.8</v>
      </c>
      <c r="V320" t="s">
        <v>27</v>
      </c>
      <c r="W320">
        <v>0.499</v>
      </c>
      <c r="X320">
        <v>0.189</v>
      </c>
      <c r="Y320" t="s">
        <v>27</v>
      </c>
      <c r="Z320" t="s">
        <v>27</v>
      </c>
      <c r="AA320" t="s">
        <v>27</v>
      </c>
      <c r="AB320" t="s">
        <v>27</v>
      </c>
      <c r="AC320" t="s">
        <v>27</v>
      </c>
      <c r="AD320" t="s">
        <v>27</v>
      </c>
      <c r="AE320" t="s">
        <v>27</v>
      </c>
      <c r="AF320" t="s">
        <v>27</v>
      </c>
      <c r="AG320">
        <v>7.41</v>
      </c>
    </row>
    <row r="321" spans="1:33" x14ac:dyDescent="0.25">
      <c r="A321" t="s">
        <v>57</v>
      </c>
      <c r="B321" s="3">
        <v>43782</v>
      </c>
      <c r="C321">
        <v>2019317</v>
      </c>
      <c r="D321">
        <v>4.8600000000000003</v>
      </c>
      <c r="E321" t="s">
        <v>27</v>
      </c>
      <c r="F321">
        <v>-0.2</v>
      </c>
      <c r="G321">
        <v>4.0999999999999996</v>
      </c>
      <c r="H321">
        <v>-3.7</v>
      </c>
      <c r="I321">
        <v>92.4</v>
      </c>
      <c r="J321">
        <v>68.599999999999994</v>
      </c>
      <c r="K321">
        <v>0.1</v>
      </c>
      <c r="L321">
        <v>1.3</v>
      </c>
      <c r="M321">
        <v>0</v>
      </c>
      <c r="N321">
        <v>0.1419999999999999</v>
      </c>
      <c r="O321">
        <v>0</v>
      </c>
      <c r="P321" t="s">
        <v>27</v>
      </c>
      <c r="Q321" t="s">
        <v>27</v>
      </c>
      <c r="R321" t="s">
        <v>27</v>
      </c>
      <c r="S321">
        <v>0</v>
      </c>
      <c r="T321">
        <v>0.8</v>
      </c>
      <c r="U321">
        <v>1.8</v>
      </c>
      <c r="V321" t="s">
        <v>27</v>
      </c>
      <c r="W321">
        <v>0.56000000000000005</v>
      </c>
      <c r="X321">
        <v>0.25600000000000001</v>
      </c>
      <c r="Y321" t="s">
        <v>27</v>
      </c>
      <c r="Z321" t="s">
        <v>27</v>
      </c>
      <c r="AA321" t="s">
        <v>27</v>
      </c>
      <c r="AB321" t="s">
        <v>27</v>
      </c>
      <c r="AC321" t="s">
        <v>27</v>
      </c>
      <c r="AD321" t="s">
        <v>27</v>
      </c>
      <c r="AE321" t="s">
        <v>27</v>
      </c>
      <c r="AF321" t="s">
        <v>27</v>
      </c>
      <c r="AG321">
        <v>7.28</v>
      </c>
    </row>
    <row r="322" spans="1:33" x14ac:dyDescent="0.25">
      <c r="A322" t="s">
        <v>57</v>
      </c>
      <c r="B322" s="3">
        <v>43783</v>
      </c>
      <c r="C322">
        <v>2019318</v>
      </c>
      <c r="D322">
        <v>3.73</v>
      </c>
      <c r="E322" t="s">
        <v>27</v>
      </c>
      <c r="F322">
        <v>-1</v>
      </c>
      <c r="G322">
        <v>0.7</v>
      </c>
      <c r="H322">
        <v>-3.3</v>
      </c>
      <c r="I322">
        <v>93.5</v>
      </c>
      <c r="J322">
        <v>86.1</v>
      </c>
      <c r="K322">
        <v>0.4</v>
      </c>
      <c r="L322">
        <v>2</v>
      </c>
      <c r="M322">
        <v>0</v>
      </c>
      <c r="N322">
        <v>0.129</v>
      </c>
      <c r="O322">
        <v>-0.1</v>
      </c>
      <c r="P322" t="s">
        <v>27</v>
      </c>
      <c r="Q322" t="s">
        <v>27</v>
      </c>
      <c r="R322" t="s">
        <v>27</v>
      </c>
      <c r="S322">
        <v>-0.1</v>
      </c>
      <c r="T322">
        <v>0.8</v>
      </c>
      <c r="U322">
        <v>1.7</v>
      </c>
      <c r="V322" t="s">
        <v>27</v>
      </c>
      <c r="W322">
        <v>0.55100000000000005</v>
      </c>
      <c r="X322">
        <v>8.8999999999999996E-2</v>
      </c>
      <c r="Y322" t="s">
        <v>27</v>
      </c>
      <c r="Z322" t="s">
        <v>27</v>
      </c>
      <c r="AA322" t="s">
        <v>27</v>
      </c>
      <c r="AB322" t="s">
        <v>27</v>
      </c>
      <c r="AC322" t="s">
        <v>27</v>
      </c>
      <c r="AD322" t="s">
        <v>27</v>
      </c>
      <c r="AE322" t="s">
        <v>27</v>
      </c>
      <c r="AF322" t="s">
        <v>27</v>
      </c>
      <c r="AG322">
        <v>7.16</v>
      </c>
    </row>
    <row r="323" spans="1:33" x14ac:dyDescent="0.25">
      <c r="A323" t="s">
        <v>57</v>
      </c>
      <c r="B323" s="3">
        <v>43784</v>
      </c>
      <c r="C323">
        <v>2019319</v>
      </c>
      <c r="D323">
        <v>1.98</v>
      </c>
      <c r="E323" t="s">
        <v>27</v>
      </c>
      <c r="F323">
        <v>0.4</v>
      </c>
      <c r="G323">
        <v>2.2000000000000002</v>
      </c>
      <c r="H323">
        <v>-0.8</v>
      </c>
      <c r="I323">
        <v>93.5</v>
      </c>
      <c r="J323">
        <v>83.1</v>
      </c>
      <c r="K323">
        <v>0.6</v>
      </c>
      <c r="L323">
        <v>2.9</v>
      </c>
      <c r="M323">
        <v>0</v>
      </c>
      <c r="N323">
        <v>0.12300000000000022</v>
      </c>
      <c r="O323">
        <v>0</v>
      </c>
      <c r="P323" t="s">
        <v>27</v>
      </c>
      <c r="Q323" t="s">
        <v>27</v>
      </c>
      <c r="R323" t="s">
        <v>27</v>
      </c>
      <c r="S323">
        <v>0</v>
      </c>
      <c r="T323">
        <v>0.8</v>
      </c>
      <c r="U323">
        <v>1.7</v>
      </c>
      <c r="V323" t="s">
        <v>27</v>
      </c>
      <c r="W323">
        <v>0.59499999999999997</v>
      </c>
      <c r="X323">
        <v>0.121</v>
      </c>
      <c r="Y323" t="s">
        <v>27</v>
      </c>
      <c r="Z323" t="s">
        <v>27</v>
      </c>
      <c r="AA323" t="s">
        <v>27</v>
      </c>
      <c r="AB323" t="s">
        <v>27</v>
      </c>
      <c r="AC323" t="s">
        <v>27</v>
      </c>
      <c r="AD323" t="s">
        <v>27</v>
      </c>
      <c r="AE323" t="s">
        <v>27</v>
      </c>
      <c r="AF323" t="s">
        <v>27</v>
      </c>
      <c r="AG323">
        <v>7.03</v>
      </c>
    </row>
    <row r="324" spans="1:33" x14ac:dyDescent="0.25">
      <c r="A324" t="s">
        <v>57</v>
      </c>
      <c r="B324" s="3">
        <v>43785</v>
      </c>
      <c r="C324">
        <v>2019320</v>
      </c>
      <c r="D324">
        <v>0.88</v>
      </c>
      <c r="E324" t="s">
        <v>27</v>
      </c>
      <c r="F324">
        <v>-1.3</v>
      </c>
      <c r="G324">
        <v>0.9</v>
      </c>
      <c r="H324">
        <v>-3.1</v>
      </c>
      <c r="I324">
        <v>92.7</v>
      </c>
      <c r="J324">
        <v>82.5</v>
      </c>
      <c r="K324">
        <v>0.3</v>
      </c>
      <c r="L324">
        <v>2.1</v>
      </c>
      <c r="M324">
        <v>8.9</v>
      </c>
      <c r="N324">
        <v>0.21399999999999997</v>
      </c>
      <c r="O324">
        <v>0</v>
      </c>
      <c r="P324" t="s">
        <v>27</v>
      </c>
      <c r="Q324" t="s">
        <v>27</v>
      </c>
      <c r="R324" t="s">
        <v>27</v>
      </c>
      <c r="S324">
        <v>0</v>
      </c>
      <c r="T324">
        <v>0.8</v>
      </c>
      <c r="U324">
        <v>1.7</v>
      </c>
      <c r="V324" t="s">
        <v>27</v>
      </c>
      <c r="W324">
        <v>0.53600000000000003</v>
      </c>
      <c r="X324">
        <v>0.114</v>
      </c>
      <c r="Y324" t="s">
        <v>27</v>
      </c>
      <c r="Z324" t="s">
        <v>27</v>
      </c>
      <c r="AA324" t="s">
        <v>27</v>
      </c>
      <c r="AB324" t="s">
        <v>27</v>
      </c>
      <c r="AC324" t="s">
        <v>27</v>
      </c>
      <c r="AD324" t="s">
        <v>27</v>
      </c>
      <c r="AE324" t="s">
        <v>27</v>
      </c>
      <c r="AF324" t="s">
        <v>27</v>
      </c>
      <c r="AG324">
        <v>6.91</v>
      </c>
    </row>
    <row r="325" spans="1:33" x14ac:dyDescent="0.25">
      <c r="A325" t="s">
        <v>57</v>
      </c>
      <c r="B325" s="3">
        <v>43786</v>
      </c>
      <c r="C325">
        <v>2019321</v>
      </c>
      <c r="D325">
        <v>2.06</v>
      </c>
      <c r="E325" t="s">
        <v>27</v>
      </c>
      <c r="F325">
        <v>1.6</v>
      </c>
      <c r="G325">
        <v>5.4</v>
      </c>
      <c r="H325">
        <v>-1.4</v>
      </c>
      <c r="I325">
        <v>91.3</v>
      </c>
      <c r="J325">
        <v>64.400000000000006</v>
      </c>
      <c r="K325">
        <v>0.5</v>
      </c>
      <c r="L325">
        <v>2.7</v>
      </c>
      <c r="M325">
        <v>0</v>
      </c>
      <c r="N325">
        <v>0.17500000000000027</v>
      </c>
      <c r="O325">
        <v>0</v>
      </c>
      <c r="P325" t="s">
        <v>27</v>
      </c>
      <c r="Q325" t="s">
        <v>27</v>
      </c>
      <c r="R325" t="s">
        <v>27</v>
      </c>
      <c r="S325">
        <v>0</v>
      </c>
      <c r="T325">
        <v>0.8</v>
      </c>
      <c r="U325">
        <v>1.7</v>
      </c>
      <c r="V325" t="s">
        <v>27</v>
      </c>
      <c r="W325">
        <v>0.57699999999999996</v>
      </c>
      <c r="X325">
        <v>0.31900000000000001</v>
      </c>
      <c r="Y325" t="s">
        <v>27</v>
      </c>
      <c r="Z325" t="s">
        <v>27</v>
      </c>
      <c r="AA325" t="s">
        <v>27</v>
      </c>
      <c r="AB325" t="s">
        <v>27</v>
      </c>
      <c r="AC325" t="s">
        <v>27</v>
      </c>
      <c r="AD325" t="s">
        <v>27</v>
      </c>
      <c r="AE325" t="s">
        <v>27</v>
      </c>
      <c r="AF325" t="s">
        <v>27</v>
      </c>
      <c r="AG325">
        <v>6.8</v>
      </c>
    </row>
    <row r="326" spans="1:33" x14ac:dyDescent="0.25">
      <c r="A326" t="s">
        <v>57</v>
      </c>
      <c r="B326" s="3">
        <v>43787</v>
      </c>
      <c r="C326">
        <v>2019322</v>
      </c>
      <c r="D326">
        <v>2.08</v>
      </c>
      <c r="E326" t="s">
        <v>27</v>
      </c>
      <c r="F326">
        <v>0.4</v>
      </c>
      <c r="G326">
        <v>3.5</v>
      </c>
      <c r="H326">
        <v>-1.8</v>
      </c>
      <c r="I326">
        <v>83.5</v>
      </c>
      <c r="J326">
        <v>57.1</v>
      </c>
      <c r="K326">
        <v>0.3</v>
      </c>
      <c r="L326">
        <v>3.5</v>
      </c>
      <c r="M326">
        <v>4.8</v>
      </c>
      <c r="N326">
        <v>0.20500000000000007</v>
      </c>
      <c r="O326">
        <v>0</v>
      </c>
      <c r="P326" t="s">
        <v>27</v>
      </c>
      <c r="Q326" t="s">
        <v>27</v>
      </c>
      <c r="R326" t="s">
        <v>27</v>
      </c>
      <c r="S326">
        <v>0</v>
      </c>
      <c r="T326">
        <v>0.8</v>
      </c>
      <c r="U326">
        <v>1.7</v>
      </c>
      <c r="V326" t="s">
        <v>27</v>
      </c>
      <c r="W326">
        <v>0.44700000000000001</v>
      </c>
      <c r="X326">
        <v>0.33600000000000002</v>
      </c>
      <c r="Y326" t="s">
        <v>27</v>
      </c>
      <c r="Z326" t="s">
        <v>27</v>
      </c>
      <c r="AA326" t="s">
        <v>27</v>
      </c>
      <c r="AB326" t="s">
        <v>27</v>
      </c>
      <c r="AC326" t="s">
        <v>27</v>
      </c>
      <c r="AD326" t="s">
        <v>27</v>
      </c>
      <c r="AE326" t="s">
        <v>27</v>
      </c>
      <c r="AF326" t="s">
        <v>27</v>
      </c>
      <c r="AG326">
        <v>6.68</v>
      </c>
    </row>
    <row r="327" spans="1:33" x14ac:dyDescent="0.25">
      <c r="A327" t="s">
        <v>57</v>
      </c>
      <c r="B327" s="3">
        <v>43788</v>
      </c>
      <c r="C327">
        <v>2019323</v>
      </c>
      <c r="D327">
        <v>0.13</v>
      </c>
      <c r="E327" t="s">
        <v>27</v>
      </c>
      <c r="F327">
        <v>-2.2000000000000002</v>
      </c>
      <c r="G327">
        <v>0.1</v>
      </c>
      <c r="H327">
        <v>-4.5999999999999996</v>
      </c>
      <c r="I327">
        <v>92.4</v>
      </c>
      <c r="J327">
        <v>86</v>
      </c>
      <c r="K327">
        <v>0.4</v>
      </c>
      <c r="L327">
        <v>1.9</v>
      </c>
      <c r="M327">
        <v>6.3</v>
      </c>
      <c r="N327">
        <v>0.27</v>
      </c>
      <c r="O327">
        <v>-0.3</v>
      </c>
      <c r="P327" t="s">
        <v>27</v>
      </c>
      <c r="Q327" t="s">
        <v>27</v>
      </c>
      <c r="R327" t="s">
        <v>27</v>
      </c>
      <c r="S327">
        <v>0</v>
      </c>
      <c r="T327">
        <v>0.8</v>
      </c>
      <c r="U327">
        <v>1.6</v>
      </c>
      <c r="V327" t="s">
        <v>27</v>
      </c>
      <c r="W327">
        <v>0.53100000000000003</v>
      </c>
      <c r="X327">
        <v>8.5999999999999993E-2</v>
      </c>
      <c r="Y327" t="s">
        <v>27</v>
      </c>
      <c r="Z327" t="s">
        <v>27</v>
      </c>
      <c r="AA327" t="s">
        <v>27</v>
      </c>
      <c r="AB327" t="s">
        <v>27</v>
      </c>
      <c r="AC327" t="s">
        <v>27</v>
      </c>
      <c r="AD327" t="s">
        <v>27</v>
      </c>
      <c r="AE327" t="s">
        <v>27</v>
      </c>
      <c r="AF327" t="s">
        <v>27</v>
      </c>
      <c r="AG327">
        <v>6.57</v>
      </c>
    </row>
    <row r="328" spans="1:33" x14ac:dyDescent="0.25">
      <c r="A328" t="s">
        <v>57</v>
      </c>
      <c r="B328" s="3">
        <v>43789</v>
      </c>
      <c r="C328">
        <v>2019324</v>
      </c>
      <c r="D328">
        <v>2.2000000000000002</v>
      </c>
      <c r="E328" t="s">
        <v>27</v>
      </c>
      <c r="F328">
        <v>-6.1</v>
      </c>
      <c r="G328">
        <v>-1.4</v>
      </c>
      <c r="H328">
        <v>-11.8</v>
      </c>
      <c r="I328">
        <v>84.5</v>
      </c>
      <c r="J328">
        <v>65.900000000000006</v>
      </c>
      <c r="K328">
        <v>0.3</v>
      </c>
      <c r="L328">
        <v>1.8</v>
      </c>
      <c r="M328">
        <v>0</v>
      </c>
      <c r="N328">
        <v>0.25300000000000011</v>
      </c>
      <c r="O328">
        <v>-1.4</v>
      </c>
      <c r="P328" t="s">
        <v>27</v>
      </c>
      <c r="Q328" t="s">
        <v>27</v>
      </c>
      <c r="R328" t="s">
        <v>27</v>
      </c>
      <c r="S328">
        <v>0</v>
      </c>
      <c r="T328">
        <v>0.7</v>
      </c>
      <c r="U328">
        <v>1.6</v>
      </c>
      <c r="V328" t="s">
        <v>27</v>
      </c>
      <c r="W328">
        <v>0.36199999999999999</v>
      </c>
      <c r="X328">
        <v>0.187</v>
      </c>
      <c r="Y328" t="s">
        <v>27</v>
      </c>
      <c r="Z328" t="s">
        <v>27</v>
      </c>
      <c r="AA328" t="s">
        <v>27</v>
      </c>
      <c r="AB328" t="s">
        <v>27</v>
      </c>
      <c r="AC328" t="s">
        <v>27</v>
      </c>
      <c r="AD328" t="s">
        <v>27</v>
      </c>
      <c r="AE328" t="s">
        <v>27</v>
      </c>
      <c r="AF328" t="s">
        <v>27</v>
      </c>
      <c r="AG328">
        <v>6.47</v>
      </c>
    </row>
    <row r="329" spans="1:33" x14ac:dyDescent="0.25">
      <c r="A329" t="s">
        <v>57</v>
      </c>
      <c r="B329" s="3">
        <v>43790</v>
      </c>
      <c r="C329">
        <v>2019325</v>
      </c>
      <c r="D329">
        <v>4.5599999999999996</v>
      </c>
      <c r="E329" t="s">
        <v>27</v>
      </c>
      <c r="F329">
        <v>-4.8</v>
      </c>
      <c r="G329">
        <v>5.2</v>
      </c>
      <c r="H329">
        <v>-11.2</v>
      </c>
      <c r="I329">
        <v>86.5</v>
      </c>
      <c r="J329">
        <v>58.7</v>
      </c>
      <c r="K329">
        <v>0</v>
      </c>
      <c r="L329">
        <v>0.6</v>
      </c>
      <c r="M329">
        <v>0</v>
      </c>
      <c r="N329">
        <v>0.2330000000000001</v>
      </c>
      <c r="O329">
        <v>-1.9</v>
      </c>
      <c r="P329" t="s">
        <v>27</v>
      </c>
      <c r="Q329" t="s">
        <v>27</v>
      </c>
      <c r="R329" t="s">
        <v>27</v>
      </c>
      <c r="S329">
        <v>-0.1</v>
      </c>
      <c r="T329">
        <v>0.7</v>
      </c>
      <c r="U329">
        <v>1.6</v>
      </c>
      <c r="V329" t="s">
        <v>27</v>
      </c>
      <c r="W329">
        <v>0.51800000000000002</v>
      </c>
      <c r="X329">
        <v>0.36399999999999999</v>
      </c>
      <c r="Y329" t="s">
        <v>27</v>
      </c>
      <c r="Z329" t="s">
        <v>27</v>
      </c>
      <c r="AA329" t="s">
        <v>27</v>
      </c>
      <c r="AB329" t="s">
        <v>27</v>
      </c>
      <c r="AC329" t="s">
        <v>27</v>
      </c>
      <c r="AD329" t="s">
        <v>27</v>
      </c>
      <c r="AE329" t="s">
        <v>27</v>
      </c>
      <c r="AF329" t="s">
        <v>27</v>
      </c>
      <c r="AG329">
        <v>6.37</v>
      </c>
    </row>
    <row r="330" spans="1:33" x14ac:dyDescent="0.25">
      <c r="A330" t="s">
        <v>57</v>
      </c>
      <c r="B330" s="3">
        <v>43791</v>
      </c>
      <c r="C330">
        <v>2019326</v>
      </c>
      <c r="D330">
        <v>5.17</v>
      </c>
      <c r="E330" t="s">
        <v>27</v>
      </c>
      <c r="F330">
        <v>-3.8</v>
      </c>
      <c r="G330">
        <v>6.9</v>
      </c>
      <c r="H330">
        <v>-9.9</v>
      </c>
      <c r="I330">
        <v>80.5</v>
      </c>
      <c r="J330">
        <v>28.5</v>
      </c>
      <c r="K330">
        <v>0</v>
      </c>
      <c r="L330">
        <v>1.2</v>
      </c>
      <c r="M330">
        <v>0</v>
      </c>
      <c r="N330">
        <v>0.22700000000000031</v>
      </c>
      <c r="O330">
        <v>-2</v>
      </c>
      <c r="P330" t="s">
        <v>27</v>
      </c>
      <c r="Q330" t="s">
        <v>27</v>
      </c>
      <c r="R330" t="s">
        <v>27</v>
      </c>
      <c r="S330">
        <v>-0.1</v>
      </c>
      <c r="T330">
        <v>0.7</v>
      </c>
      <c r="U330">
        <v>1.6</v>
      </c>
      <c r="V330" t="s">
        <v>27</v>
      </c>
      <c r="W330">
        <v>0.28399999999999997</v>
      </c>
      <c r="X330">
        <v>0.71199999999999997</v>
      </c>
      <c r="Y330" t="s">
        <v>27</v>
      </c>
      <c r="Z330" t="s">
        <v>27</v>
      </c>
      <c r="AA330" t="s">
        <v>27</v>
      </c>
      <c r="AB330" t="s">
        <v>27</v>
      </c>
      <c r="AC330" t="s">
        <v>27</v>
      </c>
      <c r="AD330" t="s">
        <v>27</v>
      </c>
      <c r="AE330" t="s">
        <v>27</v>
      </c>
      <c r="AF330" t="s">
        <v>27</v>
      </c>
      <c r="AG330">
        <v>6.26</v>
      </c>
    </row>
    <row r="331" spans="1:33" x14ac:dyDescent="0.25">
      <c r="A331" t="s">
        <v>57</v>
      </c>
      <c r="B331" s="3">
        <v>43792</v>
      </c>
      <c r="C331">
        <v>2019327</v>
      </c>
      <c r="D331">
        <v>1.27</v>
      </c>
      <c r="E331" t="s">
        <v>27</v>
      </c>
      <c r="F331">
        <v>-0.9</v>
      </c>
      <c r="G331">
        <v>2.4</v>
      </c>
      <c r="H331">
        <v>-5.3</v>
      </c>
      <c r="I331">
        <v>84.1</v>
      </c>
      <c r="J331">
        <v>72.7</v>
      </c>
      <c r="K331">
        <v>0.3</v>
      </c>
      <c r="L331">
        <v>1.7</v>
      </c>
      <c r="M331">
        <v>0</v>
      </c>
      <c r="N331">
        <v>0.22700000000000031</v>
      </c>
      <c r="O331">
        <v>-0.6</v>
      </c>
      <c r="P331" t="s">
        <v>27</v>
      </c>
      <c r="Q331" t="s">
        <v>27</v>
      </c>
      <c r="R331" t="s">
        <v>27</v>
      </c>
      <c r="S331">
        <v>0</v>
      </c>
      <c r="T331">
        <v>0.7</v>
      </c>
      <c r="U331">
        <v>1.6</v>
      </c>
      <c r="V331" t="s">
        <v>27</v>
      </c>
      <c r="W331">
        <v>0.52800000000000002</v>
      </c>
      <c r="X331">
        <v>0.19800000000000001</v>
      </c>
      <c r="Y331" t="s">
        <v>27</v>
      </c>
      <c r="Z331" t="s">
        <v>27</v>
      </c>
      <c r="AA331" t="s">
        <v>27</v>
      </c>
      <c r="AB331" t="s">
        <v>27</v>
      </c>
      <c r="AC331" t="s">
        <v>27</v>
      </c>
      <c r="AD331" t="s">
        <v>27</v>
      </c>
      <c r="AE331" t="s">
        <v>27</v>
      </c>
      <c r="AF331" t="s">
        <v>27</v>
      </c>
      <c r="AG331">
        <v>6.17</v>
      </c>
    </row>
    <row r="332" spans="1:33" x14ac:dyDescent="0.25">
      <c r="A332" t="s">
        <v>57</v>
      </c>
      <c r="B332" s="3">
        <v>43793</v>
      </c>
      <c r="C332">
        <v>2019328</v>
      </c>
      <c r="D332">
        <v>4.88</v>
      </c>
      <c r="E332" t="s">
        <v>27</v>
      </c>
      <c r="F332">
        <v>-1.8</v>
      </c>
      <c r="G332">
        <v>0.5</v>
      </c>
      <c r="H332">
        <v>-4.4000000000000004</v>
      </c>
      <c r="I332">
        <v>78.5</v>
      </c>
      <c r="J332">
        <v>59.3</v>
      </c>
      <c r="K332">
        <v>1.3</v>
      </c>
      <c r="L332">
        <v>3.7</v>
      </c>
      <c r="M332">
        <v>0</v>
      </c>
      <c r="N332">
        <v>0.22999999999999998</v>
      </c>
      <c r="O332">
        <v>-1</v>
      </c>
      <c r="P332" t="s">
        <v>27</v>
      </c>
      <c r="Q332" t="s">
        <v>27</v>
      </c>
      <c r="R332" t="s">
        <v>27</v>
      </c>
      <c r="S332">
        <v>0</v>
      </c>
      <c r="T332">
        <v>0.7</v>
      </c>
      <c r="U332">
        <v>1.5</v>
      </c>
      <c r="V332" t="s">
        <v>27</v>
      </c>
      <c r="W332">
        <v>0.376</v>
      </c>
      <c r="X332">
        <v>0.25800000000000001</v>
      </c>
      <c r="Y332" t="s">
        <v>27</v>
      </c>
      <c r="Z332" t="s">
        <v>27</v>
      </c>
      <c r="AA332" t="s">
        <v>27</v>
      </c>
      <c r="AB332" t="s">
        <v>27</v>
      </c>
      <c r="AC332" t="s">
        <v>27</v>
      </c>
      <c r="AD332" t="s">
        <v>27</v>
      </c>
      <c r="AE332" t="s">
        <v>27</v>
      </c>
      <c r="AF332" t="s">
        <v>27</v>
      </c>
      <c r="AG332">
        <v>6.07</v>
      </c>
    </row>
    <row r="333" spans="1:33" x14ac:dyDescent="0.25">
      <c r="A333" t="s">
        <v>57</v>
      </c>
      <c r="B333" s="3">
        <v>43794</v>
      </c>
      <c r="C333">
        <v>2019329</v>
      </c>
      <c r="D333">
        <v>1.04</v>
      </c>
      <c r="E333" t="s">
        <v>27</v>
      </c>
      <c r="F333">
        <v>-6.5</v>
      </c>
      <c r="G333">
        <v>-3.9</v>
      </c>
      <c r="H333">
        <v>-14.8</v>
      </c>
      <c r="I333">
        <v>83.7</v>
      </c>
      <c r="J333">
        <v>67.099999999999994</v>
      </c>
      <c r="K333">
        <v>0.4</v>
      </c>
      <c r="L333">
        <v>1.8</v>
      </c>
      <c r="M333">
        <v>3.6</v>
      </c>
      <c r="N333">
        <v>0.23399999999999999</v>
      </c>
      <c r="O333">
        <v>-1.3</v>
      </c>
      <c r="P333" t="s">
        <v>27</v>
      </c>
      <c r="Q333" t="s">
        <v>27</v>
      </c>
      <c r="R333" t="s">
        <v>27</v>
      </c>
      <c r="S333">
        <v>-0.1</v>
      </c>
      <c r="T333">
        <v>0.7</v>
      </c>
      <c r="U333">
        <v>1.5</v>
      </c>
      <c r="V333" t="s">
        <v>27</v>
      </c>
      <c r="W333">
        <v>0.307</v>
      </c>
      <c r="X333">
        <v>0.151</v>
      </c>
      <c r="Y333" t="s">
        <v>27</v>
      </c>
      <c r="Z333" t="s">
        <v>27</v>
      </c>
      <c r="AA333" t="s">
        <v>27</v>
      </c>
      <c r="AB333" t="s">
        <v>27</v>
      </c>
      <c r="AC333" t="s">
        <v>27</v>
      </c>
      <c r="AD333" t="s">
        <v>27</v>
      </c>
      <c r="AE333" t="s">
        <v>27</v>
      </c>
      <c r="AF333" t="s">
        <v>27</v>
      </c>
      <c r="AG333">
        <v>5.99</v>
      </c>
    </row>
    <row r="334" spans="1:33" x14ac:dyDescent="0.25">
      <c r="A334" t="s">
        <v>57</v>
      </c>
      <c r="B334" s="3">
        <v>43795</v>
      </c>
      <c r="C334">
        <v>2019330</v>
      </c>
      <c r="D334">
        <v>2.4300000000000002</v>
      </c>
      <c r="E334" t="s">
        <v>27</v>
      </c>
      <c r="F334">
        <v>-12.2</v>
      </c>
      <c r="G334">
        <v>-5.3</v>
      </c>
      <c r="H334">
        <v>-18</v>
      </c>
      <c r="I334">
        <v>80.2</v>
      </c>
      <c r="J334">
        <v>56.8</v>
      </c>
      <c r="K334">
        <v>0.2</v>
      </c>
      <c r="L334">
        <v>1.7</v>
      </c>
      <c r="M334">
        <v>0</v>
      </c>
      <c r="N334">
        <v>0.24400000000000022</v>
      </c>
      <c r="O334">
        <v>-2.7</v>
      </c>
      <c r="P334" t="s">
        <v>27</v>
      </c>
      <c r="Q334" t="s">
        <v>27</v>
      </c>
      <c r="R334" t="s">
        <v>27</v>
      </c>
      <c r="S334">
        <v>-0.2</v>
      </c>
      <c r="T334">
        <v>0.6</v>
      </c>
      <c r="U334">
        <v>1.4</v>
      </c>
      <c r="V334" t="s">
        <v>27</v>
      </c>
      <c r="W334">
        <v>0.23300000000000001</v>
      </c>
      <c r="X334">
        <v>0.17699999999999999</v>
      </c>
      <c r="Y334" t="s">
        <v>27</v>
      </c>
      <c r="Z334" t="s">
        <v>27</v>
      </c>
      <c r="AA334" t="s">
        <v>27</v>
      </c>
      <c r="AB334" t="s">
        <v>27</v>
      </c>
      <c r="AC334" t="s">
        <v>27</v>
      </c>
      <c r="AD334" t="s">
        <v>27</v>
      </c>
      <c r="AE334" t="s">
        <v>27</v>
      </c>
      <c r="AF334" t="s">
        <v>27</v>
      </c>
      <c r="AG334">
        <v>5.9</v>
      </c>
    </row>
    <row r="335" spans="1:33" x14ac:dyDescent="0.25">
      <c r="A335" t="s">
        <v>57</v>
      </c>
      <c r="B335" s="3">
        <v>43796</v>
      </c>
      <c r="C335">
        <v>2019331</v>
      </c>
      <c r="D335">
        <v>3.3</v>
      </c>
      <c r="E335" t="s">
        <v>27</v>
      </c>
      <c r="F335">
        <v>-10.7</v>
      </c>
      <c r="G335">
        <v>-7.8</v>
      </c>
      <c r="H335">
        <v>-14.7</v>
      </c>
      <c r="I335">
        <v>72.5</v>
      </c>
      <c r="J335">
        <v>55.6</v>
      </c>
      <c r="K335">
        <v>1</v>
      </c>
      <c r="L335">
        <v>2.7</v>
      </c>
      <c r="M335">
        <v>0</v>
      </c>
      <c r="N335">
        <v>0.25300000000000011</v>
      </c>
      <c r="O335">
        <v>-2.5</v>
      </c>
      <c r="P335" t="s">
        <v>27</v>
      </c>
      <c r="Q335" t="s">
        <v>27</v>
      </c>
      <c r="R335" t="s">
        <v>27</v>
      </c>
      <c r="S335">
        <v>-0.2</v>
      </c>
      <c r="T335">
        <v>0.6</v>
      </c>
      <c r="U335">
        <v>1.4</v>
      </c>
      <c r="V335" t="s">
        <v>27</v>
      </c>
      <c r="W335">
        <v>0.188</v>
      </c>
      <c r="X335">
        <v>0.15</v>
      </c>
      <c r="Y335" t="s">
        <v>27</v>
      </c>
      <c r="Z335" t="s">
        <v>27</v>
      </c>
      <c r="AA335" t="s">
        <v>27</v>
      </c>
      <c r="AB335" t="s">
        <v>27</v>
      </c>
      <c r="AC335" t="s">
        <v>27</v>
      </c>
      <c r="AD335" t="s">
        <v>27</v>
      </c>
      <c r="AE335" t="s">
        <v>27</v>
      </c>
      <c r="AF335" t="s">
        <v>27</v>
      </c>
      <c r="AG335">
        <v>5.82</v>
      </c>
    </row>
    <row r="336" spans="1:33" x14ac:dyDescent="0.25">
      <c r="A336" t="s">
        <v>57</v>
      </c>
      <c r="B336" s="3">
        <v>43797</v>
      </c>
      <c r="C336">
        <v>2019332</v>
      </c>
      <c r="D336">
        <v>4.51</v>
      </c>
      <c r="E336" t="s">
        <v>27</v>
      </c>
      <c r="F336">
        <v>-14</v>
      </c>
      <c r="G336">
        <v>-7.9</v>
      </c>
      <c r="H336">
        <v>-19.3</v>
      </c>
      <c r="I336">
        <v>74.900000000000006</v>
      </c>
      <c r="J336">
        <v>55.4</v>
      </c>
      <c r="K336">
        <v>0.5</v>
      </c>
      <c r="L336">
        <v>1.7</v>
      </c>
      <c r="M336">
        <v>0</v>
      </c>
      <c r="N336">
        <v>0.26100000000000012</v>
      </c>
      <c r="O336">
        <v>-3.3</v>
      </c>
      <c r="P336" t="s">
        <v>27</v>
      </c>
      <c r="Q336" t="s">
        <v>27</v>
      </c>
      <c r="R336" t="s">
        <v>27</v>
      </c>
      <c r="S336">
        <v>-0.4</v>
      </c>
      <c r="T336">
        <v>0.5</v>
      </c>
      <c r="U336">
        <v>1.4</v>
      </c>
      <c r="V336" t="s">
        <v>27</v>
      </c>
      <c r="W336">
        <v>0.187</v>
      </c>
      <c r="X336">
        <v>0.151</v>
      </c>
      <c r="Y336" t="s">
        <v>27</v>
      </c>
      <c r="Z336" t="s">
        <v>27</v>
      </c>
      <c r="AA336" t="s">
        <v>27</v>
      </c>
      <c r="AB336" t="s">
        <v>27</v>
      </c>
      <c r="AC336" t="s">
        <v>27</v>
      </c>
      <c r="AD336" t="s">
        <v>27</v>
      </c>
      <c r="AE336" t="s">
        <v>27</v>
      </c>
      <c r="AF336" t="s">
        <v>27</v>
      </c>
      <c r="AG336">
        <v>5.74</v>
      </c>
    </row>
    <row r="337" spans="1:33" x14ac:dyDescent="0.25">
      <c r="A337" t="s">
        <v>57</v>
      </c>
      <c r="B337" s="3">
        <v>43798</v>
      </c>
      <c r="C337">
        <v>2019333</v>
      </c>
      <c r="D337">
        <v>4.3899999999999997</v>
      </c>
      <c r="E337" t="s">
        <v>27</v>
      </c>
      <c r="F337">
        <v>-12.8</v>
      </c>
      <c r="G337">
        <v>-7.3</v>
      </c>
      <c r="H337">
        <v>-19.600000000000001</v>
      </c>
      <c r="I337">
        <v>70.3</v>
      </c>
      <c r="J337">
        <v>53.8</v>
      </c>
      <c r="K337">
        <v>0.8</v>
      </c>
      <c r="L337">
        <v>2.2999999999999998</v>
      </c>
      <c r="M337">
        <v>0</v>
      </c>
      <c r="N337">
        <v>0.25700000000000012</v>
      </c>
      <c r="O337">
        <v>-3.8</v>
      </c>
      <c r="P337" t="s">
        <v>27</v>
      </c>
      <c r="Q337" t="s">
        <v>27</v>
      </c>
      <c r="R337" t="s">
        <v>27</v>
      </c>
      <c r="S337">
        <v>-0.5</v>
      </c>
      <c r="T337">
        <v>0.5</v>
      </c>
      <c r="U337">
        <v>1.4</v>
      </c>
      <c r="V337" t="s">
        <v>27</v>
      </c>
      <c r="W337">
        <v>0.189</v>
      </c>
      <c r="X337">
        <v>0.16200000000000001</v>
      </c>
      <c r="Y337" t="s">
        <v>27</v>
      </c>
      <c r="Z337" t="s">
        <v>27</v>
      </c>
      <c r="AA337" t="s">
        <v>27</v>
      </c>
      <c r="AB337" t="s">
        <v>27</v>
      </c>
      <c r="AC337" t="s">
        <v>27</v>
      </c>
      <c r="AD337" t="s">
        <v>27</v>
      </c>
      <c r="AE337" t="s">
        <v>27</v>
      </c>
      <c r="AF337" t="s">
        <v>27</v>
      </c>
      <c r="AG337">
        <v>5.67</v>
      </c>
    </row>
    <row r="338" spans="1:33" x14ac:dyDescent="0.25">
      <c r="A338" t="s">
        <v>57</v>
      </c>
      <c r="B338" s="3">
        <v>43799</v>
      </c>
      <c r="C338">
        <v>2019334</v>
      </c>
      <c r="D338">
        <v>4.5599999999999996</v>
      </c>
      <c r="E338" t="s">
        <v>27</v>
      </c>
      <c r="F338">
        <v>-10.1</v>
      </c>
      <c r="G338">
        <v>-3</v>
      </c>
      <c r="H338">
        <v>-16.100000000000001</v>
      </c>
      <c r="I338">
        <v>73.900000000000006</v>
      </c>
      <c r="J338">
        <v>47.1</v>
      </c>
      <c r="K338">
        <v>0.2</v>
      </c>
      <c r="L338">
        <v>1.7</v>
      </c>
      <c r="M338">
        <v>0</v>
      </c>
      <c r="N338">
        <v>0.25800000000000001</v>
      </c>
      <c r="O338">
        <v>-3.1</v>
      </c>
      <c r="P338" t="s">
        <v>27</v>
      </c>
      <c r="Q338" t="s">
        <v>27</v>
      </c>
      <c r="R338" t="s">
        <v>27</v>
      </c>
      <c r="S338">
        <v>-0.6</v>
      </c>
      <c r="T338">
        <v>0.4</v>
      </c>
      <c r="U338">
        <v>1.3</v>
      </c>
      <c r="V338" t="s">
        <v>27</v>
      </c>
      <c r="W338">
        <v>0.23</v>
      </c>
      <c r="X338">
        <v>0.25800000000000001</v>
      </c>
      <c r="Y338" t="s">
        <v>27</v>
      </c>
      <c r="Z338" t="s">
        <v>27</v>
      </c>
      <c r="AA338" t="s">
        <v>27</v>
      </c>
      <c r="AB338" t="s">
        <v>27</v>
      </c>
      <c r="AC338" t="s">
        <v>27</v>
      </c>
      <c r="AD338" t="s">
        <v>27</v>
      </c>
      <c r="AE338" t="s">
        <v>27</v>
      </c>
      <c r="AF338" t="s">
        <v>27</v>
      </c>
      <c r="AG338">
        <v>5.6</v>
      </c>
    </row>
    <row r="339" spans="1:33" x14ac:dyDescent="0.25">
      <c r="A339" t="s">
        <v>57</v>
      </c>
      <c r="B339" s="3">
        <v>43800</v>
      </c>
      <c r="C339">
        <v>2019335</v>
      </c>
      <c r="D339">
        <v>1.05</v>
      </c>
      <c r="E339" t="s">
        <v>27</v>
      </c>
      <c r="F339">
        <v>-9.1999999999999993</v>
      </c>
      <c r="G339">
        <v>-7.2</v>
      </c>
      <c r="H339">
        <v>-14.1</v>
      </c>
      <c r="I339">
        <v>86.1</v>
      </c>
      <c r="J339">
        <v>74</v>
      </c>
      <c r="K339">
        <v>0.6</v>
      </c>
      <c r="L339">
        <v>1.9</v>
      </c>
      <c r="M339">
        <v>0.9</v>
      </c>
      <c r="N339">
        <v>0.27</v>
      </c>
      <c r="O339">
        <v>-2.7</v>
      </c>
      <c r="P339" t="s">
        <v>27</v>
      </c>
      <c r="Q339" t="s">
        <v>27</v>
      </c>
      <c r="R339" t="s">
        <v>27</v>
      </c>
      <c r="S339">
        <v>-0.6</v>
      </c>
      <c r="T339">
        <v>0.4</v>
      </c>
      <c r="U339">
        <v>1.3</v>
      </c>
      <c r="V339" t="s">
        <v>27</v>
      </c>
      <c r="W339">
        <v>0.26300000000000001</v>
      </c>
      <c r="X339">
        <v>9.1999999999999998E-2</v>
      </c>
      <c r="Y339" t="s">
        <v>27</v>
      </c>
      <c r="Z339" t="s">
        <v>27</v>
      </c>
      <c r="AA339" t="s">
        <v>27</v>
      </c>
      <c r="AB339" t="s">
        <v>27</v>
      </c>
      <c r="AC339" t="s">
        <v>27</v>
      </c>
      <c r="AD339" t="s">
        <v>27</v>
      </c>
      <c r="AE339" t="s">
        <v>27</v>
      </c>
      <c r="AF339" t="s">
        <v>27</v>
      </c>
      <c r="AG339">
        <v>5.53</v>
      </c>
    </row>
    <row r="340" spans="1:33" x14ac:dyDescent="0.25">
      <c r="A340" t="s">
        <v>57</v>
      </c>
      <c r="B340" s="3">
        <v>43801</v>
      </c>
      <c r="C340">
        <v>2019336</v>
      </c>
      <c r="D340">
        <v>0.69</v>
      </c>
      <c r="E340" t="s">
        <v>27</v>
      </c>
      <c r="F340">
        <v>-3.4</v>
      </c>
      <c r="G340">
        <v>-0.5</v>
      </c>
      <c r="H340">
        <v>-7.7</v>
      </c>
      <c r="I340">
        <v>90.1</v>
      </c>
      <c r="J340">
        <v>82.4</v>
      </c>
      <c r="K340">
        <v>0.1</v>
      </c>
      <c r="L340">
        <v>1.4</v>
      </c>
      <c r="M340">
        <v>0</v>
      </c>
      <c r="N340">
        <v>0.26900000000000013</v>
      </c>
      <c r="O340">
        <v>-1.1000000000000001</v>
      </c>
      <c r="P340" t="s">
        <v>27</v>
      </c>
      <c r="Q340" t="s">
        <v>27</v>
      </c>
      <c r="R340" t="s">
        <v>27</v>
      </c>
      <c r="S340">
        <v>-0.4</v>
      </c>
      <c r="T340">
        <v>0.4</v>
      </c>
      <c r="U340">
        <v>1.3</v>
      </c>
      <c r="V340" t="s">
        <v>27</v>
      </c>
      <c r="W340">
        <v>0.48399999999999999</v>
      </c>
      <c r="X340">
        <v>0.10299999999999999</v>
      </c>
      <c r="Y340" t="s">
        <v>27</v>
      </c>
      <c r="Z340" t="s">
        <v>27</v>
      </c>
      <c r="AA340" t="s">
        <v>27</v>
      </c>
      <c r="AB340" t="s">
        <v>27</v>
      </c>
      <c r="AC340" t="s">
        <v>27</v>
      </c>
      <c r="AD340" t="s">
        <v>27</v>
      </c>
      <c r="AE340" t="s">
        <v>27</v>
      </c>
      <c r="AF340" t="s">
        <v>27</v>
      </c>
      <c r="AG340">
        <v>5.47</v>
      </c>
    </row>
    <row r="341" spans="1:33" x14ac:dyDescent="0.25">
      <c r="A341" t="s">
        <v>57</v>
      </c>
      <c r="B341" s="3">
        <v>43802</v>
      </c>
      <c r="C341">
        <v>2019337</v>
      </c>
      <c r="D341">
        <v>2.69</v>
      </c>
      <c r="E341" t="s">
        <v>27</v>
      </c>
      <c r="F341">
        <v>0.5</v>
      </c>
      <c r="G341">
        <v>4.5</v>
      </c>
      <c r="H341">
        <v>-2.2000000000000002</v>
      </c>
      <c r="I341">
        <v>84.7</v>
      </c>
      <c r="J341">
        <v>67.900000000000006</v>
      </c>
      <c r="K341">
        <v>0.4</v>
      </c>
      <c r="L341">
        <v>2.2000000000000002</v>
      </c>
      <c r="M341">
        <v>0</v>
      </c>
      <c r="N341">
        <v>0.26600000000000001</v>
      </c>
      <c r="O341">
        <v>-0.4</v>
      </c>
      <c r="P341" t="s">
        <v>27</v>
      </c>
      <c r="Q341" t="s">
        <v>27</v>
      </c>
      <c r="R341" t="s">
        <v>27</v>
      </c>
      <c r="S341">
        <v>-0.2</v>
      </c>
      <c r="T341">
        <v>0.4</v>
      </c>
      <c r="U341">
        <v>1.3</v>
      </c>
      <c r="V341" t="s">
        <v>27</v>
      </c>
      <c r="W341">
        <v>0.57099999999999995</v>
      </c>
      <c r="X341">
        <v>0.27</v>
      </c>
      <c r="Y341" t="s">
        <v>27</v>
      </c>
      <c r="Z341" t="s">
        <v>27</v>
      </c>
      <c r="AA341" t="s">
        <v>27</v>
      </c>
      <c r="AB341" t="s">
        <v>27</v>
      </c>
      <c r="AC341" t="s">
        <v>27</v>
      </c>
      <c r="AD341" t="s">
        <v>27</v>
      </c>
      <c r="AE341" t="s">
        <v>27</v>
      </c>
      <c r="AF341" t="s">
        <v>27</v>
      </c>
      <c r="AG341">
        <v>5.41</v>
      </c>
    </row>
    <row r="342" spans="1:33" x14ac:dyDescent="0.25">
      <c r="A342" t="s">
        <v>57</v>
      </c>
      <c r="B342" s="3">
        <v>43803</v>
      </c>
      <c r="C342">
        <v>2019338</v>
      </c>
      <c r="D342">
        <v>1.51</v>
      </c>
      <c r="E342" t="s">
        <v>27</v>
      </c>
      <c r="F342">
        <v>-2.2000000000000002</v>
      </c>
      <c r="G342">
        <v>2.5</v>
      </c>
      <c r="H342">
        <v>-9.6</v>
      </c>
      <c r="I342">
        <v>90</v>
      </c>
      <c r="J342">
        <v>79.8</v>
      </c>
      <c r="K342">
        <v>0.3</v>
      </c>
      <c r="L342">
        <v>2</v>
      </c>
      <c r="M342">
        <v>0</v>
      </c>
      <c r="N342">
        <v>0.27200000000000024</v>
      </c>
      <c r="O342">
        <v>-0.5</v>
      </c>
      <c r="P342" t="s">
        <v>27</v>
      </c>
      <c r="Q342" t="s">
        <v>27</v>
      </c>
      <c r="R342" t="s">
        <v>27</v>
      </c>
      <c r="S342">
        <v>-0.1</v>
      </c>
      <c r="T342">
        <v>0.4</v>
      </c>
      <c r="U342">
        <v>1.2</v>
      </c>
      <c r="V342" t="s">
        <v>27</v>
      </c>
      <c r="W342">
        <v>0.58399999999999996</v>
      </c>
      <c r="X342">
        <v>0.14799999999999999</v>
      </c>
      <c r="Y342" t="s">
        <v>27</v>
      </c>
      <c r="Z342" t="s">
        <v>27</v>
      </c>
      <c r="AA342" t="s">
        <v>27</v>
      </c>
      <c r="AB342" t="s">
        <v>27</v>
      </c>
      <c r="AC342" t="s">
        <v>27</v>
      </c>
      <c r="AD342" t="s">
        <v>27</v>
      </c>
      <c r="AE342" t="s">
        <v>27</v>
      </c>
      <c r="AF342" t="s">
        <v>27</v>
      </c>
      <c r="AG342">
        <v>5.35</v>
      </c>
    </row>
    <row r="343" spans="1:33" x14ac:dyDescent="0.25">
      <c r="A343" t="s">
        <v>57</v>
      </c>
      <c r="B343" s="3">
        <v>43804</v>
      </c>
      <c r="C343">
        <v>2019339</v>
      </c>
      <c r="D343">
        <v>2.38</v>
      </c>
      <c r="E343" t="s">
        <v>27</v>
      </c>
      <c r="F343">
        <v>-5.5</v>
      </c>
      <c r="G343">
        <v>0.1</v>
      </c>
      <c r="H343">
        <v>-12.5</v>
      </c>
      <c r="I343">
        <v>86.8</v>
      </c>
      <c r="J343">
        <v>67.599999999999994</v>
      </c>
      <c r="K343">
        <v>0.1</v>
      </c>
      <c r="L343">
        <v>1.4</v>
      </c>
      <c r="M343">
        <v>0</v>
      </c>
      <c r="N343">
        <v>0.27499999999999991</v>
      </c>
      <c r="O343">
        <v>-1.7</v>
      </c>
      <c r="P343" t="s">
        <v>27</v>
      </c>
      <c r="Q343" t="s">
        <v>27</v>
      </c>
      <c r="R343" t="s">
        <v>27</v>
      </c>
      <c r="S343">
        <v>-0.3</v>
      </c>
      <c r="T343">
        <v>0.4</v>
      </c>
      <c r="U343">
        <v>1.2</v>
      </c>
      <c r="V343" t="s">
        <v>27</v>
      </c>
      <c r="W343">
        <v>0.41499999999999998</v>
      </c>
      <c r="X343">
        <v>0.19900000000000001</v>
      </c>
      <c r="Y343" t="s">
        <v>27</v>
      </c>
      <c r="Z343" t="s">
        <v>27</v>
      </c>
      <c r="AA343" t="s">
        <v>27</v>
      </c>
      <c r="AB343" t="s">
        <v>27</v>
      </c>
      <c r="AC343" t="s">
        <v>27</v>
      </c>
      <c r="AD343" t="s">
        <v>27</v>
      </c>
      <c r="AE343" t="s">
        <v>27</v>
      </c>
      <c r="AF343" t="s">
        <v>27</v>
      </c>
      <c r="AG343">
        <v>5.3</v>
      </c>
    </row>
    <row r="344" spans="1:33" x14ac:dyDescent="0.25">
      <c r="A344" t="s">
        <v>57</v>
      </c>
      <c r="B344" s="3">
        <v>43805</v>
      </c>
      <c r="C344">
        <v>2019340</v>
      </c>
      <c r="D344">
        <v>1.29</v>
      </c>
      <c r="E344" t="s">
        <v>27</v>
      </c>
      <c r="F344">
        <v>-1.7</v>
      </c>
      <c r="G344">
        <v>-0.3</v>
      </c>
      <c r="H344">
        <v>-2.9</v>
      </c>
      <c r="I344">
        <v>95.4</v>
      </c>
      <c r="J344">
        <v>94.4</v>
      </c>
      <c r="K344">
        <v>0.3</v>
      </c>
      <c r="L344">
        <v>1.6</v>
      </c>
      <c r="M344">
        <v>0</v>
      </c>
      <c r="N344">
        <v>0.27200000000000024</v>
      </c>
      <c r="O344">
        <v>-0.6</v>
      </c>
      <c r="P344" t="s">
        <v>27</v>
      </c>
      <c r="Q344" t="s">
        <v>27</v>
      </c>
      <c r="R344" t="s">
        <v>27</v>
      </c>
      <c r="S344">
        <v>-0.2</v>
      </c>
      <c r="T344">
        <v>0.4</v>
      </c>
      <c r="U344">
        <v>1.2</v>
      </c>
      <c r="V344" t="s">
        <v>27</v>
      </c>
      <c r="W344">
        <v>0.56599999999999995</v>
      </c>
      <c r="X344">
        <v>3.4000000000000002E-2</v>
      </c>
      <c r="Y344" t="s">
        <v>27</v>
      </c>
      <c r="Z344" t="s">
        <v>27</v>
      </c>
      <c r="AA344" t="s">
        <v>27</v>
      </c>
      <c r="AB344" t="s">
        <v>27</v>
      </c>
      <c r="AC344" t="s">
        <v>27</v>
      </c>
      <c r="AD344" t="s">
        <v>27</v>
      </c>
      <c r="AE344" t="s">
        <v>27</v>
      </c>
      <c r="AF344" t="s">
        <v>27</v>
      </c>
      <c r="AG344">
        <v>5.24</v>
      </c>
    </row>
    <row r="345" spans="1:33" x14ac:dyDescent="0.25">
      <c r="A345" t="s">
        <v>57</v>
      </c>
      <c r="B345" s="3">
        <v>43806</v>
      </c>
      <c r="C345">
        <v>2019341</v>
      </c>
      <c r="D345">
        <v>1</v>
      </c>
      <c r="E345" t="s">
        <v>27</v>
      </c>
      <c r="F345">
        <v>-0.9</v>
      </c>
      <c r="G345">
        <v>0.4</v>
      </c>
      <c r="H345">
        <v>-1.9</v>
      </c>
      <c r="I345">
        <v>95.6</v>
      </c>
      <c r="J345">
        <v>93.5</v>
      </c>
      <c r="K345">
        <v>0.1</v>
      </c>
      <c r="L345">
        <v>1.5</v>
      </c>
      <c r="M345">
        <v>14.2</v>
      </c>
      <c r="N345">
        <v>0.41599999999999993</v>
      </c>
      <c r="O345">
        <v>-0.3</v>
      </c>
      <c r="P345" t="s">
        <v>27</v>
      </c>
      <c r="Q345" t="s">
        <v>27</v>
      </c>
      <c r="R345" t="s">
        <v>27</v>
      </c>
      <c r="S345">
        <v>-0.1</v>
      </c>
      <c r="T345">
        <v>0.4</v>
      </c>
      <c r="U345">
        <v>1.2</v>
      </c>
      <c r="V345" t="s">
        <v>27</v>
      </c>
      <c r="W345">
        <v>0.58599999999999997</v>
      </c>
      <c r="X345">
        <v>4.1000000000000002E-2</v>
      </c>
      <c r="Y345" t="s">
        <v>27</v>
      </c>
      <c r="Z345" t="s">
        <v>27</v>
      </c>
      <c r="AA345" t="s">
        <v>27</v>
      </c>
      <c r="AB345" t="s">
        <v>27</v>
      </c>
      <c r="AC345" t="s">
        <v>27</v>
      </c>
      <c r="AD345" t="s">
        <v>27</v>
      </c>
      <c r="AE345" t="s">
        <v>27</v>
      </c>
      <c r="AF345" t="s">
        <v>27</v>
      </c>
      <c r="AG345">
        <v>5.2</v>
      </c>
    </row>
    <row r="346" spans="1:33" x14ac:dyDescent="0.25">
      <c r="A346" t="s">
        <v>57</v>
      </c>
      <c r="B346" s="3">
        <v>43807</v>
      </c>
      <c r="C346">
        <v>2019342</v>
      </c>
      <c r="D346">
        <v>1.24</v>
      </c>
      <c r="E346" t="s">
        <v>27</v>
      </c>
      <c r="F346">
        <v>-7.3</v>
      </c>
      <c r="G346">
        <v>-1.9</v>
      </c>
      <c r="H346">
        <v>-11.5</v>
      </c>
      <c r="I346">
        <v>83.3</v>
      </c>
      <c r="J346">
        <v>67.400000000000006</v>
      </c>
      <c r="K346">
        <v>0.3</v>
      </c>
      <c r="L346">
        <v>1.9</v>
      </c>
      <c r="M346">
        <v>0</v>
      </c>
      <c r="N346">
        <v>0.3919999999999999</v>
      </c>
      <c r="O346">
        <v>-0.6</v>
      </c>
      <c r="P346" t="s">
        <v>27</v>
      </c>
      <c r="Q346" t="s">
        <v>27</v>
      </c>
      <c r="R346" t="s">
        <v>27</v>
      </c>
      <c r="S346">
        <v>-0.1</v>
      </c>
      <c r="T346">
        <v>0.3</v>
      </c>
      <c r="U346">
        <v>1.1000000000000001</v>
      </c>
      <c r="V346" t="s">
        <v>27</v>
      </c>
      <c r="W346">
        <v>0.35799999999999998</v>
      </c>
      <c r="X346">
        <v>0.17299999999999999</v>
      </c>
      <c r="Y346" t="s">
        <v>27</v>
      </c>
      <c r="Z346" t="s">
        <v>27</v>
      </c>
      <c r="AA346" t="s">
        <v>27</v>
      </c>
      <c r="AB346" t="s">
        <v>27</v>
      </c>
      <c r="AC346" t="s">
        <v>27</v>
      </c>
      <c r="AD346" t="s">
        <v>27</v>
      </c>
      <c r="AE346" t="s">
        <v>27</v>
      </c>
      <c r="AF346" t="s">
        <v>27</v>
      </c>
      <c r="AG346">
        <v>5.15</v>
      </c>
    </row>
    <row r="347" spans="1:33" x14ac:dyDescent="0.25">
      <c r="A347" t="s">
        <v>57</v>
      </c>
      <c r="B347" s="3">
        <v>43808</v>
      </c>
      <c r="C347">
        <v>2019343</v>
      </c>
      <c r="D347">
        <v>1.01</v>
      </c>
      <c r="E347" t="s">
        <v>27</v>
      </c>
      <c r="F347">
        <v>-7</v>
      </c>
      <c r="G347">
        <v>1.9</v>
      </c>
      <c r="H347">
        <v>-12.3</v>
      </c>
      <c r="I347">
        <v>84.7</v>
      </c>
      <c r="J347">
        <v>56.4</v>
      </c>
      <c r="K347">
        <v>0.1</v>
      </c>
      <c r="L347">
        <v>1.3</v>
      </c>
      <c r="M347">
        <v>0</v>
      </c>
      <c r="N347">
        <v>0.37000000000000011</v>
      </c>
      <c r="O347">
        <v>-1.2</v>
      </c>
      <c r="P347" t="s">
        <v>27</v>
      </c>
      <c r="Q347" t="s">
        <v>27</v>
      </c>
      <c r="R347" t="s">
        <v>27</v>
      </c>
      <c r="S347">
        <v>-0.2</v>
      </c>
      <c r="T347">
        <v>0.4</v>
      </c>
      <c r="U347">
        <v>1.1000000000000001</v>
      </c>
      <c r="V347" t="s">
        <v>27</v>
      </c>
      <c r="W347">
        <v>0.39400000000000002</v>
      </c>
      <c r="X347">
        <v>0.30499999999999999</v>
      </c>
      <c r="Y347" t="s">
        <v>27</v>
      </c>
      <c r="Z347" t="s">
        <v>27</v>
      </c>
      <c r="AA347" t="s">
        <v>27</v>
      </c>
      <c r="AB347" t="s">
        <v>27</v>
      </c>
      <c r="AC347" t="s">
        <v>27</v>
      </c>
      <c r="AD347" t="s">
        <v>27</v>
      </c>
      <c r="AE347" t="s">
        <v>27</v>
      </c>
      <c r="AF347" t="s">
        <v>27</v>
      </c>
      <c r="AG347">
        <v>5.1100000000000003</v>
      </c>
    </row>
    <row r="348" spans="1:33" x14ac:dyDescent="0.25">
      <c r="A348" t="s">
        <v>57</v>
      </c>
      <c r="B348" s="3">
        <v>43809</v>
      </c>
      <c r="C348">
        <v>2019344</v>
      </c>
      <c r="D348">
        <v>1.46</v>
      </c>
      <c r="E348" t="s">
        <v>27</v>
      </c>
      <c r="F348">
        <v>-5.8</v>
      </c>
      <c r="G348">
        <v>-3</v>
      </c>
      <c r="H348">
        <v>-9.4</v>
      </c>
      <c r="I348">
        <v>89.7</v>
      </c>
      <c r="J348">
        <v>79.599999999999994</v>
      </c>
      <c r="K348">
        <v>0</v>
      </c>
      <c r="L348">
        <v>0.7</v>
      </c>
      <c r="M348">
        <v>4.8</v>
      </c>
      <c r="N348">
        <v>0.39999999999999991</v>
      </c>
      <c r="O348">
        <v>-1.2</v>
      </c>
      <c r="P348" t="s">
        <v>27</v>
      </c>
      <c r="Q348" t="s">
        <v>27</v>
      </c>
      <c r="R348" t="s">
        <v>27</v>
      </c>
      <c r="S348">
        <v>-0.2</v>
      </c>
      <c r="T348">
        <v>0.4</v>
      </c>
      <c r="U348">
        <v>1.1000000000000001</v>
      </c>
      <c r="V348" t="s">
        <v>27</v>
      </c>
      <c r="W348">
        <v>0.39</v>
      </c>
      <c r="X348">
        <v>0.1</v>
      </c>
      <c r="Y348" t="s">
        <v>27</v>
      </c>
      <c r="Z348" t="s">
        <v>27</v>
      </c>
      <c r="AA348" t="s">
        <v>27</v>
      </c>
      <c r="AB348" t="s">
        <v>27</v>
      </c>
      <c r="AC348" t="s">
        <v>27</v>
      </c>
      <c r="AD348" t="s">
        <v>27</v>
      </c>
      <c r="AE348" t="s">
        <v>27</v>
      </c>
      <c r="AF348" t="s">
        <v>27</v>
      </c>
      <c r="AG348">
        <v>5.08</v>
      </c>
    </row>
    <row r="349" spans="1:33" x14ac:dyDescent="0.25">
      <c r="A349" t="s">
        <v>57</v>
      </c>
      <c r="B349" s="3">
        <v>43810</v>
      </c>
      <c r="C349">
        <v>2019345</v>
      </c>
      <c r="D349">
        <v>0.65</v>
      </c>
      <c r="E349" t="s">
        <v>27</v>
      </c>
      <c r="F349">
        <v>-4.5</v>
      </c>
      <c r="G349">
        <v>-1.2</v>
      </c>
      <c r="H349">
        <v>-8</v>
      </c>
      <c r="I349">
        <v>90.8</v>
      </c>
      <c r="J349">
        <v>83.8</v>
      </c>
      <c r="K349">
        <v>0.1</v>
      </c>
      <c r="L349">
        <v>1.5</v>
      </c>
      <c r="M349">
        <v>3.2</v>
      </c>
      <c r="N349">
        <v>0.40100000000000025</v>
      </c>
      <c r="O349">
        <v>-0.9</v>
      </c>
      <c r="P349" t="s">
        <v>27</v>
      </c>
      <c r="Q349" t="s">
        <v>27</v>
      </c>
      <c r="R349" t="s">
        <v>27</v>
      </c>
      <c r="S349">
        <v>-0.2</v>
      </c>
      <c r="T349">
        <v>0.4</v>
      </c>
      <c r="U349">
        <v>1.1000000000000001</v>
      </c>
      <c r="V349" t="s">
        <v>27</v>
      </c>
      <c r="W349">
        <v>0.47</v>
      </c>
      <c r="X349">
        <v>9.0999999999999998E-2</v>
      </c>
      <c r="Y349" t="s">
        <v>27</v>
      </c>
      <c r="Z349" t="s">
        <v>27</v>
      </c>
      <c r="AA349" t="s">
        <v>27</v>
      </c>
      <c r="AB349" t="s">
        <v>27</v>
      </c>
      <c r="AC349" t="s">
        <v>27</v>
      </c>
      <c r="AD349" t="s">
        <v>27</v>
      </c>
      <c r="AE349" t="s">
        <v>27</v>
      </c>
      <c r="AF349" t="s">
        <v>27</v>
      </c>
      <c r="AG349">
        <v>5.04</v>
      </c>
    </row>
    <row r="350" spans="1:33" x14ac:dyDescent="0.25">
      <c r="A350" t="s">
        <v>57</v>
      </c>
      <c r="B350" s="3">
        <v>43811</v>
      </c>
      <c r="C350">
        <v>2019346</v>
      </c>
      <c r="D350">
        <v>0.61</v>
      </c>
      <c r="E350" t="s">
        <v>27</v>
      </c>
      <c r="F350">
        <v>-4.7</v>
      </c>
      <c r="G350">
        <v>-1.6</v>
      </c>
      <c r="H350">
        <v>-9.3000000000000007</v>
      </c>
      <c r="I350">
        <v>91.4</v>
      </c>
      <c r="J350">
        <v>83</v>
      </c>
      <c r="K350">
        <v>0</v>
      </c>
      <c r="L350">
        <v>1.3</v>
      </c>
      <c r="M350">
        <v>14</v>
      </c>
      <c r="N350">
        <v>0.52700000000000014</v>
      </c>
      <c r="O350">
        <v>-0.7</v>
      </c>
      <c r="P350" t="s">
        <v>27</v>
      </c>
      <c r="Q350" t="s">
        <v>27</v>
      </c>
      <c r="R350" t="s">
        <v>27</v>
      </c>
      <c r="S350">
        <v>-0.2</v>
      </c>
      <c r="T350">
        <v>0.4</v>
      </c>
      <c r="U350">
        <v>1.1000000000000001</v>
      </c>
      <c r="V350" t="s">
        <v>27</v>
      </c>
      <c r="W350">
        <v>0.45100000000000001</v>
      </c>
      <c r="X350">
        <v>9.1999999999999998E-2</v>
      </c>
      <c r="Y350" t="s">
        <v>27</v>
      </c>
      <c r="Z350" t="s">
        <v>27</v>
      </c>
      <c r="AA350" t="s">
        <v>27</v>
      </c>
      <c r="AB350" t="s">
        <v>27</v>
      </c>
      <c r="AC350" t="s">
        <v>27</v>
      </c>
      <c r="AD350" t="s">
        <v>27</v>
      </c>
      <c r="AE350" t="s">
        <v>27</v>
      </c>
      <c r="AF350" t="s">
        <v>27</v>
      </c>
      <c r="AG350">
        <v>5.01</v>
      </c>
    </row>
    <row r="351" spans="1:33" x14ac:dyDescent="0.25">
      <c r="A351" t="s">
        <v>57</v>
      </c>
      <c r="B351" s="3">
        <v>43812</v>
      </c>
      <c r="C351">
        <v>2019347</v>
      </c>
      <c r="D351">
        <v>0.49</v>
      </c>
      <c r="E351" t="s">
        <v>27</v>
      </c>
      <c r="F351">
        <v>-3.8</v>
      </c>
      <c r="G351">
        <v>-1.6</v>
      </c>
      <c r="H351">
        <v>-7.7</v>
      </c>
      <c r="I351">
        <v>87.9</v>
      </c>
      <c r="J351">
        <v>79.900000000000006</v>
      </c>
      <c r="K351">
        <v>0.1</v>
      </c>
      <c r="L351">
        <v>1.7</v>
      </c>
      <c r="M351">
        <v>0</v>
      </c>
      <c r="N351">
        <v>0.49399999999999999</v>
      </c>
      <c r="O351">
        <v>-0.6</v>
      </c>
      <c r="P351" t="s">
        <v>27</v>
      </c>
      <c r="Q351" t="s">
        <v>27</v>
      </c>
      <c r="R351" t="s">
        <v>27</v>
      </c>
      <c r="S351">
        <v>-0.1</v>
      </c>
      <c r="T351">
        <v>0.4</v>
      </c>
      <c r="U351">
        <v>1.1000000000000001</v>
      </c>
      <c r="V351" t="s">
        <v>27</v>
      </c>
      <c r="W351">
        <v>0.433</v>
      </c>
      <c r="X351">
        <v>0.109</v>
      </c>
      <c r="Y351" t="s">
        <v>27</v>
      </c>
      <c r="Z351" t="s">
        <v>27</v>
      </c>
      <c r="AA351" t="s">
        <v>27</v>
      </c>
      <c r="AB351" t="s">
        <v>27</v>
      </c>
      <c r="AC351" t="s">
        <v>27</v>
      </c>
      <c r="AD351" t="s">
        <v>27</v>
      </c>
      <c r="AE351" t="s">
        <v>27</v>
      </c>
      <c r="AF351" t="s">
        <v>27</v>
      </c>
      <c r="AG351">
        <v>4.99</v>
      </c>
    </row>
    <row r="352" spans="1:33" x14ac:dyDescent="0.25">
      <c r="A352" t="s">
        <v>57</v>
      </c>
      <c r="B352" s="3">
        <v>43813</v>
      </c>
      <c r="C352">
        <v>2019348</v>
      </c>
      <c r="D352">
        <v>0.39</v>
      </c>
      <c r="E352" t="s">
        <v>27</v>
      </c>
      <c r="F352">
        <v>-6.2</v>
      </c>
      <c r="G352">
        <v>-2.9</v>
      </c>
      <c r="H352">
        <v>-9.4</v>
      </c>
      <c r="I352">
        <v>89.2</v>
      </c>
      <c r="J352">
        <v>80.2</v>
      </c>
      <c r="K352">
        <v>0.1</v>
      </c>
      <c r="L352">
        <v>1.3</v>
      </c>
      <c r="M352">
        <v>2.7</v>
      </c>
      <c r="N352">
        <v>0.50900000000000012</v>
      </c>
      <c r="O352">
        <v>-0.6</v>
      </c>
      <c r="P352" t="s">
        <v>27</v>
      </c>
      <c r="Q352" t="s">
        <v>27</v>
      </c>
      <c r="R352" t="s">
        <v>27</v>
      </c>
      <c r="S352">
        <v>-0.1</v>
      </c>
      <c r="T352">
        <v>0.4</v>
      </c>
      <c r="U352">
        <v>1.1000000000000001</v>
      </c>
      <c r="V352" t="s">
        <v>27</v>
      </c>
      <c r="W352">
        <v>0.39400000000000002</v>
      </c>
      <c r="X352">
        <v>9.7000000000000003E-2</v>
      </c>
      <c r="Y352" t="s">
        <v>27</v>
      </c>
      <c r="Z352" t="s">
        <v>27</v>
      </c>
      <c r="AA352" t="s">
        <v>27</v>
      </c>
      <c r="AB352" t="s">
        <v>27</v>
      </c>
      <c r="AC352" t="s">
        <v>27</v>
      </c>
      <c r="AD352" t="s">
        <v>27</v>
      </c>
      <c r="AE352" t="s">
        <v>27</v>
      </c>
      <c r="AF352" t="s">
        <v>27</v>
      </c>
      <c r="AG352">
        <v>4.97</v>
      </c>
    </row>
    <row r="353" spans="1:33" x14ac:dyDescent="0.25">
      <c r="A353" t="s">
        <v>57</v>
      </c>
      <c r="B353" s="3">
        <v>43814</v>
      </c>
      <c r="C353">
        <v>2019349</v>
      </c>
      <c r="D353">
        <v>1.0900000000000001</v>
      </c>
      <c r="E353" t="s">
        <v>27</v>
      </c>
      <c r="F353">
        <v>-8.1999999999999993</v>
      </c>
      <c r="G353">
        <v>-5</v>
      </c>
      <c r="H353">
        <v>-15.3</v>
      </c>
      <c r="I353">
        <v>85.4</v>
      </c>
      <c r="J353">
        <v>73</v>
      </c>
      <c r="K353">
        <v>0.4</v>
      </c>
      <c r="L353">
        <v>2.4</v>
      </c>
      <c r="M353">
        <v>0</v>
      </c>
      <c r="N353">
        <v>0.4890000000000001</v>
      </c>
      <c r="O353">
        <v>-0.6</v>
      </c>
      <c r="P353" t="s">
        <v>27</v>
      </c>
      <c r="Q353" t="s">
        <v>27</v>
      </c>
      <c r="R353" t="s">
        <v>27</v>
      </c>
      <c r="S353">
        <v>-0.1</v>
      </c>
      <c r="T353">
        <v>0.3</v>
      </c>
      <c r="U353">
        <v>1.1000000000000001</v>
      </c>
      <c r="V353" t="s">
        <v>27</v>
      </c>
      <c r="W353">
        <v>0.308</v>
      </c>
      <c r="X353">
        <v>0.114</v>
      </c>
      <c r="Y353" t="s">
        <v>27</v>
      </c>
      <c r="Z353" t="s">
        <v>27</v>
      </c>
      <c r="AA353" t="s">
        <v>27</v>
      </c>
      <c r="AB353" t="s">
        <v>27</v>
      </c>
      <c r="AC353" t="s">
        <v>27</v>
      </c>
      <c r="AD353" t="s">
        <v>27</v>
      </c>
      <c r="AE353" t="s">
        <v>27</v>
      </c>
      <c r="AF353" t="s">
        <v>27</v>
      </c>
      <c r="AG353">
        <v>4.9400000000000004</v>
      </c>
    </row>
    <row r="354" spans="1:33" x14ac:dyDescent="0.25">
      <c r="A354" t="s">
        <v>57</v>
      </c>
      <c r="B354" s="3">
        <v>43815</v>
      </c>
      <c r="C354">
        <v>2019350</v>
      </c>
      <c r="D354">
        <v>0.3</v>
      </c>
      <c r="E354" t="s">
        <v>27</v>
      </c>
      <c r="F354">
        <v>-11.4</v>
      </c>
      <c r="G354">
        <v>-6.9</v>
      </c>
      <c r="H354">
        <v>-18.100000000000001</v>
      </c>
      <c r="I354">
        <v>86.3</v>
      </c>
      <c r="J354">
        <v>78.7</v>
      </c>
      <c r="K354">
        <v>0.2</v>
      </c>
      <c r="L354">
        <v>1.5</v>
      </c>
      <c r="M354">
        <v>1.9</v>
      </c>
      <c r="N354">
        <v>0.4930000000000001</v>
      </c>
      <c r="O354">
        <v>-0.9</v>
      </c>
      <c r="P354" t="s">
        <v>27</v>
      </c>
      <c r="Q354" t="s">
        <v>27</v>
      </c>
      <c r="R354" t="s">
        <v>27</v>
      </c>
      <c r="S354">
        <v>-0.2</v>
      </c>
      <c r="T354">
        <v>0.3</v>
      </c>
      <c r="U354">
        <v>1</v>
      </c>
      <c r="V354" t="s">
        <v>27</v>
      </c>
      <c r="W354">
        <v>0.28699999999999998</v>
      </c>
      <c r="X354">
        <v>7.8E-2</v>
      </c>
      <c r="Y354" t="s">
        <v>27</v>
      </c>
      <c r="Z354" t="s">
        <v>27</v>
      </c>
      <c r="AA354" t="s">
        <v>27</v>
      </c>
      <c r="AB354" t="s">
        <v>27</v>
      </c>
      <c r="AC354" t="s">
        <v>27</v>
      </c>
      <c r="AD354" t="s">
        <v>27</v>
      </c>
      <c r="AE354" t="s">
        <v>27</v>
      </c>
      <c r="AF354" t="s">
        <v>27</v>
      </c>
      <c r="AG354">
        <v>4.93</v>
      </c>
    </row>
    <row r="355" spans="1:33" x14ac:dyDescent="0.25">
      <c r="A355" t="s">
        <v>57</v>
      </c>
      <c r="B355" s="3">
        <v>43816</v>
      </c>
      <c r="C355">
        <v>2019351</v>
      </c>
      <c r="D355">
        <v>0.44</v>
      </c>
      <c r="E355" t="s">
        <v>27</v>
      </c>
      <c r="F355">
        <v>-7.1</v>
      </c>
      <c r="G355">
        <v>-5.6</v>
      </c>
      <c r="H355">
        <v>-8.1999999999999993</v>
      </c>
      <c r="I355">
        <v>91.3</v>
      </c>
      <c r="J355">
        <v>90</v>
      </c>
      <c r="K355">
        <v>0.5</v>
      </c>
      <c r="L355">
        <v>1.9</v>
      </c>
      <c r="M355">
        <v>0</v>
      </c>
      <c r="N355">
        <v>0.47100000000000009</v>
      </c>
      <c r="O355">
        <v>-0.8</v>
      </c>
      <c r="P355" t="s">
        <v>27</v>
      </c>
      <c r="Q355" t="s">
        <v>27</v>
      </c>
      <c r="R355" t="s">
        <v>27</v>
      </c>
      <c r="S355">
        <v>-0.2</v>
      </c>
      <c r="T355">
        <v>0.3</v>
      </c>
      <c r="U355">
        <v>1</v>
      </c>
      <c r="V355" t="s">
        <v>27</v>
      </c>
      <c r="W355">
        <v>0.36299999999999999</v>
      </c>
      <c r="X355">
        <v>0.04</v>
      </c>
      <c r="Y355" t="s">
        <v>27</v>
      </c>
      <c r="Z355" t="s">
        <v>27</v>
      </c>
      <c r="AA355" t="s">
        <v>27</v>
      </c>
      <c r="AB355" t="s">
        <v>27</v>
      </c>
      <c r="AC355" t="s">
        <v>27</v>
      </c>
      <c r="AD355" t="s">
        <v>27</v>
      </c>
      <c r="AE355" t="s">
        <v>27</v>
      </c>
      <c r="AF355" t="s">
        <v>27</v>
      </c>
      <c r="AG355">
        <v>4.92</v>
      </c>
    </row>
    <row r="356" spans="1:33" x14ac:dyDescent="0.25">
      <c r="A356" t="s">
        <v>57</v>
      </c>
      <c r="B356" s="3">
        <v>43817</v>
      </c>
      <c r="C356">
        <v>2019352</v>
      </c>
      <c r="D356">
        <v>0.31</v>
      </c>
      <c r="E356" t="s">
        <v>27</v>
      </c>
      <c r="F356">
        <v>-6.7</v>
      </c>
      <c r="G356">
        <v>-4.9000000000000004</v>
      </c>
      <c r="H356">
        <v>-7.8</v>
      </c>
      <c r="I356">
        <v>89.9</v>
      </c>
      <c r="J356">
        <v>86.5</v>
      </c>
      <c r="K356">
        <v>0.4</v>
      </c>
      <c r="L356">
        <v>1.7</v>
      </c>
      <c r="M356">
        <v>0</v>
      </c>
      <c r="N356">
        <v>0.46300000000000008</v>
      </c>
      <c r="O356">
        <v>-0.7</v>
      </c>
      <c r="P356" t="s">
        <v>27</v>
      </c>
      <c r="Q356" t="s">
        <v>27</v>
      </c>
      <c r="R356" t="s">
        <v>27</v>
      </c>
      <c r="S356">
        <v>-0.1</v>
      </c>
      <c r="T356">
        <v>0.3</v>
      </c>
      <c r="U356">
        <v>1</v>
      </c>
      <c r="V356" t="s">
        <v>27</v>
      </c>
      <c r="W356">
        <v>0.36599999999999999</v>
      </c>
      <c r="X356">
        <v>5.7000000000000002E-2</v>
      </c>
      <c r="Y356" t="s">
        <v>27</v>
      </c>
      <c r="Z356" t="s">
        <v>27</v>
      </c>
      <c r="AA356" t="s">
        <v>27</v>
      </c>
      <c r="AB356" t="s">
        <v>27</v>
      </c>
      <c r="AC356" t="s">
        <v>27</v>
      </c>
      <c r="AD356" t="s">
        <v>27</v>
      </c>
      <c r="AE356" t="s">
        <v>27</v>
      </c>
      <c r="AF356" t="s">
        <v>27</v>
      </c>
      <c r="AG356">
        <v>4.91</v>
      </c>
    </row>
    <row r="357" spans="1:33" x14ac:dyDescent="0.25">
      <c r="A357" t="s">
        <v>57</v>
      </c>
      <c r="B357" s="3">
        <v>43818</v>
      </c>
      <c r="C357">
        <v>2019353</v>
      </c>
      <c r="D357">
        <v>0.43</v>
      </c>
      <c r="E357" t="s">
        <v>27</v>
      </c>
      <c r="F357">
        <v>-6</v>
      </c>
      <c r="G357">
        <v>-2.5</v>
      </c>
      <c r="H357">
        <v>-8</v>
      </c>
      <c r="I357">
        <v>91.2</v>
      </c>
      <c r="J357">
        <v>87.6</v>
      </c>
      <c r="K357">
        <v>0.6</v>
      </c>
      <c r="L357">
        <v>2.4</v>
      </c>
      <c r="M357">
        <v>11</v>
      </c>
      <c r="N357">
        <v>0.55700000000000016</v>
      </c>
      <c r="O357">
        <v>-1.4</v>
      </c>
      <c r="P357" t="s">
        <v>27</v>
      </c>
      <c r="Q357" t="s">
        <v>27</v>
      </c>
      <c r="R357" t="s">
        <v>27</v>
      </c>
      <c r="S357">
        <v>-0.1</v>
      </c>
      <c r="T357">
        <v>0.4</v>
      </c>
      <c r="U357">
        <v>1</v>
      </c>
      <c r="V357" t="s">
        <v>27</v>
      </c>
      <c r="W357">
        <v>0.443</v>
      </c>
      <c r="X357">
        <v>6.3E-2</v>
      </c>
      <c r="Y357" t="s">
        <v>27</v>
      </c>
      <c r="Z357" t="s">
        <v>27</v>
      </c>
      <c r="AA357" t="s">
        <v>27</v>
      </c>
      <c r="AB357" t="s">
        <v>27</v>
      </c>
      <c r="AC357" t="s">
        <v>27</v>
      </c>
      <c r="AD357" t="s">
        <v>27</v>
      </c>
      <c r="AE357" t="s">
        <v>27</v>
      </c>
      <c r="AF357" t="s">
        <v>27</v>
      </c>
      <c r="AG357">
        <v>4.9000000000000004</v>
      </c>
    </row>
    <row r="358" spans="1:33" x14ac:dyDescent="0.25">
      <c r="A358" t="s">
        <v>57</v>
      </c>
      <c r="B358" s="3">
        <v>43819</v>
      </c>
      <c r="C358">
        <v>2019354</v>
      </c>
      <c r="D358">
        <v>0.16</v>
      </c>
      <c r="E358" t="s">
        <v>27</v>
      </c>
      <c r="F358">
        <v>-1.1000000000000001</v>
      </c>
      <c r="G358">
        <v>1.2</v>
      </c>
      <c r="H358">
        <v>-4.0999999999999996</v>
      </c>
      <c r="I358">
        <v>95.2</v>
      </c>
      <c r="J358">
        <v>92.1</v>
      </c>
      <c r="K358">
        <v>0.5</v>
      </c>
      <c r="L358">
        <v>3</v>
      </c>
      <c r="M358">
        <v>6.6</v>
      </c>
      <c r="N358">
        <v>0.6120000000000001</v>
      </c>
      <c r="O358">
        <v>-1</v>
      </c>
      <c r="P358" t="s">
        <v>27</v>
      </c>
      <c r="Q358" t="s">
        <v>27</v>
      </c>
      <c r="R358" t="s">
        <v>27</v>
      </c>
      <c r="S358">
        <v>-0.1</v>
      </c>
      <c r="T358">
        <v>0.4</v>
      </c>
      <c r="U358">
        <v>1.1000000000000001</v>
      </c>
      <c r="V358" t="s">
        <v>27</v>
      </c>
      <c r="W358">
        <v>0.61299999999999999</v>
      </c>
      <c r="X358">
        <v>5.2999999999999999E-2</v>
      </c>
      <c r="Y358" t="s">
        <v>27</v>
      </c>
      <c r="Z358" t="s">
        <v>27</v>
      </c>
      <c r="AA358" t="s">
        <v>27</v>
      </c>
      <c r="AB358" t="s">
        <v>27</v>
      </c>
      <c r="AC358" t="s">
        <v>27</v>
      </c>
      <c r="AD358" t="s">
        <v>27</v>
      </c>
      <c r="AE358" t="s">
        <v>27</v>
      </c>
      <c r="AF358" t="s">
        <v>27</v>
      </c>
      <c r="AG358">
        <v>4.9000000000000004</v>
      </c>
    </row>
    <row r="359" spans="1:33" x14ac:dyDescent="0.25">
      <c r="A359" t="s">
        <v>57</v>
      </c>
      <c r="B359" s="3">
        <v>43820</v>
      </c>
      <c r="C359">
        <v>2019355</v>
      </c>
      <c r="D359">
        <v>0.38</v>
      </c>
      <c r="E359" t="s">
        <v>27</v>
      </c>
      <c r="F359">
        <v>-0.8</v>
      </c>
      <c r="G359">
        <v>1.5</v>
      </c>
      <c r="H359">
        <v>-4.9000000000000004</v>
      </c>
      <c r="I359">
        <v>94.7</v>
      </c>
      <c r="J359">
        <v>88.7</v>
      </c>
      <c r="K359">
        <v>0.9</v>
      </c>
      <c r="L359">
        <v>3.2</v>
      </c>
      <c r="M359">
        <v>5</v>
      </c>
      <c r="N359">
        <v>0.58100000000000018</v>
      </c>
      <c r="O359">
        <v>-0.5</v>
      </c>
      <c r="P359" t="s">
        <v>27</v>
      </c>
      <c r="Q359" t="s">
        <v>27</v>
      </c>
      <c r="R359" t="s">
        <v>27</v>
      </c>
      <c r="S359">
        <v>-0.1</v>
      </c>
      <c r="T359">
        <v>0.4</v>
      </c>
      <c r="U359">
        <v>1</v>
      </c>
      <c r="V359" t="s">
        <v>27</v>
      </c>
      <c r="W359">
        <v>0.60299999999999998</v>
      </c>
      <c r="X359">
        <v>7.6999999999999999E-2</v>
      </c>
      <c r="Y359" t="s">
        <v>27</v>
      </c>
      <c r="Z359" t="s">
        <v>27</v>
      </c>
      <c r="AA359" t="s">
        <v>27</v>
      </c>
      <c r="AB359" t="s">
        <v>27</v>
      </c>
      <c r="AC359" t="s">
        <v>27</v>
      </c>
      <c r="AD359" t="s">
        <v>27</v>
      </c>
      <c r="AE359" t="s">
        <v>27</v>
      </c>
      <c r="AF359" t="s">
        <v>27</v>
      </c>
      <c r="AG359">
        <v>4.9000000000000004</v>
      </c>
    </row>
    <row r="360" spans="1:33" x14ac:dyDescent="0.25">
      <c r="A360" t="s">
        <v>57</v>
      </c>
      <c r="B360" s="3">
        <v>43821</v>
      </c>
      <c r="C360">
        <v>2019356</v>
      </c>
      <c r="D360">
        <v>0.68</v>
      </c>
      <c r="E360" t="s">
        <v>27</v>
      </c>
      <c r="F360">
        <v>-5.6</v>
      </c>
      <c r="G360">
        <v>-1.9</v>
      </c>
      <c r="H360">
        <v>-11.3</v>
      </c>
      <c r="I360">
        <v>91</v>
      </c>
      <c r="J360">
        <v>83.3</v>
      </c>
      <c r="K360">
        <v>0</v>
      </c>
      <c r="L360">
        <v>0.7</v>
      </c>
      <c r="M360">
        <v>5.3</v>
      </c>
      <c r="N360">
        <v>0.6180000000000001</v>
      </c>
      <c r="O360">
        <v>-0.5</v>
      </c>
      <c r="P360" t="s">
        <v>27</v>
      </c>
      <c r="Q360" t="s">
        <v>27</v>
      </c>
      <c r="R360" t="s">
        <v>27</v>
      </c>
      <c r="S360">
        <v>-0.1</v>
      </c>
      <c r="T360">
        <v>0.3</v>
      </c>
      <c r="U360">
        <v>1</v>
      </c>
      <c r="V360" t="s">
        <v>27</v>
      </c>
      <c r="W360">
        <v>0.443</v>
      </c>
      <c r="X360">
        <v>8.8999999999999996E-2</v>
      </c>
      <c r="Y360" t="s">
        <v>27</v>
      </c>
      <c r="Z360" t="s">
        <v>27</v>
      </c>
      <c r="AA360" t="s">
        <v>27</v>
      </c>
      <c r="AB360" t="s">
        <v>27</v>
      </c>
      <c r="AC360" t="s">
        <v>27</v>
      </c>
      <c r="AD360" t="s">
        <v>27</v>
      </c>
      <c r="AE360" t="s">
        <v>27</v>
      </c>
      <c r="AF360" t="s">
        <v>27</v>
      </c>
      <c r="AG360">
        <v>4.9000000000000004</v>
      </c>
    </row>
    <row r="361" spans="1:33" x14ac:dyDescent="0.25">
      <c r="A361" t="s">
        <v>57</v>
      </c>
      <c r="B361" s="3">
        <v>43822</v>
      </c>
      <c r="C361">
        <v>2019357</v>
      </c>
      <c r="D361">
        <v>3.11</v>
      </c>
      <c r="E361" t="s">
        <v>27</v>
      </c>
      <c r="F361">
        <v>-5.0999999999999996</v>
      </c>
      <c r="G361">
        <v>-0.1</v>
      </c>
      <c r="H361">
        <v>-9.6</v>
      </c>
      <c r="I361">
        <v>89.6</v>
      </c>
      <c r="J361">
        <v>76.2</v>
      </c>
      <c r="K361">
        <v>0.1</v>
      </c>
      <c r="L361">
        <v>1.6</v>
      </c>
      <c r="M361">
        <v>0</v>
      </c>
      <c r="N361">
        <v>0.60700000000000021</v>
      </c>
      <c r="O361">
        <v>-0.7</v>
      </c>
      <c r="P361" t="s">
        <v>27</v>
      </c>
      <c r="Q361" t="s">
        <v>27</v>
      </c>
      <c r="R361" t="s">
        <v>27</v>
      </c>
      <c r="S361">
        <v>-0.1</v>
      </c>
      <c r="T361">
        <v>0.3</v>
      </c>
      <c r="U361">
        <v>1</v>
      </c>
      <c r="V361" t="s">
        <v>27</v>
      </c>
      <c r="W361">
        <v>0.46200000000000002</v>
      </c>
      <c r="X361">
        <v>0.14399999999999999</v>
      </c>
      <c r="Y361" t="s">
        <v>27</v>
      </c>
      <c r="Z361" t="s">
        <v>27</v>
      </c>
      <c r="AA361" t="s">
        <v>27</v>
      </c>
      <c r="AB361" t="s">
        <v>27</v>
      </c>
      <c r="AC361" t="s">
        <v>27</v>
      </c>
      <c r="AD361" t="s">
        <v>27</v>
      </c>
      <c r="AE361" t="s">
        <v>27</v>
      </c>
      <c r="AF361" t="s">
        <v>27</v>
      </c>
      <c r="AG361">
        <v>4.9000000000000004</v>
      </c>
    </row>
    <row r="362" spans="1:33" x14ac:dyDescent="0.25">
      <c r="A362" t="s">
        <v>57</v>
      </c>
      <c r="B362" s="3">
        <v>43823</v>
      </c>
      <c r="C362">
        <v>2019358</v>
      </c>
      <c r="D362">
        <v>2.77</v>
      </c>
      <c r="E362" t="s">
        <v>27</v>
      </c>
      <c r="F362">
        <v>-7.3</v>
      </c>
      <c r="G362">
        <v>-3.8</v>
      </c>
      <c r="H362">
        <v>-13.9</v>
      </c>
      <c r="I362">
        <v>90.1</v>
      </c>
      <c r="J362">
        <v>83.4</v>
      </c>
      <c r="K362">
        <v>0.2</v>
      </c>
      <c r="L362">
        <v>1.7</v>
      </c>
      <c r="M362">
        <v>0</v>
      </c>
      <c r="N362">
        <v>0.5950000000000002</v>
      </c>
      <c r="O362">
        <v>-0.9</v>
      </c>
      <c r="P362" t="s">
        <v>27</v>
      </c>
      <c r="Q362" t="s">
        <v>27</v>
      </c>
      <c r="R362" t="s">
        <v>27</v>
      </c>
      <c r="S362">
        <v>-0.1</v>
      </c>
      <c r="T362">
        <v>0.3</v>
      </c>
      <c r="U362">
        <v>1</v>
      </c>
      <c r="V362" t="s">
        <v>27</v>
      </c>
      <c r="W362">
        <v>0.38600000000000001</v>
      </c>
      <c r="X362">
        <v>7.6999999999999999E-2</v>
      </c>
      <c r="Y362" t="s">
        <v>27</v>
      </c>
      <c r="Z362" t="s">
        <v>27</v>
      </c>
      <c r="AA362" t="s">
        <v>27</v>
      </c>
      <c r="AB362" t="s">
        <v>27</v>
      </c>
      <c r="AC362" t="s">
        <v>27</v>
      </c>
      <c r="AD362" t="s">
        <v>27</v>
      </c>
      <c r="AE362" t="s">
        <v>27</v>
      </c>
      <c r="AF362" t="s">
        <v>27</v>
      </c>
      <c r="AG362">
        <v>4.92</v>
      </c>
    </row>
    <row r="363" spans="1:33" x14ac:dyDescent="0.25">
      <c r="A363" t="s">
        <v>57</v>
      </c>
      <c r="B363" s="3">
        <v>43824</v>
      </c>
      <c r="C363">
        <v>2019359</v>
      </c>
      <c r="D363">
        <v>3.58</v>
      </c>
      <c r="E363" t="s">
        <v>27</v>
      </c>
      <c r="F363">
        <v>-11.2</v>
      </c>
      <c r="G363">
        <v>-3.3</v>
      </c>
      <c r="H363">
        <v>-18.5</v>
      </c>
      <c r="I363">
        <v>85.8</v>
      </c>
      <c r="J363">
        <v>79.400000000000006</v>
      </c>
      <c r="K363">
        <v>0.1</v>
      </c>
      <c r="L363">
        <v>1.5</v>
      </c>
      <c r="M363">
        <v>0</v>
      </c>
      <c r="N363">
        <v>0.58800000000000008</v>
      </c>
      <c r="O363">
        <v>-1.2</v>
      </c>
      <c r="P363" t="s">
        <v>27</v>
      </c>
      <c r="Q363" t="s">
        <v>27</v>
      </c>
      <c r="R363" t="s">
        <v>27</v>
      </c>
      <c r="S363">
        <v>-0.1</v>
      </c>
      <c r="T363">
        <v>0.3</v>
      </c>
      <c r="U363">
        <v>0.9</v>
      </c>
      <c r="V363" t="s">
        <v>27</v>
      </c>
      <c r="W363">
        <v>0.38</v>
      </c>
      <c r="X363">
        <v>9.9000000000000005E-2</v>
      </c>
      <c r="Y363" t="s">
        <v>27</v>
      </c>
      <c r="Z363" t="s">
        <v>27</v>
      </c>
      <c r="AA363" t="s">
        <v>27</v>
      </c>
      <c r="AB363" t="s">
        <v>27</v>
      </c>
      <c r="AC363" t="s">
        <v>27</v>
      </c>
      <c r="AD363" t="s">
        <v>27</v>
      </c>
      <c r="AE363" t="s">
        <v>27</v>
      </c>
      <c r="AF363" t="s">
        <v>27</v>
      </c>
      <c r="AG363">
        <v>4.93</v>
      </c>
    </row>
    <row r="364" spans="1:33" x14ac:dyDescent="0.25">
      <c r="A364" t="s">
        <v>57</v>
      </c>
      <c r="B364" s="3">
        <v>43825</v>
      </c>
      <c r="C364">
        <v>2019360</v>
      </c>
      <c r="D364">
        <v>3.07</v>
      </c>
      <c r="E364" t="s">
        <v>27</v>
      </c>
      <c r="F364">
        <v>-12.8</v>
      </c>
      <c r="G364">
        <v>-6.9</v>
      </c>
      <c r="H364">
        <v>-19</v>
      </c>
      <c r="I364">
        <v>85.7</v>
      </c>
      <c r="J364">
        <v>77.900000000000006</v>
      </c>
      <c r="K364">
        <v>0.2</v>
      </c>
      <c r="L364">
        <v>1.7</v>
      </c>
      <c r="M364">
        <v>0</v>
      </c>
      <c r="N364">
        <v>0.58500000000000019</v>
      </c>
      <c r="O364">
        <v>-1.9</v>
      </c>
      <c r="P364" t="s">
        <v>27</v>
      </c>
      <c r="Q364" t="s">
        <v>27</v>
      </c>
      <c r="R364" t="s">
        <v>27</v>
      </c>
      <c r="S364">
        <v>-0.1</v>
      </c>
      <c r="T364">
        <v>0.3</v>
      </c>
      <c r="U364">
        <v>0.9</v>
      </c>
      <c r="V364" t="s">
        <v>27</v>
      </c>
      <c r="W364">
        <v>0.28299999999999997</v>
      </c>
      <c r="X364">
        <v>0.08</v>
      </c>
      <c r="Y364" t="s">
        <v>27</v>
      </c>
      <c r="Z364" t="s">
        <v>27</v>
      </c>
      <c r="AA364" t="s">
        <v>27</v>
      </c>
      <c r="AB364" t="s">
        <v>27</v>
      </c>
      <c r="AC364" t="s">
        <v>27</v>
      </c>
      <c r="AD364" t="s">
        <v>27</v>
      </c>
      <c r="AE364" t="s">
        <v>27</v>
      </c>
      <c r="AF364" t="s">
        <v>27</v>
      </c>
      <c r="AG364">
        <v>4.95</v>
      </c>
    </row>
    <row r="365" spans="1:33" x14ac:dyDescent="0.25">
      <c r="A365" t="s">
        <v>57</v>
      </c>
      <c r="B365" s="3">
        <v>43826</v>
      </c>
      <c r="C365">
        <v>2019361</v>
      </c>
      <c r="D365">
        <v>0.75</v>
      </c>
      <c r="E365" t="s">
        <v>27</v>
      </c>
      <c r="F365">
        <v>-7.6</v>
      </c>
      <c r="G365">
        <v>-4.7</v>
      </c>
      <c r="H365">
        <v>-11.1</v>
      </c>
      <c r="I365">
        <v>88.7</v>
      </c>
      <c r="J365">
        <v>79.3</v>
      </c>
      <c r="K365">
        <v>0</v>
      </c>
      <c r="L365">
        <v>0</v>
      </c>
      <c r="M365">
        <v>5.3</v>
      </c>
      <c r="N365">
        <v>0.62800000000000011</v>
      </c>
      <c r="O365">
        <v>-2</v>
      </c>
      <c r="P365" t="s">
        <v>27</v>
      </c>
      <c r="Q365" t="s">
        <v>27</v>
      </c>
      <c r="R365" t="s">
        <v>27</v>
      </c>
      <c r="S365">
        <v>-0.2</v>
      </c>
      <c r="T365">
        <v>0.3</v>
      </c>
      <c r="U365">
        <v>1</v>
      </c>
      <c r="V365" t="s">
        <v>27</v>
      </c>
      <c r="W365">
        <v>0.34200000000000003</v>
      </c>
      <c r="X365">
        <v>8.8999999999999996E-2</v>
      </c>
      <c r="Y365" t="s">
        <v>27</v>
      </c>
      <c r="Z365" t="s">
        <v>27</v>
      </c>
      <c r="AA365" t="s">
        <v>27</v>
      </c>
      <c r="AB365" t="s">
        <v>27</v>
      </c>
      <c r="AC365" t="s">
        <v>27</v>
      </c>
      <c r="AD365" t="s">
        <v>27</v>
      </c>
      <c r="AE365" t="s">
        <v>27</v>
      </c>
      <c r="AF365" t="s">
        <v>27</v>
      </c>
      <c r="AG365">
        <v>4.97</v>
      </c>
    </row>
    <row r="366" spans="1:33" x14ac:dyDescent="0.25">
      <c r="A366" t="s">
        <v>57</v>
      </c>
      <c r="B366" s="3">
        <v>43827</v>
      </c>
      <c r="C366">
        <v>2019362</v>
      </c>
      <c r="D366">
        <v>0.8</v>
      </c>
      <c r="E366" t="s">
        <v>27</v>
      </c>
      <c r="F366">
        <v>-8.5</v>
      </c>
      <c r="G366">
        <v>-3.9</v>
      </c>
      <c r="H366">
        <v>-14.7</v>
      </c>
      <c r="I366">
        <v>88.2</v>
      </c>
      <c r="J366">
        <v>83.3</v>
      </c>
      <c r="K366">
        <v>0</v>
      </c>
      <c r="L366">
        <v>0.9</v>
      </c>
      <c r="M366">
        <v>2.1</v>
      </c>
      <c r="N366">
        <v>0.62600000000000011</v>
      </c>
      <c r="O366">
        <v>-1.8</v>
      </c>
      <c r="P366" t="s">
        <v>27</v>
      </c>
      <c r="Q366" t="s">
        <v>27</v>
      </c>
      <c r="R366" t="s">
        <v>27</v>
      </c>
      <c r="S366">
        <v>-0.2</v>
      </c>
      <c r="T366">
        <v>0.3</v>
      </c>
      <c r="U366">
        <v>0.9</v>
      </c>
      <c r="V366" t="s">
        <v>27</v>
      </c>
      <c r="W366">
        <v>0.38200000000000001</v>
      </c>
      <c r="X366">
        <v>7.6999999999999999E-2</v>
      </c>
      <c r="Y366" t="s">
        <v>27</v>
      </c>
      <c r="Z366" t="s">
        <v>27</v>
      </c>
      <c r="AA366" t="s">
        <v>27</v>
      </c>
      <c r="AB366" t="s">
        <v>27</v>
      </c>
      <c r="AC366" t="s">
        <v>27</v>
      </c>
      <c r="AD366" t="s">
        <v>27</v>
      </c>
      <c r="AE366" t="s">
        <v>27</v>
      </c>
      <c r="AF366" t="s">
        <v>27</v>
      </c>
      <c r="AG366">
        <v>5</v>
      </c>
    </row>
    <row r="367" spans="1:33" x14ac:dyDescent="0.25">
      <c r="A367" t="s">
        <v>57</v>
      </c>
      <c r="B367" s="3">
        <v>43828</v>
      </c>
      <c r="C367">
        <v>2019363</v>
      </c>
      <c r="D367">
        <v>1.98</v>
      </c>
      <c r="E367" t="s">
        <v>27</v>
      </c>
      <c r="F367">
        <v>-4.5</v>
      </c>
      <c r="G367">
        <v>1.1000000000000001</v>
      </c>
      <c r="H367">
        <v>-10.9</v>
      </c>
      <c r="I367">
        <v>91.1</v>
      </c>
      <c r="J367">
        <v>80.5</v>
      </c>
      <c r="K367">
        <v>0</v>
      </c>
      <c r="L367">
        <v>1.1000000000000001</v>
      </c>
      <c r="M367">
        <v>0</v>
      </c>
      <c r="N367">
        <v>0.58400000000000007</v>
      </c>
      <c r="O367">
        <v>-1.5</v>
      </c>
      <c r="P367" t="s">
        <v>27</v>
      </c>
      <c r="Q367" t="s">
        <v>27</v>
      </c>
      <c r="R367" t="s">
        <v>27</v>
      </c>
      <c r="S367">
        <v>-0.1</v>
      </c>
      <c r="T367">
        <v>0.3</v>
      </c>
      <c r="U367">
        <v>1</v>
      </c>
      <c r="V367" t="s">
        <v>27</v>
      </c>
      <c r="W367">
        <v>0.53300000000000003</v>
      </c>
      <c r="X367">
        <v>0.129</v>
      </c>
      <c r="Y367" t="s">
        <v>27</v>
      </c>
      <c r="Z367" t="s">
        <v>27</v>
      </c>
      <c r="AA367" t="s">
        <v>27</v>
      </c>
      <c r="AB367" t="s">
        <v>27</v>
      </c>
      <c r="AC367" t="s">
        <v>27</v>
      </c>
      <c r="AD367" t="s">
        <v>27</v>
      </c>
      <c r="AE367" t="s">
        <v>27</v>
      </c>
      <c r="AF367" t="s">
        <v>27</v>
      </c>
      <c r="AG367">
        <v>5.0199999999999996</v>
      </c>
    </row>
    <row r="368" spans="1:33" x14ac:dyDescent="0.25">
      <c r="A368" t="s">
        <v>57</v>
      </c>
      <c r="B368" s="3">
        <v>43829</v>
      </c>
      <c r="C368">
        <v>2019364</v>
      </c>
      <c r="D368">
        <v>1.82</v>
      </c>
      <c r="E368" t="s">
        <v>27</v>
      </c>
      <c r="F368">
        <v>-6.4</v>
      </c>
      <c r="G368">
        <v>-3.3</v>
      </c>
      <c r="H368">
        <v>-10.5</v>
      </c>
      <c r="I368">
        <v>91</v>
      </c>
      <c r="J368">
        <v>87.4</v>
      </c>
      <c r="K368">
        <v>0.1</v>
      </c>
      <c r="L368">
        <v>1.1000000000000001</v>
      </c>
      <c r="M368">
        <v>8.6999999999999993</v>
      </c>
      <c r="N368">
        <v>0.67800000000000016</v>
      </c>
      <c r="O368">
        <v>-1.3</v>
      </c>
      <c r="P368" t="s">
        <v>27</v>
      </c>
      <c r="Q368" t="s">
        <v>27</v>
      </c>
      <c r="R368" t="s">
        <v>27</v>
      </c>
      <c r="S368">
        <v>-0.1</v>
      </c>
      <c r="T368">
        <v>0.3</v>
      </c>
      <c r="U368">
        <v>0.9</v>
      </c>
      <c r="V368" t="s">
        <v>27</v>
      </c>
      <c r="W368">
        <v>0.41799999999999998</v>
      </c>
      <c r="X368">
        <v>0.06</v>
      </c>
      <c r="Y368" t="s">
        <v>27</v>
      </c>
      <c r="Z368" t="s">
        <v>27</v>
      </c>
      <c r="AA368" t="s">
        <v>27</v>
      </c>
      <c r="AB368" t="s">
        <v>27</v>
      </c>
      <c r="AC368" t="s">
        <v>27</v>
      </c>
      <c r="AD368" t="s">
        <v>27</v>
      </c>
      <c r="AE368" t="s">
        <v>27</v>
      </c>
      <c r="AF368" t="s">
        <v>27</v>
      </c>
      <c r="AG368">
        <v>5.05</v>
      </c>
    </row>
    <row r="369" spans="1:33" x14ac:dyDescent="0.25">
      <c r="A369" t="s">
        <v>57</v>
      </c>
      <c r="B369" s="3">
        <v>43830</v>
      </c>
      <c r="C369">
        <v>2019365</v>
      </c>
      <c r="D369">
        <v>0.3</v>
      </c>
      <c r="E369" t="s">
        <v>27</v>
      </c>
      <c r="F369">
        <v>-4.2</v>
      </c>
      <c r="G369">
        <v>-0.5</v>
      </c>
      <c r="H369">
        <v>-6.2</v>
      </c>
      <c r="I369">
        <v>92</v>
      </c>
      <c r="J369">
        <v>85.8</v>
      </c>
      <c r="K369">
        <v>0.2</v>
      </c>
      <c r="L369">
        <v>1.8</v>
      </c>
      <c r="M369">
        <v>7</v>
      </c>
      <c r="N369">
        <v>0.7350000000000001</v>
      </c>
      <c r="O369">
        <v>-1.1000000000000001</v>
      </c>
      <c r="P369" t="s">
        <v>27</v>
      </c>
      <c r="Q369" t="s">
        <v>27</v>
      </c>
      <c r="R369" t="s">
        <v>27</v>
      </c>
      <c r="S369">
        <v>-0.1</v>
      </c>
      <c r="T369">
        <v>0.4</v>
      </c>
      <c r="U369">
        <v>0.9</v>
      </c>
      <c r="V369" t="s">
        <v>27</v>
      </c>
      <c r="W369">
        <v>0.504</v>
      </c>
      <c r="X369">
        <v>8.3000000000000004E-2</v>
      </c>
      <c r="Y369" t="s">
        <v>27</v>
      </c>
      <c r="Z369" t="s">
        <v>27</v>
      </c>
      <c r="AA369" t="s">
        <v>27</v>
      </c>
      <c r="AB369" t="s">
        <v>27</v>
      </c>
      <c r="AC369" t="s">
        <v>27</v>
      </c>
      <c r="AD369" t="s">
        <v>27</v>
      </c>
      <c r="AE369" t="s">
        <v>27</v>
      </c>
      <c r="AF369" t="s">
        <v>27</v>
      </c>
      <c r="AG369">
        <v>5.09</v>
      </c>
    </row>
    <row r="370" spans="1:33" x14ac:dyDescent="0.25">
      <c r="A370" t="s">
        <v>57</v>
      </c>
      <c r="B370" s="3">
        <v>43831</v>
      </c>
      <c r="C370">
        <v>2020001</v>
      </c>
      <c r="D370">
        <v>0.49</v>
      </c>
      <c r="E370" t="s">
        <v>27</v>
      </c>
      <c r="F370">
        <v>-0.4</v>
      </c>
      <c r="G370">
        <v>0.8</v>
      </c>
      <c r="H370">
        <v>-2.7</v>
      </c>
      <c r="I370">
        <v>85.1</v>
      </c>
      <c r="J370">
        <v>72.099999999999994</v>
      </c>
      <c r="K370">
        <v>1.4</v>
      </c>
      <c r="L370">
        <v>3.2</v>
      </c>
      <c r="M370">
        <v>0</v>
      </c>
      <c r="N370">
        <v>0.70400000000000018</v>
      </c>
      <c r="O370">
        <v>-0.9</v>
      </c>
      <c r="P370" t="s">
        <v>27</v>
      </c>
      <c r="Q370" t="s">
        <v>27</v>
      </c>
      <c r="R370" t="s">
        <v>27</v>
      </c>
      <c r="S370">
        <v>-0.1</v>
      </c>
      <c r="T370">
        <v>0.4</v>
      </c>
      <c r="U370">
        <v>1</v>
      </c>
      <c r="V370" t="s">
        <v>27</v>
      </c>
      <c r="W370">
        <v>0.46600000000000003</v>
      </c>
      <c r="X370">
        <v>0.18</v>
      </c>
      <c r="Y370" t="s">
        <v>27</v>
      </c>
      <c r="Z370" t="s">
        <v>27</v>
      </c>
      <c r="AA370" t="s">
        <v>27</v>
      </c>
      <c r="AB370" t="s">
        <v>27</v>
      </c>
      <c r="AC370" t="s">
        <v>27</v>
      </c>
      <c r="AD370" t="s">
        <v>27</v>
      </c>
      <c r="AE370" t="s">
        <v>27</v>
      </c>
      <c r="AF370" t="s">
        <v>27</v>
      </c>
      <c r="AG370">
        <v>5.14</v>
      </c>
    </row>
    <row r="371" spans="1:33" x14ac:dyDescent="0.25">
      <c r="A371" t="s">
        <v>57</v>
      </c>
      <c r="B371" s="3">
        <v>43832</v>
      </c>
      <c r="C371">
        <v>2020002</v>
      </c>
      <c r="D371">
        <v>1.23</v>
      </c>
      <c r="E371" t="s">
        <v>27</v>
      </c>
      <c r="F371">
        <v>-5.8</v>
      </c>
      <c r="G371">
        <v>-2.4</v>
      </c>
      <c r="H371">
        <v>-7.1</v>
      </c>
      <c r="I371">
        <v>86</v>
      </c>
      <c r="J371">
        <v>73.599999999999994</v>
      </c>
      <c r="K371">
        <v>0.7</v>
      </c>
      <c r="L371">
        <v>3.6</v>
      </c>
      <c r="M371">
        <v>27.3</v>
      </c>
      <c r="N371">
        <v>0.91700000000000004</v>
      </c>
      <c r="O371">
        <v>-0.7</v>
      </c>
      <c r="P371" t="s">
        <v>27</v>
      </c>
      <c r="Q371" t="s">
        <v>27</v>
      </c>
      <c r="R371" t="s">
        <v>27</v>
      </c>
      <c r="S371">
        <v>-0.1</v>
      </c>
      <c r="T371">
        <v>0.3</v>
      </c>
      <c r="U371">
        <v>0.9</v>
      </c>
      <c r="V371" t="s">
        <v>27</v>
      </c>
      <c r="W371">
        <v>0.376</v>
      </c>
      <c r="X371">
        <v>0.13500000000000001</v>
      </c>
      <c r="Y371" t="s">
        <v>27</v>
      </c>
      <c r="Z371" t="s">
        <v>27</v>
      </c>
      <c r="AA371" t="s">
        <v>27</v>
      </c>
      <c r="AB371" t="s">
        <v>27</v>
      </c>
      <c r="AC371" t="s">
        <v>27</v>
      </c>
      <c r="AD371" t="s">
        <v>27</v>
      </c>
      <c r="AE371" t="s">
        <v>27</v>
      </c>
      <c r="AF371" t="s">
        <v>27</v>
      </c>
      <c r="AG371">
        <v>5.18</v>
      </c>
    </row>
    <row r="372" spans="1:33" x14ac:dyDescent="0.25">
      <c r="A372" t="s">
        <v>57</v>
      </c>
      <c r="B372" s="3">
        <v>43833</v>
      </c>
      <c r="C372">
        <v>2020003</v>
      </c>
      <c r="D372">
        <v>1.03</v>
      </c>
      <c r="E372" t="s">
        <v>27</v>
      </c>
      <c r="F372">
        <v>-2.4</v>
      </c>
      <c r="G372">
        <v>0.2</v>
      </c>
      <c r="H372">
        <v>-5.0999999999999996</v>
      </c>
      <c r="I372">
        <v>89.3</v>
      </c>
      <c r="J372">
        <v>64.3</v>
      </c>
      <c r="K372">
        <v>0.6</v>
      </c>
      <c r="L372">
        <v>3.1</v>
      </c>
      <c r="M372">
        <v>0</v>
      </c>
      <c r="N372">
        <v>0.83500000000000019</v>
      </c>
      <c r="O372">
        <v>-0.6</v>
      </c>
      <c r="P372" t="s">
        <v>27</v>
      </c>
      <c r="Q372" t="s">
        <v>27</v>
      </c>
      <c r="R372" t="s">
        <v>27</v>
      </c>
      <c r="S372">
        <v>0</v>
      </c>
      <c r="T372">
        <v>0.4</v>
      </c>
      <c r="U372">
        <v>0.9</v>
      </c>
      <c r="V372" t="s">
        <v>27</v>
      </c>
      <c r="W372">
        <v>0.39900000000000002</v>
      </c>
      <c r="X372">
        <v>0.222</v>
      </c>
      <c r="Y372" t="s">
        <v>27</v>
      </c>
      <c r="Z372" t="s">
        <v>27</v>
      </c>
      <c r="AA372" t="s">
        <v>27</v>
      </c>
      <c r="AB372" t="s">
        <v>27</v>
      </c>
      <c r="AC372" t="s">
        <v>27</v>
      </c>
      <c r="AD372" t="s">
        <v>27</v>
      </c>
      <c r="AE372" t="s">
        <v>27</v>
      </c>
      <c r="AF372" t="s">
        <v>27</v>
      </c>
      <c r="AG372">
        <v>5.22</v>
      </c>
    </row>
    <row r="373" spans="1:33" x14ac:dyDescent="0.25">
      <c r="A373" t="s">
        <v>57</v>
      </c>
      <c r="B373" s="3">
        <v>43834</v>
      </c>
      <c r="C373">
        <v>2020004</v>
      </c>
      <c r="D373">
        <v>3.17</v>
      </c>
      <c r="E373" t="s">
        <v>27</v>
      </c>
      <c r="F373">
        <v>-4.2</v>
      </c>
      <c r="G373">
        <v>0</v>
      </c>
      <c r="H373">
        <v>-7</v>
      </c>
      <c r="I373">
        <v>71.900000000000006</v>
      </c>
      <c r="J373">
        <v>53.4</v>
      </c>
      <c r="K373">
        <v>1.4</v>
      </c>
      <c r="L373">
        <v>5.5</v>
      </c>
      <c r="M373">
        <v>0</v>
      </c>
      <c r="N373">
        <v>0.81</v>
      </c>
      <c r="O373">
        <v>-0.6</v>
      </c>
      <c r="P373" t="s">
        <v>27</v>
      </c>
      <c r="Q373" t="s">
        <v>27</v>
      </c>
      <c r="R373" t="s">
        <v>27</v>
      </c>
      <c r="S373">
        <v>0</v>
      </c>
      <c r="T373">
        <v>0.3</v>
      </c>
      <c r="U373">
        <v>0.9</v>
      </c>
      <c r="V373" t="s">
        <v>27</v>
      </c>
      <c r="W373">
        <v>0.32700000000000001</v>
      </c>
      <c r="X373">
        <v>0.28499999999999998</v>
      </c>
      <c r="Y373" t="s">
        <v>27</v>
      </c>
      <c r="Z373" t="s">
        <v>27</v>
      </c>
      <c r="AA373" t="s">
        <v>27</v>
      </c>
      <c r="AB373" t="s">
        <v>27</v>
      </c>
      <c r="AC373" t="s">
        <v>27</v>
      </c>
      <c r="AD373" t="s">
        <v>27</v>
      </c>
      <c r="AE373" t="s">
        <v>27</v>
      </c>
      <c r="AF373" t="s">
        <v>27</v>
      </c>
      <c r="AG373">
        <v>5.27</v>
      </c>
    </row>
    <row r="374" spans="1:33" x14ac:dyDescent="0.25">
      <c r="A374" t="s">
        <v>57</v>
      </c>
      <c r="B374" s="3">
        <v>43835</v>
      </c>
      <c r="C374">
        <v>2020005</v>
      </c>
      <c r="D374">
        <v>1.75</v>
      </c>
      <c r="E374" t="s">
        <v>27</v>
      </c>
      <c r="F374">
        <v>-5.4</v>
      </c>
      <c r="G374">
        <v>-3.1</v>
      </c>
      <c r="H374">
        <v>-7.2</v>
      </c>
      <c r="I374">
        <v>81.599999999999994</v>
      </c>
      <c r="J374">
        <v>63.4</v>
      </c>
      <c r="K374">
        <v>1.2</v>
      </c>
      <c r="L374">
        <v>4.4000000000000004</v>
      </c>
      <c r="M374">
        <v>0</v>
      </c>
      <c r="N374">
        <v>0.77200000000000002</v>
      </c>
      <c r="O374">
        <v>-0.6</v>
      </c>
      <c r="P374" t="s">
        <v>27</v>
      </c>
      <c r="Q374" t="s">
        <v>27</v>
      </c>
      <c r="R374" t="s">
        <v>27</v>
      </c>
      <c r="S374">
        <v>0</v>
      </c>
      <c r="T374">
        <v>0.3</v>
      </c>
      <c r="U374">
        <v>0.9</v>
      </c>
      <c r="V374" t="s">
        <v>27</v>
      </c>
      <c r="W374">
        <v>0.309</v>
      </c>
      <c r="X374">
        <v>0.17799999999999999</v>
      </c>
      <c r="Y374" t="s">
        <v>27</v>
      </c>
      <c r="Z374" t="s">
        <v>27</v>
      </c>
      <c r="AA374" t="s">
        <v>27</v>
      </c>
      <c r="AB374" t="s">
        <v>27</v>
      </c>
      <c r="AC374" t="s">
        <v>27</v>
      </c>
      <c r="AD374" t="s">
        <v>27</v>
      </c>
      <c r="AE374" t="s">
        <v>27</v>
      </c>
      <c r="AF374" t="s">
        <v>27</v>
      </c>
      <c r="AG374">
        <v>5.32</v>
      </c>
    </row>
    <row r="375" spans="1:33" x14ac:dyDescent="0.25">
      <c r="A375" t="s">
        <v>57</v>
      </c>
      <c r="B375" s="3">
        <v>43836</v>
      </c>
      <c r="C375">
        <v>2020006</v>
      </c>
      <c r="D375">
        <v>0.16</v>
      </c>
      <c r="E375" t="s">
        <v>27</v>
      </c>
      <c r="F375">
        <v>-5.8</v>
      </c>
      <c r="G375">
        <v>-3.3</v>
      </c>
      <c r="H375">
        <v>-7.6</v>
      </c>
      <c r="I375">
        <v>90.1</v>
      </c>
      <c r="J375">
        <v>74.900000000000006</v>
      </c>
      <c r="K375">
        <v>0.1</v>
      </c>
      <c r="L375">
        <v>1.2</v>
      </c>
      <c r="M375">
        <v>16.100000000000001</v>
      </c>
      <c r="N375">
        <v>0.91400000000000015</v>
      </c>
      <c r="O375">
        <v>-0.6</v>
      </c>
      <c r="P375" t="s">
        <v>27</v>
      </c>
      <c r="Q375" t="s">
        <v>27</v>
      </c>
      <c r="R375" t="s">
        <v>27</v>
      </c>
      <c r="S375">
        <v>0</v>
      </c>
      <c r="T375">
        <v>0.3</v>
      </c>
      <c r="U375">
        <v>0.9</v>
      </c>
      <c r="V375" t="s">
        <v>27</v>
      </c>
      <c r="W375">
        <v>0.36</v>
      </c>
      <c r="X375">
        <v>0.121</v>
      </c>
      <c r="Y375" t="s">
        <v>27</v>
      </c>
      <c r="Z375" t="s">
        <v>27</v>
      </c>
      <c r="AA375" t="s">
        <v>27</v>
      </c>
      <c r="AB375" t="s">
        <v>27</v>
      </c>
      <c r="AC375" t="s">
        <v>27</v>
      </c>
      <c r="AD375" t="s">
        <v>27</v>
      </c>
      <c r="AE375" t="s">
        <v>27</v>
      </c>
      <c r="AF375" t="s">
        <v>27</v>
      </c>
      <c r="AG375">
        <v>5.37</v>
      </c>
    </row>
    <row r="376" spans="1:33" x14ac:dyDescent="0.25">
      <c r="A376" t="s">
        <v>57</v>
      </c>
      <c r="B376" s="3">
        <v>43837</v>
      </c>
      <c r="C376">
        <v>2020007</v>
      </c>
      <c r="D376">
        <v>0.39</v>
      </c>
      <c r="E376" t="s">
        <v>27</v>
      </c>
      <c r="F376">
        <v>-1.5</v>
      </c>
      <c r="G376">
        <v>0.6</v>
      </c>
      <c r="H376">
        <v>-3.8</v>
      </c>
      <c r="I376">
        <v>93.8</v>
      </c>
      <c r="J376">
        <v>91.3</v>
      </c>
      <c r="K376">
        <v>0.4</v>
      </c>
      <c r="L376">
        <v>1.8</v>
      </c>
      <c r="M376">
        <v>3.1</v>
      </c>
      <c r="N376">
        <v>0.90200000000000014</v>
      </c>
      <c r="O376">
        <v>-0.6</v>
      </c>
      <c r="P376" t="s">
        <v>27</v>
      </c>
      <c r="Q376" t="s">
        <v>27</v>
      </c>
      <c r="R376" t="s">
        <v>27</v>
      </c>
      <c r="S376">
        <v>0</v>
      </c>
      <c r="T376">
        <v>0.4</v>
      </c>
      <c r="U376">
        <v>0.9</v>
      </c>
      <c r="V376" t="s">
        <v>27</v>
      </c>
      <c r="W376">
        <v>0.58299999999999996</v>
      </c>
      <c r="X376">
        <v>5.6000000000000001E-2</v>
      </c>
      <c r="Y376" t="s">
        <v>27</v>
      </c>
      <c r="Z376" t="s">
        <v>27</v>
      </c>
      <c r="AA376" t="s">
        <v>27</v>
      </c>
      <c r="AB376" t="s">
        <v>27</v>
      </c>
      <c r="AC376" t="s">
        <v>27</v>
      </c>
      <c r="AD376" t="s">
        <v>27</v>
      </c>
      <c r="AE376" t="s">
        <v>27</v>
      </c>
      <c r="AF376" t="s">
        <v>27</v>
      </c>
      <c r="AG376">
        <v>5.43</v>
      </c>
    </row>
    <row r="377" spans="1:33" x14ac:dyDescent="0.25">
      <c r="A377" t="s">
        <v>57</v>
      </c>
      <c r="B377" s="3">
        <v>43838</v>
      </c>
      <c r="C377">
        <v>2020008</v>
      </c>
      <c r="D377">
        <v>0.39</v>
      </c>
      <c r="E377" t="s">
        <v>27</v>
      </c>
      <c r="F377">
        <v>-7</v>
      </c>
      <c r="G377">
        <v>-0.9</v>
      </c>
      <c r="H377">
        <v>-18.3</v>
      </c>
      <c r="I377">
        <v>86.8</v>
      </c>
      <c r="J377">
        <v>79.3</v>
      </c>
      <c r="K377">
        <v>0.7</v>
      </c>
      <c r="L377">
        <v>3</v>
      </c>
      <c r="M377">
        <v>7.5</v>
      </c>
      <c r="N377">
        <v>0.94200000000000017</v>
      </c>
      <c r="O377">
        <v>-0.6</v>
      </c>
      <c r="P377" t="s">
        <v>27</v>
      </c>
      <c r="Q377" t="s">
        <v>27</v>
      </c>
      <c r="R377" t="s">
        <v>27</v>
      </c>
      <c r="S377">
        <v>-0.1</v>
      </c>
      <c r="T377">
        <v>0.3</v>
      </c>
      <c r="U377">
        <v>0.9</v>
      </c>
      <c r="V377" t="s">
        <v>27</v>
      </c>
      <c r="W377">
        <v>0.45200000000000001</v>
      </c>
      <c r="X377">
        <v>0.11799999999999999</v>
      </c>
      <c r="Y377" t="s">
        <v>27</v>
      </c>
      <c r="Z377" t="s">
        <v>27</v>
      </c>
      <c r="AA377" t="s">
        <v>27</v>
      </c>
      <c r="AB377" t="s">
        <v>27</v>
      </c>
      <c r="AC377" t="s">
        <v>27</v>
      </c>
      <c r="AD377" t="s">
        <v>27</v>
      </c>
      <c r="AE377" t="s">
        <v>27</v>
      </c>
      <c r="AF377" t="s">
        <v>27</v>
      </c>
      <c r="AG377">
        <v>5.49</v>
      </c>
    </row>
    <row r="378" spans="1:33" x14ac:dyDescent="0.25">
      <c r="A378" t="s">
        <v>57</v>
      </c>
      <c r="B378" s="3">
        <v>43839</v>
      </c>
      <c r="C378">
        <v>2020009</v>
      </c>
      <c r="D378">
        <v>1.58</v>
      </c>
      <c r="E378" t="s">
        <v>27</v>
      </c>
      <c r="F378">
        <v>-12.7</v>
      </c>
      <c r="G378">
        <v>-8</v>
      </c>
      <c r="H378">
        <v>-20.100000000000001</v>
      </c>
      <c r="I378">
        <v>81.5</v>
      </c>
      <c r="J378">
        <v>66.7</v>
      </c>
      <c r="K378">
        <v>0.4</v>
      </c>
      <c r="L378">
        <v>2.2999999999999998</v>
      </c>
      <c r="M378">
        <v>2.2000000000000002</v>
      </c>
      <c r="N378">
        <v>0.92000000000000015</v>
      </c>
      <c r="O378">
        <v>-0.6</v>
      </c>
      <c r="P378" t="s">
        <v>27</v>
      </c>
      <c r="Q378" t="s">
        <v>27</v>
      </c>
      <c r="R378" t="s">
        <v>27</v>
      </c>
      <c r="S378">
        <v>-0.1</v>
      </c>
      <c r="T378">
        <v>0.3</v>
      </c>
      <c r="U378">
        <v>0.8</v>
      </c>
      <c r="V378" t="s">
        <v>27</v>
      </c>
      <c r="W378">
        <v>0.223</v>
      </c>
      <c r="X378">
        <v>0.111</v>
      </c>
      <c r="Y378" t="s">
        <v>27</v>
      </c>
      <c r="Z378" t="s">
        <v>27</v>
      </c>
      <c r="AA378" t="s">
        <v>27</v>
      </c>
      <c r="AB378" t="s">
        <v>27</v>
      </c>
      <c r="AC378" t="s">
        <v>27</v>
      </c>
      <c r="AD378" t="s">
        <v>27</v>
      </c>
      <c r="AE378" t="s">
        <v>27</v>
      </c>
      <c r="AF378" t="s">
        <v>27</v>
      </c>
      <c r="AG378">
        <v>5.56</v>
      </c>
    </row>
    <row r="379" spans="1:33" x14ac:dyDescent="0.25">
      <c r="A379" t="s">
        <v>57</v>
      </c>
      <c r="B379" s="3">
        <v>43840</v>
      </c>
      <c r="C379">
        <v>2020010</v>
      </c>
      <c r="D379">
        <v>0.18</v>
      </c>
      <c r="E379" t="s">
        <v>27</v>
      </c>
      <c r="F379">
        <v>-9.8000000000000007</v>
      </c>
      <c r="G379">
        <v>-7.6</v>
      </c>
      <c r="H379">
        <v>-15.1</v>
      </c>
      <c r="I379">
        <v>88.3</v>
      </c>
      <c r="J379">
        <v>83.7</v>
      </c>
      <c r="K379">
        <v>0.4</v>
      </c>
      <c r="L379">
        <v>1.9</v>
      </c>
      <c r="M379">
        <v>14.9</v>
      </c>
      <c r="N379">
        <v>1.032</v>
      </c>
      <c r="O379">
        <v>-0.6</v>
      </c>
      <c r="P379" t="s">
        <v>27</v>
      </c>
      <c r="Q379" t="s">
        <v>27</v>
      </c>
      <c r="R379" t="s">
        <v>27</v>
      </c>
      <c r="S379">
        <v>0</v>
      </c>
      <c r="T379">
        <v>0.3</v>
      </c>
      <c r="U379">
        <v>0.9</v>
      </c>
      <c r="V379" t="s">
        <v>27</v>
      </c>
      <c r="W379">
        <v>0.28899999999999998</v>
      </c>
      <c r="X379">
        <v>5.6000000000000001E-2</v>
      </c>
      <c r="Y379" t="s">
        <v>27</v>
      </c>
      <c r="Z379" t="s">
        <v>27</v>
      </c>
      <c r="AA379" t="s">
        <v>27</v>
      </c>
      <c r="AB379" t="s">
        <v>27</v>
      </c>
      <c r="AC379" t="s">
        <v>27</v>
      </c>
      <c r="AD379" t="s">
        <v>27</v>
      </c>
      <c r="AE379" t="s">
        <v>27</v>
      </c>
      <c r="AF379" t="s">
        <v>27</v>
      </c>
      <c r="AG379">
        <v>5.63</v>
      </c>
    </row>
    <row r="380" spans="1:33" x14ac:dyDescent="0.25">
      <c r="A380" t="s">
        <v>57</v>
      </c>
      <c r="B380" s="3">
        <v>43841</v>
      </c>
      <c r="C380">
        <v>2020011</v>
      </c>
      <c r="D380">
        <v>0.43</v>
      </c>
      <c r="E380" t="s">
        <v>27</v>
      </c>
      <c r="F380">
        <v>-5.9</v>
      </c>
      <c r="G380">
        <v>-2.8</v>
      </c>
      <c r="H380">
        <v>-7.7</v>
      </c>
      <c r="I380">
        <v>88.2</v>
      </c>
      <c r="J380">
        <v>76.7</v>
      </c>
      <c r="K380">
        <v>0.7</v>
      </c>
      <c r="L380">
        <v>3.2</v>
      </c>
      <c r="M380">
        <v>7.3</v>
      </c>
      <c r="N380">
        <v>1.0810000000000002</v>
      </c>
      <c r="O380">
        <v>-0.7</v>
      </c>
      <c r="P380" t="s">
        <v>27</v>
      </c>
      <c r="Q380" t="s">
        <v>27</v>
      </c>
      <c r="R380" t="s">
        <v>27</v>
      </c>
      <c r="S380">
        <v>0</v>
      </c>
      <c r="T380">
        <v>0.3</v>
      </c>
      <c r="U380">
        <v>0.9</v>
      </c>
      <c r="V380" t="s">
        <v>27</v>
      </c>
      <c r="W380">
        <v>0.38200000000000001</v>
      </c>
      <c r="X380">
        <v>0.11600000000000001</v>
      </c>
      <c r="Y380" t="s">
        <v>27</v>
      </c>
      <c r="Z380" t="s">
        <v>27</v>
      </c>
      <c r="AA380" t="s">
        <v>27</v>
      </c>
      <c r="AB380" t="s">
        <v>27</v>
      </c>
      <c r="AC380" t="s">
        <v>27</v>
      </c>
      <c r="AD380" t="s">
        <v>27</v>
      </c>
      <c r="AE380" t="s">
        <v>27</v>
      </c>
      <c r="AF380" t="s">
        <v>27</v>
      </c>
      <c r="AG380">
        <v>5.7</v>
      </c>
    </row>
    <row r="381" spans="1:33" x14ac:dyDescent="0.25">
      <c r="A381" t="s">
        <v>57</v>
      </c>
      <c r="B381" s="3">
        <v>43842</v>
      </c>
      <c r="C381">
        <v>2020012</v>
      </c>
      <c r="D381">
        <v>0.21</v>
      </c>
      <c r="E381" t="s">
        <v>27</v>
      </c>
      <c r="F381">
        <v>-10.3</v>
      </c>
      <c r="G381">
        <v>-4.8</v>
      </c>
      <c r="H381">
        <v>-23.8</v>
      </c>
      <c r="I381">
        <v>87</v>
      </c>
      <c r="J381">
        <v>76.8</v>
      </c>
      <c r="K381">
        <v>0.4</v>
      </c>
      <c r="L381">
        <v>1.8</v>
      </c>
      <c r="M381">
        <v>6.4</v>
      </c>
      <c r="N381">
        <v>1.117</v>
      </c>
      <c r="O381">
        <v>-0.7</v>
      </c>
      <c r="P381" t="s">
        <v>27</v>
      </c>
      <c r="Q381" t="s">
        <v>27</v>
      </c>
      <c r="R381" t="s">
        <v>27</v>
      </c>
      <c r="S381">
        <v>-0.1</v>
      </c>
      <c r="T381">
        <v>0.3</v>
      </c>
      <c r="U381">
        <v>0.8</v>
      </c>
      <c r="V381" t="s">
        <v>27</v>
      </c>
      <c r="W381">
        <v>0.32900000000000001</v>
      </c>
      <c r="X381">
        <v>9.9000000000000005E-2</v>
      </c>
      <c r="Y381" t="s">
        <v>27</v>
      </c>
      <c r="Z381" t="s">
        <v>27</v>
      </c>
      <c r="AA381" t="s">
        <v>27</v>
      </c>
      <c r="AB381" t="s">
        <v>27</v>
      </c>
      <c r="AC381" t="s">
        <v>27</v>
      </c>
      <c r="AD381" t="s">
        <v>27</v>
      </c>
      <c r="AE381" t="s">
        <v>27</v>
      </c>
      <c r="AF381" t="s">
        <v>27</v>
      </c>
      <c r="AG381">
        <v>5.77</v>
      </c>
    </row>
    <row r="382" spans="1:33" x14ac:dyDescent="0.25">
      <c r="A382" t="s">
        <v>57</v>
      </c>
      <c r="B382" s="3">
        <v>43843</v>
      </c>
      <c r="C382">
        <v>2020013</v>
      </c>
      <c r="D382">
        <v>0.61</v>
      </c>
      <c r="E382" t="s">
        <v>27</v>
      </c>
      <c r="F382">
        <v>-24.8</v>
      </c>
      <c r="G382">
        <v>-21.9</v>
      </c>
      <c r="H382">
        <v>-26.7</v>
      </c>
      <c r="I382">
        <v>74.900000000000006</v>
      </c>
      <c r="J382">
        <v>72.3</v>
      </c>
      <c r="K382">
        <v>0.1</v>
      </c>
      <c r="L382">
        <v>1.6</v>
      </c>
      <c r="M382">
        <v>0</v>
      </c>
      <c r="N382">
        <v>1.0550000000000002</v>
      </c>
      <c r="O382">
        <v>-0.8</v>
      </c>
      <c r="P382" t="s">
        <v>27</v>
      </c>
      <c r="Q382" t="s">
        <v>27</v>
      </c>
      <c r="R382" t="s">
        <v>27</v>
      </c>
      <c r="S382">
        <v>-0.1</v>
      </c>
      <c r="T382">
        <v>0.2</v>
      </c>
      <c r="U382">
        <v>0.8</v>
      </c>
      <c r="V382" t="s">
        <v>27</v>
      </c>
      <c r="W382">
        <v>7.5999999999999998E-2</v>
      </c>
      <c r="X382">
        <v>2.9000000000000001E-2</v>
      </c>
      <c r="Y382" t="s">
        <v>27</v>
      </c>
      <c r="Z382" t="s">
        <v>27</v>
      </c>
      <c r="AA382" t="s">
        <v>27</v>
      </c>
      <c r="AB382" t="s">
        <v>27</v>
      </c>
      <c r="AC382" t="s">
        <v>27</v>
      </c>
      <c r="AD382" t="s">
        <v>27</v>
      </c>
      <c r="AE382" t="s">
        <v>27</v>
      </c>
      <c r="AF382" t="s">
        <v>27</v>
      </c>
      <c r="AG382">
        <v>5.85</v>
      </c>
    </row>
    <row r="383" spans="1:33" x14ac:dyDescent="0.25">
      <c r="A383" t="s">
        <v>57</v>
      </c>
      <c r="B383" s="3">
        <v>43844</v>
      </c>
      <c r="C383">
        <v>2020014</v>
      </c>
      <c r="D383">
        <v>0.55000000000000004</v>
      </c>
      <c r="E383" t="s">
        <v>27</v>
      </c>
      <c r="F383">
        <v>-24.4</v>
      </c>
      <c r="G383">
        <v>-21</v>
      </c>
      <c r="H383">
        <v>-26.3</v>
      </c>
      <c r="I383">
        <v>75</v>
      </c>
      <c r="J383">
        <v>71.5</v>
      </c>
      <c r="K383">
        <v>0.1</v>
      </c>
      <c r="L383">
        <v>0.8</v>
      </c>
      <c r="M383">
        <v>0</v>
      </c>
      <c r="N383">
        <v>1.0250000000000001</v>
      </c>
      <c r="O383">
        <v>-0.8</v>
      </c>
      <c r="P383" t="s">
        <v>27</v>
      </c>
      <c r="Q383" t="s">
        <v>27</v>
      </c>
      <c r="R383" t="s">
        <v>27</v>
      </c>
      <c r="S383">
        <v>-0.1</v>
      </c>
      <c r="T383">
        <v>0.2</v>
      </c>
      <c r="U383">
        <v>0.7</v>
      </c>
      <c r="V383" t="s">
        <v>27</v>
      </c>
      <c r="W383">
        <v>8.2000000000000003E-2</v>
      </c>
      <c r="X383">
        <v>3.3000000000000002E-2</v>
      </c>
      <c r="Y383" t="s">
        <v>27</v>
      </c>
      <c r="Z383" t="s">
        <v>27</v>
      </c>
      <c r="AA383" t="s">
        <v>27</v>
      </c>
      <c r="AB383" t="s">
        <v>27</v>
      </c>
      <c r="AC383" t="s">
        <v>27</v>
      </c>
      <c r="AD383" t="s">
        <v>27</v>
      </c>
      <c r="AE383" t="s">
        <v>27</v>
      </c>
      <c r="AF383" t="s">
        <v>27</v>
      </c>
      <c r="AG383">
        <v>5.93</v>
      </c>
    </row>
    <row r="384" spans="1:33" x14ac:dyDescent="0.25">
      <c r="A384" t="s">
        <v>57</v>
      </c>
      <c r="B384" s="3">
        <v>43845</v>
      </c>
      <c r="C384">
        <v>2020015</v>
      </c>
      <c r="D384">
        <v>0.91</v>
      </c>
      <c r="E384" t="s">
        <v>27</v>
      </c>
      <c r="F384">
        <v>-15.5</v>
      </c>
      <c r="G384">
        <v>-9.8000000000000007</v>
      </c>
      <c r="H384">
        <v>-23.4</v>
      </c>
      <c r="I384">
        <v>82.1</v>
      </c>
      <c r="J384">
        <v>76.8</v>
      </c>
      <c r="K384">
        <v>0.7</v>
      </c>
      <c r="L384">
        <v>3</v>
      </c>
      <c r="M384">
        <v>0.9</v>
      </c>
      <c r="N384">
        <v>1.022</v>
      </c>
      <c r="O384">
        <v>-0.8</v>
      </c>
      <c r="P384" t="s">
        <v>27</v>
      </c>
      <c r="Q384" t="s">
        <v>27</v>
      </c>
      <c r="R384" t="s">
        <v>27</v>
      </c>
      <c r="S384">
        <v>-0.1</v>
      </c>
      <c r="T384">
        <v>0.3</v>
      </c>
      <c r="U384">
        <v>0.8</v>
      </c>
      <c r="V384" t="s">
        <v>27</v>
      </c>
      <c r="W384">
        <v>0.223</v>
      </c>
      <c r="X384">
        <v>6.7000000000000004E-2</v>
      </c>
      <c r="Y384" t="s">
        <v>27</v>
      </c>
      <c r="Z384" t="s">
        <v>27</v>
      </c>
      <c r="AA384" t="s">
        <v>27</v>
      </c>
      <c r="AB384" t="s">
        <v>27</v>
      </c>
      <c r="AC384" t="s">
        <v>27</v>
      </c>
      <c r="AD384" t="s">
        <v>27</v>
      </c>
      <c r="AE384" t="s">
        <v>27</v>
      </c>
      <c r="AF384" t="s">
        <v>27</v>
      </c>
      <c r="AG384">
        <v>6.02</v>
      </c>
    </row>
    <row r="385" spans="1:33" x14ac:dyDescent="0.25">
      <c r="A385" t="s">
        <v>57</v>
      </c>
      <c r="B385" s="3">
        <v>43846</v>
      </c>
      <c r="C385">
        <v>2020016</v>
      </c>
      <c r="D385">
        <v>0.49</v>
      </c>
      <c r="E385" t="s">
        <v>27</v>
      </c>
      <c r="F385">
        <v>-8.1999999999999993</v>
      </c>
      <c r="G385">
        <v>-4.5</v>
      </c>
      <c r="H385">
        <v>-17.3</v>
      </c>
      <c r="I385">
        <v>88.7</v>
      </c>
      <c r="J385">
        <v>80.599999999999994</v>
      </c>
      <c r="K385">
        <v>0.1</v>
      </c>
      <c r="L385">
        <v>1.1000000000000001</v>
      </c>
      <c r="M385">
        <v>3.2</v>
      </c>
      <c r="N385">
        <v>1.032</v>
      </c>
      <c r="O385">
        <v>-0.8</v>
      </c>
      <c r="P385" t="s">
        <v>27</v>
      </c>
      <c r="Q385" t="s">
        <v>27</v>
      </c>
      <c r="R385" t="s">
        <v>27</v>
      </c>
      <c r="S385">
        <v>-0.1</v>
      </c>
      <c r="T385">
        <v>0.3</v>
      </c>
      <c r="U385">
        <v>0.8</v>
      </c>
      <c r="V385" t="s">
        <v>27</v>
      </c>
      <c r="W385">
        <v>0.35299999999999998</v>
      </c>
      <c r="X385">
        <v>8.5000000000000006E-2</v>
      </c>
      <c r="Y385" t="s">
        <v>27</v>
      </c>
      <c r="Z385" t="s">
        <v>27</v>
      </c>
      <c r="AA385" t="s">
        <v>27</v>
      </c>
      <c r="AB385" t="s">
        <v>27</v>
      </c>
      <c r="AC385" t="s">
        <v>27</v>
      </c>
      <c r="AD385" t="s">
        <v>27</v>
      </c>
      <c r="AE385" t="s">
        <v>27</v>
      </c>
      <c r="AF385" t="s">
        <v>27</v>
      </c>
      <c r="AG385">
        <v>6.11</v>
      </c>
    </row>
    <row r="386" spans="1:33" x14ac:dyDescent="0.25">
      <c r="A386" t="s">
        <v>57</v>
      </c>
      <c r="B386" s="3">
        <v>43847</v>
      </c>
      <c r="C386">
        <v>2020017</v>
      </c>
      <c r="D386">
        <v>1.79</v>
      </c>
      <c r="E386" t="s">
        <v>27</v>
      </c>
      <c r="F386">
        <v>-12.5</v>
      </c>
      <c r="G386">
        <v>-6.4</v>
      </c>
      <c r="H386">
        <v>-18.3</v>
      </c>
      <c r="I386">
        <v>83</v>
      </c>
      <c r="J386">
        <v>72.7</v>
      </c>
      <c r="K386">
        <v>0.2</v>
      </c>
      <c r="L386">
        <v>1.1000000000000001</v>
      </c>
      <c r="M386">
        <v>0</v>
      </c>
      <c r="N386">
        <v>1.012</v>
      </c>
      <c r="O386">
        <v>-0.9</v>
      </c>
      <c r="P386" t="s">
        <v>27</v>
      </c>
      <c r="Q386" t="s">
        <v>27</v>
      </c>
      <c r="R386" t="s">
        <v>27</v>
      </c>
      <c r="S386">
        <v>-0.1</v>
      </c>
      <c r="T386">
        <v>0.3</v>
      </c>
      <c r="U386">
        <v>0.8</v>
      </c>
      <c r="V386" t="s">
        <v>27</v>
      </c>
      <c r="W386">
        <v>0.27500000000000002</v>
      </c>
      <c r="X386">
        <v>0.10299999999999999</v>
      </c>
      <c r="Y386" t="s">
        <v>27</v>
      </c>
      <c r="Z386" t="s">
        <v>27</v>
      </c>
      <c r="AA386" t="s">
        <v>27</v>
      </c>
      <c r="AB386" t="s">
        <v>27</v>
      </c>
      <c r="AC386" t="s">
        <v>27</v>
      </c>
      <c r="AD386" t="s">
        <v>27</v>
      </c>
      <c r="AE386" t="s">
        <v>27</v>
      </c>
      <c r="AF386" t="s">
        <v>27</v>
      </c>
      <c r="AG386">
        <v>6.2</v>
      </c>
    </row>
    <row r="387" spans="1:33" x14ac:dyDescent="0.25">
      <c r="A387" t="s">
        <v>57</v>
      </c>
      <c r="B387" s="3">
        <v>43848</v>
      </c>
      <c r="C387">
        <v>2020018</v>
      </c>
      <c r="D387">
        <v>0.35</v>
      </c>
      <c r="E387" t="s">
        <v>27</v>
      </c>
      <c r="F387">
        <v>-8.1999999999999993</v>
      </c>
      <c r="G387">
        <v>-6.1</v>
      </c>
      <c r="H387">
        <v>-12.5</v>
      </c>
      <c r="I387">
        <v>89.6</v>
      </c>
      <c r="J387">
        <v>86.4</v>
      </c>
      <c r="K387">
        <v>0.3</v>
      </c>
      <c r="L387">
        <v>1.4</v>
      </c>
      <c r="M387">
        <v>0</v>
      </c>
      <c r="N387">
        <v>1.0150000000000001</v>
      </c>
      <c r="O387">
        <v>-0.9</v>
      </c>
      <c r="P387" t="s">
        <v>27</v>
      </c>
      <c r="Q387" t="s">
        <v>27</v>
      </c>
      <c r="R387" t="s">
        <v>27</v>
      </c>
      <c r="S387">
        <v>-0.1</v>
      </c>
      <c r="T387">
        <v>0.3</v>
      </c>
      <c r="U387">
        <v>0.8</v>
      </c>
      <c r="V387" t="s">
        <v>27</v>
      </c>
      <c r="W387">
        <v>0.33400000000000002</v>
      </c>
      <c r="X387">
        <v>5.2999999999999999E-2</v>
      </c>
      <c r="Y387" t="s">
        <v>27</v>
      </c>
      <c r="Z387" t="s">
        <v>27</v>
      </c>
      <c r="AA387" t="s">
        <v>27</v>
      </c>
      <c r="AB387" t="s">
        <v>27</v>
      </c>
      <c r="AC387" t="s">
        <v>27</v>
      </c>
      <c r="AD387" t="s">
        <v>27</v>
      </c>
      <c r="AE387" t="s">
        <v>27</v>
      </c>
      <c r="AF387" t="s">
        <v>27</v>
      </c>
      <c r="AG387">
        <v>6.3</v>
      </c>
    </row>
    <row r="388" spans="1:33" x14ac:dyDescent="0.25">
      <c r="A388" t="s">
        <v>57</v>
      </c>
      <c r="B388" s="3">
        <v>43849</v>
      </c>
      <c r="C388">
        <v>2020019</v>
      </c>
      <c r="D388">
        <v>0.67</v>
      </c>
      <c r="E388" t="s">
        <v>27</v>
      </c>
      <c r="F388">
        <v>-3.5</v>
      </c>
      <c r="G388">
        <v>-0.2</v>
      </c>
      <c r="H388">
        <v>-7.4</v>
      </c>
      <c r="I388">
        <v>92.8</v>
      </c>
      <c r="J388">
        <v>89.4</v>
      </c>
      <c r="K388">
        <v>0.3</v>
      </c>
      <c r="L388">
        <v>1.2</v>
      </c>
      <c r="M388">
        <v>0</v>
      </c>
      <c r="N388">
        <v>0.9930000000000001</v>
      </c>
      <c r="O388">
        <v>-0.9</v>
      </c>
      <c r="P388" t="s">
        <v>27</v>
      </c>
      <c r="Q388" t="s">
        <v>27</v>
      </c>
      <c r="R388" t="s">
        <v>27</v>
      </c>
      <c r="S388">
        <v>0</v>
      </c>
      <c r="T388">
        <v>0.4</v>
      </c>
      <c r="U388">
        <v>0.9</v>
      </c>
      <c r="V388" t="s">
        <v>27</v>
      </c>
      <c r="W388">
        <v>0.53700000000000003</v>
      </c>
      <c r="X388">
        <v>6.4000000000000001E-2</v>
      </c>
      <c r="Y388" t="s">
        <v>27</v>
      </c>
      <c r="Z388" t="s">
        <v>27</v>
      </c>
      <c r="AA388" t="s">
        <v>27</v>
      </c>
      <c r="AB388" t="s">
        <v>27</v>
      </c>
      <c r="AC388" t="s">
        <v>27</v>
      </c>
      <c r="AD388" t="s">
        <v>27</v>
      </c>
      <c r="AE388" t="s">
        <v>27</v>
      </c>
      <c r="AF388" t="s">
        <v>27</v>
      </c>
      <c r="AG388">
        <v>6.4</v>
      </c>
    </row>
    <row r="389" spans="1:33" x14ac:dyDescent="0.25">
      <c r="A389" t="s">
        <v>57</v>
      </c>
      <c r="B389" s="3">
        <v>43850</v>
      </c>
      <c r="C389">
        <v>2020020</v>
      </c>
      <c r="D389">
        <v>0.67</v>
      </c>
      <c r="E389" t="s">
        <v>27</v>
      </c>
      <c r="F389">
        <v>-1.5</v>
      </c>
      <c r="G389">
        <v>0</v>
      </c>
      <c r="H389">
        <v>-3.1</v>
      </c>
      <c r="I389">
        <v>92.5</v>
      </c>
      <c r="J389">
        <v>88.2</v>
      </c>
      <c r="K389">
        <v>0.2</v>
      </c>
      <c r="L389">
        <v>1.3</v>
      </c>
      <c r="M389">
        <v>0</v>
      </c>
      <c r="N389">
        <v>0.95500000000000007</v>
      </c>
      <c r="O389">
        <v>-0.9</v>
      </c>
      <c r="P389" t="s">
        <v>27</v>
      </c>
      <c r="Q389" t="s">
        <v>27</v>
      </c>
      <c r="R389" t="s">
        <v>27</v>
      </c>
      <c r="S389">
        <v>0</v>
      </c>
      <c r="T389">
        <v>0.4</v>
      </c>
      <c r="U389">
        <v>0.9</v>
      </c>
      <c r="V389" t="s">
        <v>27</v>
      </c>
      <c r="W389">
        <v>0.53800000000000003</v>
      </c>
      <c r="X389">
        <v>7.1999999999999995E-2</v>
      </c>
      <c r="Y389" t="s">
        <v>27</v>
      </c>
      <c r="Z389" t="s">
        <v>27</v>
      </c>
      <c r="AA389" t="s">
        <v>27</v>
      </c>
      <c r="AB389" t="s">
        <v>27</v>
      </c>
      <c r="AC389" t="s">
        <v>27</v>
      </c>
      <c r="AD389" t="s">
        <v>27</v>
      </c>
      <c r="AE389" t="s">
        <v>27</v>
      </c>
      <c r="AF389" t="s">
        <v>27</v>
      </c>
      <c r="AG389">
        <v>6.51</v>
      </c>
    </row>
    <row r="390" spans="1:33" x14ac:dyDescent="0.25">
      <c r="A390" t="s">
        <v>57</v>
      </c>
      <c r="B390" s="3">
        <v>43851</v>
      </c>
      <c r="C390">
        <v>2020021</v>
      </c>
      <c r="D390">
        <v>0.48</v>
      </c>
      <c r="E390" t="s">
        <v>27</v>
      </c>
      <c r="F390">
        <v>-2.5</v>
      </c>
      <c r="G390">
        <v>0.2</v>
      </c>
      <c r="H390">
        <v>-4.2</v>
      </c>
      <c r="I390">
        <v>91.5</v>
      </c>
      <c r="J390">
        <v>84.6</v>
      </c>
      <c r="K390">
        <v>0.1</v>
      </c>
      <c r="L390">
        <v>0.8</v>
      </c>
      <c r="M390">
        <v>1.3</v>
      </c>
      <c r="N390">
        <v>0.96400000000000019</v>
      </c>
      <c r="O390">
        <v>-0.8</v>
      </c>
      <c r="P390" t="s">
        <v>27</v>
      </c>
      <c r="Q390" t="s">
        <v>27</v>
      </c>
      <c r="R390" t="s">
        <v>27</v>
      </c>
      <c r="S390">
        <v>0</v>
      </c>
      <c r="T390">
        <v>0.4</v>
      </c>
      <c r="U390">
        <v>0.9</v>
      </c>
      <c r="V390" t="s">
        <v>27</v>
      </c>
      <c r="W390">
        <v>0.52500000000000002</v>
      </c>
      <c r="X390">
        <v>9.6000000000000002E-2</v>
      </c>
      <c r="Y390" t="s">
        <v>27</v>
      </c>
      <c r="Z390" t="s">
        <v>27</v>
      </c>
      <c r="AA390" t="s">
        <v>27</v>
      </c>
      <c r="AB390" t="s">
        <v>27</v>
      </c>
      <c r="AC390" t="s">
        <v>27</v>
      </c>
      <c r="AD390" t="s">
        <v>27</v>
      </c>
      <c r="AE390" t="s">
        <v>27</v>
      </c>
      <c r="AF390" t="s">
        <v>27</v>
      </c>
      <c r="AG390">
        <v>6.61</v>
      </c>
    </row>
    <row r="391" spans="1:33" x14ac:dyDescent="0.25">
      <c r="A391" t="s">
        <v>57</v>
      </c>
      <c r="B391" s="3">
        <v>43852</v>
      </c>
      <c r="C391">
        <v>2020022</v>
      </c>
      <c r="D391">
        <v>0.63</v>
      </c>
      <c r="E391" t="s">
        <v>27</v>
      </c>
      <c r="F391">
        <v>-3.1</v>
      </c>
      <c r="G391">
        <v>-0.3</v>
      </c>
      <c r="H391">
        <v>-4.7</v>
      </c>
      <c r="I391">
        <v>91.3</v>
      </c>
      <c r="J391">
        <v>77.400000000000006</v>
      </c>
      <c r="K391">
        <v>0</v>
      </c>
      <c r="L391">
        <v>1.1000000000000001</v>
      </c>
      <c r="M391">
        <v>6</v>
      </c>
      <c r="N391">
        <v>1.026</v>
      </c>
      <c r="O391">
        <v>-0.7</v>
      </c>
      <c r="P391" t="s">
        <v>27</v>
      </c>
      <c r="Q391" t="s">
        <v>27</v>
      </c>
      <c r="R391" t="s">
        <v>27</v>
      </c>
      <c r="S391">
        <v>0</v>
      </c>
      <c r="T391">
        <v>0.4</v>
      </c>
      <c r="U391">
        <v>0.8</v>
      </c>
      <c r="V391" t="s">
        <v>27</v>
      </c>
      <c r="W391">
        <v>0.46300000000000002</v>
      </c>
      <c r="X391">
        <v>0.13500000000000001</v>
      </c>
      <c r="Y391" t="s">
        <v>27</v>
      </c>
      <c r="Z391" t="s">
        <v>27</v>
      </c>
      <c r="AA391" t="s">
        <v>27</v>
      </c>
      <c r="AB391" t="s">
        <v>27</v>
      </c>
      <c r="AC391" t="s">
        <v>27</v>
      </c>
      <c r="AD391" t="s">
        <v>27</v>
      </c>
      <c r="AE391" t="s">
        <v>27</v>
      </c>
      <c r="AF391" t="s">
        <v>27</v>
      </c>
      <c r="AG391">
        <v>6.73</v>
      </c>
    </row>
    <row r="392" spans="1:33" x14ac:dyDescent="0.25">
      <c r="A392" t="s">
        <v>57</v>
      </c>
      <c r="B392" s="3">
        <v>43853</v>
      </c>
      <c r="C392">
        <v>2020023</v>
      </c>
      <c r="D392">
        <v>1.1399999999999999</v>
      </c>
      <c r="E392" t="s">
        <v>27</v>
      </c>
      <c r="F392">
        <v>-1.5</v>
      </c>
      <c r="G392">
        <v>1.4</v>
      </c>
      <c r="H392">
        <v>-3.8</v>
      </c>
      <c r="I392">
        <v>93.4</v>
      </c>
      <c r="J392">
        <v>85.3</v>
      </c>
      <c r="K392">
        <v>0.3</v>
      </c>
      <c r="L392">
        <v>1.5</v>
      </c>
      <c r="M392">
        <v>1</v>
      </c>
      <c r="N392">
        <v>0.996</v>
      </c>
      <c r="O392">
        <v>-0.6</v>
      </c>
      <c r="P392" t="s">
        <v>27</v>
      </c>
      <c r="Q392" t="s">
        <v>27</v>
      </c>
      <c r="R392" t="s">
        <v>27</v>
      </c>
      <c r="S392">
        <v>0</v>
      </c>
      <c r="T392">
        <v>0.4</v>
      </c>
      <c r="U392">
        <v>0.9</v>
      </c>
      <c r="V392" t="s">
        <v>27</v>
      </c>
      <c r="W392">
        <v>0.57499999999999996</v>
      </c>
      <c r="X392">
        <v>9.9000000000000005E-2</v>
      </c>
      <c r="Y392" t="s">
        <v>27</v>
      </c>
      <c r="Z392" t="s">
        <v>27</v>
      </c>
      <c r="AA392" t="s">
        <v>27</v>
      </c>
      <c r="AB392" t="s">
        <v>27</v>
      </c>
      <c r="AC392" t="s">
        <v>27</v>
      </c>
      <c r="AD392" t="s">
        <v>27</v>
      </c>
      <c r="AE392" t="s">
        <v>27</v>
      </c>
      <c r="AF392" t="s">
        <v>27</v>
      </c>
      <c r="AG392">
        <v>6.84</v>
      </c>
    </row>
    <row r="393" spans="1:33" x14ac:dyDescent="0.25">
      <c r="A393" t="s">
        <v>57</v>
      </c>
      <c r="B393" s="3">
        <v>43854</v>
      </c>
      <c r="C393">
        <v>2020024</v>
      </c>
      <c r="D393">
        <v>3.41</v>
      </c>
      <c r="E393" t="s">
        <v>27</v>
      </c>
      <c r="F393">
        <v>-0.6</v>
      </c>
      <c r="G393">
        <v>3.3</v>
      </c>
      <c r="H393">
        <v>-6.2</v>
      </c>
      <c r="I393">
        <v>93.9</v>
      </c>
      <c r="J393">
        <v>79.7</v>
      </c>
      <c r="K393">
        <v>0.2</v>
      </c>
      <c r="L393">
        <v>1.8</v>
      </c>
      <c r="M393">
        <v>4</v>
      </c>
      <c r="N393">
        <v>1.02</v>
      </c>
      <c r="O393">
        <v>-0.5</v>
      </c>
      <c r="P393" t="s">
        <v>27</v>
      </c>
      <c r="Q393" t="s">
        <v>27</v>
      </c>
      <c r="R393" t="s">
        <v>27</v>
      </c>
      <c r="S393">
        <v>0</v>
      </c>
      <c r="T393">
        <v>0.4</v>
      </c>
      <c r="U393">
        <v>0.9</v>
      </c>
      <c r="V393" t="s">
        <v>27</v>
      </c>
      <c r="W393">
        <v>0.61599999999999999</v>
      </c>
      <c r="X393">
        <v>0.157</v>
      </c>
      <c r="Y393" t="s">
        <v>27</v>
      </c>
      <c r="Z393" t="s">
        <v>27</v>
      </c>
      <c r="AA393" t="s">
        <v>27</v>
      </c>
      <c r="AB393" t="s">
        <v>27</v>
      </c>
      <c r="AC393" t="s">
        <v>27</v>
      </c>
      <c r="AD393" t="s">
        <v>27</v>
      </c>
      <c r="AE393" t="s">
        <v>27</v>
      </c>
      <c r="AF393" t="s">
        <v>27</v>
      </c>
      <c r="AG393">
        <v>6.96</v>
      </c>
    </row>
    <row r="394" spans="1:33" x14ac:dyDescent="0.25">
      <c r="A394" t="s">
        <v>57</v>
      </c>
      <c r="B394" s="3">
        <v>43855</v>
      </c>
      <c r="C394">
        <v>2020025</v>
      </c>
      <c r="D394">
        <v>0.9</v>
      </c>
      <c r="E394" t="s">
        <v>27</v>
      </c>
      <c r="F394">
        <v>-5</v>
      </c>
      <c r="G394">
        <v>-0.9</v>
      </c>
      <c r="H394">
        <v>-10.4</v>
      </c>
      <c r="I394">
        <v>92</v>
      </c>
      <c r="J394">
        <v>87.1</v>
      </c>
      <c r="K394">
        <v>0</v>
      </c>
      <c r="L394">
        <v>0.8</v>
      </c>
      <c r="M394">
        <v>2</v>
      </c>
      <c r="N394">
        <v>1.0270000000000001</v>
      </c>
      <c r="O394">
        <v>-0.5</v>
      </c>
      <c r="P394" t="s">
        <v>27</v>
      </c>
      <c r="Q394" t="s">
        <v>27</v>
      </c>
      <c r="R394" t="s">
        <v>27</v>
      </c>
      <c r="S394">
        <v>0</v>
      </c>
      <c r="T394">
        <v>0.3</v>
      </c>
      <c r="U394">
        <v>0.8</v>
      </c>
      <c r="V394" t="s">
        <v>27</v>
      </c>
      <c r="W394">
        <v>0.499</v>
      </c>
      <c r="X394">
        <v>7.3999999999999996E-2</v>
      </c>
      <c r="Y394" t="s">
        <v>27</v>
      </c>
      <c r="Z394" t="s">
        <v>27</v>
      </c>
      <c r="AA394" t="s">
        <v>27</v>
      </c>
      <c r="AB394" t="s">
        <v>27</v>
      </c>
      <c r="AC394" t="s">
        <v>27</v>
      </c>
      <c r="AD394" t="s">
        <v>27</v>
      </c>
      <c r="AE394" t="s">
        <v>27</v>
      </c>
      <c r="AF394" t="s">
        <v>27</v>
      </c>
      <c r="AG394">
        <v>7.09</v>
      </c>
    </row>
    <row r="395" spans="1:33" x14ac:dyDescent="0.25">
      <c r="A395" t="s">
        <v>57</v>
      </c>
      <c r="B395" s="3">
        <v>43856</v>
      </c>
      <c r="C395">
        <v>2020026</v>
      </c>
      <c r="D395">
        <v>2.5099999999999998</v>
      </c>
      <c r="E395" t="s">
        <v>27</v>
      </c>
      <c r="F395">
        <v>-1.8</v>
      </c>
      <c r="G395">
        <v>1.5</v>
      </c>
      <c r="H395">
        <v>-3.6</v>
      </c>
      <c r="I395">
        <v>92.8</v>
      </c>
      <c r="J395">
        <v>85.4</v>
      </c>
      <c r="K395">
        <v>0.4</v>
      </c>
      <c r="L395">
        <v>1.9</v>
      </c>
      <c r="M395">
        <v>0</v>
      </c>
      <c r="N395">
        <v>1.0090000000000001</v>
      </c>
      <c r="O395">
        <v>-0.4</v>
      </c>
      <c r="P395" t="s">
        <v>27</v>
      </c>
      <c r="Q395" t="s">
        <v>27</v>
      </c>
      <c r="R395" t="s">
        <v>27</v>
      </c>
      <c r="S395">
        <v>0</v>
      </c>
      <c r="T395">
        <v>0.4</v>
      </c>
      <c r="U395">
        <v>0.8</v>
      </c>
      <c r="V395" t="s">
        <v>27</v>
      </c>
      <c r="W395">
        <v>0.58199999999999996</v>
      </c>
      <c r="X395">
        <v>9.9000000000000005E-2</v>
      </c>
      <c r="Y395" t="s">
        <v>27</v>
      </c>
      <c r="Z395" t="s">
        <v>27</v>
      </c>
      <c r="AA395" t="s">
        <v>27</v>
      </c>
      <c r="AB395" t="s">
        <v>27</v>
      </c>
      <c r="AC395" t="s">
        <v>27</v>
      </c>
      <c r="AD395" t="s">
        <v>27</v>
      </c>
      <c r="AE395" t="s">
        <v>27</v>
      </c>
      <c r="AF395" t="s">
        <v>27</v>
      </c>
      <c r="AG395">
        <v>7.21</v>
      </c>
    </row>
    <row r="396" spans="1:33" x14ac:dyDescent="0.25">
      <c r="A396" t="s">
        <v>57</v>
      </c>
      <c r="B396" s="3">
        <v>43857</v>
      </c>
      <c r="C396">
        <v>2020027</v>
      </c>
      <c r="D396">
        <v>4.63</v>
      </c>
      <c r="E396" t="s">
        <v>27</v>
      </c>
      <c r="F396">
        <v>-2.9</v>
      </c>
      <c r="G396">
        <v>0.4</v>
      </c>
      <c r="H396">
        <v>-4.5999999999999996</v>
      </c>
      <c r="I396">
        <v>88.7</v>
      </c>
      <c r="J396">
        <v>68.400000000000006</v>
      </c>
      <c r="K396">
        <v>0.4</v>
      </c>
      <c r="L396">
        <v>2</v>
      </c>
      <c r="M396">
        <v>4.2</v>
      </c>
      <c r="N396">
        <v>1.0310000000000001</v>
      </c>
      <c r="O396">
        <v>-0.4</v>
      </c>
      <c r="P396" t="s">
        <v>27</v>
      </c>
      <c r="Q396" t="s">
        <v>27</v>
      </c>
      <c r="R396" t="s">
        <v>27</v>
      </c>
      <c r="S396">
        <v>0</v>
      </c>
      <c r="T396">
        <v>0.3</v>
      </c>
      <c r="U396">
        <v>0.8</v>
      </c>
      <c r="V396" t="s">
        <v>27</v>
      </c>
      <c r="W396">
        <v>0.42799999999999999</v>
      </c>
      <c r="X396">
        <v>0.19800000000000001</v>
      </c>
      <c r="Y396" t="s">
        <v>27</v>
      </c>
      <c r="Z396" t="s">
        <v>27</v>
      </c>
      <c r="AA396" t="s">
        <v>27</v>
      </c>
      <c r="AB396" t="s">
        <v>27</v>
      </c>
      <c r="AC396" t="s">
        <v>27</v>
      </c>
      <c r="AD396" t="s">
        <v>27</v>
      </c>
      <c r="AE396" t="s">
        <v>27</v>
      </c>
      <c r="AF396" t="s">
        <v>27</v>
      </c>
      <c r="AG396">
        <v>7.34</v>
      </c>
    </row>
    <row r="397" spans="1:33" x14ac:dyDescent="0.25">
      <c r="A397" t="s">
        <v>57</v>
      </c>
      <c r="B397" s="3">
        <v>43858</v>
      </c>
      <c r="C397">
        <v>2020028</v>
      </c>
      <c r="D397">
        <v>2.89</v>
      </c>
      <c r="E397" t="s">
        <v>27</v>
      </c>
      <c r="F397">
        <v>-3.9</v>
      </c>
      <c r="G397">
        <v>1.4</v>
      </c>
      <c r="H397">
        <v>-10</v>
      </c>
      <c r="I397">
        <v>90.2</v>
      </c>
      <c r="J397">
        <v>73.8</v>
      </c>
      <c r="K397">
        <v>0.2</v>
      </c>
      <c r="L397">
        <v>1.6</v>
      </c>
      <c r="M397">
        <v>1.6</v>
      </c>
      <c r="N397">
        <v>0.996</v>
      </c>
      <c r="O397">
        <v>-0.4</v>
      </c>
      <c r="P397" t="s">
        <v>27</v>
      </c>
      <c r="Q397" t="s">
        <v>27</v>
      </c>
      <c r="R397" t="s">
        <v>27</v>
      </c>
      <c r="S397">
        <v>0</v>
      </c>
      <c r="T397">
        <v>0.3</v>
      </c>
      <c r="U397">
        <v>0.8</v>
      </c>
      <c r="V397" t="s">
        <v>27</v>
      </c>
      <c r="W397">
        <v>0.5</v>
      </c>
      <c r="X397">
        <v>0.17799999999999999</v>
      </c>
      <c r="Y397" t="s">
        <v>27</v>
      </c>
      <c r="Z397" t="s">
        <v>27</v>
      </c>
      <c r="AA397" t="s">
        <v>27</v>
      </c>
      <c r="AB397" t="s">
        <v>27</v>
      </c>
      <c r="AC397" t="s">
        <v>27</v>
      </c>
      <c r="AD397" t="s">
        <v>27</v>
      </c>
      <c r="AE397" t="s">
        <v>27</v>
      </c>
      <c r="AF397" t="s">
        <v>27</v>
      </c>
      <c r="AG397">
        <v>7.47</v>
      </c>
    </row>
    <row r="398" spans="1:33" x14ac:dyDescent="0.25">
      <c r="A398" t="s">
        <v>57</v>
      </c>
      <c r="B398" s="3">
        <v>43859</v>
      </c>
      <c r="C398">
        <v>2020029</v>
      </c>
      <c r="D398">
        <v>1.18</v>
      </c>
      <c r="E398" t="s">
        <v>27</v>
      </c>
      <c r="F398">
        <v>-4.2</v>
      </c>
      <c r="G398">
        <v>-1.2</v>
      </c>
      <c r="H398">
        <v>-10.1</v>
      </c>
      <c r="I398">
        <v>90.3</v>
      </c>
      <c r="J398">
        <v>79.2</v>
      </c>
      <c r="K398">
        <v>0.4</v>
      </c>
      <c r="L398">
        <v>3.6</v>
      </c>
      <c r="M398">
        <v>0</v>
      </c>
      <c r="N398">
        <v>1.01</v>
      </c>
      <c r="O398">
        <v>-0.4</v>
      </c>
      <c r="P398" t="s">
        <v>27</v>
      </c>
      <c r="Q398" t="s">
        <v>27</v>
      </c>
      <c r="R398" t="s">
        <v>27</v>
      </c>
      <c r="S398">
        <v>0</v>
      </c>
      <c r="T398">
        <v>0.3</v>
      </c>
      <c r="U398">
        <v>0.8</v>
      </c>
      <c r="V398" t="s">
        <v>27</v>
      </c>
      <c r="W398">
        <v>0.44400000000000001</v>
      </c>
      <c r="X398">
        <v>0.11700000000000001</v>
      </c>
      <c r="Y398" t="s">
        <v>27</v>
      </c>
      <c r="Z398" t="s">
        <v>27</v>
      </c>
      <c r="AA398" t="s">
        <v>27</v>
      </c>
      <c r="AB398" t="s">
        <v>27</v>
      </c>
      <c r="AC398" t="s">
        <v>27</v>
      </c>
      <c r="AD398" t="s">
        <v>27</v>
      </c>
      <c r="AE398" t="s">
        <v>27</v>
      </c>
      <c r="AF398" t="s">
        <v>27</v>
      </c>
      <c r="AG398">
        <v>7.61</v>
      </c>
    </row>
    <row r="399" spans="1:33" x14ac:dyDescent="0.25">
      <c r="A399" t="s">
        <v>57</v>
      </c>
      <c r="B399" s="3">
        <v>43860</v>
      </c>
      <c r="C399">
        <v>2020030</v>
      </c>
      <c r="D399">
        <v>2.4</v>
      </c>
      <c r="E399" t="s">
        <v>27</v>
      </c>
      <c r="F399">
        <v>-6</v>
      </c>
      <c r="G399">
        <v>-1.9</v>
      </c>
      <c r="H399">
        <v>-13.2</v>
      </c>
      <c r="I399">
        <v>87.7</v>
      </c>
      <c r="J399">
        <v>70.5</v>
      </c>
      <c r="K399">
        <v>0.4</v>
      </c>
      <c r="L399">
        <v>2.4</v>
      </c>
      <c r="M399">
        <v>0</v>
      </c>
      <c r="N399">
        <v>0.98400000000000021</v>
      </c>
      <c r="O399">
        <v>-0.5</v>
      </c>
      <c r="P399" t="s">
        <v>27</v>
      </c>
      <c r="Q399" t="s">
        <v>27</v>
      </c>
      <c r="R399" t="s">
        <v>27</v>
      </c>
      <c r="S399">
        <v>0</v>
      </c>
      <c r="T399">
        <v>0.3</v>
      </c>
      <c r="U399">
        <v>0.8</v>
      </c>
      <c r="V399" t="s">
        <v>27</v>
      </c>
      <c r="W399">
        <v>0.375</v>
      </c>
      <c r="X399">
        <v>0.157</v>
      </c>
      <c r="Y399" t="s">
        <v>27</v>
      </c>
      <c r="Z399" t="s">
        <v>27</v>
      </c>
      <c r="AA399" t="s">
        <v>27</v>
      </c>
      <c r="AB399" t="s">
        <v>27</v>
      </c>
      <c r="AC399" t="s">
        <v>27</v>
      </c>
      <c r="AD399" t="s">
        <v>27</v>
      </c>
      <c r="AE399" t="s">
        <v>27</v>
      </c>
      <c r="AF399" t="s">
        <v>27</v>
      </c>
      <c r="AG399">
        <v>7.75</v>
      </c>
    </row>
    <row r="400" spans="1:33" x14ac:dyDescent="0.25">
      <c r="A400" t="s">
        <v>57</v>
      </c>
      <c r="B400" s="3">
        <v>43861</v>
      </c>
      <c r="C400">
        <v>2020031</v>
      </c>
      <c r="D400">
        <v>1.99</v>
      </c>
      <c r="E400" t="s">
        <v>27</v>
      </c>
      <c r="F400">
        <v>-0.4</v>
      </c>
      <c r="G400">
        <v>2.2999999999999998</v>
      </c>
      <c r="H400">
        <v>-3</v>
      </c>
      <c r="I400">
        <v>94.3</v>
      </c>
      <c r="J400">
        <v>88.5</v>
      </c>
      <c r="K400">
        <v>0.3</v>
      </c>
      <c r="L400">
        <v>2.1</v>
      </c>
      <c r="M400">
        <v>0</v>
      </c>
      <c r="N400">
        <v>0.99900000000000011</v>
      </c>
      <c r="O400">
        <v>-0.5</v>
      </c>
      <c r="P400" t="s">
        <v>27</v>
      </c>
      <c r="Q400" t="s">
        <v>27</v>
      </c>
      <c r="R400" t="s">
        <v>27</v>
      </c>
      <c r="S400">
        <v>0</v>
      </c>
      <c r="T400">
        <v>0.4</v>
      </c>
      <c r="U400">
        <v>0.8</v>
      </c>
      <c r="V400" t="s">
        <v>27</v>
      </c>
      <c r="W400">
        <v>0.63800000000000001</v>
      </c>
      <c r="X400">
        <v>8.3000000000000004E-2</v>
      </c>
      <c r="Y400" t="s">
        <v>27</v>
      </c>
      <c r="Z400" t="s">
        <v>27</v>
      </c>
      <c r="AA400" t="s">
        <v>27</v>
      </c>
      <c r="AB400" t="s">
        <v>27</v>
      </c>
      <c r="AC400" t="s">
        <v>27</v>
      </c>
      <c r="AD400" t="s">
        <v>27</v>
      </c>
      <c r="AE400" t="s">
        <v>27</v>
      </c>
      <c r="AF400" t="s">
        <v>27</v>
      </c>
      <c r="AG400">
        <v>7.9</v>
      </c>
    </row>
    <row r="401" spans="1:33" x14ac:dyDescent="0.25">
      <c r="A401" t="s">
        <v>57</v>
      </c>
      <c r="B401" s="3">
        <v>43862</v>
      </c>
      <c r="C401">
        <v>2020032</v>
      </c>
      <c r="D401">
        <v>2.44</v>
      </c>
      <c r="E401" t="s">
        <v>27</v>
      </c>
      <c r="F401">
        <v>-2.2000000000000002</v>
      </c>
      <c r="G401">
        <v>2.4</v>
      </c>
      <c r="H401">
        <v>-11</v>
      </c>
      <c r="I401">
        <v>85.8</v>
      </c>
      <c r="J401">
        <v>65.5</v>
      </c>
      <c r="K401">
        <v>1.6</v>
      </c>
      <c r="L401">
        <v>4.4000000000000004</v>
      </c>
      <c r="M401">
        <v>4</v>
      </c>
      <c r="N401">
        <v>1.0010000000000001</v>
      </c>
      <c r="O401">
        <v>-0.5</v>
      </c>
      <c r="P401" t="s">
        <v>27</v>
      </c>
      <c r="Q401" t="s">
        <v>27</v>
      </c>
      <c r="R401" t="s">
        <v>27</v>
      </c>
      <c r="S401">
        <v>0</v>
      </c>
      <c r="T401">
        <v>0.4</v>
      </c>
      <c r="U401">
        <v>0.8</v>
      </c>
      <c r="V401" t="s">
        <v>27</v>
      </c>
      <c r="W401">
        <v>0.47699999999999998</v>
      </c>
      <c r="X401">
        <v>0.251</v>
      </c>
      <c r="Y401" t="s">
        <v>27</v>
      </c>
      <c r="Z401" t="s">
        <v>27</v>
      </c>
      <c r="AA401" t="s">
        <v>27</v>
      </c>
      <c r="AB401" t="s">
        <v>27</v>
      </c>
      <c r="AC401" t="s">
        <v>27</v>
      </c>
      <c r="AD401" t="s">
        <v>27</v>
      </c>
      <c r="AE401" t="s">
        <v>27</v>
      </c>
      <c r="AF401" t="s">
        <v>27</v>
      </c>
      <c r="AG401">
        <v>8.0399999999999991</v>
      </c>
    </row>
    <row r="402" spans="1:33" x14ac:dyDescent="0.25">
      <c r="A402" t="s">
        <v>57</v>
      </c>
      <c r="B402" s="3">
        <v>43863</v>
      </c>
      <c r="C402">
        <v>2020033</v>
      </c>
      <c r="D402">
        <v>5.97</v>
      </c>
      <c r="E402" t="s">
        <v>27</v>
      </c>
      <c r="F402">
        <v>-10.7</v>
      </c>
      <c r="G402">
        <v>-3.7</v>
      </c>
      <c r="H402">
        <v>-17.2</v>
      </c>
      <c r="I402">
        <v>77.5</v>
      </c>
      <c r="J402">
        <v>50.1</v>
      </c>
      <c r="K402">
        <v>0.4</v>
      </c>
      <c r="L402">
        <v>2</v>
      </c>
      <c r="M402">
        <v>0</v>
      </c>
      <c r="N402">
        <v>0.996</v>
      </c>
      <c r="O402">
        <v>-0.5</v>
      </c>
      <c r="P402" t="s">
        <v>27</v>
      </c>
      <c r="Q402" t="s">
        <v>27</v>
      </c>
      <c r="R402" t="s">
        <v>27</v>
      </c>
      <c r="S402">
        <v>-0.1</v>
      </c>
      <c r="T402">
        <v>0.3</v>
      </c>
      <c r="U402">
        <v>0.7</v>
      </c>
      <c r="V402" t="s">
        <v>27</v>
      </c>
      <c r="W402">
        <v>0.23200000000000001</v>
      </c>
      <c r="X402">
        <v>0.23100000000000001</v>
      </c>
      <c r="Y402" t="s">
        <v>27</v>
      </c>
      <c r="Z402" t="s">
        <v>27</v>
      </c>
      <c r="AA402" t="s">
        <v>27</v>
      </c>
      <c r="AB402" t="s">
        <v>27</v>
      </c>
      <c r="AC402" t="s">
        <v>27</v>
      </c>
      <c r="AD402" t="s">
        <v>27</v>
      </c>
      <c r="AE402" t="s">
        <v>27</v>
      </c>
      <c r="AF402" t="s">
        <v>27</v>
      </c>
      <c r="AG402">
        <v>8.1999999999999993</v>
      </c>
    </row>
    <row r="403" spans="1:33" x14ac:dyDescent="0.25">
      <c r="A403" t="s">
        <v>57</v>
      </c>
      <c r="B403" s="3">
        <v>43864</v>
      </c>
      <c r="C403">
        <v>2020034</v>
      </c>
      <c r="D403">
        <v>3.82</v>
      </c>
      <c r="E403" t="s">
        <v>27</v>
      </c>
      <c r="F403">
        <v>-12.9</v>
      </c>
      <c r="G403">
        <v>-8.6</v>
      </c>
      <c r="H403">
        <v>-21.8</v>
      </c>
      <c r="I403">
        <v>78.8</v>
      </c>
      <c r="J403">
        <v>57.1</v>
      </c>
      <c r="K403">
        <v>0.4</v>
      </c>
      <c r="L403">
        <v>2.2000000000000002</v>
      </c>
      <c r="M403">
        <v>9.3000000000000007</v>
      </c>
      <c r="N403">
        <v>1.0740000000000001</v>
      </c>
      <c r="O403">
        <v>-0.6</v>
      </c>
      <c r="P403" t="s">
        <v>27</v>
      </c>
      <c r="Q403" t="s">
        <v>27</v>
      </c>
      <c r="R403" t="s">
        <v>27</v>
      </c>
      <c r="S403">
        <v>-0.1</v>
      </c>
      <c r="T403">
        <v>0.3</v>
      </c>
      <c r="U403">
        <v>0.7</v>
      </c>
      <c r="V403" t="s">
        <v>27</v>
      </c>
      <c r="W403">
        <v>0.183</v>
      </c>
      <c r="X403">
        <v>0.13700000000000001</v>
      </c>
      <c r="Y403" t="s">
        <v>27</v>
      </c>
      <c r="Z403" t="s">
        <v>27</v>
      </c>
      <c r="AA403" t="s">
        <v>27</v>
      </c>
      <c r="AB403" t="s">
        <v>27</v>
      </c>
      <c r="AC403" t="s">
        <v>27</v>
      </c>
      <c r="AD403" t="s">
        <v>27</v>
      </c>
      <c r="AE403" t="s">
        <v>27</v>
      </c>
      <c r="AF403" t="s">
        <v>27</v>
      </c>
      <c r="AG403">
        <v>8.35</v>
      </c>
    </row>
    <row r="404" spans="1:33" x14ac:dyDescent="0.25">
      <c r="A404" t="s">
        <v>57</v>
      </c>
      <c r="B404" s="3">
        <v>43865</v>
      </c>
      <c r="C404">
        <v>2020035</v>
      </c>
      <c r="D404">
        <v>0.45</v>
      </c>
      <c r="E404" t="s">
        <v>27</v>
      </c>
      <c r="F404">
        <v>-11.7</v>
      </c>
      <c r="G404">
        <v>-5.2</v>
      </c>
      <c r="H404">
        <v>-21.2</v>
      </c>
      <c r="I404">
        <v>86</v>
      </c>
      <c r="J404">
        <v>77.2</v>
      </c>
      <c r="K404">
        <v>0</v>
      </c>
      <c r="L404">
        <v>1.4</v>
      </c>
      <c r="M404">
        <v>10.6</v>
      </c>
      <c r="N404">
        <v>1.1540000000000001</v>
      </c>
      <c r="O404">
        <v>-0.7</v>
      </c>
      <c r="P404" t="s">
        <v>27</v>
      </c>
      <c r="Q404" t="s">
        <v>27</v>
      </c>
      <c r="R404" t="s">
        <v>27</v>
      </c>
      <c r="S404">
        <v>0</v>
      </c>
      <c r="T404">
        <v>0.3</v>
      </c>
      <c r="U404">
        <v>0.7</v>
      </c>
      <c r="V404" t="s">
        <v>27</v>
      </c>
      <c r="W404">
        <v>0.31900000000000001</v>
      </c>
      <c r="X404">
        <v>9.4E-2</v>
      </c>
      <c r="Y404" t="s">
        <v>27</v>
      </c>
      <c r="Z404" t="s">
        <v>27</v>
      </c>
      <c r="AA404" t="s">
        <v>27</v>
      </c>
      <c r="AB404" t="s">
        <v>27</v>
      </c>
      <c r="AC404" t="s">
        <v>27</v>
      </c>
      <c r="AD404" t="s">
        <v>27</v>
      </c>
      <c r="AE404" t="s">
        <v>27</v>
      </c>
      <c r="AF404" t="s">
        <v>27</v>
      </c>
      <c r="AG404">
        <v>8.52</v>
      </c>
    </row>
    <row r="405" spans="1:33" x14ac:dyDescent="0.25">
      <c r="A405" t="s">
        <v>57</v>
      </c>
      <c r="B405" s="3">
        <v>43866</v>
      </c>
      <c r="C405">
        <v>2020036</v>
      </c>
      <c r="D405">
        <v>0.37</v>
      </c>
      <c r="E405" t="s">
        <v>27</v>
      </c>
      <c r="F405">
        <v>-3.8</v>
      </c>
      <c r="G405">
        <v>-0.7</v>
      </c>
      <c r="H405">
        <v>-8.1999999999999993</v>
      </c>
      <c r="I405">
        <v>91.9</v>
      </c>
      <c r="J405">
        <v>86.8</v>
      </c>
      <c r="K405">
        <v>0.5</v>
      </c>
      <c r="L405">
        <v>2.2000000000000002</v>
      </c>
      <c r="M405">
        <v>17.5</v>
      </c>
      <c r="N405">
        <v>1.3190000000000002</v>
      </c>
      <c r="O405">
        <v>-0.7</v>
      </c>
      <c r="P405" t="s">
        <v>27</v>
      </c>
      <c r="Q405" t="s">
        <v>27</v>
      </c>
      <c r="R405" t="s">
        <v>27</v>
      </c>
      <c r="S405">
        <v>0</v>
      </c>
      <c r="T405">
        <v>0.4</v>
      </c>
      <c r="U405">
        <v>0.8</v>
      </c>
      <c r="V405" t="s">
        <v>27</v>
      </c>
      <c r="W405">
        <v>0.504</v>
      </c>
      <c r="X405">
        <v>7.6999999999999999E-2</v>
      </c>
      <c r="Y405" t="s">
        <v>27</v>
      </c>
      <c r="Z405" t="s">
        <v>27</v>
      </c>
      <c r="AA405" t="s">
        <v>27</v>
      </c>
      <c r="AB405" t="s">
        <v>27</v>
      </c>
      <c r="AC405" t="s">
        <v>27</v>
      </c>
      <c r="AD405" t="s">
        <v>27</v>
      </c>
      <c r="AE405" t="s">
        <v>27</v>
      </c>
      <c r="AF405" t="s">
        <v>27</v>
      </c>
      <c r="AG405">
        <v>8.68</v>
      </c>
    </row>
    <row r="406" spans="1:33" x14ac:dyDescent="0.25">
      <c r="A406" t="s">
        <v>57</v>
      </c>
      <c r="B406" s="3">
        <v>43867</v>
      </c>
      <c r="C406">
        <v>2020037</v>
      </c>
      <c r="D406">
        <v>0.54</v>
      </c>
      <c r="E406" t="s">
        <v>27</v>
      </c>
      <c r="F406">
        <v>-2.2999999999999998</v>
      </c>
      <c r="G406">
        <v>-0.8</v>
      </c>
      <c r="H406">
        <v>-4.8</v>
      </c>
      <c r="I406">
        <v>92</v>
      </c>
      <c r="J406">
        <v>86.6</v>
      </c>
      <c r="K406">
        <v>0.2</v>
      </c>
      <c r="L406">
        <v>1.7</v>
      </c>
      <c r="M406">
        <v>12</v>
      </c>
      <c r="N406">
        <v>1.415</v>
      </c>
      <c r="O406">
        <v>-0.8</v>
      </c>
      <c r="P406" t="s">
        <v>27</v>
      </c>
      <c r="Q406" t="s">
        <v>27</v>
      </c>
      <c r="R406" t="s">
        <v>27</v>
      </c>
      <c r="S406">
        <v>0</v>
      </c>
      <c r="T406">
        <v>0.4</v>
      </c>
      <c r="U406">
        <v>0.8</v>
      </c>
      <c r="V406" t="s">
        <v>27</v>
      </c>
      <c r="W406">
        <v>0.498</v>
      </c>
      <c r="X406">
        <v>7.6999999999999999E-2</v>
      </c>
      <c r="Y406" t="s">
        <v>27</v>
      </c>
      <c r="Z406" t="s">
        <v>27</v>
      </c>
      <c r="AA406" t="s">
        <v>27</v>
      </c>
      <c r="AB406" t="s">
        <v>27</v>
      </c>
      <c r="AC406" t="s">
        <v>27</v>
      </c>
      <c r="AD406" t="s">
        <v>27</v>
      </c>
      <c r="AE406" t="s">
        <v>27</v>
      </c>
      <c r="AF406" t="s">
        <v>27</v>
      </c>
      <c r="AG406">
        <v>8.85</v>
      </c>
    </row>
    <row r="407" spans="1:33" x14ac:dyDescent="0.25">
      <c r="A407" t="s">
        <v>57</v>
      </c>
      <c r="B407" s="3">
        <v>43868</v>
      </c>
      <c r="C407">
        <v>2020038</v>
      </c>
      <c r="D407">
        <v>0.34</v>
      </c>
      <c r="E407" t="s">
        <v>27</v>
      </c>
      <c r="F407">
        <v>-4.7</v>
      </c>
      <c r="G407">
        <v>-3.5</v>
      </c>
      <c r="H407">
        <v>-7.5</v>
      </c>
      <c r="I407">
        <v>91.1</v>
      </c>
      <c r="J407">
        <v>85.7</v>
      </c>
      <c r="K407">
        <v>0.1</v>
      </c>
      <c r="L407">
        <v>1.4</v>
      </c>
      <c r="M407">
        <v>9.1</v>
      </c>
      <c r="N407">
        <v>1.4730000000000001</v>
      </c>
      <c r="O407">
        <v>-0.8</v>
      </c>
      <c r="P407" t="s">
        <v>27</v>
      </c>
      <c r="Q407" t="s">
        <v>27</v>
      </c>
      <c r="R407" t="s">
        <v>27</v>
      </c>
      <c r="S407">
        <v>0</v>
      </c>
      <c r="T407">
        <v>0.3</v>
      </c>
      <c r="U407">
        <v>0.8</v>
      </c>
      <c r="V407" t="s">
        <v>27</v>
      </c>
      <c r="W407">
        <v>0.40500000000000003</v>
      </c>
      <c r="X407">
        <v>6.8000000000000005E-2</v>
      </c>
      <c r="Y407" t="s">
        <v>27</v>
      </c>
      <c r="Z407" t="s">
        <v>27</v>
      </c>
      <c r="AA407" t="s">
        <v>27</v>
      </c>
      <c r="AB407" t="s">
        <v>27</v>
      </c>
      <c r="AC407" t="s">
        <v>27</v>
      </c>
      <c r="AD407" t="s">
        <v>27</v>
      </c>
      <c r="AE407" t="s">
        <v>27</v>
      </c>
      <c r="AF407" t="s">
        <v>27</v>
      </c>
      <c r="AG407">
        <v>9.02</v>
      </c>
    </row>
    <row r="408" spans="1:33" x14ac:dyDescent="0.25">
      <c r="A408" t="s">
        <v>57</v>
      </c>
      <c r="B408" s="3">
        <v>43869</v>
      </c>
      <c r="C408">
        <v>2020039</v>
      </c>
      <c r="D408">
        <v>0.39</v>
      </c>
      <c r="E408" t="s">
        <v>27</v>
      </c>
      <c r="F408">
        <v>-6.2</v>
      </c>
      <c r="G408">
        <v>-4</v>
      </c>
      <c r="H408">
        <v>-7.8</v>
      </c>
      <c r="I408">
        <v>90.8</v>
      </c>
      <c r="J408">
        <v>87.6</v>
      </c>
      <c r="K408">
        <v>0.3</v>
      </c>
      <c r="L408">
        <v>1.7</v>
      </c>
      <c r="M408">
        <v>4.2</v>
      </c>
      <c r="N408">
        <v>1.4800000000000002</v>
      </c>
      <c r="O408">
        <v>-0.7</v>
      </c>
      <c r="P408" t="s">
        <v>27</v>
      </c>
      <c r="Q408" t="s">
        <v>27</v>
      </c>
      <c r="R408" t="s">
        <v>27</v>
      </c>
      <c r="S408">
        <v>0</v>
      </c>
      <c r="T408">
        <v>0.3</v>
      </c>
      <c r="U408">
        <v>0.8</v>
      </c>
      <c r="V408" t="s">
        <v>27</v>
      </c>
      <c r="W408">
        <v>0.39800000000000002</v>
      </c>
      <c r="X408">
        <v>5.6000000000000001E-2</v>
      </c>
      <c r="Y408" t="s">
        <v>27</v>
      </c>
      <c r="Z408" t="s">
        <v>27</v>
      </c>
      <c r="AA408" t="s">
        <v>27</v>
      </c>
      <c r="AB408" t="s">
        <v>27</v>
      </c>
      <c r="AC408" t="s">
        <v>27</v>
      </c>
      <c r="AD408" t="s">
        <v>27</v>
      </c>
      <c r="AE408" t="s">
        <v>27</v>
      </c>
      <c r="AF408" t="s">
        <v>27</v>
      </c>
      <c r="AG408">
        <v>9.19</v>
      </c>
    </row>
    <row r="409" spans="1:33" x14ac:dyDescent="0.25">
      <c r="A409" t="s">
        <v>57</v>
      </c>
      <c r="B409" s="3">
        <v>43870</v>
      </c>
      <c r="C409">
        <v>2020040</v>
      </c>
      <c r="D409">
        <v>0.51</v>
      </c>
      <c r="E409" t="s">
        <v>27</v>
      </c>
      <c r="F409">
        <v>-6</v>
      </c>
      <c r="G409">
        <v>-2.2999999999999998</v>
      </c>
      <c r="H409">
        <v>-14.6</v>
      </c>
      <c r="I409">
        <v>84.6</v>
      </c>
      <c r="J409">
        <v>69.3</v>
      </c>
      <c r="K409">
        <v>0.6</v>
      </c>
      <c r="L409">
        <v>3</v>
      </c>
      <c r="M409">
        <v>0</v>
      </c>
      <c r="N409">
        <v>1.4320000000000002</v>
      </c>
      <c r="O409">
        <v>-0.7</v>
      </c>
      <c r="P409" t="s">
        <v>27</v>
      </c>
      <c r="Q409" t="s">
        <v>27</v>
      </c>
      <c r="R409" t="s">
        <v>27</v>
      </c>
      <c r="S409">
        <v>0</v>
      </c>
      <c r="T409">
        <v>0.3</v>
      </c>
      <c r="U409">
        <v>0.8</v>
      </c>
      <c r="V409" t="s">
        <v>27</v>
      </c>
      <c r="W409">
        <v>0.35799999999999998</v>
      </c>
      <c r="X409">
        <v>0.159</v>
      </c>
      <c r="Y409" t="s">
        <v>27</v>
      </c>
      <c r="Z409" t="s">
        <v>27</v>
      </c>
      <c r="AA409" t="s">
        <v>27</v>
      </c>
      <c r="AB409" t="s">
        <v>27</v>
      </c>
      <c r="AC409" t="s">
        <v>27</v>
      </c>
      <c r="AD409" t="s">
        <v>27</v>
      </c>
      <c r="AE409" t="s">
        <v>27</v>
      </c>
      <c r="AF409" t="s">
        <v>27</v>
      </c>
      <c r="AG409">
        <v>9.3699999999999992</v>
      </c>
    </row>
    <row r="410" spans="1:33" x14ac:dyDescent="0.25">
      <c r="A410" t="s">
        <v>57</v>
      </c>
      <c r="B410" s="3">
        <v>43871</v>
      </c>
      <c r="C410">
        <v>2020041</v>
      </c>
      <c r="D410">
        <v>1.37</v>
      </c>
      <c r="E410" t="s">
        <v>27</v>
      </c>
      <c r="F410">
        <v>-4.7</v>
      </c>
      <c r="G410">
        <v>-1.3</v>
      </c>
      <c r="H410">
        <v>-9.1999999999999993</v>
      </c>
      <c r="I410">
        <v>84.5</v>
      </c>
      <c r="J410">
        <v>71.8</v>
      </c>
      <c r="K410">
        <v>0.8</v>
      </c>
      <c r="L410">
        <v>3.3</v>
      </c>
      <c r="M410">
        <v>0</v>
      </c>
      <c r="N410">
        <v>1.3920000000000001</v>
      </c>
      <c r="O410">
        <v>-0.6</v>
      </c>
      <c r="P410" t="s">
        <v>27</v>
      </c>
      <c r="Q410" t="s">
        <v>27</v>
      </c>
      <c r="R410" t="s">
        <v>27</v>
      </c>
      <c r="S410">
        <v>0</v>
      </c>
      <c r="T410">
        <v>0.3</v>
      </c>
      <c r="U410">
        <v>0.8</v>
      </c>
      <c r="V410" t="s">
        <v>27</v>
      </c>
      <c r="W410">
        <v>0.39800000000000002</v>
      </c>
      <c r="X410">
        <v>0.156</v>
      </c>
      <c r="Y410" t="s">
        <v>27</v>
      </c>
      <c r="Z410" t="s">
        <v>27</v>
      </c>
      <c r="AA410" t="s">
        <v>27</v>
      </c>
      <c r="AB410" t="s">
        <v>27</v>
      </c>
      <c r="AC410" t="s">
        <v>27</v>
      </c>
      <c r="AD410" t="s">
        <v>27</v>
      </c>
      <c r="AE410" t="s">
        <v>27</v>
      </c>
      <c r="AF410" t="s">
        <v>27</v>
      </c>
      <c r="AG410">
        <v>9.5500000000000007</v>
      </c>
    </row>
    <row r="411" spans="1:33" x14ac:dyDescent="0.25">
      <c r="A411" t="s">
        <v>57</v>
      </c>
      <c r="B411" s="3">
        <v>43872</v>
      </c>
      <c r="C411">
        <v>2020042</v>
      </c>
      <c r="D411">
        <v>3.77</v>
      </c>
      <c r="E411" t="s">
        <v>27</v>
      </c>
      <c r="F411">
        <v>-2.5</v>
      </c>
      <c r="G411">
        <v>0.2</v>
      </c>
      <c r="H411">
        <v>-5.5</v>
      </c>
      <c r="I411">
        <v>80.3</v>
      </c>
      <c r="J411">
        <v>68.099999999999994</v>
      </c>
      <c r="K411">
        <v>1.6</v>
      </c>
      <c r="L411">
        <v>4.0999999999999996</v>
      </c>
      <c r="M411">
        <v>0</v>
      </c>
      <c r="N411">
        <v>1.3580000000000001</v>
      </c>
      <c r="O411">
        <v>-0.5</v>
      </c>
      <c r="P411" t="s">
        <v>27</v>
      </c>
      <c r="Q411" t="s">
        <v>27</v>
      </c>
      <c r="R411" t="s">
        <v>27</v>
      </c>
      <c r="S411">
        <v>0</v>
      </c>
      <c r="T411">
        <v>0.3</v>
      </c>
      <c r="U411">
        <v>0.8</v>
      </c>
      <c r="V411" t="s">
        <v>27</v>
      </c>
      <c r="W411">
        <v>0.42199999999999999</v>
      </c>
      <c r="X411">
        <v>0.19800000000000001</v>
      </c>
      <c r="Y411" t="s">
        <v>27</v>
      </c>
      <c r="Z411" t="s">
        <v>27</v>
      </c>
      <c r="AA411" t="s">
        <v>27</v>
      </c>
      <c r="AB411" t="s">
        <v>27</v>
      </c>
      <c r="AC411" t="s">
        <v>27</v>
      </c>
      <c r="AD411" t="s">
        <v>27</v>
      </c>
      <c r="AE411" t="s">
        <v>27</v>
      </c>
      <c r="AF411" t="s">
        <v>27</v>
      </c>
      <c r="AG411">
        <v>9.74</v>
      </c>
    </row>
    <row r="412" spans="1:33" x14ac:dyDescent="0.25">
      <c r="A412" t="s">
        <v>57</v>
      </c>
      <c r="B412" s="3">
        <v>43873</v>
      </c>
      <c r="C412">
        <v>2020043</v>
      </c>
      <c r="D412">
        <v>8.1</v>
      </c>
      <c r="E412" t="s">
        <v>27</v>
      </c>
      <c r="F412">
        <v>-4.2</v>
      </c>
      <c r="G412">
        <v>2.6</v>
      </c>
      <c r="H412">
        <v>-10.3</v>
      </c>
      <c r="I412">
        <v>77.400000000000006</v>
      </c>
      <c r="J412">
        <v>51.5</v>
      </c>
      <c r="K412">
        <v>0.6</v>
      </c>
      <c r="L412">
        <v>2.2000000000000002</v>
      </c>
      <c r="M412">
        <v>0</v>
      </c>
      <c r="N412">
        <v>1.3270000000000002</v>
      </c>
      <c r="O412">
        <v>-0.5</v>
      </c>
      <c r="P412" t="s">
        <v>27</v>
      </c>
      <c r="Q412" t="s">
        <v>27</v>
      </c>
      <c r="R412" t="s">
        <v>27</v>
      </c>
      <c r="S412">
        <v>0</v>
      </c>
      <c r="T412">
        <v>0.3</v>
      </c>
      <c r="U412">
        <v>0.7</v>
      </c>
      <c r="V412" t="s">
        <v>27</v>
      </c>
      <c r="W412">
        <v>0.378</v>
      </c>
      <c r="X412">
        <v>0.35599999999999998</v>
      </c>
      <c r="Y412" t="s">
        <v>27</v>
      </c>
      <c r="Z412" t="s">
        <v>27</v>
      </c>
      <c r="AA412" t="s">
        <v>27</v>
      </c>
      <c r="AB412" t="s">
        <v>27</v>
      </c>
      <c r="AC412" t="s">
        <v>27</v>
      </c>
      <c r="AD412" t="s">
        <v>27</v>
      </c>
      <c r="AE412" t="s">
        <v>27</v>
      </c>
      <c r="AF412" t="s">
        <v>27</v>
      </c>
      <c r="AG412">
        <v>9.92</v>
      </c>
    </row>
    <row r="413" spans="1:33" x14ac:dyDescent="0.25">
      <c r="A413" t="s">
        <v>57</v>
      </c>
      <c r="B413" s="3">
        <v>43874</v>
      </c>
      <c r="C413">
        <v>2020044</v>
      </c>
      <c r="D413">
        <v>2.2000000000000002</v>
      </c>
      <c r="E413" t="s">
        <v>27</v>
      </c>
      <c r="F413">
        <v>-5.3</v>
      </c>
      <c r="G413">
        <v>-0.8</v>
      </c>
      <c r="H413">
        <v>-10.3</v>
      </c>
      <c r="I413">
        <v>88</v>
      </c>
      <c r="J413">
        <v>70.7</v>
      </c>
      <c r="K413">
        <v>0.4</v>
      </c>
      <c r="L413">
        <v>3.2</v>
      </c>
      <c r="M413">
        <v>0</v>
      </c>
      <c r="N413">
        <v>1.306</v>
      </c>
      <c r="O413">
        <v>-0.5</v>
      </c>
      <c r="P413" t="s">
        <v>27</v>
      </c>
      <c r="Q413" t="s">
        <v>27</v>
      </c>
      <c r="R413" t="s">
        <v>27</v>
      </c>
      <c r="S413">
        <v>0</v>
      </c>
      <c r="T413">
        <v>0.3</v>
      </c>
      <c r="U413">
        <v>0.8</v>
      </c>
      <c r="V413" t="s">
        <v>27</v>
      </c>
      <c r="W413">
        <v>0.40600000000000003</v>
      </c>
      <c r="X413">
        <v>0.16800000000000001</v>
      </c>
      <c r="Y413" t="s">
        <v>27</v>
      </c>
      <c r="Z413" t="s">
        <v>27</v>
      </c>
      <c r="AA413" t="s">
        <v>27</v>
      </c>
      <c r="AB413" t="s">
        <v>27</v>
      </c>
      <c r="AC413" t="s">
        <v>27</v>
      </c>
      <c r="AD413" t="s">
        <v>27</v>
      </c>
      <c r="AE413" t="s">
        <v>27</v>
      </c>
      <c r="AF413" t="s">
        <v>27</v>
      </c>
      <c r="AG413">
        <v>10.119999999999999</v>
      </c>
    </row>
    <row r="414" spans="1:33" x14ac:dyDescent="0.25">
      <c r="A414" t="s">
        <v>57</v>
      </c>
      <c r="B414" s="3">
        <v>43875</v>
      </c>
      <c r="C414">
        <v>2020045</v>
      </c>
      <c r="D414">
        <v>4.97</v>
      </c>
      <c r="E414" t="s">
        <v>27</v>
      </c>
      <c r="F414">
        <v>-4.0999999999999996</v>
      </c>
      <c r="G414">
        <v>-0.8</v>
      </c>
      <c r="H414">
        <v>-6.1</v>
      </c>
      <c r="I414">
        <v>73.8</v>
      </c>
      <c r="J414">
        <v>59.7</v>
      </c>
      <c r="K414">
        <v>1.4</v>
      </c>
      <c r="L414">
        <v>3.8</v>
      </c>
      <c r="M414">
        <v>0</v>
      </c>
      <c r="N414">
        <v>1.288</v>
      </c>
      <c r="O414">
        <v>-0.5</v>
      </c>
      <c r="P414" t="s">
        <v>27</v>
      </c>
      <c r="Q414" t="s">
        <v>27</v>
      </c>
      <c r="R414" t="s">
        <v>27</v>
      </c>
      <c r="S414">
        <v>0</v>
      </c>
      <c r="T414">
        <v>0.3</v>
      </c>
      <c r="U414">
        <v>0.8</v>
      </c>
      <c r="V414" t="s">
        <v>27</v>
      </c>
      <c r="W414">
        <v>0.34399999999999997</v>
      </c>
      <c r="X414">
        <v>0.23200000000000001</v>
      </c>
      <c r="Y414" t="s">
        <v>27</v>
      </c>
      <c r="Z414" t="s">
        <v>27</v>
      </c>
      <c r="AA414" t="s">
        <v>27</v>
      </c>
      <c r="AB414" t="s">
        <v>27</v>
      </c>
      <c r="AC414" t="s">
        <v>27</v>
      </c>
      <c r="AD414" t="s">
        <v>27</v>
      </c>
      <c r="AE414" t="s">
        <v>27</v>
      </c>
      <c r="AF414" t="s">
        <v>27</v>
      </c>
      <c r="AG414">
        <v>10.31</v>
      </c>
    </row>
    <row r="415" spans="1:33" x14ac:dyDescent="0.25">
      <c r="A415" t="s">
        <v>57</v>
      </c>
      <c r="B415" s="3">
        <v>43876</v>
      </c>
      <c r="C415">
        <v>2020046</v>
      </c>
      <c r="D415">
        <v>2.4500000000000002</v>
      </c>
      <c r="E415" t="s">
        <v>27</v>
      </c>
      <c r="F415">
        <v>-3.6</v>
      </c>
      <c r="G415">
        <v>-1.1000000000000001</v>
      </c>
      <c r="H415">
        <v>-6.2</v>
      </c>
      <c r="I415">
        <v>84.7</v>
      </c>
      <c r="J415">
        <v>70</v>
      </c>
      <c r="K415">
        <v>0.6</v>
      </c>
      <c r="L415">
        <v>2.2000000000000002</v>
      </c>
      <c r="M415">
        <v>8.6999999999999993</v>
      </c>
      <c r="N415">
        <v>1.365</v>
      </c>
      <c r="O415">
        <v>-0.5</v>
      </c>
      <c r="P415" t="s">
        <v>27</v>
      </c>
      <c r="Q415" t="s">
        <v>27</v>
      </c>
      <c r="R415" t="s">
        <v>27</v>
      </c>
      <c r="S415">
        <v>0</v>
      </c>
      <c r="T415">
        <v>0.3</v>
      </c>
      <c r="U415">
        <v>0.8</v>
      </c>
      <c r="V415" t="s">
        <v>27</v>
      </c>
      <c r="W415">
        <v>0.39300000000000002</v>
      </c>
      <c r="X415">
        <v>0.16800000000000001</v>
      </c>
      <c r="Y415" t="s">
        <v>27</v>
      </c>
      <c r="Z415" t="s">
        <v>27</v>
      </c>
      <c r="AA415" t="s">
        <v>27</v>
      </c>
      <c r="AB415" t="s">
        <v>27</v>
      </c>
      <c r="AC415" t="s">
        <v>27</v>
      </c>
      <c r="AD415" t="s">
        <v>27</v>
      </c>
      <c r="AE415" t="s">
        <v>27</v>
      </c>
      <c r="AF415" t="s">
        <v>27</v>
      </c>
      <c r="AG415">
        <v>10.51</v>
      </c>
    </row>
    <row r="416" spans="1:33" x14ac:dyDescent="0.25">
      <c r="A416" t="s">
        <v>57</v>
      </c>
      <c r="B416" s="3">
        <v>43877</v>
      </c>
      <c r="C416">
        <v>2020047</v>
      </c>
      <c r="D416">
        <v>1.3</v>
      </c>
      <c r="E416" t="s">
        <v>27</v>
      </c>
      <c r="F416">
        <v>-5.3</v>
      </c>
      <c r="G416">
        <v>-2.8</v>
      </c>
      <c r="H416">
        <v>-6.9</v>
      </c>
      <c r="I416">
        <v>81.900000000000006</v>
      </c>
      <c r="J416">
        <v>67.400000000000006</v>
      </c>
      <c r="K416">
        <v>1.2</v>
      </c>
      <c r="L416">
        <v>3</v>
      </c>
      <c r="M416">
        <v>5</v>
      </c>
      <c r="N416">
        <v>1.3880000000000001</v>
      </c>
      <c r="O416">
        <v>-0.5</v>
      </c>
      <c r="P416" t="s">
        <v>27</v>
      </c>
      <c r="Q416" t="s">
        <v>27</v>
      </c>
      <c r="R416" t="s">
        <v>27</v>
      </c>
      <c r="S416">
        <v>0</v>
      </c>
      <c r="T416">
        <v>0.3</v>
      </c>
      <c r="U416">
        <v>0.8</v>
      </c>
      <c r="V416" t="s">
        <v>27</v>
      </c>
      <c r="W416">
        <v>0.33500000000000002</v>
      </c>
      <c r="X416">
        <v>0.16200000000000001</v>
      </c>
      <c r="Y416" t="s">
        <v>27</v>
      </c>
      <c r="Z416" t="s">
        <v>27</v>
      </c>
      <c r="AA416" t="s">
        <v>27</v>
      </c>
      <c r="AB416" t="s">
        <v>27</v>
      </c>
      <c r="AC416" t="s">
        <v>27</v>
      </c>
      <c r="AD416" t="s">
        <v>27</v>
      </c>
      <c r="AE416" t="s">
        <v>27</v>
      </c>
      <c r="AF416" t="s">
        <v>27</v>
      </c>
      <c r="AG416">
        <v>10.71</v>
      </c>
    </row>
    <row r="417" spans="1:33" x14ac:dyDescent="0.25">
      <c r="A417" t="s">
        <v>57</v>
      </c>
      <c r="B417" s="3">
        <v>43878</v>
      </c>
      <c r="C417">
        <v>2020048</v>
      </c>
      <c r="D417">
        <v>1.1100000000000001</v>
      </c>
      <c r="E417" t="s">
        <v>27</v>
      </c>
      <c r="F417">
        <v>-6.9</v>
      </c>
      <c r="G417">
        <v>-4.4000000000000004</v>
      </c>
      <c r="H417">
        <v>-10</v>
      </c>
      <c r="I417">
        <v>79.2</v>
      </c>
      <c r="J417">
        <v>62.5</v>
      </c>
      <c r="K417">
        <v>0.6</v>
      </c>
      <c r="L417">
        <v>2.4</v>
      </c>
      <c r="M417">
        <v>4.5</v>
      </c>
      <c r="N417">
        <v>1.3780000000000001</v>
      </c>
      <c r="O417">
        <v>-0.5</v>
      </c>
      <c r="P417" t="s">
        <v>27</v>
      </c>
      <c r="Q417" t="s">
        <v>27</v>
      </c>
      <c r="R417" t="s">
        <v>27</v>
      </c>
      <c r="S417">
        <v>0</v>
      </c>
      <c r="T417">
        <v>0.3</v>
      </c>
      <c r="U417">
        <v>0.7</v>
      </c>
      <c r="V417" t="s">
        <v>27</v>
      </c>
      <c r="W417">
        <v>0.27500000000000002</v>
      </c>
      <c r="X417">
        <v>0.16500000000000001</v>
      </c>
      <c r="Y417" t="s">
        <v>27</v>
      </c>
      <c r="Z417" t="s">
        <v>27</v>
      </c>
      <c r="AA417" t="s">
        <v>27</v>
      </c>
      <c r="AB417" t="s">
        <v>27</v>
      </c>
      <c r="AC417" t="s">
        <v>27</v>
      </c>
      <c r="AD417" t="s">
        <v>27</v>
      </c>
      <c r="AE417" t="s">
        <v>27</v>
      </c>
      <c r="AF417" t="s">
        <v>27</v>
      </c>
      <c r="AG417">
        <v>10.91</v>
      </c>
    </row>
    <row r="418" spans="1:33" x14ac:dyDescent="0.25">
      <c r="A418" t="s">
        <v>57</v>
      </c>
      <c r="B418" s="3">
        <v>43879</v>
      </c>
      <c r="C418">
        <v>2020049</v>
      </c>
      <c r="D418">
        <v>4.1399999999999997</v>
      </c>
      <c r="E418" t="s">
        <v>27</v>
      </c>
      <c r="F418">
        <v>-9.5</v>
      </c>
      <c r="G418">
        <v>-2.9</v>
      </c>
      <c r="H418">
        <v>-16.899999999999999</v>
      </c>
      <c r="I418">
        <v>77.3</v>
      </c>
      <c r="J418">
        <v>47.7</v>
      </c>
      <c r="K418">
        <v>0.3</v>
      </c>
      <c r="L418">
        <v>2.1</v>
      </c>
      <c r="M418">
        <v>0</v>
      </c>
      <c r="N418">
        <v>1.3340000000000001</v>
      </c>
      <c r="O418">
        <v>-0.5</v>
      </c>
      <c r="P418" t="s">
        <v>27</v>
      </c>
      <c r="Q418" t="s">
        <v>27</v>
      </c>
      <c r="R418" t="s">
        <v>27</v>
      </c>
      <c r="S418">
        <v>0</v>
      </c>
      <c r="T418">
        <v>0.3</v>
      </c>
      <c r="U418">
        <v>0.7</v>
      </c>
      <c r="V418" t="s">
        <v>27</v>
      </c>
      <c r="W418">
        <v>0.23499999999999999</v>
      </c>
      <c r="X418">
        <v>0.25800000000000001</v>
      </c>
      <c r="Y418" t="s">
        <v>27</v>
      </c>
      <c r="Z418" t="s">
        <v>27</v>
      </c>
      <c r="AA418" t="s">
        <v>27</v>
      </c>
      <c r="AB418" t="s">
        <v>27</v>
      </c>
      <c r="AC418" t="s">
        <v>27</v>
      </c>
      <c r="AD418" t="s">
        <v>27</v>
      </c>
      <c r="AE418" t="s">
        <v>27</v>
      </c>
      <c r="AF418" t="s">
        <v>27</v>
      </c>
      <c r="AG418">
        <v>11.13</v>
      </c>
    </row>
    <row r="419" spans="1:33" x14ac:dyDescent="0.25">
      <c r="A419" t="s">
        <v>57</v>
      </c>
      <c r="B419" s="3">
        <v>43880</v>
      </c>
      <c r="C419">
        <v>2020050</v>
      </c>
      <c r="D419">
        <v>10.210000000000001</v>
      </c>
      <c r="E419" t="s">
        <v>27</v>
      </c>
      <c r="F419">
        <v>-10.199999999999999</v>
      </c>
      <c r="G419">
        <v>-1.2</v>
      </c>
      <c r="H419">
        <v>-18.7</v>
      </c>
      <c r="I419">
        <v>76.8</v>
      </c>
      <c r="J419">
        <v>56.2</v>
      </c>
      <c r="K419">
        <v>0.3</v>
      </c>
      <c r="L419">
        <v>1.7</v>
      </c>
      <c r="M419">
        <v>0</v>
      </c>
      <c r="N419">
        <v>1.3160000000000001</v>
      </c>
      <c r="O419">
        <v>-0.5</v>
      </c>
      <c r="P419" t="s">
        <v>27</v>
      </c>
      <c r="Q419" t="s">
        <v>27</v>
      </c>
      <c r="R419" t="s">
        <v>27</v>
      </c>
      <c r="S419">
        <v>0</v>
      </c>
      <c r="T419">
        <v>0.3</v>
      </c>
      <c r="U419">
        <v>0.7</v>
      </c>
      <c r="V419" t="s">
        <v>27</v>
      </c>
      <c r="W419">
        <v>0.313</v>
      </c>
      <c r="X419">
        <v>0.24399999999999999</v>
      </c>
      <c r="Y419" t="s">
        <v>27</v>
      </c>
      <c r="Z419" t="s">
        <v>27</v>
      </c>
      <c r="AA419" t="s">
        <v>27</v>
      </c>
      <c r="AB419" t="s">
        <v>27</v>
      </c>
      <c r="AC419" t="s">
        <v>27</v>
      </c>
      <c r="AD419" t="s">
        <v>27</v>
      </c>
      <c r="AE419" t="s">
        <v>27</v>
      </c>
      <c r="AF419" t="s">
        <v>27</v>
      </c>
      <c r="AG419">
        <v>11.33</v>
      </c>
    </row>
    <row r="420" spans="1:33" x14ac:dyDescent="0.25">
      <c r="A420" t="s">
        <v>57</v>
      </c>
      <c r="B420" s="3">
        <v>43881</v>
      </c>
      <c r="C420">
        <v>2020051</v>
      </c>
      <c r="D420">
        <v>10.08</v>
      </c>
      <c r="E420" t="s">
        <v>27</v>
      </c>
      <c r="F420">
        <v>-8.4</v>
      </c>
      <c r="G420">
        <v>-0.6</v>
      </c>
      <c r="H420">
        <v>-15.1</v>
      </c>
      <c r="I420">
        <v>76.7</v>
      </c>
      <c r="J420">
        <v>52.5</v>
      </c>
      <c r="K420">
        <v>0</v>
      </c>
      <c r="L420">
        <v>0.7</v>
      </c>
      <c r="M420">
        <v>0</v>
      </c>
      <c r="N420">
        <v>1.2970000000000002</v>
      </c>
      <c r="O420">
        <v>-0.5</v>
      </c>
      <c r="P420" t="s">
        <v>27</v>
      </c>
      <c r="Q420" t="s">
        <v>27</v>
      </c>
      <c r="R420" t="s">
        <v>27</v>
      </c>
      <c r="S420">
        <v>0</v>
      </c>
      <c r="T420">
        <v>0.3</v>
      </c>
      <c r="U420">
        <v>0.7</v>
      </c>
      <c r="V420" t="s">
        <v>27</v>
      </c>
      <c r="W420">
        <v>0.30599999999999999</v>
      </c>
      <c r="X420">
        <v>0.27700000000000002</v>
      </c>
      <c r="Y420" t="s">
        <v>27</v>
      </c>
      <c r="Z420" t="s">
        <v>27</v>
      </c>
      <c r="AA420" t="s">
        <v>27</v>
      </c>
      <c r="AB420" t="s">
        <v>27</v>
      </c>
      <c r="AC420" t="s">
        <v>27</v>
      </c>
      <c r="AD420" t="s">
        <v>27</v>
      </c>
      <c r="AE420" t="s">
        <v>27</v>
      </c>
      <c r="AF420" t="s">
        <v>27</v>
      </c>
      <c r="AG420">
        <v>11.55</v>
      </c>
    </row>
    <row r="421" spans="1:33" x14ac:dyDescent="0.25">
      <c r="A421" t="s">
        <v>57</v>
      </c>
      <c r="B421" s="3">
        <v>43882</v>
      </c>
      <c r="C421">
        <v>2020052</v>
      </c>
      <c r="D421">
        <v>9.69</v>
      </c>
      <c r="E421" t="s">
        <v>27</v>
      </c>
      <c r="F421">
        <v>-6.1</v>
      </c>
      <c r="G421">
        <v>3.4</v>
      </c>
      <c r="H421">
        <v>-15.6</v>
      </c>
      <c r="I421">
        <v>74</v>
      </c>
      <c r="J421">
        <v>45</v>
      </c>
      <c r="K421">
        <v>0.3</v>
      </c>
      <c r="L421">
        <v>1.7</v>
      </c>
      <c r="M421">
        <v>0</v>
      </c>
      <c r="N421">
        <v>1.284</v>
      </c>
      <c r="O421">
        <v>-0.5</v>
      </c>
      <c r="P421" t="s">
        <v>27</v>
      </c>
      <c r="Q421" t="s">
        <v>27</v>
      </c>
      <c r="R421" t="s">
        <v>27</v>
      </c>
      <c r="S421">
        <v>0</v>
      </c>
      <c r="T421">
        <v>0.3</v>
      </c>
      <c r="U421">
        <v>0.7</v>
      </c>
      <c r="V421" t="s">
        <v>27</v>
      </c>
      <c r="W421">
        <v>0.35</v>
      </c>
      <c r="X421">
        <v>0.42799999999999999</v>
      </c>
      <c r="Y421" t="s">
        <v>27</v>
      </c>
      <c r="Z421" t="s">
        <v>27</v>
      </c>
      <c r="AA421" t="s">
        <v>27</v>
      </c>
      <c r="AB421" t="s">
        <v>27</v>
      </c>
      <c r="AC421" t="s">
        <v>27</v>
      </c>
      <c r="AD421" t="s">
        <v>27</v>
      </c>
      <c r="AE421" t="s">
        <v>27</v>
      </c>
      <c r="AF421" t="s">
        <v>27</v>
      </c>
      <c r="AG421">
        <v>11.76</v>
      </c>
    </row>
    <row r="422" spans="1:33" x14ac:dyDescent="0.25">
      <c r="A422" t="s">
        <v>57</v>
      </c>
      <c r="B422" s="3">
        <v>43883</v>
      </c>
      <c r="C422">
        <v>2020053</v>
      </c>
      <c r="D422">
        <v>2.92</v>
      </c>
      <c r="E422" t="s">
        <v>27</v>
      </c>
      <c r="F422">
        <v>-5.0999999999999996</v>
      </c>
      <c r="G422">
        <v>-1.4</v>
      </c>
      <c r="H422">
        <v>-10.5</v>
      </c>
      <c r="I422">
        <v>81.599999999999994</v>
      </c>
      <c r="J422">
        <v>50.6</v>
      </c>
      <c r="K422">
        <v>0.3</v>
      </c>
      <c r="L422">
        <v>2.6</v>
      </c>
      <c r="M422">
        <v>2.7</v>
      </c>
      <c r="N422">
        <v>1.3080000000000001</v>
      </c>
      <c r="O422">
        <v>-0.5</v>
      </c>
      <c r="P422" t="s">
        <v>27</v>
      </c>
      <c r="Q422" t="s">
        <v>27</v>
      </c>
      <c r="R422" t="s">
        <v>27</v>
      </c>
      <c r="S422">
        <v>0</v>
      </c>
      <c r="T422">
        <v>0.3</v>
      </c>
      <c r="U422">
        <v>0.7</v>
      </c>
      <c r="V422" t="s">
        <v>27</v>
      </c>
      <c r="W422">
        <v>0.27900000000000003</v>
      </c>
      <c r="X422">
        <v>0.27200000000000002</v>
      </c>
      <c r="Y422" t="s">
        <v>27</v>
      </c>
      <c r="Z422" t="s">
        <v>27</v>
      </c>
      <c r="AA422" t="s">
        <v>27</v>
      </c>
      <c r="AB422" t="s">
        <v>27</v>
      </c>
      <c r="AC422" t="s">
        <v>27</v>
      </c>
      <c r="AD422" t="s">
        <v>27</v>
      </c>
      <c r="AE422" t="s">
        <v>27</v>
      </c>
      <c r="AF422" t="s">
        <v>27</v>
      </c>
      <c r="AG422">
        <v>11.98</v>
      </c>
    </row>
    <row r="423" spans="1:33" x14ac:dyDescent="0.25">
      <c r="A423" t="s">
        <v>57</v>
      </c>
      <c r="B423" s="3">
        <v>43884</v>
      </c>
      <c r="C423">
        <v>2020054</v>
      </c>
      <c r="D423">
        <v>3.9</v>
      </c>
      <c r="E423" t="s">
        <v>27</v>
      </c>
      <c r="F423">
        <v>-4.3</v>
      </c>
      <c r="G423">
        <v>-0.3</v>
      </c>
      <c r="H423">
        <v>-8.4</v>
      </c>
      <c r="I423">
        <v>85.4</v>
      </c>
      <c r="J423">
        <v>70.5</v>
      </c>
      <c r="K423">
        <v>0</v>
      </c>
      <c r="L423">
        <v>1.7</v>
      </c>
      <c r="M423">
        <v>3.8</v>
      </c>
      <c r="N423">
        <v>1.3320000000000001</v>
      </c>
      <c r="O423">
        <v>-0.5</v>
      </c>
      <c r="P423" t="s">
        <v>27</v>
      </c>
      <c r="Q423" t="s">
        <v>27</v>
      </c>
      <c r="R423" t="s">
        <v>27</v>
      </c>
      <c r="S423">
        <v>0</v>
      </c>
      <c r="T423">
        <v>0.3</v>
      </c>
      <c r="U423">
        <v>0.7</v>
      </c>
      <c r="V423" t="s">
        <v>27</v>
      </c>
      <c r="W423">
        <v>0.42</v>
      </c>
      <c r="X423">
        <v>0.17599999999999999</v>
      </c>
      <c r="Y423" t="s">
        <v>27</v>
      </c>
      <c r="Z423" t="s">
        <v>27</v>
      </c>
      <c r="AA423" t="s">
        <v>27</v>
      </c>
      <c r="AB423" t="s">
        <v>27</v>
      </c>
      <c r="AC423" t="s">
        <v>27</v>
      </c>
      <c r="AD423" t="s">
        <v>27</v>
      </c>
      <c r="AE423" t="s">
        <v>27</v>
      </c>
      <c r="AF423" t="s">
        <v>27</v>
      </c>
      <c r="AG423">
        <v>12.21</v>
      </c>
    </row>
    <row r="424" spans="1:33" x14ac:dyDescent="0.25">
      <c r="A424" t="s">
        <v>57</v>
      </c>
      <c r="B424" s="3">
        <v>43885</v>
      </c>
      <c r="C424">
        <v>2020055</v>
      </c>
      <c r="D424">
        <v>1.97</v>
      </c>
      <c r="E424" t="s">
        <v>27</v>
      </c>
      <c r="F424">
        <v>-6.1</v>
      </c>
      <c r="G424">
        <v>-2.6</v>
      </c>
      <c r="H424">
        <v>-14.2</v>
      </c>
      <c r="I424">
        <v>84.9</v>
      </c>
      <c r="J424">
        <v>70</v>
      </c>
      <c r="K424">
        <v>0.1</v>
      </c>
      <c r="L424">
        <v>1.9</v>
      </c>
      <c r="M424">
        <v>20</v>
      </c>
      <c r="N424">
        <v>1.4780000000000002</v>
      </c>
      <c r="O424">
        <v>-0.6</v>
      </c>
      <c r="P424" t="s">
        <v>27</v>
      </c>
      <c r="Q424" t="s">
        <v>27</v>
      </c>
      <c r="R424" t="s">
        <v>27</v>
      </c>
      <c r="S424">
        <v>0</v>
      </c>
      <c r="T424">
        <v>0.3</v>
      </c>
      <c r="U424">
        <v>0.7</v>
      </c>
      <c r="V424" t="s">
        <v>27</v>
      </c>
      <c r="W424">
        <v>0.35299999999999998</v>
      </c>
      <c r="X424">
        <v>0.151</v>
      </c>
      <c r="Y424" t="s">
        <v>27</v>
      </c>
      <c r="Z424" t="s">
        <v>27</v>
      </c>
      <c r="AA424" t="s">
        <v>27</v>
      </c>
      <c r="AB424" t="s">
        <v>27</v>
      </c>
      <c r="AC424" t="s">
        <v>27</v>
      </c>
      <c r="AD424" t="s">
        <v>27</v>
      </c>
      <c r="AE424" t="s">
        <v>27</v>
      </c>
      <c r="AF424" t="s">
        <v>27</v>
      </c>
      <c r="AG424">
        <v>12.42</v>
      </c>
    </row>
    <row r="425" spans="1:33" x14ac:dyDescent="0.25">
      <c r="A425" t="s">
        <v>57</v>
      </c>
      <c r="B425" s="3">
        <v>43886</v>
      </c>
      <c r="C425">
        <v>2020056</v>
      </c>
      <c r="D425">
        <v>3.42</v>
      </c>
      <c r="E425" t="s">
        <v>27</v>
      </c>
      <c r="F425">
        <v>-7.8</v>
      </c>
      <c r="G425">
        <v>-2.4</v>
      </c>
      <c r="H425">
        <v>-15.7</v>
      </c>
      <c r="I425">
        <v>85.7</v>
      </c>
      <c r="J425">
        <v>70.8</v>
      </c>
      <c r="K425">
        <v>0</v>
      </c>
      <c r="L425">
        <v>0.5</v>
      </c>
      <c r="M425">
        <v>0</v>
      </c>
      <c r="N425">
        <v>1.4360000000000002</v>
      </c>
      <c r="O425">
        <v>-0.6</v>
      </c>
      <c r="P425" t="s">
        <v>27</v>
      </c>
      <c r="Q425" t="s">
        <v>27</v>
      </c>
      <c r="R425" t="s">
        <v>27</v>
      </c>
      <c r="S425">
        <v>0</v>
      </c>
      <c r="T425">
        <v>0.3</v>
      </c>
      <c r="U425">
        <v>0.7</v>
      </c>
      <c r="V425" t="s">
        <v>27</v>
      </c>
      <c r="W425">
        <v>0.36299999999999999</v>
      </c>
      <c r="X425">
        <v>0.15</v>
      </c>
      <c r="Y425" t="s">
        <v>27</v>
      </c>
      <c r="Z425" t="s">
        <v>27</v>
      </c>
      <c r="AA425" t="s">
        <v>27</v>
      </c>
      <c r="AB425" t="s">
        <v>27</v>
      </c>
      <c r="AC425" t="s">
        <v>27</v>
      </c>
      <c r="AD425" t="s">
        <v>27</v>
      </c>
      <c r="AE425" t="s">
        <v>27</v>
      </c>
      <c r="AF425" t="s">
        <v>27</v>
      </c>
      <c r="AG425">
        <v>12.65</v>
      </c>
    </row>
    <row r="426" spans="1:33" x14ac:dyDescent="0.25">
      <c r="A426" t="s">
        <v>57</v>
      </c>
      <c r="B426" s="3">
        <v>43887</v>
      </c>
      <c r="C426">
        <v>2020057</v>
      </c>
      <c r="D426">
        <v>9.82</v>
      </c>
      <c r="E426" t="s">
        <v>27</v>
      </c>
      <c r="F426">
        <v>-2.5</v>
      </c>
      <c r="G426">
        <v>2.9</v>
      </c>
      <c r="H426">
        <v>-7.1</v>
      </c>
      <c r="I426">
        <v>79.599999999999994</v>
      </c>
      <c r="J426">
        <v>53.3</v>
      </c>
      <c r="K426">
        <v>0</v>
      </c>
      <c r="L426">
        <v>0.9</v>
      </c>
      <c r="M426">
        <v>0</v>
      </c>
      <c r="N426">
        <v>1.3920000000000001</v>
      </c>
      <c r="O426">
        <v>-0.5</v>
      </c>
      <c r="P426" t="s">
        <v>27</v>
      </c>
      <c r="Q426" t="s">
        <v>27</v>
      </c>
      <c r="R426" t="s">
        <v>27</v>
      </c>
      <c r="S426">
        <v>0</v>
      </c>
      <c r="T426">
        <v>0.3</v>
      </c>
      <c r="U426">
        <v>0.7</v>
      </c>
      <c r="V426" t="s">
        <v>27</v>
      </c>
      <c r="W426">
        <v>0.40100000000000002</v>
      </c>
      <c r="X426">
        <v>0.35099999999999998</v>
      </c>
      <c r="Y426" t="s">
        <v>27</v>
      </c>
      <c r="Z426" t="s">
        <v>27</v>
      </c>
      <c r="AA426" t="s">
        <v>27</v>
      </c>
      <c r="AB426" t="s">
        <v>27</v>
      </c>
      <c r="AC426" t="s">
        <v>27</v>
      </c>
      <c r="AD426" t="s">
        <v>27</v>
      </c>
      <c r="AE426" t="s">
        <v>27</v>
      </c>
      <c r="AF426" t="s">
        <v>27</v>
      </c>
      <c r="AG426">
        <v>12.88</v>
      </c>
    </row>
    <row r="427" spans="1:33" x14ac:dyDescent="0.25">
      <c r="A427" t="s">
        <v>57</v>
      </c>
      <c r="B427" s="3">
        <v>43888</v>
      </c>
      <c r="C427">
        <v>2020058</v>
      </c>
      <c r="D427">
        <v>7.11</v>
      </c>
      <c r="E427" t="s">
        <v>27</v>
      </c>
      <c r="F427">
        <v>-0.1</v>
      </c>
      <c r="G427">
        <v>4.3</v>
      </c>
      <c r="H427">
        <v>-6</v>
      </c>
      <c r="I427">
        <v>78.099999999999994</v>
      </c>
      <c r="J427">
        <v>60.9</v>
      </c>
      <c r="K427">
        <v>0.2</v>
      </c>
      <c r="L427">
        <v>1.7</v>
      </c>
      <c r="M427">
        <v>0</v>
      </c>
      <c r="N427">
        <v>1.3620000000000001</v>
      </c>
      <c r="O427">
        <v>-0.5</v>
      </c>
      <c r="P427" t="s">
        <v>27</v>
      </c>
      <c r="Q427" t="s">
        <v>27</v>
      </c>
      <c r="R427" t="s">
        <v>27</v>
      </c>
      <c r="S427">
        <v>0</v>
      </c>
      <c r="T427">
        <v>0.4</v>
      </c>
      <c r="U427">
        <v>0.8</v>
      </c>
      <c r="V427" t="s">
        <v>27</v>
      </c>
      <c r="W427">
        <v>0.505</v>
      </c>
      <c r="X427">
        <v>0.32400000000000001</v>
      </c>
      <c r="Y427" t="s">
        <v>27</v>
      </c>
      <c r="Z427" t="s">
        <v>27</v>
      </c>
      <c r="AA427" t="s">
        <v>27</v>
      </c>
      <c r="AB427" t="s">
        <v>27</v>
      </c>
      <c r="AC427" t="s">
        <v>27</v>
      </c>
      <c r="AD427" t="s">
        <v>27</v>
      </c>
      <c r="AE427" t="s">
        <v>27</v>
      </c>
      <c r="AF427" t="s">
        <v>27</v>
      </c>
      <c r="AG427">
        <v>13.12</v>
      </c>
    </row>
    <row r="428" spans="1:33" x14ac:dyDescent="0.25">
      <c r="A428" t="s">
        <v>57</v>
      </c>
      <c r="B428" s="3">
        <v>43889</v>
      </c>
      <c r="C428">
        <v>2020059</v>
      </c>
      <c r="D428">
        <v>7.36</v>
      </c>
      <c r="E428" t="s">
        <v>27</v>
      </c>
      <c r="F428">
        <v>-1</v>
      </c>
      <c r="G428">
        <v>6.8</v>
      </c>
      <c r="H428">
        <v>-7.6</v>
      </c>
      <c r="I428">
        <v>80.8</v>
      </c>
      <c r="J428">
        <v>48</v>
      </c>
      <c r="K428">
        <v>0.3</v>
      </c>
      <c r="L428">
        <v>2.8</v>
      </c>
      <c r="M428">
        <v>0</v>
      </c>
      <c r="N428">
        <v>1.3470000000000002</v>
      </c>
      <c r="O428">
        <v>-0.5</v>
      </c>
      <c r="P428" t="s">
        <v>27</v>
      </c>
      <c r="Q428" t="s">
        <v>27</v>
      </c>
      <c r="R428" t="s">
        <v>27</v>
      </c>
      <c r="S428">
        <v>0</v>
      </c>
      <c r="T428">
        <v>0.4</v>
      </c>
      <c r="U428">
        <v>0.8</v>
      </c>
      <c r="V428" t="s">
        <v>27</v>
      </c>
      <c r="W428">
        <v>0.47399999999999998</v>
      </c>
      <c r="X428">
        <v>0.51400000000000001</v>
      </c>
      <c r="Y428" t="s">
        <v>27</v>
      </c>
      <c r="Z428" t="s">
        <v>27</v>
      </c>
      <c r="AA428" t="s">
        <v>27</v>
      </c>
      <c r="AB428" t="s">
        <v>27</v>
      </c>
      <c r="AC428" t="s">
        <v>27</v>
      </c>
      <c r="AD428" t="s">
        <v>27</v>
      </c>
      <c r="AE428" t="s">
        <v>27</v>
      </c>
      <c r="AF428" t="s">
        <v>27</v>
      </c>
      <c r="AG428">
        <v>13.35</v>
      </c>
    </row>
    <row r="429" spans="1:33" x14ac:dyDescent="0.25">
      <c r="A429" t="s">
        <v>57</v>
      </c>
      <c r="B429" s="3">
        <v>43890</v>
      </c>
      <c r="C429">
        <v>2020060</v>
      </c>
      <c r="D429">
        <v>4.8099999999999996</v>
      </c>
      <c r="E429" t="s">
        <v>27</v>
      </c>
      <c r="F429">
        <v>-4.5999999999999996</v>
      </c>
      <c r="G429">
        <v>-2</v>
      </c>
      <c r="H429">
        <v>-6.5</v>
      </c>
      <c r="I429">
        <v>80</v>
      </c>
      <c r="J429">
        <v>65.7</v>
      </c>
      <c r="K429">
        <v>0.6</v>
      </c>
      <c r="L429">
        <v>3.3</v>
      </c>
      <c r="M429">
        <v>5.5</v>
      </c>
      <c r="N429">
        <v>1.4180000000000001</v>
      </c>
      <c r="O429">
        <v>-0.5</v>
      </c>
      <c r="P429" t="s">
        <v>27</v>
      </c>
      <c r="Q429" t="s">
        <v>27</v>
      </c>
      <c r="R429" t="s">
        <v>27</v>
      </c>
      <c r="S429">
        <v>0</v>
      </c>
      <c r="T429">
        <v>0.3</v>
      </c>
      <c r="U429">
        <v>0.7</v>
      </c>
      <c r="V429" t="s">
        <v>27</v>
      </c>
      <c r="W429">
        <v>0.34599999999999997</v>
      </c>
      <c r="X429">
        <v>0.18099999999999999</v>
      </c>
      <c r="Y429" t="s">
        <v>27</v>
      </c>
      <c r="Z429" t="s">
        <v>27</v>
      </c>
      <c r="AA429" t="s">
        <v>27</v>
      </c>
      <c r="AB429" t="s">
        <v>27</v>
      </c>
      <c r="AC429" t="s">
        <v>27</v>
      </c>
      <c r="AD429" t="s">
        <v>27</v>
      </c>
      <c r="AE429" t="s">
        <v>27</v>
      </c>
      <c r="AF429" t="s">
        <v>27</v>
      </c>
      <c r="AG429">
        <v>13.59</v>
      </c>
    </row>
    <row r="430" spans="1:33" x14ac:dyDescent="0.25">
      <c r="A430" t="s">
        <v>57</v>
      </c>
      <c r="B430" s="3">
        <v>43891</v>
      </c>
      <c r="C430">
        <v>2020061</v>
      </c>
      <c r="D430">
        <v>8.81</v>
      </c>
      <c r="E430" t="s">
        <v>27</v>
      </c>
      <c r="F430">
        <v>-6</v>
      </c>
      <c r="G430">
        <v>-1.8</v>
      </c>
      <c r="H430">
        <v>-13.5</v>
      </c>
      <c r="I430">
        <v>76.5</v>
      </c>
      <c r="J430">
        <v>56.4</v>
      </c>
      <c r="K430">
        <v>0.6</v>
      </c>
      <c r="L430">
        <v>3.7</v>
      </c>
      <c r="M430">
        <v>0</v>
      </c>
      <c r="N430">
        <v>1.405</v>
      </c>
      <c r="O430">
        <v>-0.5</v>
      </c>
      <c r="P430" t="s">
        <v>27</v>
      </c>
      <c r="Q430" t="s">
        <v>27</v>
      </c>
      <c r="R430" t="s">
        <v>27</v>
      </c>
      <c r="S430">
        <v>0</v>
      </c>
      <c r="T430">
        <v>0.3</v>
      </c>
      <c r="U430">
        <v>0.7</v>
      </c>
      <c r="V430" t="s">
        <v>27</v>
      </c>
      <c r="W430">
        <v>0.30199999999999999</v>
      </c>
      <c r="X430">
        <v>0.23300000000000001</v>
      </c>
      <c r="Y430" t="s">
        <v>27</v>
      </c>
      <c r="Z430" t="s">
        <v>27</v>
      </c>
      <c r="AA430" t="s">
        <v>27</v>
      </c>
      <c r="AB430" t="s">
        <v>27</v>
      </c>
      <c r="AC430" t="s">
        <v>27</v>
      </c>
      <c r="AD430" t="s">
        <v>27</v>
      </c>
      <c r="AE430" t="s">
        <v>27</v>
      </c>
      <c r="AF430" t="s">
        <v>27</v>
      </c>
      <c r="AG430">
        <v>13.82</v>
      </c>
    </row>
    <row r="431" spans="1:33" x14ac:dyDescent="0.25">
      <c r="A431" t="s">
        <v>57</v>
      </c>
      <c r="B431" s="3">
        <v>43892</v>
      </c>
      <c r="C431">
        <v>2020062</v>
      </c>
      <c r="D431">
        <v>7.9</v>
      </c>
      <c r="E431" t="s">
        <v>27</v>
      </c>
      <c r="F431">
        <v>-1.5</v>
      </c>
      <c r="G431">
        <v>0.9</v>
      </c>
      <c r="H431">
        <v>-3.6</v>
      </c>
      <c r="I431">
        <v>77.599999999999994</v>
      </c>
      <c r="J431">
        <v>63.6</v>
      </c>
      <c r="K431">
        <v>2.1</v>
      </c>
      <c r="L431">
        <v>4.7</v>
      </c>
      <c r="M431">
        <v>0</v>
      </c>
      <c r="N431">
        <v>1.3840000000000001</v>
      </c>
      <c r="O431">
        <v>-0.4</v>
      </c>
      <c r="P431" t="s">
        <v>27</v>
      </c>
      <c r="Q431" t="s">
        <v>27</v>
      </c>
      <c r="R431" t="s">
        <v>27</v>
      </c>
      <c r="S431">
        <v>0</v>
      </c>
      <c r="T431">
        <v>0.3</v>
      </c>
      <c r="U431">
        <v>0.7</v>
      </c>
      <c r="V431" t="s">
        <v>27</v>
      </c>
      <c r="W431">
        <v>0.41299999999999998</v>
      </c>
      <c r="X431">
        <v>0.23599999999999999</v>
      </c>
      <c r="Y431" t="s">
        <v>27</v>
      </c>
      <c r="Z431" t="s">
        <v>27</v>
      </c>
      <c r="AA431" t="s">
        <v>27</v>
      </c>
      <c r="AB431" t="s">
        <v>27</v>
      </c>
      <c r="AC431" t="s">
        <v>27</v>
      </c>
      <c r="AD431" t="s">
        <v>27</v>
      </c>
      <c r="AE431" t="s">
        <v>27</v>
      </c>
      <c r="AF431" t="s">
        <v>27</v>
      </c>
      <c r="AG431">
        <v>14.07</v>
      </c>
    </row>
    <row r="432" spans="1:33" x14ac:dyDescent="0.25">
      <c r="A432" t="s">
        <v>57</v>
      </c>
      <c r="B432" s="3">
        <v>43893</v>
      </c>
      <c r="C432">
        <v>2020063</v>
      </c>
      <c r="D432">
        <v>10.36</v>
      </c>
      <c r="E432" t="s">
        <v>27</v>
      </c>
      <c r="F432">
        <v>0.7</v>
      </c>
      <c r="G432">
        <v>7</v>
      </c>
      <c r="H432">
        <v>-4.9000000000000004</v>
      </c>
      <c r="I432">
        <v>56.2</v>
      </c>
      <c r="J432">
        <v>26.4</v>
      </c>
      <c r="K432">
        <v>1.3</v>
      </c>
      <c r="L432">
        <v>4.2</v>
      </c>
      <c r="M432">
        <v>0</v>
      </c>
      <c r="N432">
        <v>1.3510000000000002</v>
      </c>
      <c r="O432">
        <v>-0.4</v>
      </c>
      <c r="P432" t="s">
        <v>27</v>
      </c>
      <c r="Q432" t="s">
        <v>27</v>
      </c>
      <c r="R432" t="s">
        <v>27</v>
      </c>
      <c r="S432">
        <v>0</v>
      </c>
      <c r="T432">
        <v>0.4</v>
      </c>
      <c r="U432">
        <v>0.7</v>
      </c>
      <c r="V432" t="s">
        <v>27</v>
      </c>
      <c r="W432">
        <v>0.26400000000000001</v>
      </c>
      <c r="X432">
        <v>0.73599999999999999</v>
      </c>
      <c r="Y432" t="s">
        <v>27</v>
      </c>
      <c r="Z432" t="s">
        <v>27</v>
      </c>
      <c r="AA432" t="s">
        <v>27</v>
      </c>
      <c r="AB432" t="s">
        <v>27</v>
      </c>
      <c r="AC432" t="s">
        <v>27</v>
      </c>
      <c r="AD432" t="s">
        <v>27</v>
      </c>
      <c r="AE432" t="s">
        <v>27</v>
      </c>
      <c r="AF432" t="s">
        <v>27</v>
      </c>
      <c r="AG432">
        <v>14.31</v>
      </c>
    </row>
    <row r="433" spans="1:33" x14ac:dyDescent="0.25">
      <c r="A433" t="s">
        <v>57</v>
      </c>
      <c r="B433" s="3">
        <v>43894</v>
      </c>
      <c r="C433">
        <v>2020064</v>
      </c>
      <c r="D433">
        <v>9.52</v>
      </c>
      <c r="E433" t="s">
        <v>27</v>
      </c>
      <c r="F433">
        <v>-4.9000000000000004</v>
      </c>
      <c r="G433">
        <v>-0.4</v>
      </c>
      <c r="H433">
        <v>-12.6</v>
      </c>
      <c r="I433">
        <v>59.4</v>
      </c>
      <c r="J433">
        <v>38.6</v>
      </c>
      <c r="K433">
        <v>0</v>
      </c>
      <c r="L433">
        <v>0</v>
      </c>
      <c r="M433">
        <v>0</v>
      </c>
      <c r="N433">
        <v>1.3450000000000002</v>
      </c>
      <c r="O433">
        <v>-0.4</v>
      </c>
      <c r="P433" t="s">
        <v>27</v>
      </c>
      <c r="Q433" t="s">
        <v>27</v>
      </c>
      <c r="R433" t="s">
        <v>27</v>
      </c>
      <c r="S433">
        <v>0</v>
      </c>
      <c r="T433">
        <v>0.3</v>
      </c>
      <c r="U433">
        <v>0.7</v>
      </c>
      <c r="V433" t="s">
        <v>27</v>
      </c>
      <c r="W433">
        <v>0.22900000000000001</v>
      </c>
      <c r="X433">
        <v>0.36399999999999999</v>
      </c>
      <c r="Y433" t="s">
        <v>27</v>
      </c>
      <c r="Z433" t="s">
        <v>27</v>
      </c>
      <c r="AA433" t="s">
        <v>27</v>
      </c>
      <c r="AB433" t="s">
        <v>27</v>
      </c>
      <c r="AC433" t="s">
        <v>27</v>
      </c>
      <c r="AD433" t="s">
        <v>27</v>
      </c>
      <c r="AE433" t="s">
        <v>27</v>
      </c>
      <c r="AF433" t="s">
        <v>27</v>
      </c>
      <c r="AG433">
        <v>14.55</v>
      </c>
    </row>
    <row r="434" spans="1:33" x14ac:dyDescent="0.25">
      <c r="A434" t="s">
        <v>57</v>
      </c>
      <c r="B434" s="3">
        <v>43895</v>
      </c>
      <c r="C434">
        <v>2020065</v>
      </c>
      <c r="D434">
        <v>9.68</v>
      </c>
      <c r="E434" t="s">
        <v>27</v>
      </c>
      <c r="F434">
        <v>-1</v>
      </c>
      <c r="G434">
        <v>5.9</v>
      </c>
      <c r="H434">
        <v>-6.3</v>
      </c>
      <c r="I434">
        <v>55.8</v>
      </c>
      <c r="J434">
        <v>35.799999999999997</v>
      </c>
      <c r="K434">
        <v>0</v>
      </c>
      <c r="L434">
        <v>0.9</v>
      </c>
      <c r="M434">
        <v>0</v>
      </c>
      <c r="N434">
        <v>1.3220000000000001</v>
      </c>
      <c r="O434">
        <v>-0.4</v>
      </c>
      <c r="P434" t="s">
        <v>27</v>
      </c>
      <c r="Q434" t="s">
        <v>27</v>
      </c>
      <c r="R434" t="s">
        <v>27</v>
      </c>
      <c r="S434">
        <v>0</v>
      </c>
      <c r="T434">
        <v>0.4</v>
      </c>
      <c r="U434">
        <v>0.7</v>
      </c>
      <c r="V434" t="s">
        <v>27</v>
      </c>
      <c r="W434">
        <v>0.33200000000000002</v>
      </c>
      <c r="X434">
        <v>0.59499999999999997</v>
      </c>
      <c r="Y434" t="s">
        <v>27</v>
      </c>
      <c r="Z434" t="s">
        <v>27</v>
      </c>
      <c r="AA434" t="s">
        <v>27</v>
      </c>
      <c r="AB434" t="s">
        <v>27</v>
      </c>
      <c r="AC434" t="s">
        <v>27</v>
      </c>
      <c r="AD434" t="s">
        <v>27</v>
      </c>
      <c r="AE434" t="s">
        <v>27</v>
      </c>
      <c r="AF434" t="s">
        <v>27</v>
      </c>
      <c r="AG434">
        <v>14.8</v>
      </c>
    </row>
    <row r="435" spans="1:33" x14ac:dyDescent="0.25">
      <c r="A435" t="s">
        <v>57</v>
      </c>
      <c r="B435" s="3">
        <v>43896</v>
      </c>
      <c r="C435">
        <v>2020066</v>
      </c>
      <c r="D435">
        <v>5.35</v>
      </c>
      <c r="E435" t="s">
        <v>27</v>
      </c>
      <c r="F435">
        <v>-2</v>
      </c>
      <c r="G435">
        <v>3.1</v>
      </c>
      <c r="H435">
        <v>-6.5</v>
      </c>
      <c r="I435">
        <v>81.400000000000006</v>
      </c>
      <c r="J435">
        <v>52.4</v>
      </c>
      <c r="K435">
        <v>0.1</v>
      </c>
      <c r="L435">
        <v>1.6</v>
      </c>
      <c r="M435">
        <v>0</v>
      </c>
      <c r="N435">
        <v>1.3160000000000001</v>
      </c>
      <c r="O435">
        <v>-0.4</v>
      </c>
      <c r="P435" t="s">
        <v>27</v>
      </c>
      <c r="Q435" t="s">
        <v>27</v>
      </c>
      <c r="R435" t="s">
        <v>27</v>
      </c>
      <c r="S435">
        <v>0</v>
      </c>
      <c r="T435">
        <v>0.3</v>
      </c>
      <c r="U435">
        <v>0.7</v>
      </c>
      <c r="V435" t="s">
        <v>27</v>
      </c>
      <c r="W435">
        <v>0.4</v>
      </c>
      <c r="X435">
        <v>0.36299999999999999</v>
      </c>
      <c r="Y435" t="s">
        <v>27</v>
      </c>
      <c r="Z435" t="s">
        <v>27</v>
      </c>
      <c r="AA435" t="s">
        <v>27</v>
      </c>
      <c r="AB435" t="s">
        <v>27</v>
      </c>
      <c r="AC435" t="s">
        <v>27</v>
      </c>
      <c r="AD435" t="s">
        <v>27</v>
      </c>
      <c r="AE435" t="s">
        <v>27</v>
      </c>
      <c r="AF435" t="s">
        <v>27</v>
      </c>
      <c r="AG435">
        <v>15.04</v>
      </c>
    </row>
    <row r="436" spans="1:33" x14ac:dyDescent="0.25">
      <c r="A436" t="s">
        <v>57</v>
      </c>
      <c r="B436" s="3">
        <v>43897</v>
      </c>
      <c r="C436">
        <v>2020067</v>
      </c>
      <c r="D436">
        <v>3.93</v>
      </c>
      <c r="E436" t="s">
        <v>27</v>
      </c>
      <c r="F436">
        <v>-4.2</v>
      </c>
      <c r="G436">
        <v>-0.2</v>
      </c>
      <c r="H436">
        <v>-11.8</v>
      </c>
      <c r="I436">
        <v>84.4</v>
      </c>
      <c r="J436">
        <v>53.9</v>
      </c>
      <c r="K436">
        <v>0.2</v>
      </c>
      <c r="L436">
        <v>2.2000000000000002</v>
      </c>
      <c r="M436">
        <v>8.4</v>
      </c>
      <c r="N436">
        <v>1.3840000000000001</v>
      </c>
      <c r="O436">
        <v>-0.4</v>
      </c>
      <c r="P436" t="s">
        <v>27</v>
      </c>
      <c r="Q436" t="s">
        <v>27</v>
      </c>
      <c r="R436" t="s">
        <v>27</v>
      </c>
      <c r="S436">
        <v>0</v>
      </c>
      <c r="T436">
        <v>0.3</v>
      </c>
      <c r="U436">
        <v>0.7</v>
      </c>
      <c r="V436" t="s">
        <v>27</v>
      </c>
      <c r="W436">
        <v>0.32400000000000001</v>
      </c>
      <c r="X436">
        <v>0.27700000000000002</v>
      </c>
      <c r="Y436" t="s">
        <v>27</v>
      </c>
      <c r="Z436" t="s">
        <v>27</v>
      </c>
      <c r="AA436" t="s">
        <v>27</v>
      </c>
      <c r="AB436" t="s">
        <v>27</v>
      </c>
      <c r="AC436" t="s">
        <v>27</v>
      </c>
      <c r="AD436" t="s">
        <v>27</v>
      </c>
      <c r="AE436" t="s">
        <v>27</v>
      </c>
      <c r="AF436" t="s">
        <v>27</v>
      </c>
      <c r="AG436">
        <v>15.29</v>
      </c>
    </row>
    <row r="437" spans="1:33" x14ac:dyDescent="0.25">
      <c r="A437" t="s">
        <v>57</v>
      </c>
      <c r="B437" s="3">
        <v>43898</v>
      </c>
      <c r="C437">
        <v>2020068</v>
      </c>
      <c r="D437">
        <v>6.77</v>
      </c>
      <c r="E437" t="s">
        <v>27</v>
      </c>
      <c r="F437">
        <v>-8.6999999999999993</v>
      </c>
      <c r="G437">
        <v>-1.3</v>
      </c>
      <c r="H437">
        <v>-16.8</v>
      </c>
      <c r="I437">
        <v>77.8</v>
      </c>
      <c r="J437">
        <v>42.1</v>
      </c>
      <c r="K437">
        <v>0.5</v>
      </c>
      <c r="L437">
        <v>3</v>
      </c>
      <c r="M437">
        <v>0</v>
      </c>
      <c r="N437">
        <v>1.367</v>
      </c>
      <c r="O437">
        <v>-0.4</v>
      </c>
      <c r="P437" t="s">
        <v>27</v>
      </c>
      <c r="Q437" t="s">
        <v>27</v>
      </c>
      <c r="R437" t="s">
        <v>27</v>
      </c>
      <c r="S437">
        <v>0</v>
      </c>
      <c r="T437">
        <v>0.3</v>
      </c>
      <c r="U437">
        <v>0.7</v>
      </c>
      <c r="V437" t="s">
        <v>27</v>
      </c>
      <c r="W437">
        <v>0.23300000000000001</v>
      </c>
      <c r="X437">
        <v>0.32</v>
      </c>
      <c r="Y437" t="s">
        <v>27</v>
      </c>
      <c r="Z437" t="s">
        <v>27</v>
      </c>
      <c r="AA437" t="s">
        <v>27</v>
      </c>
      <c r="AB437" t="s">
        <v>27</v>
      </c>
      <c r="AC437" t="s">
        <v>27</v>
      </c>
      <c r="AD437" t="s">
        <v>27</v>
      </c>
      <c r="AE437" t="s">
        <v>27</v>
      </c>
      <c r="AF437" t="s">
        <v>27</v>
      </c>
      <c r="AG437">
        <v>15.55</v>
      </c>
    </row>
    <row r="438" spans="1:33" x14ac:dyDescent="0.25">
      <c r="A438" t="s">
        <v>57</v>
      </c>
      <c r="B438" s="3">
        <v>43899</v>
      </c>
      <c r="C438">
        <v>2020069</v>
      </c>
      <c r="D438">
        <v>13.93</v>
      </c>
      <c r="E438" t="s">
        <v>27</v>
      </c>
      <c r="F438">
        <v>-10.6</v>
      </c>
      <c r="G438">
        <v>1.1000000000000001</v>
      </c>
      <c r="H438">
        <v>-19.7</v>
      </c>
      <c r="I438">
        <v>65.2</v>
      </c>
      <c r="J438">
        <v>24.1</v>
      </c>
      <c r="K438">
        <v>0.1</v>
      </c>
      <c r="L438">
        <v>1.5</v>
      </c>
      <c r="M438">
        <v>0</v>
      </c>
      <c r="N438">
        <v>1.3570000000000002</v>
      </c>
      <c r="O438">
        <v>-0.4</v>
      </c>
      <c r="P438" t="s">
        <v>27</v>
      </c>
      <c r="Q438" t="s">
        <v>27</v>
      </c>
      <c r="R438" t="s">
        <v>27</v>
      </c>
      <c r="S438">
        <v>0</v>
      </c>
      <c r="T438">
        <v>0.3</v>
      </c>
      <c r="U438">
        <v>0.6</v>
      </c>
      <c r="V438" t="s">
        <v>27</v>
      </c>
      <c r="W438">
        <v>0.16</v>
      </c>
      <c r="X438">
        <v>0.504</v>
      </c>
      <c r="Y438" t="s">
        <v>27</v>
      </c>
      <c r="Z438" t="s">
        <v>27</v>
      </c>
      <c r="AA438" t="s">
        <v>27</v>
      </c>
      <c r="AB438" t="s">
        <v>27</v>
      </c>
      <c r="AC438" t="s">
        <v>27</v>
      </c>
      <c r="AD438" t="s">
        <v>27</v>
      </c>
      <c r="AE438" t="s">
        <v>27</v>
      </c>
      <c r="AF438" t="s">
        <v>27</v>
      </c>
      <c r="AG438">
        <v>15.8</v>
      </c>
    </row>
    <row r="439" spans="1:33" x14ac:dyDescent="0.25">
      <c r="A439" t="s">
        <v>57</v>
      </c>
      <c r="B439" s="3">
        <v>43900</v>
      </c>
      <c r="C439">
        <v>2020070</v>
      </c>
      <c r="D439">
        <v>0.93</v>
      </c>
      <c r="E439" t="s">
        <v>27</v>
      </c>
      <c r="F439">
        <v>-5.7</v>
      </c>
      <c r="G439">
        <v>-1.2</v>
      </c>
      <c r="H439">
        <v>-17.2</v>
      </c>
      <c r="I439">
        <v>81.5</v>
      </c>
      <c r="J439">
        <v>72.099999999999994</v>
      </c>
      <c r="K439">
        <v>0.4</v>
      </c>
      <c r="L439">
        <v>2.1</v>
      </c>
      <c r="M439">
        <v>2.5</v>
      </c>
      <c r="N439">
        <v>1.35</v>
      </c>
      <c r="O439">
        <v>-0.4</v>
      </c>
      <c r="P439" t="s">
        <v>27</v>
      </c>
      <c r="Q439" t="s">
        <v>27</v>
      </c>
      <c r="R439" t="s">
        <v>27</v>
      </c>
      <c r="S439">
        <v>0</v>
      </c>
      <c r="T439">
        <v>0.3</v>
      </c>
      <c r="U439">
        <v>0.7</v>
      </c>
      <c r="V439" t="s">
        <v>27</v>
      </c>
      <c r="W439">
        <v>0.40300000000000002</v>
      </c>
      <c r="X439">
        <v>0.156</v>
      </c>
      <c r="Y439" t="s">
        <v>27</v>
      </c>
      <c r="Z439" t="s">
        <v>27</v>
      </c>
      <c r="AA439" t="s">
        <v>27</v>
      </c>
      <c r="AB439" t="s">
        <v>27</v>
      </c>
      <c r="AC439" t="s">
        <v>27</v>
      </c>
      <c r="AD439" t="s">
        <v>27</v>
      </c>
      <c r="AE439" t="s">
        <v>27</v>
      </c>
      <c r="AF439" t="s">
        <v>27</v>
      </c>
      <c r="AG439">
        <v>16.05</v>
      </c>
    </row>
    <row r="440" spans="1:33" x14ac:dyDescent="0.25">
      <c r="A440" t="s">
        <v>57</v>
      </c>
      <c r="B440" s="3">
        <v>43901</v>
      </c>
      <c r="C440">
        <v>2020071</v>
      </c>
      <c r="D440">
        <v>6.16</v>
      </c>
      <c r="E440" t="s">
        <v>27</v>
      </c>
      <c r="F440">
        <v>-4</v>
      </c>
      <c r="G440">
        <v>-1</v>
      </c>
      <c r="H440">
        <v>-13.1</v>
      </c>
      <c r="I440">
        <v>81.400000000000006</v>
      </c>
      <c r="J440">
        <v>62.7</v>
      </c>
      <c r="K440">
        <v>0.9</v>
      </c>
      <c r="L440">
        <v>3.3</v>
      </c>
      <c r="M440">
        <v>10.5</v>
      </c>
      <c r="N440">
        <v>1.4300000000000002</v>
      </c>
      <c r="O440">
        <v>-0.4</v>
      </c>
      <c r="P440" t="s">
        <v>27</v>
      </c>
      <c r="Q440" t="s">
        <v>27</v>
      </c>
      <c r="R440" t="s">
        <v>27</v>
      </c>
      <c r="S440">
        <v>0</v>
      </c>
      <c r="T440">
        <v>0.3</v>
      </c>
      <c r="U440">
        <v>0.7</v>
      </c>
      <c r="V440" t="s">
        <v>27</v>
      </c>
      <c r="W440">
        <v>0.35499999999999998</v>
      </c>
      <c r="X440">
        <v>0.21099999999999999</v>
      </c>
      <c r="Y440" t="s">
        <v>27</v>
      </c>
      <c r="Z440" t="s">
        <v>27</v>
      </c>
      <c r="AA440" t="s">
        <v>27</v>
      </c>
      <c r="AB440" t="s">
        <v>27</v>
      </c>
      <c r="AC440" t="s">
        <v>27</v>
      </c>
      <c r="AD440" t="s">
        <v>27</v>
      </c>
      <c r="AE440" t="s">
        <v>27</v>
      </c>
      <c r="AF440" t="s">
        <v>27</v>
      </c>
      <c r="AG440">
        <v>16.309999999999999</v>
      </c>
    </row>
    <row r="441" spans="1:33" x14ac:dyDescent="0.25">
      <c r="A441" t="s">
        <v>57</v>
      </c>
      <c r="B441" s="3">
        <v>43902</v>
      </c>
      <c r="C441">
        <v>2020072</v>
      </c>
      <c r="D441">
        <v>2.46</v>
      </c>
      <c r="E441" t="s">
        <v>27</v>
      </c>
      <c r="F441">
        <v>-8.1999999999999993</v>
      </c>
      <c r="G441">
        <v>-2.4</v>
      </c>
      <c r="H441">
        <v>-15.9</v>
      </c>
      <c r="I441">
        <v>83.4</v>
      </c>
      <c r="J441">
        <v>65.5</v>
      </c>
      <c r="K441">
        <v>0.3</v>
      </c>
      <c r="L441">
        <v>1.5</v>
      </c>
      <c r="M441">
        <v>2.2999999999999998</v>
      </c>
      <c r="N441">
        <v>1.4380000000000002</v>
      </c>
      <c r="O441">
        <v>-0.4</v>
      </c>
      <c r="P441" t="s">
        <v>27</v>
      </c>
      <c r="Q441" t="s">
        <v>27</v>
      </c>
      <c r="R441" t="s">
        <v>27</v>
      </c>
      <c r="S441">
        <v>0</v>
      </c>
      <c r="T441">
        <v>0.3</v>
      </c>
      <c r="U441">
        <v>0.7</v>
      </c>
      <c r="V441" t="s">
        <v>27</v>
      </c>
      <c r="W441">
        <v>0.33600000000000002</v>
      </c>
      <c r="X441">
        <v>0.17699999999999999</v>
      </c>
      <c r="Y441" t="s">
        <v>27</v>
      </c>
      <c r="Z441" t="s">
        <v>27</v>
      </c>
      <c r="AA441" t="s">
        <v>27</v>
      </c>
      <c r="AB441" t="s">
        <v>27</v>
      </c>
      <c r="AC441" t="s">
        <v>27</v>
      </c>
      <c r="AD441" t="s">
        <v>27</v>
      </c>
      <c r="AE441" t="s">
        <v>27</v>
      </c>
      <c r="AF441" t="s">
        <v>27</v>
      </c>
      <c r="AG441">
        <v>16.559999999999999</v>
      </c>
    </row>
    <row r="442" spans="1:33" x14ac:dyDescent="0.25">
      <c r="A442" t="s">
        <v>57</v>
      </c>
      <c r="B442" s="3">
        <v>43903</v>
      </c>
      <c r="C442">
        <v>2020073</v>
      </c>
      <c r="D442">
        <v>3.1</v>
      </c>
      <c r="E442" t="s">
        <v>27</v>
      </c>
      <c r="F442">
        <v>-9.3000000000000007</v>
      </c>
      <c r="G442">
        <v>-7.8</v>
      </c>
      <c r="H442">
        <v>-12.6</v>
      </c>
      <c r="I442">
        <v>87.1</v>
      </c>
      <c r="J442">
        <v>81.900000000000006</v>
      </c>
      <c r="K442">
        <v>1.2</v>
      </c>
      <c r="L442">
        <v>2.6</v>
      </c>
      <c r="M442">
        <v>20</v>
      </c>
      <c r="N442">
        <v>1.6320000000000001</v>
      </c>
      <c r="O442">
        <v>-0.5</v>
      </c>
      <c r="P442" t="s">
        <v>27</v>
      </c>
      <c r="Q442" t="s">
        <v>27</v>
      </c>
      <c r="R442" t="s">
        <v>27</v>
      </c>
      <c r="S442">
        <v>0</v>
      </c>
      <c r="T442">
        <v>0.3</v>
      </c>
      <c r="U442">
        <v>0.7</v>
      </c>
      <c r="V442" t="s">
        <v>27</v>
      </c>
      <c r="W442">
        <v>0.27700000000000002</v>
      </c>
      <c r="X442">
        <v>6.0999999999999999E-2</v>
      </c>
      <c r="Y442" t="s">
        <v>27</v>
      </c>
      <c r="Z442" t="s">
        <v>27</v>
      </c>
      <c r="AA442" t="s">
        <v>27</v>
      </c>
      <c r="AB442" t="s">
        <v>27</v>
      </c>
      <c r="AC442" t="s">
        <v>27</v>
      </c>
      <c r="AD442" t="s">
        <v>27</v>
      </c>
      <c r="AE442" t="s">
        <v>27</v>
      </c>
      <c r="AF442" t="s">
        <v>27</v>
      </c>
      <c r="AG442">
        <v>16.82</v>
      </c>
    </row>
    <row r="443" spans="1:33" x14ac:dyDescent="0.25">
      <c r="A443" t="s">
        <v>57</v>
      </c>
      <c r="B443" s="3">
        <v>43904</v>
      </c>
      <c r="C443">
        <v>2020074</v>
      </c>
      <c r="D443">
        <v>8.75</v>
      </c>
      <c r="E443" t="s">
        <v>27</v>
      </c>
      <c r="F443">
        <v>-14.3</v>
      </c>
      <c r="G443">
        <v>-11.5</v>
      </c>
      <c r="H443">
        <v>-16.899999999999999</v>
      </c>
      <c r="I443">
        <v>84.3</v>
      </c>
      <c r="J443">
        <v>82</v>
      </c>
      <c r="K443">
        <v>1.2</v>
      </c>
      <c r="L443">
        <v>2.1</v>
      </c>
      <c r="M443">
        <v>2.4</v>
      </c>
      <c r="N443">
        <v>1.5830000000000002</v>
      </c>
      <c r="O443">
        <v>-0.5</v>
      </c>
      <c r="P443" t="s">
        <v>27</v>
      </c>
      <c r="Q443" t="s">
        <v>27</v>
      </c>
      <c r="R443" t="s">
        <v>27</v>
      </c>
      <c r="S443">
        <v>0</v>
      </c>
      <c r="T443">
        <v>0.3</v>
      </c>
      <c r="U443">
        <v>0.6</v>
      </c>
      <c r="V443" t="s">
        <v>27</v>
      </c>
      <c r="W443">
        <v>0.20799999999999999</v>
      </c>
      <c r="X443">
        <v>4.5999999999999999E-2</v>
      </c>
      <c r="Y443" t="s">
        <v>27</v>
      </c>
      <c r="Z443" t="s">
        <v>27</v>
      </c>
      <c r="AA443" t="s">
        <v>27</v>
      </c>
      <c r="AB443" t="s">
        <v>27</v>
      </c>
      <c r="AC443" t="s">
        <v>27</v>
      </c>
      <c r="AD443" t="s">
        <v>27</v>
      </c>
      <c r="AE443" t="s">
        <v>27</v>
      </c>
      <c r="AF443" t="s">
        <v>27</v>
      </c>
      <c r="AG443">
        <v>17.079999999999998</v>
      </c>
    </row>
    <row r="444" spans="1:33" x14ac:dyDescent="0.25">
      <c r="A444" t="s">
        <v>57</v>
      </c>
      <c r="B444" s="3">
        <v>43905</v>
      </c>
      <c r="C444">
        <v>2020075</v>
      </c>
      <c r="D444">
        <v>15.81</v>
      </c>
      <c r="E444" t="s">
        <v>27</v>
      </c>
      <c r="F444">
        <v>-11.8</v>
      </c>
      <c r="G444">
        <v>-6.1</v>
      </c>
      <c r="H444">
        <v>-17.5</v>
      </c>
      <c r="I444">
        <v>80.900000000000006</v>
      </c>
      <c r="J444">
        <v>61.5</v>
      </c>
      <c r="K444">
        <v>0.8</v>
      </c>
      <c r="L444">
        <v>2.2000000000000002</v>
      </c>
      <c r="M444">
        <v>0</v>
      </c>
      <c r="N444">
        <v>1.5310000000000001</v>
      </c>
      <c r="O444">
        <v>-0.5</v>
      </c>
      <c r="P444" t="s">
        <v>27</v>
      </c>
      <c r="Q444" t="s">
        <v>27</v>
      </c>
      <c r="R444" t="s">
        <v>27</v>
      </c>
      <c r="S444">
        <v>0</v>
      </c>
      <c r="T444">
        <v>0.3</v>
      </c>
      <c r="U444">
        <v>0.6</v>
      </c>
      <c r="V444" t="s">
        <v>27</v>
      </c>
      <c r="W444">
        <v>0.23699999999999999</v>
      </c>
      <c r="X444">
        <v>0.14799999999999999</v>
      </c>
      <c r="Y444" t="s">
        <v>27</v>
      </c>
      <c r="Z444" t="s">
        <v>27</v>
      </c>
      <c r="AA444" t="s">
        <v>27</v>
      </c>
      <c r="AB444" t="s">
        <v>27</v>
      </c>
      <c r="AC444" t="s">
        <v>27</v>
      </c>
      <c r="AD444" t="s">
        <v>27</v>
      </c>
      <c r="AE444" t="s">
        <v>27</v>
      </c>
      <c r="AF444" t="s">
        <v>27</v>
      </c>
      <c r="AG444">
        <v>17.34</v>
      </c>
    </row>
    <row r="445" spans="1:33" x14ac:dyDescent="0.25">
      <c r="A445" t="s">
        <v>57</v>
      </c>
      <c r="B445" s="3">
        <v>43906</v>
      </c>
      <c r="C445">
        <v>2020076</v>
      </c>
      <c r="D445">
        <v>16.149999999999999</v>
      </c>
      <c r="E445" t="s">
        <v>27</v>
      </c>
      <c r="F445">
        <v>-4.2</v>
      </c>
      <c r="G445">
        <v>6.2</v>
      </c>
      <c r="H445">
        <v>-12.5</v>
      </c>
      <c r="I445">
        <v>60.2</v>
      </c>
      <c r="J445">
        <v>27.6</v>
      </c>
      <c r="K445">
        <v>0.1</v>
      </c>
      <c r="L445">
        <v>1.6</v>
      </c>
      <c r="M445">
        <v>0</v>
      </c>
      <c r="N445">
        <v>1.4650000000000001</v>
      </c>
      <c r="O445">
        <v>-0.4</v>
      </c>
      <c r="P445" t="s">
        <v>27</v>
      </c>
      <c r="Q445" t="s">
        <v>27</v>
      </c>
      <c r="R445" t="s">
        <v>27</v>
      </c>
      <c r="S445">
        <v>0</v>
      </c>
      <c r="T445">
        <v>0.3</v>
      </c>
      <c r="U445">
        <v>0.7</v>
      </c>
      <c r="V445" t="s">
        <v>27</v>
      </c>
      <c r="W445">
        <v>0.26100000000000001</v>
      </c>
      <c r="X445">
        <v>0.68500000000000005</v>
      </c>
      <c r="Y445" t="s">
        <v>27</v>
      </c>
      <c r="Z445" t="s">
        <v>27</v>
      </c>
      <c r="AA445" t="s">
        <v>27</v>
      </c>
      <c r="AB445" t="s">
        <v>27</v>
      </c>
      <c r="AC445" t="s">
        <v>27</v>
      </c>
      <c r="AD445" t="s">
        <v>27</v>
      </c>
      <c r="AE445" t="s">
        <v>27</v>
      </c>
      <c r="AF445" t="s">
        <v>27</v>
      </c>
      <c r="AG445">
        <v>17.600000000000001</v>
      </c>
    </row>
    <row r="446" spans="1:33" x14ac:dyDescent="0.25">
      <c r="A446" t="s">
        <v>57</v>
      </c>
      <c r="B446" s="3">
        <v>43907</v>
      </c>
      <c r="C446">
        <v>2020077</v>
      </c>
      <c r="D446">
        <v>14.27</v>
      </c>
      <c r="E446" t="s">
        <v>27</v>
      </c>
      <c r="F446">
        <v>-2.9</v>
      </c>
      <c r="G446">
        <v>6.1</v>
      </c>
      <c r="H446">
        <v>-11.3</v>
      </c>
      <c r="I446">
        <v>63</v>
      </c>
      <c r="J446">
        <v>31.5</v>
      </c>
      <c r="K446">
        <v>0.3</v>
      </c>
      <c r="L446">
        <v>3.1</v>
      </c>
      <c r="M446">
        <v>0</v>
      </c>
      <c r="N446">
        <v>1.4350000000000001</v>
      </c>
      <c r="O446">
        <v>-0.4</v>
      </c>
      <c r="P446" t="s">
        <v>27</v>
      </c>
      <c r="Q446" t="s">
        <v>27</v>
      </c>
      <c r="R446" t="s">
        <v>27</v>
      </c>
      <c r="S446">
        <v>0</v>
      </c>
      <c r="T446">
        <v>0.3</v>
      </c>
      <c r="U446">
        <v>0.7</v>
      </c>
      <c r="V446" t="s">
        <v>27</v>
      </c>
      <c r="W446">
        <v>0.29699999999999999</v>
      </c>
      <c r="X446">
        <v>0.64600000000000002</v>
      </c>
      <c r="Y446" t="s">
        <v>27</v>
      </c>
      <c r="Z446" t="s">
        <v>27</v>
      </c>
      <c r="AA446" t="s">
        <v>27</v>
      </c>
      <c r="AB446" t="s">
        <v>27</v>
      </c>
      <c r="AC446" t="s">
        <v>27</v>
      </c>
      <c r="AD446" t="s">
        <v>27</v>
      </c>
      <c r="AE446" t="s">
        <v>27</v>
      </c>
      <c r="AF446" t="s">
        <v>27</v>
      </c>
      <c r="AG446">
        <v>17.850000000000001</v>
      </c>
    </row>
    <row r="447" spans="1:33" x14ac:dyDescent="0.25">
      <c r="A447" t="s">
        <v>57</v>
      </c>
      <c r="B447" s="3">
        <v>43908</v>
      </c>
      <c r="C447">
        <v>2020078</v>
      </c>
      <c r="D447">
        <v>16.829999999999998</v>
      </c>
      <c r="E447" t="s">
        <v>27</v>
      </c>
      <c r="F447">
        <v>-3.4</v>
      </c>
      <c r="G447">
        <v>5.6</v>
      </c>
      <c r="H447">
        <v>-11.9</v>
      </c>
      <c r="I447">
        <v>61.6</v>
      </c>
      <c r="J447">
        <v>26.2</v>
      </c>
      <c r="K447">
        <v>0.1</v>
      </c>
      <c r="L447">
        <v>1.9</v>
      </c>
      <c r="M447">
        <v>0</v>
      </c>
      <c r="N447">
        <v>1.403</v>
      </c>
      <c r="O447">
        <v>-0.4</v>
      </c>
      <c r="P447" t="s">
        <v>27</v>
      </c>
      <c r="Q447" t="s">
        <v>27</v>
      </c>
      <c r="R447" t="s">
        <v>27</v>
      </c>
      <c r="S447">
        <v>0</v>
      </c>
      <c r="T447">
        <v>0.3</v>
      </c>
      <c r="U447">
        <v>0.7</v>
      </c>
      <c r="V447" t="s">
        <v>27</v>
      </c>
      <c r="W447">
        <v>0.23899999999999999</v>
      </c>
      <c r="X447">
        <v>0.67300000000000004</v>
      </c>
      <c r="Y447" t="s">
        <v>27</v>
      </c>
      <c r="Z447" t="s">
        <v>27</v>
      </c>
      <c r="AA447" t="s">
        <v>27</v>
      </c>
      <c r="AB447" t="s">
        <v>27</v>
      </c>
      <c r="AC447" t="s">
        <v>27</v>
      </c>
      <c r="AD447" t="s">
        <v>27</v>
      </c>
      <c r="AE447" t="s">
        <v>27</v>
      </c>
      <c r="AF447" t="s">
        <v>27</v>
      </c>
      <c r="AG447">
        <v>18.12</v>
      </c>
    </row>
    <row r="448" spans="1:33" x14ac:dyDescent="0.25">
      <c r="A448" t="s">
        <v>57</v>
      </c>
      <c r="B448" s="3">
        <v>43909</v>
      </c>
      <c r="C448">
        <v>2020079</v>
      </c>
      <c r="D448">
        <v>16.739999999999998</v>
      </c>
      <c r="E448" t="s">
        <v>27</v>
      </c>
      <c r="F448">
        <v>-3</v>
      </c>
      <c r="G448">
        <v>7.7</v>
      </c>
      <c r="H448">
        <v>-14.2</v>
      </c>
      <c r="I448">
        <v>61.4</v>
      </c>
      <c r="J448">
        <v>15.4</v>
      </c>
      <c r="K448">
        <v>0.3</v>
      </c>
      <c r="L448">
        <v>2.1</v>
      </c>
      <c r="M448">
        <v>0</v>
      </c>
      <c r="N448">
        <v>1.377</v>
      </c>
      <c r="O448">
        <v>-0.4</v>
      </c>
      <c r="P448" t="s">
        <v>27</v>
      </c>
      <c r="Q448" t="s">
        <v>27</v>
      </c>
      <c r="R448" t="s">
        <v>27</v>
      </c>
      <c r="S448">
        <v>0</v>
      </c>
      <c r="T448">
        <v>0.3</v>
      </c>
      <c r="U448">
        <v>0.7</v>
      </c>
      <c r="V448" t="s">
        <v>27</v>
      </c>
      <c r="W448">
        <v>0.161</v>
      </c>
      <c r="X448">
        <v>0.88400000000000001</v>
      </c>
      <c r="Y448" t="s">
        <v>27</v>
      </c>
      <c r="Z448" t="s">
        <v>27</v>
      </c>
      <c r="AA448" t="s">
        <v>27</v>
      </c>
      <c r="AB448" t="s">
        <v>27</v>
      </c>
      <c r="AC448" t="s">
        <v>27</v>
      </c>
      <c r="AD448" t="s">
        <v>27</v>
      </c>
      <c r="AE448" t="s">
        <v>27</v>
      </c>
      <c r="AF448" t="s">
        <v>27</v>
      </c>
      <c r="AG448">
        <v>18.38</v>
      </c>
    </row>
    <row r="449" spans="1:33" x14ac:dyDescent="0.25">
      <c r="A449" t="s">
        <v>57</v>
      </c>
      <c r="B449" s="3">
        <v>43910</v>
      </c>
      <c r="C449">
        <v>2020080</v>
      </c>
      <c r="D449">
        <v>17.3</v>
      </c>
      <c r="E449" t="s">
        <v>27</v>
      </c>
      <c r="F449">
        <v>-1.7</v>
      </c>
      <c r="G449">
        <v>8.1</v>
      </c>
      <c r="H449">
        <v>-10.4</v>
      </c>
      <c r="I449">
        <v>61.8</v>
      </c>
      <c r="J449">
        <v>23.6</v>
      </c>
      <c r="K449">
        <v>0.3</v>
      </c>
      <c r="L449">
        <v>2.7</v>
      </c>
      <c r="M449">
        <v>0</v>
      </c>
      <c r="N449">
        <v>1.3510000000000002</v>
      </c>
      <c r="O449">
        <v>-0.4</v>
      </c>
      <c r="P449" t="s">
        <v>27</v>
      </c>
      <c r="Q449" t="s">
        <v>27</v>
      </c>
      <c r="R449" t="s">
        <v>27</v>
      </c>
      <c r="S449">
        <v>0</v>
      </c>
      <c r="T449">
        <v>0.3</v>
      </c>
      <c r="U449">
        <v>0.7</v>
      </c>
      <c r="V449" t="s">
        <v>27</v>
      </c>
      <c r="W449">
        <v>0.255</v>
      </c>
      <c r="X449">
        <v>0.82599999999999996</v>
      </c>
      <c r="Y449" t="s">
        <v>27</v>
      </c>
      <c r="Z449" t="s">
        <v>27</v>
      </c>
      <c r="AA449" t="s">
        <v>27</v>
      </c>
      <c r="AB449" t="s">
        <v>27</v>
      </c>
      <c r="AC449" t="s">
        <v>27</v>
      </c>
      <c r="AD449" t="s">
        <v>27</v>
      </c>
      <c r="AE449" t="s">
        <v>27</v>
      </c>
      <c r="AF449" t="s">
        <v>27</v>
      </c>
      <c r="AG449">
        <v>18.649999999999999</v>
      </c>
    </row>
    <row r="450" spans="1:33" x14ac:dyDescent="0.25">
      <c r="A450" t="s">
        <v>57</v>
      </c>
      <c r="B450" s="3">
        <v>43911</v>
      </c>
      <c r="C450">
        <v>2020081</v>
      </c>
      <c r="D450">
        <v>17.579999999999998</v>
      </c>
      <c r="E450" t="s">
        <v>27</v>
      </c>
      <c r="F450">
        <v>-1.8</v>
      </c>
      <c r="G450">
        <v>6.3</v>
      </c>
      <c r="H450">
        <v>-10.1</v>
      </c>
      <c r="I450">
        <v>55</v>
      </c>
      <c r="J450">
        <v>26.3</v>
      </c>
      <c r="K450">
        <v>0.8</v>
      </c>
      <c r="L450">
        <v>3.4</v>
      </c>
      <c r="M450">
        <v>0</v>
      </c>
      <c r="N450">
        <v>1.3310000000000002</v>
      </c>
      <c r="O450">
        <v>-0.5</v>
      </c>
      <c r="P450" t="s">
        <v>27</v>
      </c>
      <c r="Q450" t="s">
        <v>27</v>
      </c>
      <c r="R450" t="s">
        <v>27</v>
      </c>
      <c r="S450">
        <v>0</v>
      </c>
      <c r="T450">
        <v>0.3</v>
      </c>
      <c r="U450">
        <v>0.7</v>
      </c>
      <c r="V450" t="s">
        <v>27</v>
      </c>
      <c r="W450">
        <v>0.252</v>
      </c>
      <c r="X450">
        <v>0.70599999999999996</v>
      </c>
      <c r="Y450" t="s">
        <v>27</v>
      </c>
      <c r="Z450" t="s">
        <v>27</v>
      </c>
      <c r="AA450" t="s">
        <v>27</v>
      </c>
      <c r="AB450" t="s">
        <v>27</v>
      </c>
      <c r="AC450" t="s">
        <v>27</v>
      </c>
      <c r="AD450" t="s">
        <v>27</v>
      </c>
      <c r="AE450" t="s">
        <v>27</v>
      </c>
      <c r="AF450" t="s">
        <v>27</v>
      </c>
      <c r="AG450">
        <v>18.91</v>
      </c>
    </row>
    <row r="451" spans="1:33" x14ac:dyDescent="0.25">
      <c r="A451" t="s">
        <v>57</v>
      </c>
      <c r="B451" s="3">
        <v>43912</v>
      </c>
      <c r="C451">
        <v>2020082</v>
      </c>
      <c r="D451">
        <v>11.05</v>
      </c>
      <c r="E451" t="s">
        <v>27</v>
      </c>
      <c r="F451">
        <v>-1.5</v>
      </c>
      <c r="G451">
        <v>7.6</v>
      </c>
      <c r="H451">
        <v>-11.4</v>
      </c>
      <c r="I451">
        <v>52.2</v>
      </c>
      <c r="J451">
        <v>20.9</v>
      </c>
      <c r="K451">
        <v>0.6</v>
      </c>
      <c r="L451">
        <v>2.4</v>
      </c>
      <c r="M451">
        <v>0</v>
      </c>
      <c r="N451">
        <v>1.32</v>
      </c>
      <c r="O451">
        <v>-0.5</v>
      </c>
      <c r="P451" t="s">
        <v>27</v>
      </c>
      <c r="Q451" t="s">
        <v>27</v>
      </c>
      <c r="R451" t="s">
        <v>27</v>
      </c>
      <c r="S451">
        <v>0</v>
      </c>
      <c r="T451">
        <v>0.3</v>
      </c>
      <c r="U451">
        <v>0.7</v>
      </c>
      <c r="V451" t="s">
        <v>27</v>
      </c>
      <c r="W451">
        <v>0.219</v>
      </c>
      <c r="X451">
        <v>0.82899999999999996</v>
      </c>
      <c r="Y451" t="s">
        <v>27</v>
      </c>
      <c r="Z451" t="s">
        <v>27</v>
      </c>
      <c r="AA451" t="s">
        <v>27</v>
      </c>
      <c r="AB451" t="s">
        <v>27</v>
      </c>
      <c r="AC451" t="s">
        <v>27</v>
      </c>
      <c r="AD451" t="s">
        <v>27</v>
      </c>
      <c r="AE451" t="s">
        <v>27</v>
      </c>
      <c r="AF451" t="s">
        <v>27</v>
      </c>
      <c r="AG451">
        <v>19.170000000000002</v>
      </c>
    </row>
    <row r="452" spans="1:33" x14ac:dyDescent="0.25">
      <c r="A452" t="s">
        <v>57</v>
      </c>
      <c r="B452" s="3">
        <v>43913</v>
      </c>
      <c r="C452">
        <v>2020083</v>
      </c>
      <c r="D452">
        <v>11.29</v>
      </c>
      <c r="E452" t="s">
        <v>27</v>
      </c>
      <c r="F452">
        <v>-4.4000000000000004</v>
      </c>
      <c r="G452">
        <v>4</v>
      </c>
      <c r="H452">
        <v>-11.3</v>
      </c>
      <c r="I452">
        <v>71.900000000000006</v>
      </c>
      <c r="J452">
        <v>32.6</v>
      </c>
      <c r="K452">
        <v>0.2</v>
      </c>
      <c r="L452">
        <v>2.7</v>
      </c>
      <c r="M452">
        <v>0</v>
      </c>
      <c r="N452">
        <v>1.32</v>
      </c>
      <c r="O452">
        <v>-0.5</v>
      </c>
      <c r="P452" t="s">
        <v>27</v>
      </c>
      <c r="Q452" t="s">
        <v>27</v>
      </c>
      <c r="R452" t="s">
        <v>27</v>
      </c>
      <c r="S452">
        <v>0</v>
      </c>
      <c r="T452">
        <v>0.3</v>
      </c>
      <c r="U452">
        <v>0.7</v>
      </c>
      <c r="V452" t="s">
        <v>27</v>
      </c>
      <c r="W452">
        <v>0.26600000000000001</v>
      </c>
      <c r="X452">
        <v>0.55000000000000004</v>
      </c>
      <c r="Y452" t="s">
        <v>27</v>
      </c>
      <c r="Z452" t="s">
        <v>27</v>
      </c>
      <c r="AA452" t="s">
        <v>27</v>
      </c>
      <c r="AB452" t="s">
        <v>27</v>
      </c>
      <c r="AC452" t="s">
        <v>27</v>
      </c>
      <c r="AD452" t="s">
        <v>27</v>
      </c>
      <c r="AE452" t="s">
        <v>27</v>
      </c>
      <c r="AF452" t="s">
        <v>27</v>
      </c>
      <c r="AG452">
        <v>19.43</v>
      </c>
    </row>
    <row r="453" spans="1:33" x14ac:dyDescent="0.25">
      <c r="A453" t="s">
        <v>57</v>
      </c>
      <c r="B453" s="3">
        <v>43914</v>
      </c>
      <c r="C453">
        <v>2020084</v>
      </c>
      <c r="D453">
        <v>11.66</v>
      </c>
      <c r="E453" t="s">
        <v>27</v>
      </c>
      <c r="F453">
        <v>-5.5</v>
      </c>
      <c r="G453">
        <v>1.5</v>
      </c>
      <c r="H453">
        <v>-12.6</v>
      </c>
      <c r="I453">
        <v>76</v>
      </c>
      <c r="J453">
        <v>41.7</v>
      </c>
      <c r="K453">
        <v>0.5</v>
      </c>
      <c r="L453">
        <v>2.7</v>
      </c>
      <c r="M453">
        <v>1.6</v>
      </c>
      <c r="N453">
        <v>1.3350000000000002</v>
      </c>
      <c r="O453">
        <v>-0.5</v>
      </c>
      <c r="P453" t="s">
        <v>27</v>
      </c>
      <c r="Q453" t="s">
        <v>27</v>
      </c>
      <c r="R453" t="s">
        <v>27</v>
      </c>
      <c r="S453">
        <v>0</v>
      </c>
      <c r="T453">
        <v>0.3</v>
      </c>
      <c r="U453">
        <v>0.6</v>
      </c>
      <c r="V453" t="s">
        <v>27</v>
      </c>
      <c r="W453">
        <v>0.28399999999999997</v>
      </c>
      <c r="X453">
        <v>0.39700000000000002</v>
      </c>
      <c r="Y453" t="s">
        <v>27</v>
      </c>
      <c r="Z453" t="s">
        <v>27</v>
      </c>
      <c r="AA453" t="s">
        <v>27</v>
      </c>
      <c r="AB453" t="s">
        <v>27</v>
      </c>
      <c r="AC453" t="s">
        <v>27</v>
      </c>
      <c r="AD453" t="s">
        <v>27</v>
      </c>
      <c r="AE453" t="s">
        <v>27</v>
      </c>
      <c r="AF453" t="s">
        <v>27</v>
      </c>
      <c r="AG453">
        <v>19.7</v>
      </c>
    </row>
    <row r="454" spans="1:33" x14ac:dyDescent="0.25">
      <c r="A454" t="s">
        <v>57</v>
      </c>
      <c r="B454" s="3">
        <v>43915</v>
      </c>
      <c r="C454">
        <v>2020085</v>
      </c>
      <c r="D454">
        <v>15.03</v>
      </c>
      <c r="E454" t="s">
        <v>27</v>
      </c>
      <c r="F454">
        <v>-6.1</v>
      </c>
      <c r="G454">
        <v>0.5</v>
      </c>
      <c r="H454">
        <v>-13</v>
      </c>
      <c r="I454">
        <v>67</v>
      </c>
      <c r="J454">
        <v>31.2</v>
      </c>
      <c r="K454">
        <v>0.6</v>
      </c>
      <c r="L454">
        <v>2.5</v>
      </c>
      <c r="M454">
        <v>2.2000000000000002</v>
      </c>
      <c r="N454">
        <v>1.3410000000000002</v>
      </c>
      <c r="O454">
        <v>-0.5</v>
      </c>
      <c r="P454" t="s">
        <v>27</v>
      </c>
      <c r="Q454" t="s">
        <v>27</v>
      </c>
      <c r="R454" t="s">
        <v>27</v>
      </c>
      <c r="S454">
        <v>0</v>
      </c>
      <c r="T454">
        <v>0.3</v>
      </c>
      <c r="U454">
        <v>0.6</v>
      </c>
      <c r="V454" t="s">
        <v>27</v>
      </c>
      <c r="W454">
        <v>0.19800000000000001</v>
      </c>
      <c r="X454">
        <v>0.437</v>
      </c>
      <c r="Y454" t="s">
        <v>27</v>
      </c>
      <c r="Z454" t="s">
        <v>27</v>
      </c>
      <c r="AA454" t="s">
        <v>27</v>
      </c>
      <c r="AB454" t="s">
        <v>27</v>
      </c>
      <c r="AC454" t="s">
        <v>27</v>
      </c>
      <c r="AD454" t="s">
        <v>27</v>
      </c>
      <c r="AE454" t="s">
        <v>27</v>
      </c>
      <c r="AF454" t="s">
        <v>27</v>
      </c>
      <c r="AG454">
        <v>19.96</v>
      </c>
    </row>
    <row r="455" spans="1:33" x14ac:dyDescent="0.25">
      <c r="A455" t="s">
        <v>57</v>
      </c>
      <c r="B455" s="3">
        <v>43916</v>
      </c>
      <c r="C455">
        <v>2020086</v>
      </c>
      <c r="D455">
        <v>7.91</v>
      </c>
      <c r="E455" t="s">
        <v>27</v>
      </c>
      <c r="F455">
        <v>-4.5999999999999996</v>
      </c>
      <c r="G455">
        <v>0.5</v>
      </c>
      <c r="H455">
        <v>-13.3</v>
      </c>
      <c r="I455">
        <v>72.7</v>
      </c>
      <c r="J455">
        <v>53.6</v>
      </c>
      <c r="K455">
        <v>1.1000000000000001</v>
      </c>
      <c r="L455">
        <v>3.1</v>
      </c>
      <c r="M455">
        <v>0</v>
      </c>
      <c r="N455">
        <v>1.3340000000000001</v>
      </c>
      <c r="O455">
        <v>-0.5</v>
      </c>
      <c r="P455" t="s">
        <v>27</v>
      </c>
      <c r="Q455" t="s">
        <v>27</v>
      </c>
      <c r="R455" t="s">
        <v>27</v>
      </c>
      <c r="S455">
        <v>0</v>
      </c>
      <c r="T455">
        <v>0.3</v>
      </c>
      <c r="U455">
        <v>0.7</v>
      </c>
      <c r="V455" t="s">
        <v>27</v>
      </c>
      <c r="W455">
        <v>0.33900000000000002</v>
      </c>
      <c r="X455">
        <v>0.29299999999999998</v>
      </c>
      <c r="Y455" t="s">
        <v>27</v>
      </c>
      <c r="Z455" t="s">
        <v>27</v>
      </c>
      <c r="AA455" t="s">
        <v>27</v>
      </c>
      <c r="AB455" t="s">
        <v>27</v>
      </c>
      <c r="AC455" t="s">
        <v>27</v>
      </c>
      <c r="AD455" t="s">
        <v>27</v>
      </c>
      <c r="AE455" t="s">
        <v>27</v>
      </c>
      <c r="AF455" t="s">
        <v>27</v>
      </c>
      <c r="AG455">
        <v>20.22</v>
      </c>
    </row>
    <row r="456" spans="1:33" x14ac:dyDescent="0.25">
      <c r="A456" t="s">
        <v>57</v>
      </c>
      <c r="B456" s="3">
        <v>43917</v>
      </c>
      <c r="C456">
        <v>2020087</v>
      </c>
      <c r="D456">
        <v>6.89</v>
      </c>
      <c r="E456" t="s">
        <v>27</v>
      </c>
      <c r="F456">
        <v>-1.2</v>
      </c>
      <c r="G456">
        <v>2.4</v>
      </c>
      <c r="H456">
        <v>-4</v>
      </c>
      <c r="I456">
        <v>76.8</v>
      </c>
      <c r="J456">
        <v>58.1</v>
      </c>
      <c r="K456">
        <v>0.6</v>
      </c>
      <c r="L456">
        <v>2.5</v>
      </c>
      <c r="M456">
        <v>3.2</v>
      </c>
      <c r="N456">
        <v>1.3580000000000001</v>
      </c>
      <c r="O456">
        <v>-0.5</v>
      </c>
      <c r="P456" t="s">
        <v>27</v>
      </c>
      <c r="Q456" t="s">
        <v>27</v>
      </c>
      <c r="R456" t="s">
        <v>27</v>
      </c>
      <c r="S456">
        <v>0</v>
      </c>
      <c r="T456">
        <v>0.3</v>
      </c>
      <c r="U456">
        <v>0.7</v>
      </c>
      <c r="V456" t="s">
        <v>27</v>
      </c>
      <c r="W456">
        <v>0.42099999999999999</v>
      </c>
      <c r="X456">
        <v>0.30399999999999999</v>
      </c>
      <c r="Y456" t="s">
        <v>27</v>
      </c>
      <c r="Z456" t="s">
        <v>27</v>
      </c>
      <c r="AA456" t="s">
        <v>27</v>
      </c>
      <c r="AB456" t="s">
        <v>27</v>
      </c>
      <c r="AC456" t="s">
        <v>27</v>
      </c>
      <c r="AD456" t="s">
        <v>27</v>
      </c>
      <c r="AE456" t="s">
        <v>27</v>
      </c>
      <c r="AF456" t="s">
        <v>27</v>
      </c>
      <c r="AG456">
        <v>20.48</v>
      </c>
    </row>
    <row r="457" spans="1:33" x14ac:dyDescent="0.25">
      <c r="A457" t="s">
        <v>57</v>
      </c>
      <c r="B457" s="3">
        <v>43918</v>
      </c>
      <c r="C457">
        <v>2020088</v>
      </c>
      <c r="D457">
        <v>9.02</v>
      </c>
      <c r="E457" t="s">
        <v>27</v>
      </c>
      <c r="F457">
        <v>1</v>
      </c>
      <c r="G457">
        <v>5.9</v>
      </c>
      <c r="H457">
        <v>-2.9</v>
      </c>
      <c r="I457">
        <v>80.400000000000006</v>
      </c>
      <c r="J457">
        <v>53.8</v>
      </c>
      <c r="K457">
        <v>0.2</v>
      </c>
      <c r="L457">
        <v>2.5</v>
      </c>
      <c r="M457">
        <v>2</v>
      </c>
      <c r="N457">
        <v>1.3250000000000002</v>
      </c>
      <c r="O457">
        <v>-0.5</v>
      </c>
      <c r="P457" t="s">
        <v>27</v>
      </c>
      <c r="Q457" t="s">
        <v>27</v>
      </c>
      <c r="R457" t="s">
        <v>27</v>
      </c>
      <c r="S457">
        <v>0</v>
      </c>
      <c r="T457">
        <v>0.4</v>
      </c>
      <c r="U457">
        <v>0.7</v>
      </c>
      <c r="V457" t="s">
        <v>27</v>
      </c>
      <c r="W457">
        <v>0.498</v>
      </c>
      <c r="X457">
        <v>0.42799999999999999</v>
      </c>
      <c r="Y457" t="s">
        <v>27</v>
      </c>
      <c r="Z457" t="s">
        <v>27</v>
      </c>
      <c r="AA457" t="s">
        <v>27</v>
      </c>
      <c r="AB457" t="s">
        <v>27</v>
      </c>
      <c r="AC457" t="s">
        <v>27</v>
      </c>
      <c r="AD457" t="s">
        <v>27</v>
      </c>
      <c r="AE457" t="s">
        <v>27</v>
      </c>
      <c r="AF457" t="s">
        <v>27</v>
      </c>
      <c r="AG457">
        <v>20.74</v>
      </c>
    </row>
    <row r="458" spans="1:33" x14ac:dyDescent="0.25">
      <c r="A458" t="s">
        <v>57</v>
      </c>
      <c r="B458" s="3">
        <v>43919</v>
      </c>
      <c r="C458">
        <v>2020089</v>
      </c>
      <c r="D458">
        <v>12.56</v>
      </c>
      <c r="E458" t="s">
        <v>27</v>
      </c>
      <c r="F458">
        <v>0.8</v>
      </c>
      <c r="G458">
        <v>6.5</v>
      </c>
      <c r="H458">
        <v>-2.6</v>
      </c>
      <c r="I458">
        <v>73.599999999999994</v>
      </c>
      <c r="J458">
        <v>41.7</v>
      </c>
      <c r="K458">
        <v>0.2</v>
      </c>
      <c r="L458">
        <v>3</v>
      </c>
      <c r="M458">
        <v>1</v>
      </c>
      <c r="N458">
        <v>1.3050000000000002</v>
      </c>
      <c r="O458">
        <v>-0.5</v>
      </c>
      <c r="P458" t="s">
        <v>27</v>
      </c>
      <c r="Q458" t="s">
        <v>27</v>
      </c>
      <c r="R458" t="s">
        <v>27</v>
      </c>
      <c r="S458">
        <v>0</v>
      </c>
      <c r="T458">
        <v>0.4</v>
      </c>
      <c r="U458">
        <v>0.7</v>
      </c>
      <c r="V458" t="s">
        <v>27</v>
      </c>
      <c r="W458">
        <v>0.40400000000000003</v>
      </c>
      <c r="X458">
        <v>0.56499999999999995</v>
      </c>
      <c r="Y458" t="s">
        <v>27</v>
      </c>
      <c r="Z458" t="s">
        <v>27</v>
      </c>
      <c r="AA458" t="s">
        <v>27</v>
      </c>
      <c r="AB458" t="s">
        <v>27</v>
      </c>
      <c r="AC458" t="s">
        <v>27</v>
      </c>
      <c r="AD458" t="s">
        <v>27</v>
      </c>
      <c r="AE458" t="s">
        <v>27</v>
      </c>
      <c r="AF458" t="s">
        <v>27</v>
      </c>
      <c r="AG458">
        <v>21</v>
      </c>
    </row>
    <row r="459" spans="1:33" x14ac:dyDescent="0.25">
      <c r="A459" t="s">
        <v>57</v>
      </c>
      <c r="B459" s="3">
        <v>43920</v>
      </c>
      <c r="C459">
        <v>2020090</v>
      </c>
      <c r="D459">
        <v>9.35</v>
      </c>
      <c r="E459" t="s">
        <v>27</v>
      </c>
      <c r="F459">
        <v>-2.4</v>
      </c>
      <c r="G459">
        <v>1.9</v>
      </c>
      <c r="H459">
        <v>-7.8</v>
      </c>
      <c r="I459">
        <v>70.8</v>
      </c>
      <c r="J459">
        <v>40.4</v>
      </c>
      <c r="K459">
        <v>0.5</v>
      </c>
      <c r="L459">
        <v>3.3</v>
      </c>
      <c r="M459">
        <v>4.8</v>
      </c>
      <c r="N459">
        <v>1.3260000000000001</v>
      </c>
      <c r="O459">
        <v>-0.5</v>
      </c>
      <c r="P459" t="s">
        <v>27</v>
      </c>
      <c r="Q459" t="s">
        <v>27</v>
      </c>
      <c r="R459" t="s">
        <v>27</v>
      </c>
      <c r="S459">
        <v>0</v>
      </c>
      <c r="T459">
        <v>0.3</v>
      </c>
      <c r="U459">
        <v>0.7</v>
      </c>
      <c r="V459" t="s">
        <v>27</v>
      </c>
      <c r="W459">
        <v>0.28199999999999997</v>
      </c>
      <c r="X459">
        <v>0.41599999999999998</v>
      </c>
      <c r="Y459" t="s">
        <v>27</v>
      </c>
      <c r="Z459" t="s">
        <v>27</v>
      </c>
      <c r="AA459" t="s">
        <v>27</v>
      </c>
      <c r="AB459" t="s">
        <v>27</v>
      </c>
      <c r="AC459" t="s">
        <v>27</v>
      </c>
      <c r="AD459" t="s">
        <v>27</v>
      </c>
      <c r="AE459" t="s">
        <v>27</v>
      </c>
      <c r="AF459" t="s">
        <v>27</v>
      </c>
      <c r="AG459">
        <v>21.27</v>
      </c>
    </row>
    <row r="460" spans="1:33" x14ac:dyDescent="0.25">
      <c r="A460" t="s">
        <v>57</v>
      </c>
      <c r="B460" s="3">
        <v>43921</v>
      </c>
      <c r="C460">
        <v>2020091</v>
      </c>
      <c r="D460">
        <v>12</v>
      </c>
      <c r="E460" t="s">
        <v>27</v>
      </c>
      <c r="F460">
        <v>-5.2</v>
      </c>
      <c r="G460">
        <v>2.1</v>
      </c>
      <c r="H460">
        <v>-10.7</v>
      </c>
      <c r="I460">
        <v>72.2</v>
      </c>
      <c r="J460">
        <v>38.700000000000003</v>
      </c>
      <c r="K460">
        <v>0.4</v>
      </c>
      <c r="L460">
        <v>2.6</v>
      </c>
      <c r="M460">
        <v>0</v>
      </c>
      <c r="N460">
        <v>1.3280000000000001</v>
      </c>
      <c r="O460">
        <v>-0.4</v>
      </c>
      <c r="P460" t="s">
        <v>27</v>
      </c>
      <c r="Q460" t="s">
        <v>27</v>
      </c>
      <c r="R460" t="s">
        <v>27</v>
      </c>
      <c r="S460">
        <v>0</v>
      </c>
      <c r="T460">
        <v>0.3</v>
      </c>
      <c r="U460">
        <v>0.7</v>
      </c>
      <c r="V460" t="s">
        <v>27</v>
      </c>
      <c r="W460">
        <v>0.27600000000000002</v>
      </c>
      <c r="X460">
        <v>0.437</v>
      </c>
      <c r="Y460" t="s">
        <v>27</v>
      </c>
      <c r="Z460" t="s">
        <v>27</v>
      </c>
      <c r="AA460" t="s">
        <v>27</v>
      </c>
      <c r="AB460" t="s">
        <v>27</v>
      </c>
      <c r="AC460" t="s">
        <v>27</v>
      </c>
      <c r="AD460" t="s">
        <v>27</v>
      </c>
      <c r="AE460" t="s">
        <v>27</v>
      </c>
      <c r="AF460" t="s">
        <v>27</v>
      </c>
      <c r="AG460">
        <v>21.52</v>
      </c>
    </row>
    <row r="461" spans="1:33" x14ac:dyDescent="0.25">
      <c r="A461" t="s">
        <v>57</v>
      </c>
      <c r="B461" s="3">
        <v>43922</v>
      </c>
      <c r="C461">
        <v>2020092</v>
      </c>
      <c r="D461">
        <v>18.68</v>
      </c>
      <c r="E461" t="s">
        <v>27</v>
      </c>
      <c r="F461">
        <v>-8.9</v>
      </c>
      <c r="G461">
        <v>-2.9</v>
      </c>
      <c r="H461">
        <v>-17.899999999999999</v>
      </c>
      <c r="I461">
        <v>68.099999999999994</v>
      </c>
      <c r="J461">
        <v>39.200000000000003</v>
      </c>
      <c r="K461">
        <v>0.2</v>
      </c>
      <c r="L461">
        <v>1.5</v>
      </c>
      <c r="M461">
        <v>0</v>
      </c>
      <c r="N461">
        <v>1.3250000000000002</v>
      </c>
      <c r="O461">
        <v>-0.4</v>
      </c>
      <c r="P461" t="s">
        <v>27</v>
      </c>
      <c r="Q461" t="s">
        <v>27</v>
      </c>
      <c r="R461" t="s">
        <v>27</v>
      </c>
      <c r="S461">
        <v>0</v>
      </c>
      <c r="T461">
        <v>0.3</v>
      </c>
      <c r="U461">
        <v>0.6</v>
      </c>
      <c r="V461" t="s">
        <v>27</v>
      </c>
      <c r="W461">
        <v>0.19400000000000001</v>
      </c>
      <c r="X461">
        <v>0.30099999999999999</v>
      </c>
      <c r="Y461" t="s">
        <v>27</v>
      </c>
      <c r="Z461" t="s">
        <v>27</v>
      </c>
      <c r="AA461" t="s">
        <v>27</v>
      </c>
      <c r="AB461" t="s">
        <v>27</v>
      </c>
      <c r="AC461" t="s">
        <v>27</v>
      </c>
      <c r="AD461" t="s">
        <v>27</v>
      </c>
      <c r="AE461" t="s">
        <v>27</v>
      </c>
      <c r="AF461" t="s">
        <v>27</v>
      </c>
      <c r="AG461">
        <v>21.78</v>
      </c>
    </row>
    <row r="462" spans="1:33" x14ac:dyDescent="0.25">
      <c r="A462" t="s">
        <v>57</v>
      </c>
      <c r="B462" s="3">
        <v>43923</v>
      </c>
      <c r="C462">
        <v>2020093</v>
      </c>
      <c r="D462">
        <v>18.87</v>
      </c>
      <c r="E462" t="s">
        <v>27</v>
      </c>
      <c r="F462">
        <v>-9.1</v>
      </c>
      <c r="G462">
        <v>0.3</v>
      </c>
      <c r="H462">
        <v>-21.8</v>
      </c>
      <c r="I462">
        <v>66.900000000000006</v>
      </c>
      <c r="J462">
        <v>31.7</v>
      </c>
      <c r="K462">
        <v>0.7</v>
      </c>
      <c r="L462">
        <v>3.4</v>
      </c>
      <c r="M462">
        <v>0</v>
      </c>
      <c r="N462">
        <v>1.3140000000000001</v>
      </c>
      <c r="O462">
        <v>-0.4</v>
      </c>
      <c r="P462" t="s">
        <v>27</v>
      </c>
      <c r="Q462" t="s">
        <v>27</v>
      </c>
      <c r="R462" t="s">
        <v>27</v>
      </c>
      <c r="S462">
        <v>0</v>
      </c>
      <c r="T462">
        <v>0.3</v>
      </c>
      <c r="U462">
        <v>0.6</v>
      </c>
      <c r="V462" t="s">
        <v>27</v>
      </c>
      <c r="W462">
        <v>0.19800000000000001</v>
      </c>
      <c r="X462">
        <v>0.42699999999999999</v>
      </c>
      <c r="Y462" t="s">
        <v>27</v>
      </c>
      <c r="Z462" t="s">
        <v>27</v>
      </c>
      <c r="AA462" t="s">
        <v>27</v>
      </c>
      <c r="AB462" t="s">
        <v>27</v>
      </c>
      <c r="AC462" t="s">
        <v>27</v>
      </c>
      <c r="AD462" t="s">
        <v>27</v>
      </c>
      <c r="AE462" t="s">
        <v>27</v>
      </c>
      <c r="AF462" t="s">
        <v>27</v>
      </c>
      <c r="AG462">
        <v>22.03</v>
      </c>
    </row>
    <row r="463" spans="1:33" x14ac:dyDescent="0.25">
      <c r="A463" t="s">
        <v>57</v>
      </c>
      <c r="B463" s="3">
        <v>43924</v>
      </c>
      <c r="C463">
        <v>2020094</v>
      </c>
      <c r="D463">
        <v>9.16</v>
      </c>
      <c r="E463" t="s">
        <v>27</v>
      </c>
      <c r="F463">
        <v>-7</v>
      </c>
      <c r="G463">
        <v>-1.5</v>
      </c>
      <c r="H463">
        <v>-16.7</v>
      </c>
      <c r="I463">
        <v>76.599999999999994</v>
      </c>
      <c r="J463">
        <v>47.2</v>
      </c>
      <c r="K463">
        <v>0.9</v>
      </c>
      <c r="L463">
        <v>3</v>
      </c>
      <c r="M463">
        <v>4.5999999999999996</v>
      </c>
      <c r="N463">
        <v>1.3520000000000001</v>
      </c>
      <c r="O463">
        <v>-0.4</v>
      </c>
      <c r="P463" t="s">
        <v>27</v>
      </c>
      <c r="Q463" t="s">
        <v>27</v>
      </c>
      <c r="R463" t="s">
        <v>27</v>
      </c>
      <c r="S463">
        <v>0</v>
      </c>
      <c r="T463">
        <v>0.3</v>
      </c>
      <c r="U463">
        <v>0.6</v>
      </c>
      <c r="V463" t="s">
        <v>27</v>
      </c>
      <c r="W463">
        <v>0.25900000000000001</v>
      </c>
      <c r="X463">
        <v>0.28999999999999998</v>
      </c>
      <c r="Y463" t="s">
        <v>27</v>
      </c>
      <c r="Z463" t="s">
        <v>27</v>
      </c>
      <c r="AA463" t="s">
        <v>27</v>
      </c>
      <c r="AB463" t="s">
        <v>27</v>
      </c>
      <c r="AC463" t="s">
        <v>27</v>
      </c>
      <c r="AD463" t="s">
        <v>27</v>
      </c>
      <c r="AE463" t="s">
        <v>27</v>
      </c>
      <c r="AF463" t="s">
        <v>27</v>
      </c>
      <c r="AG463">
        <v>22.29</v>
      </c>
    </row>
    <row r="464" spans="1:33" x14ac:dyDescent="0.25">
      <c r="A464" t="s">
        <v>57</v>
      </c>
      <c r="B464" s="3">
        <v>43925</v>
      </c>
      <c r="C464">
        <v>2020095</v>
      </c>
      <c r="D464">
        <v>11.27</v>
      </c>
      <c r="E464" t="s">
        <v>27</v>
      </c>
      <c r="F464">
        <v>-7.9</v>
      </c>
      <c r="G464">
        <v>-0.8</v>
      </c>
      <c r="H464">
        <v>-16.7</v>
      </c>
      <c r="I464">
        <v>68.400000000000006</v>
      </c>
      <c r="J464">
        <v>39.6</v>
      </c>
      <c r="K464">
        <v>0.5</v>
      </c>
      <c r="L464">
        <v>1.7</v>
      </c>
      <c r="M464">
        <v>0</v>
      </c>
      <c r="N464">
        <v>1.3430000000000002</v>
      </c>
      <c r="O464">
        <v>-0.4</v>
      </c>
      <c r="P464" t="s">
        <v>27</v>
      </c>
      <c r="Q464" t="s">
        <v>27</v>
      </c>
      <c r="R464" t="s">
        <v>27</v>
      </c>
      <c r="S464">
        <v>0</v>
      </c>
      <c r="T464">
        <v>0.3</v>
      </c>
      <c r="U464">
        <v>0.6</v>
      </c>
      <c r="V464" t="s">
        <v>27</v>
      </c>
      <c r="W464">
        <v>0.22800000000000001</v>
      </c>
      <c r="X464">
        <v>0.34799999999999998</v>
      </c>
      <c r="Y464" t="s">
        <v>27</v>
      </c>
      <c r="Z464" t="s">
        <v>27</v>
      </c>
      <c r="AA464" t="s">
        <v>27</v>
      </c>
      <c r="AB464" t="s">
        <v>27</v>
      </c>
      <c r="AC464" t="s">
        <v>27</v>
      </c>
      <c r="AD464" t="s">
        <v>27</v>
      </c>
      <c r="AE464" t="s">
        <v>27</v>
      </c>
      <c r="AF464" t="s">
        <v>27</v>
      </c>
      <c r="AG464">
        <v>22.55</v>
      </c>
    </row>
    <row r="465" spans="1:33" x14ac:dyDescent="0.25">
      <c r="A465" t="s">
        <v>57</v>
      </c>
      <c r="B465" s="3">
        <v>43926</v>
      </c>
      <c r="C465">
        <v>2020096</v>
      </c>
      <c r="D465">
        <v>10.7</v>
      </c>
      <c r="E465" t="s">
        <v>27</v>
      </c>
      <c r="F465">
        <v>-4.9000000000000004</v>
      </c>
      <c r="G465">
        <v>1.2</v>
      </c>
      <c r="H465">
        <v>-13.2</v>
      </c>
      <c r="I465">
        <v>77.2</v>
      </c>
      <c r="J465">
        <v>47.8</v>
      </c>
      <c r="K465">
        <v>0.4</v>
      </c>
      <c r="L465">
        <v>2.1</v>
      </c>
      <c r="M465">
        <v>4.7</v>
      </c>
      <c r="N465">
        <v>1.383</v>
      </c>
      <c r="O465">
        <v>-0.4</v>
      </c>
      <c r="P465" t="s">
        <v>27</v>
      </c>
      <c r="Q465" t="s">
        <v>27</v>
      </c>
      <c r="R465" t="s">
        <v>27</v>
      </c>
      <c r="S465">
        <v>0</v>
      </c>
      <c r="T465">
        <v>0.3</v>
      </c>
      <c r="U465">
        <v>0.6</v>
      </c>
      <c r="V465" t="s">
        <v>27</v>
      </c>
      <c r="W465">
        <v>0.317</v>
      </c>
      <c r="X465">
        <v>0.34599999999999997</v>
      </c>
      <c r="Y465" t="s">
        <v>27</v>
      </c>
      <c r="Z465" t="s">
        <v>27</v>
      </c>
      <c r="AA465" t="s">
        <v>27</v>
      </c>
      <c r="AB465" t="s">
        <v>27</v>
      </c>
      <c r="AC465" t="s">
        <v>27</v>
      </c>
      <c r="AD465" t="s">
        <v>27</v>
      </c>
      <c r="AE465" t="s">
        <v>27</v>
      </c>
      <c r="AF465" t="s">
        <v>27</v>
      </c>
      <c r="AG465">
        <v>22.8</v>
      </c>
    </row>
    <row r="466" spans="1:33" x14ac:dyDescent="0.25">
      <c r="A466" t="s">
        <v>57</v>
      </c>
      <c r="B466" s="3">
        <v>43927</v>
      </c>
      <c r="C466">
        <v>2020097</v>
      </c>
      <c r="D466">
        <v>19.809999999999999</v>
      </c>
      <c r="E466" t="s">
        <v>27</v>
      </c>
      <c r="F466">
        <v>-1.7</v>
      </c>
      <c r="G466">
        <v>6.6</v>
      </c>
      <c r="H466">
        <v>-13</v>
      </c>
      <c r="I466">
        <v>63.9</v>
      </c>
      <c r="J466">
        <v>37.1</v>
      </c>
      <c r="K466">
        <v>0.8</v>
      </c>
      <c r="L466">
        <v>3.8</v>
      </c>
      <c r="M466">
        <v>0</v>
      </c>
      <c r="N466">
        <v>1.3190000000000002</v>
      </c>
      <c r="O466">
        <v>-0.5</v>
      </c>
      <c r="P466" t="s">
        <v>27</v>
      </c>
      <c r="Q466" t="s">
        <v>27</v>
      </c>
      <c r="R466" t="s">
        <v>27</v>
      </c>
      <c r="S466">
        <v>0</v>
      </c>
      <c r="T466">
        <v>0.3</v>
      </c>
      <c r="U466">
        <v>0.6</v>
      </c>
      <c r="V466" t="s">
        <v>27</v>
      </c>
      <c r="W466">
        <v>0.36199999999999999</v>
      </c>
      <c r="X466">
        <v>0.61399999999999999</v>
      </c>
      <c r="Y466" t="s">
        <v>27</v>
      </c>
      <c r="Z466" t="s">
        <v>27</v>
      </c>
      <c r="AA466" t="s">
        <v>27</v>
      </c>
      <c r="AB466" t="s">
        <v>27</v>
      </c>
      <c r="AC466" t="s">
        <v>27</v>
      </c>
      <c r="AD466" t="s">
        <v>27</v>
      </c>
      <c r="AE466" t="s">
        <v>27</v>
      </c>
      <c r="AF466" t="s">
        <v>27</v>
      </c>
      <c r="AG466">
        <v>23.06</v>
      </c>
    </row>
    <row r="467" spans="1:33" x14ac:dyDescent="0.25">
      <c r="A467" t="s">
        <v>57</v>
      </c>
      <c r="B467" s="3">
        <v>43928</v>
      </c>
      <c r="C467">
        <v>2020098</v>
      </c>
      <c r="D467">
        <v>21.22</v>
      </c>
      <c r="E467" t="s">
        <v>27</v>
      </c>
      <c r="F467">
        <v>1.9</v>
      </c>
      <c r="G467">
        <v>7.9</v>
      </c>
      <c r="H467">
        <v>-2.8</v>
      </c>
      <c r="I467">
        <v>49.4</v>
      </c>
      <c r="J467">
        <v>24.9</v>
      </c>
      <c r="K467">
        <v>1.1000000000000001</v>
      </c>
      <c r="L467">
        <v>3.5</v>
      </c>
      <c r="M467">
        <v>0</v>
      </c>
      <c r="N467">
        <v>1.2810000000000001</v>
      </c>
      <c r="O467">
        <v>-0.4</v>
      </c>
      <c r="P467" t="s">
        <v>27</v>
      </c>
      <c r="Q467" t="s">
        <v>27</v>
      </c>
      <c r="R467" t="s">
        <v>27</v>
      </c>
      <c r="S467">
        <v>0</v>
      </c>
      <c r="T467">
        <v>0.3</v>
      </c>
      <c r="U467">
        <v>0.7</v>
      </c>
      <c r="V467" t="s">
        <v>27</v>
      </c>
      <c r="W467">
        <v>0.26600000000000001</v>
      </c>
      <c r="X467">
        <v>0.80200000000000005</v>
      </c>
      <c r="Y467" t="s">
        <v>27</v>
      </c>
      <c r="Z467" t="s">
        <v>27</v>
      </c>
      <c r="AA467" t="s">
        <v>27</v>
      </c>
      <c r="AB467" t="s">
        <v>27</v>
      </c>
      <c r="AC467" t="s">
        <v>27</v>
      </c>
      <c r="AD467" t="s">
        <v>27</v>
      </c>
      <c r="AE467" t="s">
        <v>27</v>
      </c>
      <c r="AF467" t="s">
        <v>27</v>
      </c>
      <c r="AG467">
        <v>23.31</v>
      </c>
    </row>
    <row r="468" spans="1:33" x14ac:dyDescent="0.25">
      <c r="A468" t="s">
        <v>57</v>
      </c>
      <c r="B468" s="3">
        <v>43929</v>
      </c>
      <c r="C468">
        <v>2020099</v>
      </c>
      <c r="D468">
        <v>21.42</v>
      </c>
      <c r="E468" t="s">
        <v>27</v>
      </c>
      <c r="F468">
        <v>0.9</v>
      </c>
      <c r="G468">
        <v>10</v>
      </c>
      <c r="H468">
        <v>-8.5</v>
      </c>
      <c r="I468">
        <v>41.7</v>
      </c>
      <c r="J468">
        <v>13</v>
      </c>
      <c r="K468">
        <v>0.4</v>
      </c>
      <c r="L468">
        <v>2.5</v>
      </c>
      <c r="M468">
        <v>0</v>
      </c>
      <c r="N468">
        <v>1.2610000000000001</v>
      </c>
      <c r="O468">
        <v>-0.5</v>
      </c>
      <c r="P468" t="s">
        <v>27</v>
      </c>
      <c r="Q468" t="s">
        <v>27</v>
      </c>
      <c r="R468" t="s">
        <v>27</v>
      </c>
      <c r="S468">
        <v>0</v>
      </c>
      <c r="T468">
        <v>0.3</v>
      </c>
      <c r="U468">
        <v>0.6</v>
      </c>
      <c r="V468" t="s">
        <v>27</v>
      </c>
      <c r="W468">
        <v>0.159</v>
      </c>
      <c r="X468">
        <v>1.0640000000000001</v>
      </c>
      <c r="Y468" t="s">
        <v>27</v>
      </c>
      <c r="Z468" t="s">
        <v>27</v>
      </c>
      <c r="AA468" t="s">
        <v>27</v>
      </c>
      <c r="AB468" t="s">
        <v>27</v>
      </c>
      <c r="AC468" t="s">
        <v>27</v>
      </c>
      <c r="AD468" t="s">
        <v>27</v>
      </c>
      <c r="AE468" t="s">
        <v>27</v>
      </c>
      <c r="AF468" t="s">
        <v>27</v>
      </c>
      <c r="AG468">
        <v>23.56</v>
      </c>
    </row>
    <row r="469" spans="1:33" x14ac:dyDescent="0.25">
      <c r="A469" t="s">
        <v>57</v>
      </c>
      <c r="B469" s="3">
        <v>43930</v>
      </c>
      <c r="C469">
        <v>2020100</v>
      </c>
      <c r="D469">
        <v>22.61</v>
      </c>
      <c r="E469" t="s">
        <v>27</v>
      </c>
      <c r="F469">
        <v>4.8</v>
      </c>
      <c r="G469">
        <v>15.3</v>
      </c>
      <c r="H469">
        <v>-5.3</v>
      </c>
      <c r="I469">
        <v>47.9</v>
      </c>
      <c r="J469">
        <v>15.9</v>
      </c>
      <c r="K469">
        <v>0.7</v>
      </c>
      <c r="L469">
        <v>2.9</v>
      </c>
      <c r="M469">
        <v>0</v>
      </c>
      <c r="N469">
        <v>1.2180000000000002</v>
      </c>
      <c r="O469">
        <v>-0.4</v>
      </c>
      <c r="P469" t="s">
        <v>27</v>
      </c>
      <c r="Q469" t="s">
        <v>27</v>
      </c>
      <c r="R469" t="s">
        <v>27</v>
      </c>
      <c r="S469">
        <v>0</v>
      </c>
      <c r="T469">
        <v>0.3</v>
      </c>
      <c r="U469">
        <v>0.6</v>
      </c>
      <c r="V469" t="s">
        <v>27</v>
      </c>
      <c r="W469">
        <v>0.27500000000000002</v>
      </c>
      <c r="X469">
        <v>1.4550000000000001</v>
      </c>
      <c r="Y469" t="s">
        <v>27</v>
      </c>
      <c r="Z469" t="s">
        <v>27</v>
      </c>
      <c r="AA469" t="s">
        <v>27</v>
      </c>
      <c r="AB469" t="s">
        <v>27</v>
      </c>
      <c r="AC469" t="s">
        <v>27</v>
      </c>
      <c r="AD469" t="s">
        <v>27</v>
      </c>
      <c r="AE469" t="s">
        <v>27</v>
      </c>
      <c r="AF469" t="s">
        <v>27</v>
      </c>
      <c r="AG469">
        <v>23.81</v>
      </c>
    </row>
    <row r="470" spans="1:33" x14ac:dyDescent="0.25">
      <c r="A470" t="s">
        <v>57</v>
      </c>
      <c r="B470" s="3">
        <v>43931</v>
      </c>
      <c r="C470">
        <v>2020101</v>
      </c>
      <c r="D470">
        <v>13.73</v>
      </c>
      <c r="E470" t="s">
        <v>27</v>
      </c>
      <c r="F470">
        <v>3.2</v>
      </c>
      <c r="G470">
        <v>11.3</v>
      </c>
      <c r="H470">
        <v>-2.8</v>
      </c>
      <c r="I470">
        <v>68.599999999999994</v>
      </c>
      <c r="J470">
        <v>39.4</v>
      </c>
      <c r="K470">
        <v>0.6</v>
      </c>
      <c r="L470">
        <v>2.2000000000000002</v>
      </c>
      <c r="M470">
        <v>9</v>
      </c>
      <c r="N470">
        <v>1.248</v>
      </c>
      <c r="O470">
        <v>-0.2</v>
      </c>
      <c r="P470" t="s">
        <v>27</v>
      </c>
      <c r="Q470" t="s">
        <v>27</v>
      </c>
      <c r="R470" t="s">
        <v>27</v>
      </c>
      <c r="S470">
        <v>0</v>
      </c>
      <c r="T470">
        <v>0.4</v>
      </c>
      <c r="U470">
        <v>0.7</v>
      </c>
      <c r="V470" t="s">
        <v>27</v>
      </c>
      <c r="W470">
        <v>0.52800000000000002</v>
      </c>
      <c r="X470">
        <v>0.81200000000000006</v>
      </c>
      <c r="Y470" t="s">
        <v>27</v>
      </c>
      <c r="Z470" t="s">
        <v>27</v>
      </c>
      <c r="AA470" t="s">
        <v>27</v>
      </c>
      <c r="AB470" t="s">
        <v>27</v>
      </c>
      <c r="AC470" t="s">
        <v>27</v>
      </c>
      <c r="AD470" t="s">
        <v>27</v>
      </c>
      <c r="AE470" t="s">
        <v>27</v>
      </c>
      <c r="AF470" t="s">
        <v>27</v>
      </c>
      <c r="AG470">
        <v>24.05</v>
      </c>
    </row>
    <row r="471" spans="1:33" x14ac:dyDescent="0.25">
      <c r="A471" t="s">
        <v>57</v>
      </c>
      <c r="B471" s="3">
        <v>43932</v>
      </c>
      <c r="C471">
        <v>2020102</v>
      </c>
      <c r="D471">
        <v>10.46</v>
      </c>
      <c r="E471" t="s">
        <v>27</v>
      </c>
      <c r="F471">
        <v>-3.9</v>
      </c>
      <c r="G471">
        <v>1.9</v>
      </c>
      <c r="H471">
        <v>-11.4</v>
      </c>
      <c r="I471">
        <v>73</v>
      </c>
      <c r="J471">
        <v>37.200000000000003</v>
      </c>
      <c r="K471">
        <v>0.8</v>
      </c>
      <c r="L471">
        <v>3</v>
      </c>
      <c r="M471">
        <v>7.9</v>
      </c>
      <c r="N471">
        <v>1.2390000000000001</v>
      </c>
      <c r="O471">
        <v>-0.1</v>
      </c>
      <c r="P471" t="s">
        <v>27</v>
      </c>
      <c r="Q471" t="s">
        <v>27</v>
      </c>
      <c r="R471" t="s">
        <v>27</v>
      </c>
      <c r="S471">
        <v>0</v>
      </c>
      <c r="T471">
        <v>0.3</v>
      </c>
      <c r="U471">
        <v>0.6</v>
      </c>
      <c r="V471" t="s">
        <v>27</v>
      </c>
      <c r="W471">
        <v>0.26100000000000001</v>
      </c>
      <c r="X471">
        <v>0.441</v>
      </c>
      <c r="Y471" t="s">
        <v>27</v>
      </c>
      <c r="Z471" t="s">
        <v>27</v>
      </c>
      <c r="AA471" t="s">
        <v>27</v>
      </c>
      <c r="AB471" t="s">
        <v>27</v>
      </c>
      <c r="AC471" t="s">
        <v>27</v>
      </c>
      <c r="AD471" t="s">
        <v>27</v>
      </c>
      <c r="AE471" t="s">
        <v>27</v>
      </c>
      <c r="AF471" t="s">
        <v>27</v>
      </c>
      <c r="AG471">
        <v>24.3</v>
      </c>
    </row>
    <row r="472" spans="1:33" x14ac:dyDescent="0.25">
      <c r="A472" t="s">
        <v>57</v>
      </c>
      <c r="B472" s="3">
        <v>43933</v>
      </c>
      <c r="C472">
        <v>2020103</v>
      </c>
      <c r="D472">
        <v>22.88</v>
      </c>
      <c r="E472" t="s">
        <v>27</v>
      </c>
      <c r="F472">
        <v>-5.5</v>
      </c>
      <c r="G472">
        <v>1.8</v>
      </c>
      <c r="H472">
        <v>-15.1</v>
      </c>
      <c r="I472">
        <v>54.6</v>
      </c>
      <c r="J472">
        <v>24.2</v>
      </c>
      <c r="K472">
        <v>0.7</v>
      </c>
      <c r="L472">
        <v>2.2000000000000002</v>
      </c>
      <c r="M472">
        <v>0</v>
      </c>
      <c r="N472">
        <v>1.2140000000000002</v>
      </c>
      <c r="O472">
        <v>-0.1</v>
      </c>
      <c r="P472" t="s">
        <v>27</v>
      </c>
      <c r="Q472" t="s">
        <v>27</v>
      </c>
      <c r="R472" t="s">
        <v>27</v>
      </c>
      <c r="S472">
        <v>0</v>
      </c>
      <c r="T472">
        <v>0.3</v>
      </c>
      <c r="U472">
        <v>0.6</v>
      </c>
      <c r="V472" t="s">
        <v>27</v>
      </c>
      <c r="W472">
        <v>0.16800000000000001</v>
      </c>
      <c r="X472">
        <v>0.52600000000000002</v>
      </c>
      <c r="Y472" t="s">
        <v>27</v>
      </c>
      <c r="Z472" t="s">
        <v>27</v>
      </c>
      <c r="AA472" t="s">
        <v>27</v>
      </c>
      <c r="AB472" t="s">
        <v>27</v>
      </c>
      <c r="AC472" t="s">
        <v>27</v>
      </c>
      <c r="AD472" t="s">
        <v>27</v>
      </c>
      <c r="AE472" t="s">
        <v>27</v>
      </c>
      <c r="AF472" t="s">
        <v>27</v>
      </c>
      <c r="AG472">
        <v>24.53</v>
      </c>
    </row>
    <row r="473" spans="1:33" x14ac:dyDescent="0.25">
      <c r="A473" t="s">
        <v>57</v>
      </c>
      <c r="B473" s="3">
        <v>43934</v>
      </c>
      <c r="C473">
        <v>2020104</v>
      </c>
      <c r="D473">
        <v>22.39</v>
      </c>
      <c r="E473" t="s">
        <v>27</v>
      </c>
      <c r="F473">
        <v>-1.8</v>
      </c>
      <c r="G473">
        <v>7.1</v>
      </c>
      <c r="H473">
        <v>-14.9</v>
      </c>
      <c r="I473">
        <v>43.6</v>
      </c>
      <c r="J473">
        <v>19.100000000000001</v>
      </c>
      <c r="K473">
        <v>0.7</v>
      </c>
      <c r="L473">
        <v>3</v>
      </c>
      <c r="M473">
        <v>0</v>
      </c>
      <c r="N473">
        <v>1.1980000000000002</v>
      </c>
      <c r="O473">
        <v>0</v>
      </c>
      <c r="P473" t="s">
        <v>27</v>
      </c>
      <c r="Q473" t="s">
        <v>27</v>
      </c>
      <c r="R473" t="s">
        <v>27</v>
      </c>
      <c r="S473">
        <v>0</v>
      </c>
      <c r="T473">
        <v>0.3</v>
      </c>
      <c r="U473">
        <v>0.6</v>
      </c>
      <c r="V473" t="s">
        <v>27</v>
      </c>
      <c r="W473">
        <v>0.192</v>
      </c>
      <c r="X473">
        <v>0.81299999999999994</v>
      </c>
      <c r="Y473" t="s">
        <v>27</v>
      </c>
      <c r="Z473" t="s">
        <v>27</v>
      </c>
      <c r="AA473" t="s">
        <v>27</v>
      </c>
      <c r="AB473" t="s">
        <v>27</v>
      </c>
      <c r="AC473" t="s">
        <v>27</v>
      </c>
      <c r="AD473" t="s">
        <v>27</v>
      </c>
      <c r="AE473" t="s">
        <v>27</v>
      </c>
      <c r="AF473" t="s">
        <v>27</v>
      </c>
      <c r="AG473">
        <v>24.78</v>
      </c>
    </row>
    <row r="474" spans="1:33" x14ac:dyDescent="0.25">
      <c r="A474" t="s">
        <v>57</v>
      </c>
      <c r="B474" s="3">
        <v>43935</v>
      </c>
      <c r="C474">
        <v>2020105</v>
      </c>
      <c r="D474">
        <v>9.41</v>
      </c>
      <c r="E474" t="s">
        <v>27</v>
      </c>
      <c r="F474">
        <v>1.8</v>
      </c>
      <c r="G474">
        <v>6.6</v>
      </c>
      <c r="H474">
        <v>-0.8</v>
      </c>
      <c r="I474">
        <v>79.900000000000006</v>
      </c>
      <c r="J474">
        <v>38.5</v>
      </c>
      <c r="K474">
        <v>0.9</v>
      </c>
      <c r="L474">
        <v>3</v>
      </c>
      <c r="M474">
        <v>8</v>
      </c>
      <c r="N474">
        <v>1.2010000000000001</v>
      </c>
      <c r="O474">
        <v>0</v>
      </c>
      <c r="P474" t="s">
        <v>27</v>
      </c>
      <c r="Q474" t="s">
        <v>27</v>
      </c>
      <c r="R474" t="s">
        <v>27</v>
      </c>
      <c r="S474">
        <v>0.1</v>
      </c>
      <c r="T474">
        <v>0.4</v>
      </c>
      <c r="U474">
        <v>0.7</v>
      </c>
      <c r="V474" t="s">
        <v>27</v>
      </c>
      <c r="W474">
        <v>0.376</v>
      </c>
      <c r="X474">
        <v>0.60099999999999998</v>
      </c>
      <c r="Y474" t="s">
        <v>27</v>
      </c>
      <c r="Z474" t="s">
        <v>27</v>
      </c>
      <c r="AA474" t="s">
        <v>27</v>
      </c>
      <c r="AB474" t="s">
        <v>27</v>
      </c>
      <c r="AC474" t="s">
        <v>27</v>
      </c>
      <c r="AD474" t="s">
        <v>27</v>
      </c>
      <c r="AE474" t="s">
        <v>27</v>
      </c>
      <c r="AF474" t="s">
        <v>27</v>
      </c>
      <c r="AG474">
        <v>25.02</v>
      </c>
    </row>
    <row r="475" spans="1:33" x14ac:dyDescent="0.25">
      <c r="A475" t="s">
        <v>57</v>
      </c>
      <c r="B475" s="3">
        <v>43936</v>
      </c>
      <c r="C475">
        <v>2020106</v>
      </c>
      <c r="D475">
        <v>21.61</v>
      </c>
      <c r="E475" t="s">
        <v>27</v>
      </c>
      <c r="F475">
        <v>1.4</v>
      </c>
      <c r="G475">
        <v>7.1</v>
      </c>
      <c r="H475">
        <v>-5.9</v>
      </c>
      <c r="I475">
        <v>63.7</v>
      </c>
      <c r="J475">
        <v>22.2</v>
      </c>
      <c r="K475">
        <v>0.6</v>
      </c>
      <c r="L475">
        <v>2.7</v>
      </c>
      <c r="M475">
        <v>0</v>
      </c>
      <c r="N475">
        <v>1.167</v>
      </c>
      <c r="O475">
        <v>0</v>
      </c>
      <c r="P475" t="s">
        <v>27</v>
      </c>
      <c r="Q475" t="s">
        <v>27</v>
      </c>
      <c r="R475" t="s">
        <v>27</v>
      </c>
      <c r="S475">
        <v>0</v>
      </c>
      <c r="T475">
        <v>0.3</v>
      </c>
      <c r="U475">
        <v>0.6</v>
      </c>
      <c r="V475" t="s">
        <v>27</v>
      </c>
      <c r="W475">
        <v>0.224</v>
      </c>
      <c r="X475">
        <v>0.78500000000000003</v>
      </c>
      <c r="Y475" t="s">
        <v>27</v>
      </c>
      <c r="Z475" t="s">
        <v>27</v>
      </c>
      <c r="AA475" t="s">
        <v>27</v>
      </c>
      <c r="AB475" t="s">
        <v>27</v>
      </c>
      <c r="AC475" t="s">
        <v>27</v>
      </c>
      <c r="AD475" t="s">
        <v>27</v>
      </c>
      <c r="AE475" t="s">
        <v>27</v>
      </c>
      <c r="AF475" t="s">
        <v>27</v>
      </c>
      <c r="AG475">
        <v>25.26</v>
      </c>
    </row>
    <row r="476" spans="1:33" x14ac:dyDescent="0.25">
      <c r="A476" t="s">
        <v>57</v>
      </c>
      <c r="B476" s="3">
        <v>43937</v>
      </c>
      <c r="C476">
        <v>2020107</v>
      </c>
      <c r="D476">
        <v>24.52</v>
      </c>
      <c r="E476" t="s">
        <v>27</v>
      </c>
      <c r="F476">
        <v>0.9</v>
      </c>
      <c r="G476">
        <v>11.1</v>
      </c>
      <c r="H476">
        <v>-9.1999999999999993</v>
      </c>
      <c r="I476">
        <v>53.7</v>
      </c>
      <c r="J476">
        <v>16.100000000000001</v>
      </c>
      <c r="K476">
        <v>0.5</v>
      </c>
      <c r="L476">
        <v>2.2999999999999998</v>
      </c>
      <c r="M476">
        <v>0</v>
      </c>
      <c r="N476">
        <v>1.131</v>
      </c>
      <c r="O476">
        <v>0</v>
      </c>
      <c r="P476" t="s">
        <v>27</v>
      </c>
      <c r="Q476" t="s">
        <v>27</v>
      </c>
      <c r="R476" t="s">
        <v>27</v>
      </c>
      <c r="S476">
        <v>0</v>
      </c>
      <c r="T476">
        <v>0.3</v>
      </c>
      <c r="U476">
        <v>0.6</v>
      </c>
      <c r="V476" t="s">
        <v>27</v>
      </c>
      <c r="W476">
        <v>0.21199999999999999</v>
      </c>
      <c r="X476">
        <v>1.105</v>
      </c>
      <c r="Y476" t="s">
        <v>27</v>
      </c>
      <c r="Z476" t="s">
        <v>27</v>
      </c>
      <c r="AA476" t="s">
        <v>27</v>
      </c>
      <c r="AB476" t="s">
        <v>27</v>
      </c>
      <c r="AC476" t="s">
        <v>27</v>
      </c>
      <c r="AD476" t="s">
        <v>27</v>
      </c>
      <c r="AE476" t="s">
        <v>27</v>
      </c>
      <c r="AF476" t="s">
        <v>27</v>
      </c>
      <c r="AG476">
        <v>25.49</v>
      </c>
    </row>
    <row r="477" spans="1:33" x14ac:dyDescent="0.25">
      <c r="A477" t="s">
        <v>57</v>
      </c>
      <c r="B477" s="3">
        <v>43938</v>
      </c>
      <c r="C477">
        <v>2020108</v>
      </c>
      <c r="D477">
        <v>14.54</v>
      </c>
      <c r="E477" t="s">
        <v>27</v>
      </c>
      <c r="F477">
        <v>1.3</v>
      </c>
      <c r="G477">
        <v>6.8</v>
      </c>
      <c r="H477">
        <v>-5.9</v>
      </c>
      <c r="I477">
        <v>69.8</v>
      </c>
      <c r="J477">
        <v>38.1</v>
      </c>
      <c r="K477">
        <v>0.8</v>
      </c>
      <c r="L477">
        <v>3.3</v>
      </c>
      <c r="M477">
        <v>0</v>
      </c>
      <c r="N477">
        <v>1.113</v>
      </c>
      <c r="O477">
        <v>0</v>
      </c>
      <c r="P477" t="s">
        <v>27</v>
      </c>
      <c r="Q477" t="s">
        <v>27</v>
      </c>
      <c r="R477" t="s">
        <v>27</v>
      </c>
      <c r="S477">
        <v>0</v>
      </c>
      <c r="T477">
        <v>0.3</v>
      </c>
      <c r="U477">
        <v>0.6</v>
      </c>
      <c r="V477" t="s">
        <v>27</v>
      </c>
      <c r="W477">
        <v>0.376</v>
      </c>
      <c r="X477">
        <v>0.61099999999999999</v>
      </c>
      <c r="Y477" t="s">
        <v>27</v>
      </c>
      <c r="Z477" t="s">
        <v>27</v>
      </c>
      <c r="AA477" t="s">
        <v>27</v>
      </c>
      <c r="AB477" t="s">
        <v>27</v>
      </c>
      <c r="AC477" t="s">
        <v>27</v>
      </c>
      <c r="AD477" t="s">
        <v>27</v>
      </c>
      <c r="AE477" t="s">
        <v>27</v>
      </c>
      <c r="AF477" t="s">
        <v>27</v>
      </c>
      <c r="AG477">
        <v>25.73</v>
      </c>
    </row>
    <row r="478" spans="1:33" x14ac:dyDescent="0.25">
      <c r="A478" t="s">
        <v>57</v>
      </c>
      <c r="B478" s="3">
        <v>43939</v>
      </c>
      <c r="C478">
        <v>2020109</v>
      </c>
      <c r="D478">
        <v>15.25</v>
      </c>
      <c r="E478" t="s">
        <v>27</v>
      </c>
      <c r="F478">
        <v>2</v>
      </c>
      <c r="G478">
        <v>8.6999999999999993</v>
      </c>
      <c r="H478">
        <v>-2.7</v>
      </c>
      <c r="I478">
        <v>78.900000000000006</v>
      </c>
      <c r="J478">
        <v>48.7</v>
      </c>
      <c r="K478">
        <v>0.4</v>
      </c>
      <c r="L478">
        <v>2.1</v>
      </c>
      <c r="M478">
        <v>0</v>
      </c>
      <c r="N478">
        <v>1.0890000000000002</v>
      </c>
      <c r="O478">
        <v>0</v>
      </c>
      <c r="P478" t="s">
        <v>27</v>
      </c>
      <c r="Q478" t="s">
        <v>27</v>
      </c>
      <c r="R478" t="s">
        <v>27</v>
      </c>
      <c r="S478">
        <v>0</v>
      </c>
      <c r="T478">
        <v>0.3</v>
      </c>
      <c r="U478">
        <v>0.6</v>
      </c>
      <c r="V478" t="s">
        <v>27</v>
      </c>
      <c r="W478">
        <v>0.54800000000000004</v>
      </c>
      <c r="X478">
        <v>0.57699999999999996</v>
      </c>
      <c r="Y478" t="s">
        <v>27</v>
      </c>
      <c r="Z478" t="s">
        <v>27</v>
      </c>
      <c r="AA478" t="s">
        <v>27</v>
      </c>
      <c r="AB478" t="s">
        <v>27</v>
      </c>
      <c r="AC478" t="s">
        <v>27</v>
      </c>
      <c r="AD478" t="s">
        <v>27</v>
      </c>
      <c r="AE478" t="s">
        <v>27</v>
      </c>
      <c r="AF478" t="s">
        <v>27</v>
      </c>
      <c r="AG478">
        <v>25.96</v>
      </c>
    </row>
    <row r="479" spans="1:33" x14ac:dyDescent="0.25">
      <c r="A479" t="s">
        <v>57</v>
      </c>
      <c r="B479" s="3">
        <v>43940</v>
      </c>
      <c r="C479">
        <v>2020110</v>
      </c>
      <c r="D479">
        <v>16.59</v>
      </c>
      <c r="E479" t="s">
        <v>27</v>
      </c>
      <c r="F479">
        <v>3.9</v>
      </c>
      <c r="G479">
        <v>11.1</v>
      </c>
      <c r="H479">
        <v>-2.5</v>
      </c>
      <c r="I479">
        <v>70.2</v>
      </c>
      <c r="J479">
        <v>34.5</v>
      </c>
      <c r="K479">
        <v>0.1</v>
      </c>
      <c r="L479">
        <v>2.5</v>
      </c>
      <c r="M479">
        <v>0</v>
      </c>
      <c r="N479">
        <v>1.052</v>
      </c>
      <c r="O479">
        <v>0</v>
      </c>
      <c r="P479" t="s">
        <v>27</v>
      </c>
      <c r="Q479" t="s">
        <v>27</v>
      </c>
      <c r="R479" t="s">
        <v>27</v>
      </c>
      <c r="S479">
        <v>0</v>
      </c>
      <c r="T479">
        <v>0.3</v>
      </c>
      <c r="U479">
        <v>0.6</v>
      </c>
      <c r="V479" t="s">
        <v>27</v>
      </c>
      <c r="W479">
        <v>0.45500000000000002</v>
      </c>
      <c r="X479">
        <v>0.86399999999999999</v>
      </c>
      <c r="Y479" t="s">
        <v>27</v>
      </c>
      <c r="Z479" t="s">
        <v>27</v>
      </c>
      <c r="AA479" t="s">
        <v>27</v>
      </c>
      <c r="AB479" t="s">
        <v>27</v>
      </c>
      <c r="AC479" t="s">
        <v>27</v>
      </c>
      <c r="AD479" t="s">
        <v>27</v>
      </c>
      <c r="AE479" t="s">
        <v>27</v>
      </c>
      <c r="AF479" t="s">
        <v>27</v>
      </c>
      <c r="AG479">
        <v>26.18</v>
      </c>
    </row>
    <row r="480" spans="1:33" x14ac:dyDescent="0.25">
      <c r="A480" t="s">
        <v>57</v>
      </c>
      <c r="B480" s="3">
        <v>43941</v>
      </c>
      <c r="C480">
        <v>2020111</v>
      </c>
      <c r="D480">
        <v>24.92</v>
      </c>
      <c r="E480" t="s">
        <v>27</v>
      </c>
      <c r="F480">
        <v>5.8</v>
      </c>
      <c r="G480">
        <v>15.6</v>
      </c>
      <c r="H480">
        <v>-3.7</v>
      </c>
      <c r="I480">
        <v>62.5</v>
      </c>
      <c r="J480">
        <v>20.8</v>
      </c>
      <c r="K480">
        <v>0.2</v>
      </c>
      <c r="L480">
        <v>2.4</v>
      </c>
      <c r="M480">
        <v>0</v>
      </c>
      <c r="N480">
        <v>1.0090000000000001</v>
      </c>
      <c r="O480">
        <v>0</v>
      </c>
      <c r="P480" t="s">
        <v>27</v>
      </c>
      <c r="Q480" t="s">
        <v>27</v>
      </c>
      <c r="R480" t="s">
        <v>27</v>
      </c>
      <c r="S480">
        <v>0</v>
      </c>
      <c r="T480">
        <v>0.3</v>
      </c>
      <c r="U480">
        <v>0.6</v>
      </c>
      <c r="V480" t="s">
        <v>27</v>
      </c>
      <c r="W480">
        <v>0.36899999999999999</v>
      </c>
      <c r="X480">
        <v>1.405</v>
      </c>
      <c r="Y480" t="s">
        <v>27</v>
      </c>
      <c r="Z480" t="s">
        <v>27</v>
      </c>
      <c r="AA480" t="s">
        <v>27</v>
      </c>
      <c r="AB480" t="s">
        <v>27</v>
      </c>
      <c r="AC480" t="s">
        <v>27</v>
      </c>
      <c r="AD480" t="s">
        <v>27</v>
      </c>
      <c r="AE480" t="s">
        <v>27</v>
      </c>
      <c r="AF480" t="s">
        <v>27</v>
      </c>
      <c r="AG480">
        <v>26.41</v>
      </c>
    </row>
    <row r="481" spans="1:33" x14ac:dyDescent="0.25">
      <c r="A481" t="s">
        <v>57</v>
      </c>
      <c r="B481" s="3">
        <v>43942</v>
      </c>
      <c r="C481">
        <v>2020112</v>
      </c>
      <c r="D481">
        <v>15.4</v>
      </c>
      <c r="E481" t="s">
        <v>27</v>
      </c>
      <c r="F481">
        <v>4</v>
      </c>
      <c r="G481">
        <v>10.5</v>
      </c>
      <c r="H481">
        <v>-2.2000000000000002</v>
      </c>
      <c r="I481">
        <v>65.2</v>
      </c>
      <c r="J481">
        <v>38</v>
      </c>
      <c r="K481">
        <v>0.4</v>
      </c>
      <c r="L481">
        <v>3.3</v>
      </c>
      <c r="M481">
        <v>0</v>
      </c>
      <c r="N481">
        <v>0.98200000000000021</v>
      </c>
      <c r="O481">
        <v>0.1</v>
      </c>
      <c r="P481" t="s">
        <v>27</v>
      </c>
      <c r="Q481" t="s">
        <v>27</v>
      </c>
      <c r="R481" t="s">
        <v>27</v>
      </c>
      <c r="S481">
        <v>0.1</v>
      </c>
      <c r="T481">
        <v>0.3</v>
      </c>
      <c r="U481">
        <v>0.6</v>
      </c>
      <c r="V481" t="s">
        <v>27</v>
      </c>
      <c r="W481">
        <v>0.48299999999999998</v>
      </c>
      <c r="X481">
        <v>0.78800000000000003</v>
      </c>
      <c r="Y481" t="s">
        <v>27</v>
      </c>
      <c r="Z481" t="s">
        <v>27</v>
      </c>
      <c r="AA481" t="s">
        <v>27</v>
      </c>
      <c r="AB481" t="s">
        <v>27</v>
      </c>
      <c r="AC481" t="s">
        <v>27</v>
      </c>
      <c r="AD481" t="s">
        <v>27</v>
      </c>
      <c r="AE481" t="s">
        <v>27</v>
      </c>
      <c r="AF481" t="s">
        <v>27</v>
      </c>
      <c r="AG481">
        <v>26.63</v>
      </c>
    </row>
    <row r="482" spans="1:33" x14ac:dyDescent="0.25">
      <c r="A482" t="s">
        <v>57</v>
      </c>
      <c r="B482" s="3">
        <v>43943</v>
      </c>
      <c r="C482">
        <v>2020113</v>
      </c>
      <c r="D482">
        <v>12.14</v>
      </c>
      <c r="E482" t="s">
        <v>27</v>
      </c>
      <c r="F482">
        <v>1.8</v>
      </c>
      <c r="G482">
        <v>6.2</v>
      </c>
      <c r="H482">
        <v>-2.2999999999999998</v>
      </c>
      <c r="I482">
        <v>83.4</v>
      </c>
      <c r="J482">
        <v>60</v>
      </c>
      <c r="K482">
        <v>0.6</v>
      </c>
      <c r="L482">
        <v>2.6</v>
      </c>
      <c r="M482">
        <v>4</v>
      </c>
      <c r="N482">
        <v>0.98100000000000009</v>
      </c>
      <c r="O482">
        <v>0.1</v>
      </c>
      <c r="P482" t="s">
        <v>27</v>
      </c>
      <c r="Q482" t="s">
        <v>27</v>
      </c>
      <c r="R482" t="s">
        <v>27</v>
      </c>
      <c r="S482">
        <v>0.1</v>
      </c>
      <c r="T482">
        <v>0.3</v>
      </c>
      <c r="U482">
        <v>0.6</v>
      </c>
      <c r="V482" t="s">
        <v>27</v>
      </c>
      <c r="W482">
        <v>0.56699999999999995</v>
      </c>
      <c r="X482">
        <v>0.378</v>
      </c>
      <c r="Y482" t="s">
        <v>27</v>
      </c>
      <c r="Z482" t="s">
        <v>27</v>
      </c>
      <c r="AA482" t="s">
        <v>27</v>
      </c>
      <c r="AB482" t="s">
        <v>27</v>
      </c>
      <c r="AC482" t="s">
        <v>27</v>
      </c>
      <c r="AD482" t="s">
        <v>27</v>
      </c>
      <c r="AE482" t="s">
        <v>27</v>
      </c>
      <c r="AF482" t="s">
        <v>27</v>
      </c>
      <c r="AG482">
        <v>26.85</v>
      </c>
    </row>
    <row r="483" spans="1:33" x14ac:dyDescent="0.25">
      <c r="A483" t="s">
        <v>57</v>
      </c>
      <c r="B483" s="3">
        <v>43944</v>
      </c>
      <c r="C483">
        <v>2020114</v>
      </c>
      <c r="D483">
        <v>15</v>
      </c>
      <c r="E483" t="s">
        <v>27</v>
      </c>
      <c r="F483">
        <v>2</v>
      </c>
      <c r="G483">
        <v>7</v>
      </c>
      <c r="H483">
        <v>-1.8</v>
      </c>
      <c r="I483">
        <v>83.5</v>
      </c>
      <c r="J483">
        <v>51.2</v>
      </c>
      <c r="K483">
        <v>0.9</v>
      </c>
      <c r="L483">
        <v>3.6</v>
      </c>
      <c r="M483">
        <v>1</v>
      </c>
      <c r="N483">
        <v>0.94900000000000007</v>
      </c>
      <c r="O483">
        <v>0.1</v>
      </c>
      <c r="P483" t="s">
        <v>27</v>
      </c>
      <c r="Q483" t="s">
        <v>27</v>
      </c>
      <c r="R483" t="s">
        <v>27</v>
      </c>
      <c r="S483">
        <v>0.1</v>
      </c>
      <c r="T483">
        <v>0.3</v>
      </c>
      <c r="U483">
        <v>0.6</v>
      </c>
      <c r="V483" t="s">
        <v>27</v>
      </c>
      <c r="W483">
        <v>0.51200000000000001</v>
      </c>
      <c r="X483">
        <v>0.48799999999999999</v>
      </c>
      <c r="Y483" t="s">
        <v>27</v>
      </c>
      <c r="Z483" t="s">
        <v>27</v>
      </c>
      <c r="AA483" t="s">
        <v>27</v>
      </c>
      <c r="AB483" t="s">
        <v>27</v>
      </c>
      <c r="AC483" t="s">
        <v>27</v>
      </c>
      <c r="AD483" t="s">
        <v>27</v>
      </c>
      <c r="AE483" t="s">
        <v>27</v>
      </c>
      <c r="AF483" t="s">
        <v>27</v>
      </c>
      <c r="AG483">
        <v>27.07</v>
      </c>
    </row>
    <row r="484" spans="1:33" x14ac:dyDescent="0.25">
      <c r="A484" t="s">
        <v>57</v>
      </c>
      <c r="B484" s="3">
        <v>43945</v>
      </c>
      <c r="C484">
        <v>2020115</v>
      </c>
      <c r="D484">
        <v>19.75</v>
      </c>
      <c r="E484" t="s">
        <v>27</v>
      </c>
      <c r="F484">
        <v>3.2</v>
      </c>
      <c r="G484">
        <v>11.3</v>
      </c>
      <c r="H484">
        <v>-4.8</v>
      </c>
      <c r="I484">
        <v>66</v>
      </c>
      <c r="J484">
        <v>24</v>
      </c>
      <c r="K484">
        <v>0.4</v>
      </c>
      <c r="L484">
        <v>2.1</v>
      </c>
      <c r="M484">
        <v>0</v>
      </c>
      <c r="N484">
        <v>0.92600000000000016</v>
      </c>
      <c r="O484">
        <v>0.1</v>
      </c>
      <c r="P484" t="s">
        <v>27</v>
      </c>
      <c r="Q484" t="s">
        <v>27</v>
      </c>
      <c r="R484" t="s">
        <v>27</v>
      </c>
      <c r="S484">
        <v>0.1</v>
      </c>
      <c r="T484">
        <v>0.3</v>
      </c>
      <c r="U484">
        <v>0.6</v>
      </c>
      <c r="V484" t="s">
        <v>27</v>
      </c>
      <c r="W484">
        <v>0.32100000000000001</v>
      </c>
      <c r="X484">
        <v>1.0169999999999999</v>
      </c>
      <c r="Y484" t="s">
        <v>27</v>
      </c>
      <c r="Z484" t="s">
        <v>27</v>
      </c>
      <c r="AA484" t="s">
        <v>27</v>
      </c>
      <c r="AB484" t="s">
        <v>27</v>
      </c>
      <c r="AC484" t="s">
        <v>27</v>
      </c>
      <c r="AD484" t="s">
        <v>27</v>
      </c>
      <c r="AE484" t="s">
        <v>27</v>
      </c>
      <c r="AF484" t="s">
        <v>27</v>
      </c>
      <c r="AG484">
        <v>27.29</v>
      </c>
    </row>
    <row r="485" spans="1:33" x14ac:dyDescent="0.25">
      <c r="A485" t="s">
        <v>57</v>
      </c>
      <c r="B485" s="3">
        <v>43946</v>
      </c>
      <c r="C485">
        <v>2020116</v>
      </c>
      <c r="D485">
        <v>10.79</v>
      </c>
      <c r="E485" t="s">
        <v>27</v>
      </c>
      <c r="F485">
        <v>2.4</v>
      </c>
      <c r="G485">
        <v>9</v>
      </c>
      <c r="H485">
        <v>-2.2999999999999998</v>
      </c>
      <c r="I485">
        <v>73</v>
      </c>
      <c r="J485">
        <v>51.9</v>
      </c>
      <c r="K485">
        <v>1.1000000000000001</v>
      </c>
      <c r="L485">
        <v>5.3</v>
      </c>
      <c r="M485">
        <v>2</v>
      </c>
      <c r="N485">
        <v>0.91700000000000004</v>
      </c>
      <c r="O485">
        <v>0.1</v>
      </c>
      <c r="P485" t="s">
        <v>27</v>
      </c>
      <c r="Q485" t="s">
        <v>27</v>
      </c>
      <c r="R485" t="s">
        <v>27</v>
      </c>
      <c r="S485">
        <v>0.1</v>
      </c>
      <c r="T485">
        <v>0.3</v>
      </c>
      <c r="U485">
        <v>0.6</v>
      </c>
      <c r="V485" t="s">
        <v>27</v>
      </c>
      <c r="W485">
        <v>0.59599999999999997</v>
      </c>
      <c r="X485">
        <v>0.55200000000000005</v>
      </c>
      <c r="Y485" t="s">
        <v>27</v>
      </c>
      <c r="Z485" t="s">
        <v>27</v>
      </c>
      <c r="AA485" t="s">
        <v>27</v>
      </c>
      <c r="AB485" t="s">
        <v>27</v>
      </c>
      <c r="AC485" t="s">
        <v>27</v>
      </c>
      <c r="AD485" t="s">
        <v>27</v>
      </c>
      <c r="AE485" t="s">
        <v>27</v>
      </c>
      <c r="AF485" t="s">
        <v>27</v>
      </c>
      <c r="AG485">
        <v>27.5</v>
      </c>
    </row>
    <row r="486" spans="1:33" x14ac:dyDescent="0.25">
      <c r="A486" t="s">
        <v>57</v>
      </c>
      <c r="B486" s="3">
        <v>43947</v>
      </c>
      <c r="C486">
        <v>2020117</v>
      </c>
      <c r="D486">
        <v>18.489999999999998</v>
      </c>
      <c r="E486" t="s">
        <v>27</v>
      </c>
      <c r="F486">
        <v>3.3</v>
      </c>
      <c r="G486">
        <v>8.1</v>
      </c>
      <c r="H486">
        <v>-3</v>
      </c>
      <c r="I486">
        <v>56.9</v>
      </c>
      <c r="J486">
        <v>31.9</v>
      </c>
      <c r="K486">
        <v>0</v>
      </c>
      <c r="L486">
        <v>1.2</v>
      </c>
      <c r="M486">
        <v>0</v>
      </c>
      <c r="N486">
        <v>0.89100000000000001</v>
      </c>
      <c r="O486">
        <v>0.1</v>
      </c>
      <c r="P486" t="s">
        <v>27</v>
      </c>
      <c r="Q486" t="s">
        <v>27</v>
      </c>
      <c r="R486" t="s">
        <v>27</v>
      </c>
      <c r="S486">
        <v>0.1</v>
      </c>
      <c r="T486">
        <v>0.3</v>
      </c>
      <c r="U486">
        <v>0.6</v>
      </c>
      <c r="V486" t="s">
        <v>27</v>
      </c>
      <c r="W486">
        <v>0.34499999999999997</v>
      </c>
      <c r="X486">
        <v>0.73699999999999999</v>
      </c>
      <c r="Y486" t="s">
        <v>27</v>
      </c>
      <c r="Z486" t="s">
        <v>27</v>
      </c>
      <c r="AA486" t="s">
        <v>27</v>
      </c>
      <c r="AB486" t="s">
        <v>27</v>
      </c>
      <c r="AC486" t="s">
        <v>27</v>
      </c>
      <c r="AD486" t="s">
        <v>27</v>
      </c>
      <c r="AE486" t="s">
        <v>27</v>
      </c>
      <c r="AF486" t="s">
        <v>27</v>
      </c>
      <c r="AG486">
        <v>27.71</v>
      </c>
    </row>
    <row r="487" spans="1:33" x14ac:dyDescent="0.25">
      <c r="A487" t="s">
        <v>57</v>
      </c>
      <c r="B487" s="3">
        <v>43948</v>
      </c>
      <c r="C487">
        <v>2020118</v>
      </c>
      <c r="D487">
        <v>19.350000000000001</v>
      </c>
      <c r="E487" t="s">
        <v>27</v>
      </c>
      <c r="F487">
        <v>3.4</v>
      </c>
      <c r="G487">
        <v>7.5</v>
      </c>
      <c r="H487">
        <v>-0.5</v>
      </c>
      <c r="I487">
        <v>57.4</v>
      </c>
      <c r="J487">
        <v>37.799999999999997</v>
      </c>
      <c r="K487">
        <v>0.3</v>
      </c>
      <c r="L487">
        <v>4.2</v>
      </c>
      <c r="M487">
        <v>1</v>
      </c>
      <c r="N487">
        <v>0.86499999999999999</v>
      </c>
      <c r="O487">
        <v>0.1</v>
      </c>
      <c r="P487" t="s">
        <v>27</v>
      </c>
      <c r="Q487" t="s">
        <v>27</v>
      </c>
      <c r="R487" t="s">
        <v>27</v>
      </c>
      <c r="S487">
        <v>0.1</v>
      </c>
      <c r="T487">
        <v>0.3</v>
      </c>
      <c r="U487">
        <v>0.6</v>
      </c>
      <c r="V487" t="s">
        <v>27</v>
      </c>
      <c r="W487">
        <v>0.39</v>
      </c>
      <c r="X487">
        <v>0.64200000000000002</v>
      </c>
      <c r="Y487" t="s">
        <v>27</v>
      </c>
      <c r="Z487" t="s">
        <v>27</v>
      </c>
      <c r="AA487" t="s">
        <v>27</v>
      </c>
      <c r="AB487" t="s">
        <v>27</v>
      </c>
      <c r="AC487" t="s">
        <v>27</v>
      </c>
      <c r="AD487" t="s">
        <v>27</v>
      </c>
      <c r="AE487" t="s">
        <v>27</v>
      </c>
      <c r="AF487" t="s">
        <v>27</v>
      </c>
      <c r="AG487">
        <v>27.92</v>
      </c>
    </row>
    <row r="488" spans="1:33" x14ac:dyDescent="0.25">
      <c r="A488" t="s">
        <v>57</v>
      </c>
      <c r="B488" s="3">
        <v>43949</v>
      </c>
      <c r="C488">
        <v>2020119</v>
      </c>
      <c r="D488">
        <v>17.02</v>
      </c>
      <c r="E488" t="s">
        <v>27</v>
      </c>
      <c r="F488">
        <v>3</v>
      </c>
      <c r="G488">
        <v>11.4</v>
      </c>
      <c r="H488">
        <v>-5.4</v>
      </c>
      <c r="I488">
        <v>63.3</v>
      </c>
      <c r="J488">
        <v>27.9</v>
      </c>
      <c r="K488">
        <v>0.2</v>
      </c>
      <c r="L488">
        <v>2</v>
      </c>
      <c r="M488">
        <v>1</v>
      </c>
      <c r="N488">
        <v>0.84400000000000008</v>
      </c>
      <c r="O488">
        <v>0.1</v>
      </c>
      <c r="P488" t="s">
        <v>27</v>
      </c>
      <c r="Q488" t="s">
        <v>27</v>
      </c>
      <c r="R488" t="s">
        <v>27</v>
      </c>
      <c r="S488">
        <v>0.1</v>
      </c>
      <c r="T488">
        <v>0.3</v>
      </c>
      <c r="U488">
        <v>0.6</v>
      </c>
      <c r="V488" t="s">
        <v>27</v>
      </c>
      <c r="W488">
        <v>0.375</v>
      </c>
      <c r="X488">
        <v>0.96899999999999997</v>
      </c>
      <c r="Y488" t="s">
        <v>27</v>
      </c>
      <c r="Z488" t="s">
        <v>27</v>
      </c>
      <c r="AA488" t="s">
        <v>27</v>
      </c>
      <c r="AB488" t="s">
        <v>27</v>
      </c>
      <c r="AC488" t="s">
        <v>27</v>
      </c>
      <c r="AD488" t="s">
        <v>27</v>
      </c>
      <c r="AE488" t="s">
        <v>27</v>
      </c>
      <c r="AF488" t="s">
        <v>27</v>
      </c>
      <c r="AG488">
        <v>28.12</v>
      </c>
    </row>
    <row r="489" spans="1:33" x14ac:dyDescent="0.25">
      <c r="A489" t="s">
        <v>57</v>
      </c>
      <c r="B489" s="3">
        <v>43950</v>
      </c>
      <c r="C489">
        <v>2020120</v>
      </c>
      <c r="D489">
        <v>15.25</v>
      </c>
      <c r="E489" t="s">
        <v>27</v>
      </c>
      <c r="F489">
        <v>6.4</v>
      </c>
      <c r="G489">
        <v>15.6</v>
      </c>
      <c r="H489">
        <v>-0.6</v>
      </c>
      <c r="I489">
        <v>62.8</v>
      </c>
      <c r="J489">
        <v>29.3</v>
      </c>
      <c r="K489">
        <v>0.2</v>
      </c>
      <c r="L489">
        <v>2.5</v>
      </c>
      <c r="M489">
        <v>0</v>
      </c>
      <c r="N489">
        <v>0.81</v>
      </c>
      <c r="O489">
        <v>0.1</v>
      </c>
      <c r="P489" t="s">
        <v>27</v>
      </c>
      <c r="Q489" t="s">
        <v>27</v>
      </c>
      <c r="R489" t="s">
        <v>27</v>
      </c>
      <c r="S489">
        <v>0.1</v>
      </c>
      <c r="T489">
        <v>0.3</v>
      </c>
      <c r="U489">
        <v>0.6</v>
      </c>
      <c r="V489" t="s">
        <v>27</v>
      </c>
      <c r="W489">
        <v>0.52</v>
      </c>
      <c r="X489">
        <v>1.2549999999999999</v>
      </c>
      <c r="Y489" t="s">
        <v>27</v>
      </c>
      <c r="Z489" t="s">
        <v>27</v>
      </c>
      <c r="AA489" t="s">
        <v>27</v>
      </c>
      <c r="AB489" t="s">
        <v>27</v>
      </c>
      <c r="AC489" t="s">
        <v>27</v>
      </c>
      <c r="AD489" t="s">
        <v>27</v>
      </c>
      <c r="AE489" t="s">
        <v>27</v>
      </c>
      <c r="AF489" t="s">
        <v>27</v>
      </c>
      <c r="AG489">
        <v>28.32</v>
      </c>
    </row>
    <row r="490" spans="1:33" x14ac:dyDescent="0.25">
      <c r="A490" t="s">
        <v>57</v>
      </c>
      <c r="B490" s="3">
        <v>43951</v>
      </c>
      <c r="C490">
        <v>2020121</v>
      </c>
      <c r="D490">
        <v>23.11</v>
      </c>
      <c r="E490" t="s">
        <v>27</v>
      </c>
      <c r="F490">
        <v>3.8</v>
      </c>
      <c r="G490">
        <v>9.4</v>
      </c>
      <c r="H490">
        <v>-3.2</v>
      </c>
      <c r="I490">
        <v>65.599999999999994</v>
      </c>
      <c r="J490">
        <v>34.700000000000003</v>
      </c>
      <c r="K490">
        <v>0.8</v>
      </c>
      <c r="L490">
        <v>3.6</v>
      </c>
      <c r="M490">
        <v>0</v>
      </c>
      <c r="N490">
        <v>0.78</v>
      </c>
      <c r="O490">
        <v>0.1</v>
      </c>
      <c r="P490" t="s">
        <v>27</v>
      </c>
      <c r="Q490" t="s">
        <v>27</v>
      </c>
      <c r="R490" t="s">
        <v>27</v>
      </c>
      <c r="S490">
        <v>0.1</v>
      </c>
      <c r="T490">
        <v>0.3</v>
      </c>
      <c r="U490">
        <v>0.5</v>
      </c>
      <c r="V490" t="s">
        <v>27</v>
      </c>
      <c r="W490">
        <v>0.40899999999999997</v>
      </c>
      <c r="X490">
        <v>0.77</v>
      </c>
      <c r="Y490" t="s">
        <v>27</v>
      </c>
      <c r="Z490" t="s">
        <v>27</v>
      </c>
      <c r="AA490" t="s">
        <v>27</v>
      </c>
      <c r="AB490" t="s">
        <v>27</v>
      </c>
      <c r="AC490" t="s">
        <v>27</v>
      </c>
      <c r="AD490" t="s">
        <v>27</v>
      </c>
      <c r="AE490" t="s">
        <v>27</v>
      </c>
      <c r="AF490" t="s">
        <v>27</v>
      </c>
      <c r="AG490">
        <v>28.52</v>
      </c>
    </row>
    <row r="491" spans="1:33" x14ac:dyDescent="0.25">
      <c r="A491" t="s">
        <v>57</v>
      </c>
      <c r="B491" s="3">
        <v>43952</v>
      </c>
      <c r="C491">
        <v>2020122</v>
      </c>
      <c r="D491">
        <v>23.61</v>
      </c>
      <c r="E491" t="s">
        <v>27</v>
      </c>
      <c r="F491">
        <v>3.6</v>
      </c>
      <c r="G491">
        <v>13.2</v>
      </c>
      <c r="H491">
        <v>-5.4</v>
      </c>
      <c r="I491">
        <v>60.5</v>
      </c>
      <c r="J491">
        <v>29.6</v>
      </c>
      <c r="K491">
        <v>0.6</v>
      </c>
      <c r="L491">
        <v>2.7</v>
      </c>
      <c r="M491">
        <v>0</v>
      </c>
      <c r="N491">
        <v>0.74399999999999999</v>
      </c>
      <c r="O491">
        <v>0.1</v>
      </c>
      <c r="P491" t="s">
        <v>27</v>
      </c>
      <c r="Q491" t="s">
        <v>27</v>
      </c>
      <c r="R491" t="s">
        <v>27</v>
      </c>
      <c r="S491">
        <v>0</v>
      </c>
      <c r="T491">
        <v>0.3</v>
      </c>
      <c r="U491">
        <v>0.5</v>
      </c>
      <c r="V491" t="s">
        <v>27</v>
      </c>
      <c r="W491">
        <v>0.45</v>
      </c>
      <c r="X491">
        <v>1.07</v>
      </c>
      <c r="Y491" t="s">
        <v>27</v>
      </c>
      <c r="Z491" t="s">
        <v>27</v>
      </c>
      <c r="AA491" t="s">
        <v>27</v>
      </c>
      <c r="AB491" t="s">
        <v>27</v>
      </c>
      <c r="AC491" t="s">
        <v>27</v>
      </c>
      <c r="AD491" t="s">
        <v>27</v>
      </c>
      <c r="AE491" t="s">
        <v>27</v>
      </c>
      <c r="AF491" t="s">
        <v>27</v>
      </c>
      <c r="AG491">
        <v>28.7</v>
      </c>
    </row>
    <row r="492" spans="1:33" x14ac:dyDescent="0.25">
      <c r="A492" t="s">
        <v>57</v>
      </c>
      <c r="B492" s="3">
        <v>43953</v>
      </c>
      <c r="C492">
        <v>2020123</v>
      </c>
      <c r="D492">
        <v>15.98</v>
      </c>
      <c r="E492" t="s">
        <v>27</v>
      </c>
      <c r="F492">
        <v>4.7</v>
      </c>
      <c r="G492">
        <v>12.6</v>
      </c>
      <c r="H492">
        <v>-2.4</v>
      </c>
      <c r="I492">
        <v>63.3</v>
      </c>
      <c r="J492">
        <v>32.6</v>
      </c>
      <c r="K492">
        <v>0.8</v>
      </c>
      <c r="L492">
        <v>3.4</v>
      </c>
      <c r="M492">
        <v>13</v>
      </c>
      <c r="N492">
        <v>0.78500000000000014</v>
      </c>
      <c r="O492">
        <v>0.1</v>
      </c>
      <c r="P492" t="s">
        <v>27</v>
      </c>
      <c r="Q492" t="s">
        <v>27</v>
      </c>
      <c r="R492" t="s">
        <v>27</v>
      </c>
      <c r="S492">
        <v>0.1</v>
      </c>
      <c r="T492">
        <v>0.3</v>
      </c>
      <c r="U492">
        <v>0.5</v>
      </c>
      <c r="V492" t="s">
        <v>27</v>
      </c>
      <c r="W492">
        <v>0.47399999999999998</v>
      </c>
      <c r="X492">
        <v>0.98</v>
      </c>
      <c r="Y492" t="s">
        <v>27</v>
      </c>
      <c r="Z492" t="s">
        <v>27</v>
      </c>
      <c r="AA492" t="s">
        <v>27</v>
      </c>
      <c r="AB492" t="s">
        <v>27</v>
      </c>
      <c r="AC492" t="s">
        <v>27</v>
      </c>
      <c r="AD492" t="s">
        <v>27</v>
      </c>
      <c r="AE492" t="s">
        <v>27</v>
      </c>
      <c r="AF492" t="s">
        <v>27</v>
      </c>
      <c r="AG492">
        <v>28.89</v>
      </c>
    </row>
    <row r="493" spans="1:33" x14ac:dyDescent="0.25">
      <c r="A493" t="s">
        <v>57</v>
      </c>
      <c r="B493" s="3">
        <v>43954</v>
      </c>
      <c r="C493">
        <v>2020124</v>
      </c>
      <c r="D493">
        <v>14.45</v>
      </c>
      <c r="E493" t="s">
        <v>27</v>
      </c>
      <c r="F493">
        <v>0</v>
      </c>
      <c r="G493">
        <v>4.3</v>
      </c>
      <c r="H493">
        <v>-3.2</v>
      </c>
      <c r="I493">
        <v>75.8</v>
      </c>
      <c r="J493">
        <v>52.3</v>
      </c>
      <c r="K493">
        <v>1.3</v>
      </c>
      <c r="L493">
        <v>3.5</v>
      </c>
      <c r="M493">
        <v>3</v>
      </c>
      <c r="N493">
        <v>0.76200000000000001</v>
      </c>
      <c r="O493">
        <v>0.1</v>
      </c>
      <c r="P493" t="s">
        <v>27</v>
      </c>
      <c r="Q493" t="s">
        <v>27</v>
      </c>
      <c r="R493" t="s">
        <v>27</v>
      </c>
      <c r="S493">
        <v>0.1</v>
      </c>
      <c r="T493">
        <v>0.3</v>
      </c>
      <c r="U493">
        <v>0.5</v>
      </c>
      <c r="V493" t="s">
        <v>27</v>
      </c>
      <c r="W493">
        <v>0.435</v>
      </c>
      <c r="X493">
        <v>0.39700000000000002</v>
      </c>
      <c r="Y493" t="s">
        <v>27</v>
      </c>
      <c r="Z493" t="s">
        <v>27</v>
      </c>
      <c r="AA493" t="s">
        <v>27</v>
      </c>
      <c r="AB493" t="s">
        <v>27</v>
      </c>
      <c r="AC493" t="s">
        <v>27</v>
      </c>
      <c r="AD493" t="s">
        <v>27</v>
      </c>
      <c r="AE493" t="s">
        <v>27</v>
      </c>
      <c r="AF493" t="s">
        <v>27</v>
      </c>
      <c r="AG493">
        <v>29.07</v>
      </c>
    </row>
    <row r="494" spans="1:33" x14ac:dyDescent="0.25">
      <c r="A494" t="s">
        <v>57</v>
      </c>
      <c r="B494" s="3">
        <v>43955</v>
      </c>
      <c r="C494">
        <v>2020125</v>
      </c>
      <c r="D494">
        <v>24.97</v>
      </c>
      <c r="E494" t="s">
        <v>27</v>
      </c>
      <c r="F494">
        <v>2</v>
      </c>
      <c r="G494">
        <v>10.5</v>
      </c>
      <c r="H494">
        <v>-7</v>
      </c>
      <c r="I494">
        <v>59.5</v>
      </c>
      <c r="J494">
        <v>21.4</v>
      </c>
      <c r="K494">
        <v>0.5</v>
      </c>
      <c r="L494">
        <v>3</v>
      </c>
      <c r="M494">
        <v>1</v>
      </c>
      <c r="N494">
        <v>0.72900000000000009</v>
      </c>
      <c r="O494">
        <v>0</v>
      </c>
      <c r="P494" t="s">
        <v>27</v>
      </c>
      <c r="Q494" t="s">
        <v>27</v>
      </c>
      <c r="R494" t="s">
        <v>27</v>
      </c>
      <c r="S494">
        <v>0</v>
      </c>
      <c r="T494">
        <v>0.3</v>
      </c>
      <c r="U494">
        <v>0.5</v>
      </c>
      <c r="V494" t="s">
        <v>27</v>
      </c>
      <c r="W494">
        <v>0.27200000000000002</v>
      </c>
      <c r="X494">
        <v>0.999</v>
      </c>
      <c r="Y494" t="s">
        <v>27</v>
      </c>
      <c r="Z494" t="s">
        <v>27</v>
      </c>
      <c r="AA494" t="s">
        <v>27</v>
      </c>
      <c r="AB494" t="s">
        <v>27</v>
      </c>
      <c r="AC494" t="s">
        <v>27</v>
      </c>
      <c r="AD494" t="s">
        <v>27</v>
      </c>
      <c r="AE494" t="s">
        <v>27</v>
      </c>
      <c r="AF494" t="s">
        <v>27</v>
      </c>
      <c r="AG494">
        <v>29.25</v>
      </c>
    </row>
    <row r="495" spans="1:33" x14ac:dyDescent="0.25">
      <c r="A495" t="s">
        <v>57</v>
      </c>
      <c r="B495" s="3">
        <v>43956</v>
      </c>
      <c r="C495">
        <v>2020126</v>
      </c>
      <c r="D495">
        <v>18.239999999999998</v>
      </c>
      <c r="E495" t="s">
        <v>27</v>
      </c>
      <c r="F495">
        <v>6.2</v>
      </c>
      <c r="G495">
        <v>13.5</v>
      </c>
      <c r="H495">
        <v>-1.9</v>
      </c>
      <c r="I495">
        <v>52.6</v>
      </c>
      <c r="J495">
        <v>32.299999999999997</v>
      </c>
      <c r="K495">
        <v>0.8</v>
      </c>
      <c r="L495">
        <v>2.2999999999999998</v>
      </c>
      <c r="M495">
        <v>0</v>
      </c>
      <c r="N495">
        <v>0.69800000000000018</v>
      </c>
      <c r="O495">
        <v>0.1</v>
      </c>
      <c r="P495" t="s">
        <v>27</v>
      </c>
      <c r="Q495" t="s">
        <v>27</v>
      </c>
      <c r="R495" t="s">
        <v>27</v>
      </c>
      <c r="S495">
        <v>0.1</v>
      </c>
      <c r="T495">
        <v>0.3</v>
      </c>
      <c r="U495">
        <v>0.6</v>
      </c>
      <c r="V495" t="s">
        <v>27</v>
      </c>
      <c r="W495">
        <v>0.501</v>
      </c>
      <c r="X495">
        <v>1.05</v>
      </c>
      <c r="Y495" t="s">
        <v>27</v>
      </c>
      <c r="Z495" t="s">
        <v>27</v>
      </c>
      <c r="AA495" t="s">
        <v>27</v>
      </c>
      <c r="AB495" t="s">
        <v>27</v>
      </c>
      <c r="AC495" t="s">
        <v>27</v>
      </c>
      <c r="AD495" t="s">
        <v>27</v>
      </c>
      <c r="AE495" t="s">
        <v>27</v>
      </c>
      <c r="AF495" t="s">
        <v>27</v>
      </c>
      <c r="AG495">
        <v>29.43</v>
      </c>
    </row>
    <row r="496" spans="1:33" x14ac:dyDescent="0.25">
      <c r="A496" t="s">
        <v>57</v>
      </c>
      <c r="B496" s="3">
        <v>43957</v>
      </c>
      <c r="C496">
        <v>2020127</v>
      </c>
      <c r="D496">
        <v>3.3</v>
      </c>
      <c r="E496" t="s">
        <v>27</v>
      </c>
      <c r="F496">
        <v>1.4</v>
      </c>
      <c r="G496">
        <v>7.1</v>
      </c>
      <c r="H496">
        <v>-0.6</v>
      </c>
      <c r="I496">
        <v>87.6</v>
      </c>
      <c r="J496">
        <v>51.7</v>
      </c>
      <c r="K496">
        <v>1.2</v>
      </c>
      <c r="L496">
        <v>3.6</v>
      </c>
      <c r="M496">
        <v>20.8</v>
      </c>
      <c r="N496">
        <v>0.82800000000000007</v>
      </c>
      <c r="O496">
        <v>0.1</v>
      </c>
      <c r="P496" t="s">
        <v>27</v>
      </c>
      <c r="Q496" t="s">
        <v>27</v>
      </c>
      <c r="R496" t="s">
        <v>27</v>
      </c>
      <c r="S496">
        <v>0.1</v>
      </c>
      <c r="T496">
        <v>0.3</v>
      </c>
      <c r="U496">
        <v>0.6</v>
      </c>
      <c r="V496" t="s">
        <v>27</v>
      </c>
      <c r="W496">
        <v>0.52100000000000002</v>
      </c>
      <c r="X496">
        <v>0.48699999999999999</v>
      </c>
      <c r="Y496" t="s">
        <v>27</v>
      </c>
      <c r="Z496" t="s">
        <v>27</v>
      </c>
      <c r="AA496" t="s">
        <v>27</v>
      </c>
      <c r="AB496" t="s">
        <v>27</v>
      </c>
      <c r="AC496" t="s">
        <v>27</v>
      </c>
      <c r="AD496" t="s">
        <v>27</v>
      </c>
      <c r="AE496" t="s">
        <v>27</v>
      </c>
      <c r="AF496" t="s">
        <v>27</v>
      </c>
      <c r="AG496">
        <v>29.61</v>
      </c>
    </row>
    <row r="497" spans="1:33" x14ac:dyDescent="0.25">
      <c r="A497" t="s">
        <v>57</v>
      </c>
      <c r="B497" s="3">
        <v>43958</v>
      </c>
      <c r="C497">
        <v>2020128</v>
      </c>
      <c r="D497">
        <v>17.57</v>
      </c>
      <c r="E497" t="s">
        <v>27</v>
      </c>
      <c r="F497">
        <v>2.2000000000000002</v>
      </c>
      <c r="G497">
        <v>9.5</v>
      </c>
      <c r="H497">
        <v>-2.1</v>
      </c>
      <c r="I497">
        <v>81.900000000000006</v>
      </c>
      <c r="J497">
        <v>46.2</v>
      </c>
      <c r="K497">
        <v>0.6</v>
      </c>
      <c r="L497">
        <v>2.1</v>
      </c>
      <c r="M497">
        <v>0</v>
      </c>
      <c r="N497">
        <v>0.7430000000000001</v>
      </c>
      <c r="O497">
        <v>0.1</v>
      </c>
      <c r="P497" t="s">
        <v>27</v>
      </c>
      <c r="Q497" t="s">
        <v>27</v>
      </c>
      <c r="R497" t="s">
        <v>27</v>
      </c>
      <c r="S497">
        <v>0.1</v>
      </c>
      <c r="T497">
        <v>0.3</v>
      </c>
      <c r="U497">
        <v>0.6</v>
      </c>
      <c r="V497" t="s">
        <v>27</v>
      </c>
      <c r="W497">
        <v>0.54700000000000004</v>
      </c>
      <c r="X497">
        <v>0.63700000000000001</v>
      </c>
      <c r="Y497" t="s">
        <v>27</v>
      </c>
      <c r="Z497" t="s">
        <v>27</v>
      </c>
      <c r="AA497" t="s">
        <v>27</v>
      </c>
      <c r="AB497" t="s">
        <v>27</v>
      </c>
      <c r="AC497" t="s">
        <v>27</v>
      </c>
      <c r="AD497" t="s">
        <v>27</v>
      </c>
      <c r="AE497" t="s">
        <v>27</v>
      </c>
      <c r="AF497" t="s">
        <v>27</v>
      </c>
      <c r="AG497">
        <v>29.77</v>
      </c>
    </row>
    <row r="498" spans="1:33" x14ac:dyDescent="0.25">
      <c r="A498" t="s">
        <v>57</v>
      </c>
      <c r="B498" s="3">
        <v>43959</v>
      </c>
      <c r="C498">
        <v>2020129</v>
      </c>
      <c r="D498">
        <v>27.54</v>
      </c>
      <c r="E498" t="s">
        <v>27</v>
      </c>
      <c r="F498">
        <v>5.8</v>
      </c>
      <c r="G498">
        <v>15.9</v>
      </c>
      <c r="H498">
        <v>-3.5</v>
      </c>
      <c r="I498">
        <v>69.400000000000006</v>
      </c>
      <c r="J498">
        <v>35</v>
      </c>
      <c r="K498">
        <v>0.1</v>
      </c>
      <c r="L498">
        <v>1.7</v>
      </c>
      <c r="M498">
        <v>0</v>
      </c>
      <c r="N498">
        <v>0.69800000000000018</v>
      </c>
      <c r="O498">
        <v>0.1</v>
      </c>
      <c r="P498" t="s">
        <v>27</v>
      </c>
      <c r="Q498" t="s">
        <v>27</v>
      </c>
      <c r="R498" t="s">
        <v>27</v>
      </c>
      <c r="S498">
        <v>0</v>
      </c>
      <c r="T498">
        <v>0.3</v>
      </c>
      <c r="U498">
        <v>0.5</v>
      </c>
      <c r="V498" t="s">
        <v>27</v>
      </c>
      <c r="W498">
        <v>0.63</v>
      </c>
      <c r="X498">
        <v>1.17</v>
      </c>
      <c r="Y498" t="s">
        <v>27</v>
      </c>
      <c r="Z498" t="s">
        <v>27</v>
      </c>
      <c r="AA498" t="s">
        <v>27</v>
      </c>
      <c r="AB498" t="s">
        <v>27</v>
      </c>
      <c r="AC498" t="s">
        <v>27</v>
      </c>
      <c r="AD498" t="s">
        <v>27</v>
      </c>
      <c r="AE498" t="s">
        <v>27</v>
      </c>
      <c r="AF498" t="s">
        <v>27</v>
      </c>
      <c r="AG498">
        <v>29.94</v>
      </c>
    </row>
    <row r="499" spans="1:33" x14ac:dyDescent="0.25">
      <c r="A499" t="s">
        <v>57</v>
      </c>
      <c r="B499" s="3">
        <v>43960</v>
      </c>
      <c r="C499">
        <v>2020130</v>
      </c>
      <c r="D499">
        <v>26.52</v>
      </c>
      <c r="E499" t="s">
        <v>27</v>
      </c>
      <c r="F499">
        <v>8</v>
      </c>
      <c r="G499">
        <v>17.899999999999999</v>
      </c>
      <c r="H499">
        <v>-1.2</v>
      </c>
      <c r="I499">
        <v>63.7</v>
      </c>
      <c r="J499">
        <v>29</v>
      </c>
      <c r="K499">
        <v>0.2</v>
      </c>
      <c r="L499">
        <v>2.1</v>
      </c>
      <c r="M499">
        <v>0</v>
      </c>
      <c r="N499">
        <v>0.64900000000000002</v>
      </c>
      <c r="O499">
        <v>0.1</v>
      </c>
      <c r="P499" t="s">
        <v>27</v>
      </c>
      <c r="Q499" t="s">
        <v>27</v>
      </c>
      <c r="R499" t="s">
        <v>27</v>
      </c>
      <c r="S499">
        <v>0</v>
      </c>
      <c r="T499">
        <v>0.3</v>
      </c>
      <c r="U499">
        <v>0.5</v>
      </c>
      <c r="V499" t="s">
        <v>27</v>
      </c>
      <c r="W499">
        <v>0.59499999999999997</v>
      </c>
      <c r="X499">
        <v>1.4570000000000001</v>
      </c>
      <c r="Y499" t="s">
        <v>27</v>
      </c>
      <c r="Z499" t="s">
        <v>27</v>
      </c>
      <c r="AA499" t="s">
        <v>27</v>
      </c>
      <c r="AB499" t="s">
        <v>27</v>
      </c>
      <c r="AC499" t="s">
        <v>27</v>
      </c>
      <c r="AD499" t="s">
        <v>27</v>
      </c>
      <c r="AE499" t="s">
        <v>27</v>
      </c>
      <c r="AF499" t="s">
        <v>27</v>
      </c>
      <c r="AG499">
        <v>30.1</v>
      </c>
    </row>
    <row r="500" spans="1:33" x14ac:dyDescent="0.25">
      <c r="A500" t="s">
        <v>57</v>
      </c>
      <c r="B500" s="3">
        <v>43961</v>
      </c>
      <c r="C500">
        <v>2020131</v>
      </c>
      <c r="D500">
        <v>23.71</v>
      </c>
      <c r="E500" t="s">
        <v>27</v>
      </c>
      <c r="F500">
        <v>8.4</v>
      </c>
      <c r="G500">
        <v>17.899999999999999</v>
      </c>
      <c r="H500">
        <v>-0.9</v>
      </c>
      <c r="I500">
        <v>59</v>
      </c>
      <c r="J500">
        <v>28.7</v>
      </c>
      <c r="K500">
        <v>0</v>
      </c>
      <c r="L500">
        <v>0.5</v>
      </c>
      <c r="M500">
        <v>0</v>
      </c>
      <c r="N500">
        <v>0.6030000000000002</v>
      </c>
      <c r="O500">
        <v>0.1</v>
      </c>
      <c r="P500" t="s">
        <v>27</v>
      </c>
      <c r="Q500" t="s">
        <v>27</v>
      </c>
      <c r="R500" t="s">
        <v>27</v>
      </c>
      <c r="S500">
        <v>0</v>
      </c>
      <c r="T500">
        <v>0.3</v>
      </c>
      <c r="U500">
        <v>0.5</v>
      </c>
      <c r="V500" t="s">
        <v>27</v>
      </c>
      <c r="W500">
        <v>0.58699999999999997</v>
      </c>
      <c r="X500">
        <v>1.458</v>
      </c>
      <c r="Y500" t="s">
        <v>27</v>
      </c>
      <c r="Z500" t="s">
        <v>27</v>
      </c>
      <c r="AA500" t="s">
        <v>27</v>
      </c>
      <c r="AB500" t="s">
        <v>27</v>
      </c>
      <c r="AC500" t="s">
        <v>27</v>
      </c>
      <c r="AD500" t="s">
        <v>27</v>
      </c>
      <c r="AE500" t="s">
        <v>27</v>
      </c>
      <c r="AF500" t="s">
        <v>27</v>
      </c>
      <c r="AG500">
        <v>30.26</v>
      </c>
    </row>
    <row r="501" spans="1:33" x14ac:dyDescent="0.25">
      <c r="A501" t="s">
        <v>57</v>
      </c>
      <c r="B501" s="3">
        <v>43962</v>
      </c>
      <c r="C501">
        <v>2020132</v>
      </c>
      <c r="D501">
        <v>24.37</v>
      </c>
      <c r="E501" t="s">
        <v>27</v>
      </c>
      <c r="F501">
        <v>8.1</v>
      </c>
      <c r="G501">
        <v>15.7</v>
      </c>
      <c r="H501">
        <v>1.6</v>
      </c>
      <c r="I501">
        <v>60</v>
      </c>
      <c r="J501">
        <v>38</v>
      </c>
      <c r="K501">
        <v>0.2</v>
      </c>
      <c r="L501">
        <v>1.8</v>
      </c>
      <c r="M501">
        <v>0</v>
      </c>
      <c r="N501">
        <v>0.55900000000000016</v>
      </c>
      <c r="O501">
        <v>0.1</v>
      </c>
      <c r="P501" t="s">
        <v>27</v>
      </c>
      <c r="Q501" t="s">
        <v>27</v>
      </c>
      <c r="R501" t="s">
        <v>27</v>
      </c>
      <c r="S501">
        <v>0</v>
      </c>
      <c r="T501">
        <v>0.3</v>
      </c>
      <c r="U501">
        <v>0.5</v>
      </c>
      <c r="V501" t="s">
        <v>27</v>
      </c>
      <c r="W501">
        <v>0.67800000000000005</v>
      </c>
      <c r="X501">
        <v>1.1060000000000001</v>
      </c>
      <c r="Y501" t="s">
        <v>27</v>
      </c>
      <c r="Z501" t="s">
        <v>27</v>
      </c>
      <c r="AA501" t="s">
        <v>27</v>
      </c>
      <c r="AB501" t="s">
        <v>27</v>
      </c>
      <c r="AC501" t="s">
        <v>27</v>
      </c>
      <c r="AD501" t="s">
        <v>27</v>
      </c>
      <c r="AE501" t="s">
        <v>27</v>
      </c>
      <c r="AF501" t="s">
        <v>27</v>
      </c>
      <c r="AG501">
        <v>30.41</v>
      </c>
    </row>
    <row r="502" spans="1:33" x14ac:dyDescent="0.25">
      <c r="A502" t="s">
        <v>57</v>
      </c>
      <c r="B502" s="3">
        <v>43963</v>
      </c>
      <c r="C502">
        <v>2020133</v>
      </c>
      <c r="D502">
        <v>12.73</v>
      </c>
      <c r="E502" t="s">
        <v>27</v>
      </c>
      <c r="F502">
        <v>4.7</v>
      </c>
      <c r="G502">
        <v>10.3</v>
      </c>
      <c r="H502">
        <v>1.1000000000000001</v>
      </c>
      <c r="I502">
        <v>79.8</v>
      </c>
      <c r="J502">
        <v>58.5</v>
      </c>
      <c r="K502">
        <v>0</v>
      </c>
      <c r="L502">
        <v>0</v>
      </c>
      <c r="M502">
        <v>0</v>
      </c>
      <c r="N502">
        <v>0.52900000000000014</v>
      </c>
      <c r="O502">
        <v>0.1</v>
      </c>
      <c r="P502" t="s">
        <v>27</v>
      </c>
      <c r="Q502" t="s">
        <v>27</v>
      </c>
      <c r="R502" t="s">
        <v>27</v>
      </c>
      <c r="S502">
        <v>0.1</v>
      </c>
      <c r="T502">
        <v>0.3</v>
      </c>
      <c r="U502">
        <v>0.5</v>
      </c>
      <c r="V502" t="s">
        <v>27</v>
      </c>
      <c r="W502">
        <v>0.73099999999999998</v>
      </c>
      <c r="X502">
        <v>0.51900000000000002</v>
      </c>
      <c r="Y502" t="s">
        <v>27</v>
      </c>
      <c r="Z502" t="s">
        <v>27</v>
      </c>
      <c r="AA502" t="s">
        <v>27</v>
      </c>
      <c r="AB502" t="s">
        <v>27</v>
      </c>
      <c r="AC502" t="s">
        <v>27</v>
      </c>
      <c r="AD502" t="s">
        <v>27</v>
      </c>
      <c r="AE502" t="s">
        <v>27</v>
      </c>
      <c r="AF502" t="s">
        <v>27</v>
      </c>
      <c r="AG502">
        <v>30.57</v>
      </c>
    </row>
    <row r="503" spans="1:33" x14ac:dyDescent="0.25">
      <c r="A503" t="s">
        <v>57</v>
      </c>
      <c r="B503" s="3">
        <v>43964</v>
      </c>
      <c r="C503">
        <v>2020134</v>
      </c>
      <c r="D503">
        <v>16.47</v>
      </c>
      <c r="E503" t="s">
        <v>27</v>
      </c>
      <c r="F503">
        <v>5</v>
      </c>
      <c r="G503">
        <v>13.6</v>
      </c>
      <c r="H503">
        <v>-0.6</v>
      </c>
      <c r="I503">
        <v>79.5</v>
      </c>
      <c r="J503">
        <v>34.4</v>
      </c>
      <c r="K503">
        <v>0.2</v>
      </c>
      <c r="L503">
        <v>2.6</v>
      </c>
      <c r="M503">
        <v>3</v>
      </c>
      <c r="N503">
        <v>0.48600000000000021</v>
      </c>
      <c r="O503">
        <v>0.1</v>
      </c>
      <c r="P503" t="s">
        <v>27</v>
      </c>
      <c r="Q503" t="s">
        <v>27</v>
      </c>
      <c r="R503" t="s">
        <v>27</v>
      </c>
      <c r="S503">
        <v>0.1</v>
      </c>
      <c r="T503">
        <v>0.3</v>
      </c>
      <c r="U503">
        <v>0.5</v>
      </c>
      <c r="V503" t="s">
        <v>27</v>
      </c>
      <c r="W503">
        <v>0.53700000000000003</v>
      </c>
      <c r="X503">
        <v>1.024</v>
      </c>
      <c r="Y503" t="s">
        <v>27</v>
      </c>
      <c r="Z503" t="s">
        <v>27</v>
      </c>
      <c r="AA503" t="s">
        <v>27</v>
      </c>
      <c r="AB503" t="s">
        <v>27</v>
      </c>
      <c r="AC503" t="s">
        <v>27</v>
      </c>
      <c r="AD503" t="s">
        <v>27</v>
      </c>
      <c r="AE503" t="s">
        <v>27</v>
      </c>
      <c r="AF503" t="s">
        <v>27</v>
      </c>
      <c r="AG503">
        <v>30.71</v>
      </c>
    </row>
    <row r="504" spans="1:33" x14ac:dyDescent="0.25">
      <c r="A504" t="s">
        <v>57</v>
      </c>
      <c r="B504" s="3">
        <v>43965</v>
      </c>
      <c r="C504">
        <v>2020135</v>
      </c>
      <c r="D504">
        <v>17.440000000000001</v>
      </c>
      <c r="E504" t="s">
        <v>27</v>
      </c>
      <c r="F504">
        <v>4</v>
      </c>
      <c r="G504">
        <v>11.8</v>
      </c>
      <c r="H504">
        <v>-0.6</v>
      </c>
      <c r="I504">
        <v>84</v>
      </c>
      <c r="J504">
        <v>41.2</v>
      </c>
      <c r="K504">
        <v>0</v>
      </c>
      <c r="L504">
        <v>0</v>
      </c>
      <c r="M504">
        <v>0</v>
      </c>
      <c r="N504">
        <v>0.4610000000000003</v>
      </c>
      <c r="O504">
        <v>0.1</v>
      </c>
      <c r="P504" t="s">
        <v>27</v>
      </c>
      <c r="Q504" t="s">
        <v>27</v>
      </c>
      <c r="R504" t="s">
        <v>27</v>
      </c>
      <c r="S504">
        <v>0.1</v>
      </c>
      <c r="T504">
        <v>0.3</v>
      </c>
      <c r="U504">
        <v>0.5</v>
      </c>
      <c r="V504" t="s">
        <v>27</v>
      </c>
      <c r="W504">
        <v>0.56899999999999995</v>
      </c>
      <c r="X504">
        <v>0.81200000000000006</v>
      </c>
      <c r="Y504" t="s">
        <v>27</v>
      </c>
      <c r="Z504" t="s">
        <v>27</v>
      </c>
      <c r="AA504" t="s">
        <v>27</v>
      </c>
      <c r="AB504" t="s">
        <v>27</v>
      </c>
      <c r="AC504" t="s">
        <v>27</v>
      </c>
      <c r="AD504" t="s">
        <v>27</v>
      </c>
      <c r="AE504" t="s">
        <v>27</v>
      </c>
      <c r="AF504" t="s">
        <v>27</v>
      </c>
      <c r="AG504">
        <v>30.86</v>
      </c>
    </row>
    <row r="505" spans="1:33" x14ac:dyDescent="0.25">
      <c r="A505" t="s">
        <v>57</v>
      </c>
      <c r="B505" s="3">
        <v>43966</v>
      </c>
      <c r="C505">
        <v>2020136</v>
      </c>
      <c r="D505">
        <v>15.67</v>
      </c>
      <c r="E505" t="s">
        <v>27</v>
      </c>
      <c r="F505">
        <v>4.7</v>
      </c>
      <c r="G505">
        <v>13.6</v>
      </c>
      <c r="H505">
        <v>-1.6</v>
      </c>
      <c r="I505">
        <v>78.900000000000006</v>
      </c>
      <c r="J505">
        <v>44.6</v>
      </c>
      <c r="K505">
        <v>0.2</v>
      </c>
      <c r="L505">
        <v>2</v>
      </c>
      <c r="M505">
        <v>0</v>
      </c>
      <c r="N505">
        <v>0.43300000000000027</v>
      </c>
      <c r="O505">
        <v>0.1</v>
      </c>
      <c r="P505" t="s">
        <v>27</v>
      </c>
      <c r="Q505" t="s">
        <v>27</v>
      </c>
      <c r="R505" t="s">
        <v>27</v>
      </c>
      <c r="S505">
        <v>0.1</v>
      </c>
      <c r="T505">
        <v>0.3</v>
      </c>
      <c r="U505">
        <v>0.5</v>
      </c>
      <c r="V505" t="s">
        <v>27</v>
      </c>
      <c r="W505">
        <v>0.69399999999999995</v>
      </c>
      <c r="X505">
        <v>0.86199999999999999</v>
      </c>
      <c r="Y505" t="s">
        <v>27</v>
      </c>
      <c r="Z505" t="s">
        <v>27</v>
      </c>
      <c r="AA505" t="s">
        <v>27</v>
      </c>
      <c r="AB505" t="s">
        <v>27</v>
      </c>
      <c r="AC505" t="s">
        <v>27</v>
      </c>
      <c r="AD505" t="s">
        <v>27</v>
      </c>
      <c r="AE505" t="s">
        <v>27</v>
      </c>
      <c r="AF505" t="s">
        <v>27</v>
      </c>
      <c r="AG505">
        <v>31</v>
      </c>
    </row>
    <row r="506" spans="1:33" x14ac:dyDescent="0.25">
      <c r="A506" t="s">
        <v>57</v>
      </c>
      <c r="B506" s="3">
        <v>43967</v>
      </c>
      <c r="C506">
        <v>2020137</v>
      </c>
      <c r="D506">
        <v>12.1</v>
      </c>
      <c r="E506" t="s">
        <v>27</v>
      </c>
      <c r="F506">
        <v>5.4</v>
      </c>
      <c r="G506">
        <v>10.5</v>
      </c>
      <c r="H506">
        <v>0.2</v>
      </c>
      <c r="I506">
        <v>82.1</v>
      </c>
      <c r="J506">
        <v>52.9</v>
      </c>
      <c r="K506">
        <v>0.1</v>
      </c>
      <c r="L506">
        <v>2.4</v>
      </c>
      <c r="M506">
        <v>2</v>
      </c>
      <c r="N506">
        <v>0.40100000000000025</v>
      </c>
      <c r="O506">
        <v>0.1</v>
      </c>
      <c r="P506" t="s">
        <v>27</v>
      </c>
      <c r="Q506" t="s">
        <v>27</v>
      </c>
      <c r="R506" t="s">
        <v>27</v>
      </c>
      <c r="S506">
        <v>0.1</v>
      </c>
      <c r="T506">
        <v>0.3</v>
      </c>
      <c r="U506">
        <v>0.5</v>
      </c>
      <c r="V506" t="s">
        <v>27</v>
      </c>
      <c r="W506">
        <v>0.67</v>
      </c>
      <c r="X506">
        <v>0.59699999999999998</v>
      </c>
      <c r="Y506" t="s">
        <v>27</v>
      </c>
      <c r="Z506" t="s">
        <v>27</v>
      </c>
      <c r="AA506" t="s">
        <v>27</v>
      </c>
      <c r="AB506" t="s">
        <v>27</v>
      </c>
      <c r="AC506" t="s">
        <v>27</v>
      </c>
      <c r="AD506" t="s">
        <v>27</v>
      </c>
      <c r="AE506" t="s">
        <v>27</v>
      </c>
      <c r="AF506" t="s">
        <v>27</v>
      </c>
      <c r="AG506">
        <v>31.14</v>
      </c>
    </row>
    <row r="507" spans="1:33" x14ac:dyDescent="0.25">
      <c r="A507" t="s">
        <v>57</v>
      </c>
      <c r="B507" s="3">
        <v>43968</v>
      </c>
      <c r="C507">
        <v>2020138</v>
      </c>
      <c r="D507">
        <v>9.09</v>
      </c>
      <c r="E507" t="s">
        <v>27</v>
      </c>
      <c r="F507">
        <v>5</v>
      </c>
      <c r="G507">
        <v>10.3</v>
      </c>
      <c r="H507">
        <v>2.2999999999999998</v>
      </c>
      <c r="I507">
        <v>93.8</v>
      </c>
      <c r="J507">
        <v>64.8</v>
      </c>
      <c r="K507">
        <v>0</v>
      </c>
      <c r="L507">
        <v>0.5</v>
      </c>
      <c r="M507">
        <v>24</v>
      </c>
      <c r="N507">
        <v>0.37599999999999989</v>
      </c>
      <c r="O507">
        <v>0.1</v>
      </c>
      <c r="P507" t="s">
        <v>27</v>
      </c>
      <c r="Q507" t="s">
        <v>27</v>
      </c>
      <c r="R507" t="s">
        <v>27</v>
      </c>
      <c r="S507">
        <v>0.1</v>
      </c>
      <c r="T507">
        <v>0.3</v>
      </c>
      <c r="U507">
        <v>0.5</v>
      </c>
      <c r="V507" t="s">
        <v>27</v>
      </c>
      <c r="W507">
        <v>0.81299999999999994</v>
      </c>
      <c r="X507">
        <v>0.442</v>
      </c>
      <c r="Y507" t="s">
        <v>27</v>
      </c>
      <c r="Z507" t="s">
        <v>27</v>
      </c>
      <c r="AA507" t="s">
        <v>27</v>
      </c>
      <c r="AB507" t="s">
        <v>27</v>
      </c>
      <c r="AC507" t="s">
        <v>27</v>
      </c>
      <c r="AD507" t="s">
        <v>27</v>
      </c>
      <c r="AE507" t="s">
        <v>27</v>
      </c>
      <c r="AF507" t="s">
        <v>27</v>
      </c>
      <c r="AG507">
        <v>31.27</v>
      </c>
    </row>
    <row r="508" spans="1:33" x14ac:dyDescent="0.25">
      <c r="A508" t="s">
        <v>57</v>
      </c>
      <c r="B508" s="3">
        <v>43969</v>
      </c>
      <c r="C508">
        <v>2020139</v>
      </c>
      <c r="D508">
        <v>22.32</v>
      </c>
      <c r="E508" t="s">
        <v>27</v>
      </c>
      <c r="F508">
        <v>5.7</v>
      </c>
      <c r="G508">
        <v>13.7</v>
      </c>
      <c r="H508">
        <v>-0.5</v>
      </c>
      <c r="I508">
        <v>84.2</v>
      </c>
      <c r="J508">
        <v>46.8</v>
      </c>
      <c r="K508">
        <v>0</v>
      </c>
      <c r="L508">
        <v>0.6</v>
      </c>
      <c r="M508">
        <v>3</v>
      </c>
      <c r="N508">
        <v>0.3400000000000003</v>
      </c>
      <c r="O508">
        <v>0.1</v>
      </c>
      <c r="P508" t="s">
        <v>27</v>
      </c>
      <c r="Q508" t="s">
        <v>27</v>
      </c>
      <c r="R508" t="s">
        <v>27</v>
      </c>
      <c r="S508">
        <v>0</v>
      </c>
      <c r="T508">
        <v>0.2</v>
      </c>
      <c r="U508">
        <v>0.4</v>
      </c>
      <c r="V508" t="s">
        <v>27</v>
      </c>
      <c r="W508">
        <v>0.73199999999999998</v>
      </c>
      <c r="X508">
        <v>0.83199999999999996</v>
      </c>
      <c r="Y508" t="s">
        <v>27</v>
      </c>
      <c r="Z508" t="s">
        <v>27</v>
      </c>
      <c r="AA508" t="s">
        <v>27</v>
      </c>
      <c r="AB508" t="s">
        <v>27</v>
      </c>
      <c r="AC508" t="s">
        <v>27</v>
      </c>
      <c r="AD508" t="s">
        <v>27</v>
      </c>
      <c r="AE508" t="s">
        <v>27</v>
      </c>
      <c r="AF508" t="s">
        <v>27</v>
      </c>
      <c r="AG508">
        <v>31.4</v>
      </c>
    </row>
    <row r="509" spans="1:33" x14ac:dyDescent="0.25">
      <c r="A509" t="s">
        <v>57</v>
      </c>
      <c r="B509" s="3">
        <v>43970</v>
      </c>
      <c r="C509">
        <v>2020140</v>
      </c>
      <c r="D509">
        <v>24.23</v>
      </c>
      <c r="E509" t="s">
        <v>27</v>
      </c>
      <c r="F509">
        <v>6.6</v>
      </c>
      <c r="G509">
        <v>15.7</v>
      </c>
      <c r="H509">
        <v>-1.2</v>
      </c>
      <c r="I509">
        <v>75.400000000000006</v>
      </c>
      <c r="J509">
        <v>32.299999999999997</v>
      </c>
      <c r="K509">
        <v>0</v>
      </c>
      <c r="L509">
        <v>1.8</v>
      </c>
      <c r="M509">
        <v>1</v>
      </c>
      <c r="N509">
        <v>0.27899999999999991</v>
      </c>
      <c r="O509">
        <v>0.1</v>
      </c>
      <c r="P509" t="s">
        <v>27</v>
      </c>
      <c r="Q509" t="s">
        <v>27</v>
      </c>
      <c r="R509" t="s">
        <v>27</v>
      </c>
      <c r="S509">
        <v>0</v>
      </c>
      <c r="T509">
        <v>0.2</v>
      </c>
      <c r="U509">
        <v>0.4</v>
      </c>
      <c r="V509" t="s">
        <v>27</v>
      </c>
      <c r="W509">
        <v>0.57499999999999996</v>
      </c>
      <c r="X509">
        <v>1.2050000000000001</v>
      </c>
      <c r="Y509" t="s">
        <v>27</v>
      </c>
      <c r="Z509" t="s">
        <v>27</v>
      </c>
      <c r="AA509" t="s">
        <v>27</v>
      </c>
      <c r="AB509" t="s">
        <v>27</v>
      </c>
      <c r="AC509" t="s">
        <v>27</v>
      </c>
      <c r="AD509" t="s">
        <v>27</v>
      </c>
      <c r="AE509" t="s">
        <v>27</v>
      </c>
      <c r="AF509" t="s">
        <v>27</v>
      </c>
      <c r="AG509">
        <v>31.52</v>
      </c>
    </row>
    <row r="510" spans="1:33" x14ac:dyDescent="0.25">
      <c r="A510" t="s">
        <v>57</v>
      </c>
      <c r="B510" s="3">
        <v>43971</v>
      </c>
      <c r="C510">
        <v>2020141</v>
      </c>
      <c r="D510">
        <v>19.27</v>
      </c>
      <c r="E510" t="s">
        <v>27</v>
      </c>
      <c r="F510">
        <v>7.1</v>
      </c>
      <c r="G510">
        <v>13.5</v>
      </c>
      <c r="H510">
        <v>-0.5</v>
      </c>
      <c r="I510">
        <v>74.099999999999994</v>
      </c>
      <c r="J510">
        <v>51.6</v>
      </c>
      <c r="K510">
        <v>0.9</v>
      </c>
      <c r="L510">
        <v>3.7</v>
      </c>
      <c r="M510">
        <v>0</v>
      </c>
      <c r="N510">
        <v>0.24699999999999989</v>
      </c>
      <c r="O510">
        <v>0.1</v>
      </c>
      <c r="P510" t="s">
        <v>27</v>
      </c>
      <c r="Q510" t="s">
        <v>27</v>
      </c>
      <c r="R510" t="s">
        <v>27</v>
      </c>
      <c r="S510">
        <v>0.1</v>
      </c>
      <c r="T510">
        <v>0.2</v>
      </c>
      <c r="U510">
        <v>0.4</v>
      </c>
      <c r="V510" t="s">
        <v>27</v>
      </c>
      <c r="W510">
        <v>0.79800000000000004</v>
      </c>
      <c r="X510">
        <v>0.749</v>
      </c>
      <c r="Y510" t="s">
        <v>27</v>
      </c>
      <c r="Z510" t="s">
        <v>27</v>
      </c>
      <c r="AA510" t="s">
        <v>27</v>
      </c>
      <c r="AB510" t="s">
        <v>27</v>
      </c>
      <c r="AC510" t="s">
        <v>27</v>
      </c>
      <c r="AD510" t="s">
        <v>27</v>
      </c>
      <c r="AE510" t="s">
        <v>27</v>
      </c>
      <c r="AF510" t="s">
        <v>27</v>
      </c>
      <c r="AG510">
        <v>31.65</v>
      </c>
    </row>
    <row r="511" spans="1:33" x14ac:dyDescent="0.25">
      <c r="A511" t="s">
        <v>57</v>
      </c>
      <c r="B511" s="3">
        <v>43972</v>
      </c>
      <c r="C511">
        <v>2020142</v>
      </c>
      <c r="D511">
        <v>15.49</v>
      </c>
      <c r="E511" t="s">
        <v>27</v>
      </c>
      <c r="F511">
        <v>2.1</v>
      </c>
      <c r="G511">
        <v>5.7</v>
      </c>
      <c r="H511">
        <v>0</v>
      </c>
      <c r="I511">
        <v>87.2</v>
      </c>
      <c r="J511">
        <v>62.9</v>
      </c>
      <c r="K511">
        <v>1.6</v>
      </c>
      <c r="L511">
        <v>3.8</v>
      </c>
      <c r="M511">
        <v>13</v>
      </c>
      <c r="N511">
        <v>0.30400000000000027</v>
      </c>
      <c r="O511">
        <v>0.1</v>
      </c>
      <c r="P511" t="s">
        <v>27</v>
      </c>
      <c r="Q511" t="s">
        <v>27</v>
      </c>
      <c r="R511" t="s">
        <v>27</v>
      </c>
      <c r="S511">
        <v>0.1</v>
      </c>
      <c r="T511">
        <v>0.2</v>
      </c>
      <c r="U511">
        <v>0.4</v>
      </c>
      <c r="V511" t="s">
        <v>27</v>
      </c>
      <c r="W511">
        <v>0.57599999999999996</v>
      </c>
      <c r="X511">
        <v>0.34</v>
      </c>
      <c r="Y511" t="s">
        <v>27</v>
      </c>
      <c r="Z511" t="s">
        <v>27</v>
      </c>
      <c r="AA511" t="s">
        <v>27</v>
      </c>
      <c r="AB511" t="s">
        <v>27</v>
      </c>
      <c r="AC511" t="s">
        <v>27</v>
      </c>
      <c r="AD511" t="s">
        <v>27</v>
      </c>
      <c r="AE511" t="s">
        <v>27</v>
      </c>
      <c r="AF511" t="s">
        <v>27</v>
      </c>
      <c r="AG511">
        <v>31.76</v>
      </c>
    </row>
    <row r="512" spans="1:33" x14ac:dyDescent="0.25">
      <c r="A512" t="s">
        <v>57</v>
      </c>
      <c r="B512" s="3">
        <v>43973</v>
      </c>
      <c r="C512">
        <v>2020143</v>
      </c>
      <c r="D512">
        <v>5.65</v>
      </c>
      <c r="E512" t="s">
        <v>27</v>
      </c>
      <c r="F512">
        <v>0.8</v>
      </c>
      <c r="G512">
        <v>1.9</v>
      </c>
      <c r="H512">
        <v>-0.2</v>
      </c>
      <c r="I512">
        <v>94.7</v>
      </c>
      <c r="J512">
        <v>91.3</v>
      </c>
      <c r="K512">
        <v>0.8</v>
      </c>
      <c r="L512">
        <v>2.7</v>
      </c>
      <c r="M512">
        <v>48</v>
      </c>
      <c r="N512">
        <v>0.52800000000000002</v>
      </c>
      <c r="O512">
        <v>0.1</v>
      </c>
      <c r="P512" t="s">
        <v>27</v>
      </c>
      <c r="Q512" t="s">
        <v>27</v>
      </c>
      <c r="R512" t="s">
        <v>27</v>
      </c>
      <c r="S512">
        <v>0.1</v>
      </c>
      <c r="T512">
        <v>0.3</v>
      </c>
      <c r="U512">
        <v>0.4</v>
      </c>
      <c r="V512" t="s">
        <v>27</v>
      </c>
      <c r="W512">
        <v>0.63800000000000001</v>
      </c>
      <c r="X512">
        <v>6.0999999999999999E-2</v>
      </c>
      <c r="Y512" t="s">
        <v>27</v>
      </c>
      <c r="Z512" t="s">
        <v>27</v>
      </c>
      <c r="AA512" t="s">
        <v>27</v>
      </c>
      <c r="AB512" t="s">
        <v>27</v>
      </c>
      <c r="AC512" t="s">
        <v>27</v>
      </c>
      <c r="AD512" t="s">
        <v>27</v>
      </c>
      <c r="AE512" t="s">
        <v>27</v>
      </c>
      <c r="AF512" t="s">
        <v>27</v>
      </c>
      <c r="AG512">
        <v>31.88</v>
      </c>
    </row>
    <row r="513" spans="1:33" x14ac:dyDescent="0.25">
      <c r="A513" t="s">
        <v>57</v>
      </c>
      <c r="B513" s="3">
        <v>43974</v>
      </c>
      <c r="C513">
        <v>2020144</v>
      </c>
      <c r="D513">
        <v>16.600000000000001</v>
      </c>
      <c r="E513" t="s">
        <v>27</v>
      </c>
      <c r="F513">
        <v>4</v>
      </c>
      <c r="G513">
        <v>13</v>
      </c>
      <c r="H513">
        <v>-0.9</v>
      </c>
      <c r="I513">
        <v>87.4</v>
      </c>
      <c r="J513">
        <v>49.9</v>
      </c>
      <c r="K513">
        <v>0.4</v>
      </c>
      <c r="L513">
        <v>2.4</v>
      </c>
      <c r="M513">
        <v>4</v>
      </c>
      <c r="N513">
        <v>0.39800000000000013</v>
      </c>
      <c r="O513">
        <v>0.1</v>
      </c>
      <c r="P513" t="s">
        <v>27</v>
      </c>
      <c r="Q513" t="s">
        <v>27</v>
      </c>
      <c r="R513" t="s">
        <v>27</v>
      </c>
      <c r="S513">
        <v>0.1</v>
      </c>
      <c r="T513">
        <v>0.3</v>
      </c>
      <c r="U513">
        <v>0.5</v>
      </c>
      <c r="V513" t="s">
        <v>27</v>
      </c>
      <c r="W513">
        <v>0.748</v>
      </c>
      <c r="X513">
        <v>0.751</v>
      </c>
      <c r="Y513" t="s">
        <v>27</v>
      </c>
      <c r="Z513" t="s">
        <v>27</v>
      </c>
      <c r="AA513" t="s">
        <v>27</v>
      </c>
      <c r="AB513" t="s">
        <v>27</v>
      </c>
      <c r="AC513" t="s">
        <v>27</v>
      </c>
      <c r="AD513" t="s">
        <v>27</v>
      </c>
      <c r="AE513" t="s">
        <v>27</v>
      </c>
      <c r="AF513" t="s">
        <v>27</v>
      </c>
      <c r="AG513">
        <v>31.99</v>
      </c>
    </row>
    <row r="514" spans="1:33" x14ac:dyDescent="0.25">
      <c r="A514" t="s">
        <v>57</v>
      </c>
      <c r="B514" s="3">
        <v>43975</v>
      </c>
      <c r="C514">
        <v>2020145</v>
      </c>
      <c r="D514">
        <v>17.62</v>
      </c>
      <c r="E514" t="s">
        <v>27</v>
      </c>
      <c r="F514">
        <v>5.9</v>
      </c>
      <c r="G514">
        <v>14.4</v>
      </c>
      <c r="H514">
        <v>-1.5</v>
      </c>
      <c r="I514">
        <v>76.5</v>
      </c>
      <c r="J514">
        <v>41</v>
      </c>
      <c r="K514">
        <v>0.3</v>
      </c>
      <c r="L514">
        <v>2</v>
      </c>
      <c r="M514">
        <v>0</v>
      </c>
      <c r="N514">
        <v>0.32800000000000029</v>
      </c>
      <c r="O514">
        <v>0.1</v>
      </c>
      <c r="P514" t="s">
        <v>27</v>
      </c>
      <c r="Q514" t="s">
        <v>27</v>
      </c>
      <c r="R514" t="s">
        <v>27</v>
      </c>
      <c r="S514">
        <v>0.1</v>
      </c>
      <c r="T514">
        <v>0.3</v>
      </c>
      <c r="U514">
        <v>0.5</v>
      </c>
      <c r="V514" t="s">
        <v>27</v>
      </c>
      <c r="W514">
        <v>0.67100000000000004</v>
      </c>
      <c r="X514">
        <v>0.96599999999999997</v>
      </c>
      <c r="Y514" t="s">
        <v>27</v>
      </c>
      <c r="Z514" t="s">
        <v>27</v>
      </c>
      <c r="AA514" t="s">
        <v>27</v>
      </c>
      <c r="AB514" t="s">
        <v>27</v>
      </c>
      <c r="AC514" t="s">
        <v>27</v>
      </c>
      <c r="AD514" t="s">
        <v>27</v>
      </c>
      <c r="AE514" t="s">
        <v>27</v>
      </c>
      <c r="AF514" t="s">
        <v>27</v>
      </c>
      <c r="AG514">
        <v>32.090000000000003</v>
      </c>
    </row>
    <row r="515" spans="1:33" x14ac:dyDescent="0.25">
      <c r="A515" t="s">
        <v>57</v>
      </c>
      <c r="B515" s="3">
        <v>43976</v>
      </c>
      <c r="C515">
        <v>2020146</v>
      </c>
      <c r="D515">
        <v>7.44</v>
      </c>
      <c r="E515" t="s">
        <v>27</v>
      </c>
      <c r="F515">
        <v>5.4</v>
      </c>
      <c r="G515">
        <v>9.5</v>
      </c>
      <c r="H515">
        <v>0.9</v>
      </c>
      <c r="I515">
        <v>94.6</v>
      </c>
      <c r="J515">
        <v>80.099999999999994</v>
      </c>
      <c r="K515">
        <v>0.2</v>
      </c>
      <c r="L515">
        <v>2.1</v>
      </c>
      <c r="M515">
        <v>15</v>
      </c>
      <c r="N515">
        <v>0.28400000000000025</v>
      </c>
      <c r="O515">
        <v>0.1</v>
      </c>
      <c r="P515" t="s">
        <v>27</v>
      </c>
      <c r="Q515" t="s">
        <v>27</v>
      </c>
      <c r="R515" t="s">
        <v>27</v>
      </c>
      <c r="S515">
        <v>0.1</v>
      </c>
      <c r="T515">
        <v>0.3</v>
      </c>
      <c r="U515">
        <v>0.5</v>
      </c>
      <c r="V515" t="s">
        <v>27</v>
      </c>
      <c r="W515">
        <v>0.95099999999999996</v>
      </c>
      <c r="X515">
        <v>0.23599999999999999</v>
      </c>
      <c r="Y515" t="s">
        <v>27</v>
      </c>
      <c r="Z515" t="s">
        <v>27</v>
      </c>
      <c r="AA515" t="s">
        <v>27</v>
      </c>
      <c r="AB515" t="s">
        <v>27</v>
      </c>
      <c r="AC515" t="s">
        <v>27</v>
      </c>
      <c r="AD515" t="s">
        <v>27</v>
      </c>
      <c r="AE515" t="s">
        <v>27</v>
      </c>
      <c r="AF515" t="s">
        <v>27</v>
      </c>
      <c r="AG515">
        <v>32.200000000000003</v>
      </c>
    </row>
    <row r="516" spans="1:33" x14ac:dyDescent="0.25">
      <c r="A516" t="s">
        <v>57</v>
      </c>
      <c r="B516" s="3">
        <v>43977</v>
      </c>
      <c r="C516">
        <v>2020147</v>
      </c>
      <c r="D516">
        <v>25.81</v>
      </c>
      <c r="E516" t="s">
        <v>27</v>
      </c>
      <c r="F516">
        <v>6.8</v>
      </c>
      <c r="G516">
        <v>12.2</v>
      </c>
      <c r="H516">
        <v>1.2</v>
      </c>
      <c r="I516">
        <v>75.599999999999994</v>
      </c>
      <c r="J516">
        <v>43.5</v>
      </c>
      <c r="K516">
        <v>0.9</v>
      </c>
      <c r="L516">
        <v>3.5</v>
      </c>
      <c r="M516">
        <v>1</v>
      </c>
      <c r="N516">
        <v>0.22199999999999998</v>
      </c>
      <c r="O516">
        <v>0.1</v>
      </c>
      <c r="P516" t="s">
        <v>27</v>
      </c>
      <c r="Q516" t="s">
        <v>27</v>
      </c>
      <c r="R516" t="s">
        <v>27</v>
      </c>
      <c r="S516">
        <v>0.1</v>
      </c>
      <c r="T516">
        <v>0.3</v>
      </c>
      <c r="U516">
        <v>0.4</v>
      </c>
      <c r="V516" t="s">
        <v>27</v>
      </c>
      <c r="W516">
        <v>0.61599999999999999</v>
      </c>
      <c r="X516">
        <v>0.8</v>
      </c>
      <c r="Y516" t="s">
        <v>27</v>
      </c>
      <c r="Z516" t="s">
        <v>27</v>
      </c>
      <c r="AA516" t="s">
        <v>27</v>
      </c>
      <c r="AB516" t="s">
        <v>27</v>
      </c>
      <c r="AC516" t="s">
        <v>27</v>
      </c>
      <c r="AD516" t="s">
        <v>27</v>
      </c>
      <c r="AE516" t="s">
        <v>27</v>
      </c>
      <c r="AF516" t="s">
        <v>27</v>
      </c>
      <c r="AG516">
        <v>32.29</v>
      </c>
    </row>
    <row r="517" spans="1:33" x14ac:dyDescent="0.25">
      <c r="A517" t="s">
        <v>57</v>
      </c>
      <c r="B517" s="3">
        <v>43978</v>
      </c>
      <c r="C517">
        <v>2020148</v>
      </c>
      <c r="D517">
        <v>31.06</v>
      </c>
      <c r="E517" t="s">
        <v>27</v>
      </c>
      <c r="F517">
        <v>7</v>
      </c>
      <c r="G517">
        <v>15.7</v>
      </c>
      <c r="H517">
        <v>-1.1000000000000001</v>
      </c>
      <c r="I517">
        <v>63.9</v>
      </c>
      <c r="J517">
        <v>29.2</v>
      </c>
      <c r="K517">
        <v>0.4</v>
      </c>
      <c r="L517">
        <v>1.9</v>
      </c>
      <c r="M517">
        <v>0</v>
      </c>
      <c r="N517">
        <v>0.15200000000000014</v>
      </c>
      <c r="O517">
        <v>0</v>
      </c>
      <c r="P517" t="s">
        <v>27</v>
      </c>
      <c r="Q517" t="s">
        <v>27</v>
      </c>
      <c r="R517" t="s">
        <v>27</v>
      </c>
      <c r="S517">
        <v>0</v>
      </c>
      <c r="T517">
        <v>0.2</v>
      </c>
      <c r="U517">
        <v>0.4</v>
      </c>
      <c r="V517" t="s">
        <v>27</v>
      </c>
      <c r="W517">
        <v>0.52</v>
      </c>
      <c r="X517">
        <v>1.2609999999999999</v>
      </c>
      <c r="Y517" t="s">
        <v>27</v>
      </c>
      <c r="Z517" t="s">
        <v>27</v>
      </c>
      <c r="AA517" t="s">
        <v>27</v>
      </c>
      <c r="AB517" t="s">
        <v>27</v>
      </c>
      <c r="AC517" t="s">
        <v>27</v>
      </c>
      <c r="AD517" t="s">
        <v>27</v>
      </c>
      <c r="AE517" t="s">
        <v>27</v>
      </c>
      <c r="AF517" t="s">
        <v>27</v>
      </c>
      <c r="AG517">
        <v>32.39</v>
      </c>
    </row>
    <row r="518" spans="1:33" x14ac:dyDescent="0.25">
      <c r="A518" t="s">
        <v>57</v>
      </c>
      <c r="B518" s="3">
        <v>43979</v>
      </c>
      <c r="C518">
        <v>2020149</v>
      </c>
      <c r="D518">
        <v>23.19</v>
      </c>
      <c r="E518" t="s">
        <v>27</v>
      </c>
      <c r="F518">
        <v>10.1</v>
      </c>
      <c r="G518">
        <v>20.3</v>
      </c>
      <c r="H518">
        <v>-0.4</v>
      </c>
      <c r="I518">
        <v>59.3</v>
      </c>
      <c r="J518">
        <v>27.2</v>
      </c>
      <c r="K518">
        <v>0.5</v>
      </c>
      <c r="L518">
        <v>2.2000000000000002</v>
      </c>
      <c r="M518">
        <v>0</v>
      </c>
      <c r="N518">
        <v>0.10000000000000009</v>
      </c>
      <c r="O518">
        <v>0.1</v>
      </c>
      <c r="P518" t="s">
        <v>27</v>
      </c>
      <c r="Q518" t="s">
        <v>27</v>
      </c>
      <c r="R518" t="s">
        <v>27</v>
      </c>
      <c r="S518">
        <v>0.1</v>
      </c>
      <c r="T518">
        <v>0.3</v>
      </c>
      <c r="U518">
        <v>0.4</v>
      </c>
      <c r="V518" t="s">
        <v>27</v>
      </c>
      <c r="W518">
        <v>0.64600000000000002</v>
      </c>
      <c r="X518">
        <v>1.7290000000000001</v>
      </c>
      <c r="Y518" t="s">
        <v>27</v>
      </c>
      <c r="Z518" t="s">
        <v>27</v>
      </c>
      <c r="AA518" t="s">
        <v>27</v>
      </c>
      <c r="AB518" t="s">
        <v>27</v>
      </c>
      <c r="AC518" t="s">
        <v>27</v>
      </c>
      <c r="AD518" t="s">
        <v>27</v>
      </c>
      <c r="AE518" t="s">
        <v>27</v>
      </c>
      <c r="AF518" t="s">
        <v>27</v>
      </c>
      <c r="AG518">
        <v>32.479999999999997</v>
      </c>
    </row>
    <row r="519" spans="1:33" x14ac:dyDescent="0.25">
      <c r="A519" t="s">
        <v>57</v>
      </c>
      <c r="B519" s="3">
        <v>43980</v>
      </c>
      <c r="C519">
        <v>2020150</v>
      </c>
      <c r="D519">
        <v>25.65</v>
      </c>
      <c r="E519" t="s">
        <v>27</v>
      </c>
      <c r="F519">
        <v>13</v>
      </c>
      <c r="G519">
        <v>24.4</v>
      </c>
      <c r="H519">
        <v>1.8</v>
      </c>
      <c r="I519">
        <v>61</v>
      </c>
      <c r="J519">
        <v>28.2</v>
      </c>
      <c r="K519">
        <v>0.3</v>
      </c>
      <c r="L519">
        <v>2.5</v>
      </c>
      <c r="M519">
        <v>0</v>
      </c>
      <c r="N519">
        <v>0</v>
      </c>
      <c r="O519" t="s">
        <v>27</v>
      </c>
      <c r="P519" t="s">
        <v>27</v>
      </c>
      <c r="Q519" t="s">
        <v>27</v>
      </c>
      <c r="R519" t="s">
        <v>27</v>
      </c>
      <c r="S519">
        <v>0.1</v>
      </c>
      <c r="T519">
        <v>0.3</v>
      </c>
      <c r="U519">
        <v>0.4</v>
      </c>
      <c r="V519" t="s">
        <v>27</v>
      </c>
      <c r="W519">
        <v>0.86</v>
      </c>
      <c r="X519">
        <v>2.19</v>
      </c>
      <c r="Y519" t="s">
        <v>27</v>
      </c>
      <c r="Z519" t="s">
        <v>27</v>
      </c>
      <c r="AA519" t="s">
        <v>27</v>
      </c>
      <c r="AB519" t="s">
        <v>27</v>
      </c>
      <c r="AC519" t="s">
        <v>27</v>
      </c>
      <c r="AD519" t="s">
        <v>27</v>
      </c>
      <c r="AE519" t="s">
        <v>27</v>
      </c>
      <c r="AF519" t="s">
        <v>27</v>
      </c>
      <c r="AG519">
        <v>32.56</v>
      </c>
    </row>
    <row r="520" spans="1:33" x14ac:dyDescent="0.25">
      <c r="A520" t="s">
        <v>57</v>
      </c>
      <c r="B520" s="3">
        <v>43981</v>
      </c>
      <c r="C520">
        <v>2020151</v>
      </c>
      <c r="D520">
        <v>12.3</v>
      </c>
      <c r="E520" t="s">
        <v>27</v>
      </c>
      <c r="F520">
        <v>11.8</v>
      </c>
      <c r="G520">
        <v>18.5</v>
      </c>
      <c r="H520">
        <v>3.8</v>
      </c>
      <c r="I520">
        <v>77.400000000000006</v>
      </c>
      <c r="J520">
        <v>50.3</v>
      </c>
      <c r="K520">
        <v>0.3</v>
      </c>
      <c r="L520">
        <v>2.4</v>
      </c>
      <c r="M520">
        <v>7</v>
      </c>
      <c r="N520">
        <v>0</v>
      </c>
      <c r="O520" t="s">
        <v>27</v>
      </c>
      <c r="P520" t="s">
        <v>27</v>
      </c>
      <c r="Q520" t="s">
        <v>27</v>
      </c>
      <c r="R520" t="s">
        <v>27</v>
      </c>
      <c r="S520">
        <v>3</v>
      </c>
      <c r="T520">
        <v>1</v>
      </c>
      <c r="U520">
        <v>0.8</v>
      </c>
      <c r="V520" t="s">
        <v>27</v>
      </c>
      <c r="W520">
        <v>1.0720000000000001</v>
      </c>
      <c r="X520">
        <v>1.0589999999999999</v>
      </c>
      <c r="Y520" t="s">
        <v>27</v>
      </c>
      <c r="Z520" t="s">
        <v>27</v>
      </c>
      <c r="AA520" t="s">
        <v>27</v>
      </c>
      <c r="AB520" t="s">
        <v>27</v>
      </c>
      <c r="AC520" t="s">
        <v>27</v>
      </c>
      <c r="AD520" t="s">
        <v>27</v>
      </c>
      <c r="AE520" t="s">
        <v>27</v>
      </c>
      <c r="AF520" t="s">
        <v>27</v>
      </c>
      <c r="AG520">
        <v>32.64</v>
      </c>
    </row>
    <row r="521" spans="1:33" x14ac:dyDescent="0.25">
      <c r="A521" t="s">
        <v>57</v>
      </c>
      <c r="B521" s="3">
        <v>43982</v>
      </c>
      <c r="C521">
        <v>2020152</v>
      </c>
      <c r="D521">
        <v>8.3000000000000007</v>
      </c>
      <c r="E521" t="s">
        <v>27</v>
      </c>
      <c r="F521">
        <v>4.3</v>
      </c>
      <c r="G521">
        <v>8.1999999999999993</v>
      </c>
      <c r="H521">
        <v>-1.1000000000000001</v>
      </c>
      <c r="I521">
        <v>91.8</v>
      </c>
      <c r="J521">
        <v>63.6</v>
      </c>
      <c r="K521">
        <v>0.8</v>
      </c>
      <c r="L521">
        <v>3.2</v>
      </c>
      <c r="M521">
        <v>4</v>
      </c>
      <c r="N521">
        <v>0</v>
      </c>
      <c r="O521" t="s">
        <v>27</v>
      </c>
      <c r="P521" t="s">
        <v>27</v>
      </c>
      <c r="Q521" t="s">
        <v>27</v>
      </c>
      <c r="R521" t="s">
        <v>27</v>
      </c>
      <c r="S521">
        <v>5.4</v>
      </c>
      <c r="T521">
        <v>3.5</v>
      </c>
      <c r="U521">
        <v>1.8</v>
      </c>
      <c r="V521" t="s">
        <v>27</v>
      </c>
      <c r="W521">
        <v>0.69099999999999995</v>
      </c>
      <c r="X521">
        <v>0.39500000000000002</v>
      </c>
      <c r="Y521" t="s">
        <v>27</v>
      </c>
      <c r="Z521" t="s">
        <v>27</v>
      </c>
      <c r="AA521" t="s">
        <v>27</v>
      </c>
      <c r="AB521" t="s">
        <v>27</v>
      </c>
      <c r="AC521" t="s">
        <v>27</v>
      </c>
      <c r="AD521" t="s">
        <v>27</v>
      </c>
      <c r="AE521" t="s">
        <v>27</v>
      </c>
      <c r="AF521" t="s">
        <v>27</v>
      </c>
      <c r="AG521">
        <v>32.71</v>
      </c>
    </row>
    <row r="522" spans="1:33" x14ac:dyDescent="0.25">
      <c r="A522" t="s">
        <v>57</v>
      </c>
      <c r="B522" s="3">
        <v>43983</v>
      </c>
      <c r="C522">
        <v>2020153</v>
      </c>
      <c r="D522">
        <v>24.35</v>
      </c>
      <c r="E522" t="s">
        <v>27</v>
      </c>
      <c r="F522">
        <v>5.5</v>
      </c>
      <c r="G522">
        <v>12.7</v>
      </c>
      <c r="H522">
        <v>-0.9</v>
      </c>
      <c r="I522">
        <v>69.400000000000006</v>
      </c>
      <c r="J522">
        <v>33.1</v>
      </c>
      <c r="K522">
        <v>0.7</v>
      </c>
      <c r="L522">
        <v>2.8</v>
      </c>
      <c r="M522">
        <v>1</v>
      </c>
      <c r="N522">
        <v>0</v>
      </c>
      <c r="O522" t="s">
        <v>27</v>
      </c>
      <c r="P522" t="s">
        <v>27</v>
      </c>
      <c r="Q522" t="s">
        <v>27</v>
      </c>
      <c r="R522" t="s">
        <v>27</v>
      </c>
      <c r="S522">
        <v>8.8000000000000007</v>
      </c>
      <c r="T522">
        <v>4.8</v>
      </c>
      <c r="U522">
        <v>2.2999999999999998</v>
      </c>
      <c r="V522" t="s">
        <v>27</v>
      </c>
      <c r="W522">
        <v>0.48599999999999999</v>
      </c>
      <c r="X522">
        <v>0.98199999999999998</v>
      </c>
      <c r="Y522" t="s">
        <v>27</v>
      </c>
      <c r="Z522" t="s">
        <v>27</v>
      </c>
      <c r="AA522" t="s">
        <v>27</v>
      </c>
      <c r="AB522" t="s">
        <v>27</v>
      </c>
      <c r="AC522" t="s">
        <v>27</v>
      </c>
      <c r="AD522" t="s">
        <v>27</v>
      </c>
      <c r="AE522" t="s">
        <v>27</v>
      </c>
      <c r="AF522" t="s">
        <v>27</v>
      </c>
      <c r="AG522">
        <v>32.78</v>
      </c>
    </row>
    <row r="523" spans="1:33" x14ac:dyDescent="0.25">
      <c r="A523" t="s">
        <v>57</v>
      </c>
      <c r="B523" s="3">
        <v>43984</v>
      </c>
      <c r="C523">
        <v>2020154</v>
      </c>
      <c r="D523">
        <v>19.600000000000001</v>
      </c>
      <c r="E523" t="s">
        <v>27</v>
      </c>
      <c r="F523">
        <v>5.6</v>
      </c>
      <c r="G523">
        <v>16.100000000000001</v>
      </c>
      <c r="H523">
        <v>-2.2000000000000002</v>
      </c>
      <c r="I523">
        <v>72.400000000000006</v>
      </c>
      <c r="J523">
        <v>34.4</v>
      </c>
      <c r="K523">
        <v>0.9</v>
      </c>
      <c r="L523">
        <v>3.6</v>
      </c>
      <c r="M523">
        <v>5</v>
      </c>
      <c r="N523">
        <v>0</v>
      </c>
      <c r="O523" t="s">
        <v>27</v>
      </c>
      <c r="P523" t="s">
        <v>27</v>
      </c>
      <c r="Q523" t="s">
        <v>27</v>
      </c>
      <c r="R523" t="s">
        <v>27</v>
      </c>
      <c r="S523">
        <v>7.4</v>
      </c>
      <c r="T523">
        <v>5.3</v>
      </c>
      <c r="U523">
        <v>3</v>
      </c>
      <c r="V523" t="s">
        <v>27</v>
      </c>
      <c r="W523">
        <v>0.63</v>
      </c>
      <c r="X523">
        <v>1.2010000000000001</v>
      </c>
      <c r="Y523" t="s">
        <v>27</v>
      </c>
      <c r="Z523" t="s">
        <v>27</v>
      </c>
      <c r="AA523" t="s">
        <v>27</v>
      </c>
      <c r="AB523" t="s">
        <v>27</v>
      </c>
      <c r="AC523" t="s">
        <v>27</v>
      </c>
      <c r="AD523" t="s">
        <v>27</v>
      </c>
      <c r="AE523" t="s">
        <v>27</v>
      </c>
      <c r="AF523" t="s">
        <v>27</v>
      </c>
      <c r="AG523">
        <v>32.86</v>
      </c>
    </row>
    <row r="524" spans="1:33" x14ac:dyDescent="0.25">
      <c r="A524" t="s">
        <v>57</v>
      </c>
      <c r="B524" s="3">
        <v>43985</v>
      </c>
      <c r="C524">
        <v>2020155</v>
      </c>
      <c r="D524">
        <v>27.38</v>
      </c>
      <c r="E524" t="s">
        <v>27</v>
      </c>
      <c r="F524">
        <v>6.5</v>
      </c>
      <c r="G524">
        <v>14.6</v>
      </c>
      <c r="H524">
        <v>-1.9</v>
      </c>
      <c r="I524">
        <v>64.3</v>
      </c>
      <c r="J524">
        <v>30.2</v>
      </c>
      <c r="K524">
        <v>0.5</v>
      </c>
      <c r="L524">
        <v>2.2999999999999998</v>
      </c>
      <c r="M524">
        <v>1</v>
      </c>
      <c r="N524">
        <v>0</v>
      </c>
      <c r="O524" t="s">
        <v>27</v>
      </c>
      <c r="P524" t="s">
        <v>27</v>
      </c>
      <c r="Q524" t="s">
        <v>27</v>
      </c>
      <c r="R524" t="s">
        <v>27</v>
      </c>
      <c r="S524">
        <v>10.3</v>
      </c>
      <c r="T524">
        <v>6.1</v>
      </c>
      <c r="U524">
        <v>3.4</v>
      </c>
      <c r="V524" t="s">
        <v>27</v>
      </c>
      <c r="W524">
        <v>0.501</v>
      </c>
      <c r="X524">
        <v>1.1579999999999999</v>
      </c>
      <c r="Y524" t="s">
        <v>27</v>
      </c>
      <c r="Z524" t="s">
        <v>27</v>
      </c>
      <c r="AA524" t="s">
        <v>27</v>
      </c>
      <c r="AB524" t="s">
        <v>27</v>
      </c>
      <c r="AC524" t="s">
        <v>27</v>
      </c>
      <c r="AD524" t="s">
        <v>27</v>
      </c>
      <c r="AE524" t="s">
        <v>27</v>
      </c>
      <c r="AF524" t="s">
        <v>27</v>
      </c>
      <c r="AG524">
        <v>32.909999999999997</v>
      </c>
    </row>
    <row r="525" spans="1:33" x14ac:dyDescent="0.25">
      <c r="A525" t="s">
        <v>57</v>
      </c>
      <c r="B525" s="3">
        <v>43986</v>
      </c>
      <c r="C525">
        <v>2020156</v>
      </c>
      <c r="D525">
        <v>20</v>
      </c>
      <c r="E525" t="s">
        <v>27</v>
      </c>
      <c r="F525">
        <v>5.5</v>
      </c>
      <c r="G525">
        <v>13.2</v>
      </c>
      <c r="H525">
        <v>-2.2999999999999998</v>
      </c>
      <c r="I525">
        <v>66.7</v>
      </c>
      <c r="J525">
        <v>33</v>
      </c>
      <c r="K525">
        <v>0.6</v>
      </c>
      <c r="L525">
        <v>2.8</v>
      </c>
      <c r="M525">
        <v>0</v>
      </c>
      <c r="N525">
        <v>0</v>
      </c>
      <c r="O525" t="s">
        <v>27</v>
      </c>
      <c r="P525" t="s">
        <v>27</v>
      </c>
      <c r="Q525" t="s">
        <v>27</v>
      </c>
      <c r="R525" t="s">
        <v>27</v>
      </c>
      <c r="S525">
        <v>8.1</v>
      </c>
      <c r="T525">
        <v>6.4</v>
      </c>
      <c r="U525">
        <v>4</v>
      </c>
      <c r="V525" t="s">
        <v>27</v>
      </c>
      <c r="W525">
        <v>0.499</v>
      </c>
      <c r="X525">
        <v>1.0129999999999999</v>
      </c>
      <c r="Y525" t="s">
        <v>27</v>
      </c>
      <c r="Z525" t="s">
        <v>27</v>
      </c>
      <c r="AA525" t="s">
        <v>27</v>
      </c>
      <c r="AB525" t="s">
        <v>27</v>
      </c>
      <c r="AC525" t="s">
        <v>27</v>
      </c>
      <c r="AD525" t="s">
        <v>27</v>
      </c>
      <c r="AE525" t="s">
        <v>27</v>
      </c>
      <c r="AF525" t="s">
        <v>27</v>
      </c>
      <c r="AG525">
        <v>32.97</v>
      </c>
    </row>
    <row r="526" spans="1:33" x14ac:dyDescent="0.25">
      <c r="A526" t="s">
        <v>57</v>
      </c>
      <c r="B526" s="3">
        <v>43987</v>
      </c>
      <c r="C526">
        <v>2020157</v>
      </c>
      <c r="D526">
        <v>16.37</v>
      </c>
      <c r="E526" t="s">
        <v>27</v>
      </c>
      <c r="F526">
        <v>7.8</v>
      </c>
      <c r="G526">
        <v>14.5</v>
      </c>
      <c r="H526">
        <v>-0.6</v>
      </c>
      <c r="I526">
        <v>68.099999999999994</v>
      </c>
      <c r="J526">
        <v>36.9</v>
      </c>
      <c r="K526">
        <v>0.8</v>
      </c>
      <c r="L526">
        <v>2.5</v>
      </c>
      <c r="M526">
        <v>6</v>
      </c>
      <c r="N526">
        <v>0</v>
      </c>
      <c r="O526" t="s">
        <v>27</v>
      </c>
      <c r="P526" t="s">
        <v>27</v>
      </c>
      <c r="Q526" t="s">
        <v>27</v>
      </c>
      <c r="R526" t="s">
        <v>27</v>
      </c>
      <c r="S526">
        <v>8.6999999999999993</v>
      </c>
      <c r="T526">
        <v>6.2</v>
      </c>
      <c r="U526">
        <v>4.2</v>
      </c>
      <c r="V526" t="s">
        <v>27</v>
      </c>
      <c r="W526">
        <v>0.60899999999999999</v>
      </c>
      <c r="X526">
        <v>1.0409999999999999</v>
      </c>
      <c r="Y526" t="s">
        <v>27</v>
      </c>
      <c r="Z526" t="s">
        <v>27</v>
      </c>
      <c r="AA526" t="s">
        <v>27</v>
      </c>
      <c r="AB526" t="s">
        <v>27</v>
      </c>
      <c r="AC526" t="s">
        <v>27</v>
      </c>
      <c r="AD526" t="s">
        <v>27</v>
      </c>
      <c r="AE526" t="s">
        <v>27</v>
      </c>
      <c r="AF526" t="s">
        <v>27</v>
      </c>
      <c r="AG526">
        <v>33.03</v>
      </c>
    </row>
    <row r="527" spans="1:33" x14ac:dyDescent="0.25">
      <c r="A527" t="s">
        <v>57</v>
      </c>
      <c r="B527" s="3">
        <v>43988</v>
      </c>
      <c r="C527">
        <v>2020158</v>
      </c>
      <c r="D527">
        <v>20.69</v>
      </c>
      <c r="E527" t="s">
        <v>27</v>
      </c>
      <c r="F527">
        <v>5.0999999999999996</v>
      </c>
      <c r="G527">
        <v>12.8</v>
      </c>
      <c r="H527">
        <v>0.6</v>
      </c>
      <c r="I527">
        <v>81.2</v>
      </c>
      <c r="J527">
        <v>33.4</v>
      </c>
      <c r="K527">
        <v>0.5</v>
      </c>
      <c r="L527">
        <v>2.1</v>
      </c>
      <c r="M527">
        <v>6</v>
      </c>
      <c r="N527">
        <v>0</v>
      </c>
      <c r="O527" t="s">
        <v>27</v>
      </c>
      <c r="P527" t="s">
        <v>27</v>
      </c>
      <c r="Q527" t="s">
        <v>27</v>
      </c>
      <c r="R527" t="s">
        <v>27</v>
      </c>
      <c r="S527">
        <v>9.6</v>
      </c>
      <c r="T527">
        <v>6.8</v>
      </c>
      <c r="U527">
        <v>4.5</v>
      </c>
      <c r="V527" t="s">
        <v>27</v>
      </c>
      <c r="W527">
        <v>0.49399999999999999</v>
      </c>
      <c r="X527">
        <v>0.98499999999999999</v>
      </c>
      <c r="Y527" t="s">
        <v>27</v>
      </c>
      <c r="Z527" t="s">
        <v>27</v>
      </c>
      <c r="AA527" t="s">
        <v>27</v>
      </c>
      <c r="AB527" t="s">
        <v>27</v>
      </c>
      <c r="AC527" t="s">
        <v>27</v>
      </c>
      <c r="AD527" t="s">
        <v>27</v>
      </c>
      <c r="AE527" t="s">
        <v>27</v>
      </c>
      <c r="AF527" t="s">
        <v>27</v>
      </c>
      <c r="AG527">
        <v>33.08</v>
      </c>
    </row>
    <row r="528" spans="1:33" x14ac:dyDescent="0.25">
      <c r="A528" t="s">
        <v>57</v>
      </c>
      <c r="B528" s="3">
        <v>43989</v>
      </c>
      <c r="C528">
        <v>2020159</v>
      </c>
      <c r="D528">
        <v>18.04</v>
      </c>
      <c r="E528" t="s">
        <v>27</v>
      </c>
      <c r="F528">
        <v>4.8</v>
      </c>
      <c r="G528">
        <v>9.9</v>
      </c>
      <c r="H528">
        <v>2.1</v>
      </c>
      <c r="I528">
        <v>81.900000000000006</v>
      </c>
      <c r="J528">
        <v>49</v>
      </c>
      <c r="K528">
        <v>1</v>
      </c>
      <c r="L528">
        <v>3.2</v>
      </c>
      <c r="M528">
        <v>3</v>
      </c>
      <c r="N528">
        <v>0</v>
      </c>
      <c r="O528" t="s">
        <v>27</v>
      </c>
      <c r="P528" t="s">
        <v>27</v>
      </c>
      <c r="Q528" t="s">
        <v>27</v>
      </c>
      <c r="R528" t="s">
        <v>27</v>
      </c>
      <c r="S528">
        <v>9.5</v>
      </c>
      <c r="T528">
        <v>7.3</v>
      </c>
      <c r="U528">
        <v>4.9000000000000004</v>
      </c>
      <c r="V528" t="s">
        <v>27</v>
      </c>
      <c r="W528">
        <v>0.59899999999999998</v>
      </c>
      <c r="X528">
        <v>0.623</v>
      </c>
      <c r="Y528" t="s">
        <v>27</v>
      </c>
      <c r="Z528" t="s">
        <v>27</v>
      </c>
      <c r="AA528" t="s">
        <v>27</v>
      </c>
      <c r="AB528" t="s">
        <v>27</v>
      </c>
      <c r="AC528" t="s">
        <v>27</v>
      </c>
      <c r="AD528" t="s">
        <v>27</v>
      </c>
      <c r="AE528" t="s">
        <v>27</v>
      </c>
      <c r="AF528" t="s">
        <v>27</v>
      </c>
      <c r="AG528">
        <v>33.130000000000003</v>
      </c>
    </row>
    <row r="529" spans="1:33" x14ac:dyDescent="0.25">
      <c r="A529" t="s">
        <v>57</v>
      </c>
      <c r="B529" s="3">
        <v>43990</v>
      </c>
      <c r="C529">
        <v>2020160</v>
      </c>
      <c r="D529">
        <v>20.190000000000001</v>
      </c>
      <c r="E529" t="s">
        <v>27</v>
      </c>
      <c r="F529">
        <v>4.2</v>
      </c>
      <c r="G529">
        <v>9.9</v>
      </c>
      <c r="H529">
        <v>-2.4</v>
      </c>
      <c r="I529">
        <v>69.7</v>
      </c>
      <c r="J529">
        <v>40.4</v>
      </c>
      <c r="K529">
        <v>1.3</v>
      </c>
      <c r="L529">
        <v>4.2</v>
      </c>
      <c r="M529">
        <v>1</v>
      </c>
      <c r="N529">
        <v>0</v>
      </c>
      <c r="O529" t="s">
        <v>27</v>
      </c>
      <c r="P529" t="s">
        <v>27</v>
      </c>
      <c r="Q529" t="s">
        <v>27</v>
      </c>
      <c r="R529" t="s">
        <v>27</v>
      </c>
      <c r="S529">
        <v>7.8</v>
      </c>
      <c r="T529">
        <v>6.8</v>
      </c>
      <c r="U529">
        <v>5.0999999999999996</v>
      </c>
      <c r="V529" t="s">
        <v>27</v>
      </c>
      <c r="W529">
        <v>0.49299999999999999</v>
      </c>
      <c r="X529">
        <v>0.72699999999999998</v>
      </c>
      <c r="Y529" t="s">
        <v>27</v>
      </c>
      <c r="Z529" t="s">
        <v>27</v>
      </c>
      <c r="AA529" t="s">
        <v>27</v>
      </c>
      <c r="AB529" t="s">
        <v>27</v>
      </c>
      <c r="AC529" t="s">
        <v>27</v>
      </c>
      <c r="AD529" t="s">
        <v>27</v>
      </c>
      <c r="AE529" t="s">
        <v>27</v>
      </c>
      <c r="AF529" t="s">
        <v>27</v>
      </c>
      <c r="AG529">
        <v>33.159999999999997</v>
      </c>
    </row>
    <row r="530" spans="1:33" x14ac:dyDescent="0.25">
      <c r="A530" t="s">
        <v>57</v>
      </c>
      <c r="B530" s="3">
        <v>43991</v>
      </c>
      <c r="C530">
        <v>2020161</v>
      </c>
      <c r="D530">
        <v>7.88</v>
      </c>
      <c r="E530" t="s">
        <v>27</v>
      </c>
      <c r="F530">
        <v>2.7</v>
      </c>
      <c r="G530">
        <v>6.8</v>
      </c>
      <c r="H530">
        <v>-3.7</v>
      </c>
      <c r="I530">
        <v>91.4</v>
      </c>
      <c r="J530">
        <v>61</v>
      </c>
      <c r="K530">
        <v>0.3</v>
      </c>
      <c r="L530">
        <v>1.9</v>
      </c>
      <c r="M530">
        <v>5</v>
      </c>
      <c r="N530">
        <v>0</v>
      </c>
      <c r="O530" t="s">
        <v>27</v>
      </c>
      <c r="P530" t="s">
        <v>27</v>
      </c>
      <c r="Q530" t="s">
        <v>27</v>
      </c>
      <c r="R530" t="s">
        <v>27</v>
      </c>
      <c r="S530">
        <v>5.0999999999999996</v>
      </c>
      <c r="T530">
        <v>5.4</v>
      </c>
      <c r="U530">
        <v>5</v>
      </c>
      <c r="V530" t="s">
        <v>27</v>
      </c>
      <c r="W530">
        <v>0.60299999999999998</v>
      </c>
      <c r="X530">
        <v>0.38600000000000001</v>
      </c>
      <c r="Y530" t="s">
        <v>27</v>
      </c>
      <c r="Z530" t="s">
        <v>27</v>
      </c>
      <c r="AA530" t="s">
        <v>27</v>
      </c>
      <c r="AB530" t="s">
        <v>27</v>
      </c>
      <c r="AC530" t="s">
        <v>27</v>
      </c>
      <c r="AD530" t="s">
        <v>27</v>
      </c>
      <c r="AE530" t="s">
        <v>27</v>
      </c>
      <c r="AF530" t="s">
        <v>27</v>
      </c>
      <c r="AG530">
        <v>33.200000000000003</v>
      </c>
    </row>
    <row r="531" spans="1:33" x14ac:dyDescent="0.25">
      <c r="A531" t="s">
        <v>57</v>
      </c>
      <c r="B531" s="3">
        <v>43992</v>
      </c>
      <c r="C531">
        <v>2020162</v>
      </c>
      <c r="D531">
        <v>20.09</v>
      </c>
      <c r="E531" t="s">
        <v>27</v>
      </c>
      <c r="F531">
        <v>9</v>
      </c>
      <c r="G531">
        <v>17</v>
      </c>
      <c r="H531">
        <v>2.8</v>
      </c>
      <c r="I531">
        <v>79.5</v>
      </c>
      <c r="J531">
        <v>42.2</v>
      </c>
      <c r="K531">
        <v>0.5</v>
      </c>
      <c r="L531">
        <v>2.4</v>
      </c>
      <c r="M531">
        <v>0</v>
      </c>
      <c r="N531">
        <v>0</v>
      </c>
      <c r="O531" t="s">
        <v>27</v>
      </c>
      <c r="P531" t="s">
        <v>27</v>
      </c>
      <c r="Q531" t="s">
        <v>27</v>
      </c>
      <c r="R531" t="s">
        <v>27</v>
      </c>
      <c r="S531">
        <v>11.8</v>
      </c>
      <c r="T531">
        <v>7.2</v>
      </c>
      <c r="U531">
        <v>4.8</v>
      </c>
      <c r="V531" t="s">
        <v>27</v>
      </c>
      <c r="W531">
        <v>0.81899999999999995</v>
      </c>
      <c r="X531">
        <v>1.1220000000000001</v>
      </c>
      <c r="Y531" t="s">
        <v>27</v>
      </c>
      <c r="Z531" t="s">
        <v>27</v>
      </c>
      <c r="AA531" t="s">
        <v>27</v>
      </c>
      <c r="AB531" t="s">
        <v>27</v>
      </c>
      <c r="AC531" t="s">
        <v>27</v>
      </c>
      <c r="AD531" t="s">
        <v>27</v>
      </c>
      <c r="AE531" t="s">
        <v>27</v>
      </c>
      <c r="AF531" t="s">
        <v>27</v>
      </c>
      <c r="AG531">
        <v>33.229999999999997</v>
      </c>
    </row>
    <row r="532" spans="1:33" x14ac:dyDescent="0.25">
      <c r="A532" t="s">
        <v>57</v>
      </c>
      <c r="B532" s="3">
        <v>43993</v>
      </c>
      <c r="C532">
        <v>2020163</v>
      </c>
      <c r="D532">
        <v>13.32</v>
      </c>
      <c r="E532" t="s">
        <v>27</v>
      </c>
      <c r="F532">
        <v>9.1999999999999993</v>
      </c>
      <c r="G532">
        <v>16.3</v>
      </c>
      <c r="H532">
        <v>1.4</v>
      </c>
      <c r="I532">
        <v>89.1</v>
      </c>
      <c r="J532">
        <v>61.7</v>
      </c>
      <c r="K532">
        <v>0.4</v>
      </c>
      <c r="L532">
        <v>2.4</v>
      </c>
      <c r="M532">
        <v>8</v>
      </c>
      <c r="N532">
        <v>0</v>
      </c>
      <c r="O532" t="s">
        <v>27</v>
      </c>
      <c r="P532" t="s">
        <v>27</v>
      </c>
      <c r="Q532" t="s">
        <v>27</v>
      </c>
      <c r="R532" t="s">
        <v>27</v>
      </c>
      <c r="S532">
        <v>10.7</v>
      </c>
      <c r="T532">
        <v>8</v>
      </c>
      <c r="U532">
        <v>5.4</v>
      </c>
      <c r="V532" t="s">
        <v>27</v>
      </c>
      <c r="W532">
        <v>1.145</v>
      </c>
      <c r="X532">
        <v>0.71099999999999997</v>
      </c>
      <c r="Y532" t="s">
        <v>27</v>
      </c>
      <c r="Z532" t="s">
        <v>27</v>
      </c>
      <c r="AA532" t="s">
        <v>27</v>
      </c>
      <c r="AB532" t="s">
        <v>27</v>
      </c>
      <c r="AC532" t="s">
        <v>27</v>
      </c>
      <c r="AD532" t="s">
        <v>27</v>
      </c>
      <c r="AE532" t="s">
        <v>27</v>
      </c>
      <c r="AF532" t="s">
        <v>27</v>
      </c>
      <c r="AG532">
        <v>33.26</v>
      </c>
    </row>
    <row r="533" spans="1:33" x14ac:dyDescent="0.25">
      <c r="A533" t="s">
        <v>57</v>
      </c>
      <c r="B533" s="3">
        <v>43994</v>
      </c>
      <c r="C533">
        <v>2020164</v>
      </c>
      <c r="D533">
        <v>16.14</v>
      </c>
      <c r="E533" t="s">
        <v>27</v>
      </c>
      <c r="F533">
        <v>9.6999999999999993</v>
      </c>
      <c r="G533">
        <v>18.2</v>
      </c>
      <c r="H533">
        <v>5.2</v>
      </c>
      <c r="I533">
        <v>87</v>
      </c>
      <c r="J533">
        <v>60</v>
      </c>
      <c r="K533">
        <v>0.5</v>
      </c>
      <c r="L533">
        <v>3.8</v>
      </c>
      <c r="M533">
        <v>8</v>
      </c>
      <c r="N533">
        <v>0</v>
      </c>
      <c r="O533" t="s">
        <v>27</v>
      </c>
      <c r="P533" t="s">
        <v>27</v>
      </c>
      <c r="Q533" t="s">
        <v>27</v>
      </c>
      <c r="R533" t="s">
        <v>27</v>
      </c>
      <c r="S533">
        <v>12.6</v>
      </c>
      <c r="T533">
        <v>9.1</v>
      </c>
      <c r="U533">
        <v>5.9</v>
      </c>
      <c r="V533" t="s">
        <v>27</v>
      </c>
      <c r="W533">
        <v>1.254</v>
      </c>
      <c r="X533">
        <v>0.83599999999999997</v>
      </c>
      <c r="Y533" t="s">
        <v>27</v>
      </c>
      <c r="Z533" t="s">
        <v>27</v>
      </c>
      <c r="AA533" t="s">
        <v>27</v>
      </c>
      <c r="AB533" t="s">
        <v>27</v>
      </c>
      <c r="AC533" t="s">
        <v>27</v>
      </c>
      <c r="AD533" t="s">
        <v>27</v>
      </c>
      <c r="AE533" t="s">
        <v>27</v>
      </c>
      <c r="AF533" t="s">
        <v>27</v>
      </c>
      <c r="AG533">
        <v>33.29</v>
      </c>
    </row>
    <row r="534" spans="1:33" x14ac:dyDescent="0.25">
      <c r="A534" t="s">
        <v>57</v>
      </c>
      <c r="B534" s="3">
        <v>43995</v>
      </c>
      <c r="C534">
        <v>2020165</v>
      </c>
      <c r="D534">
        <v>5.38</v>
      </c>
      <c r="E534" t="s">
        <v>27</v>
      </c>
      <c r="F534">
        <v>3.7</v>
      </c>
      <c r="G534">
        <v>5.3</v>
      </c>
      <c r="H534">
        <v>2</v>
      </c>
      <c r="I534">
        <v>92.9</v>
      </c>
      <c r="J534">
        <v>82.1</v>
      </c>
      <c r="K534">
        <v>0.6</v>
      </c>
      <c r="L534">
        <v>2.4</v>
      </c>
      <c r="M534">
        <v>16</v>
      </c>
      <c r="N534">
        <v>0</v>
      </c>
      <c r="O534" t="s">
        <v>27</v>
      </c>
      <c r="P534" t="s">
        <v>27</v>
      </c>
      <c r="Q534" t="s">
        <v>27</v>
      </c>
      <c r="R534" t="s">
        <v>27</v>
      </c>
      <c r="S534">
        <v>6.8</v>
      </c>
      <c r="T534">
        <v>7.8</v>
      </c>
      <c r="U534">
        <v>6.5</v>
      </c>
      <c r="V534" t="s">
        <v>27</v>
      </c>
      <c r="W534">
        <v>0.72899999999999998</v>
      </c>
      <c r="X534">
        <v>0.159</v>
      </c>
      <c r="Y534" t="s">
        <v>27</v>
      </c>
      <c r="Z534" t="s">
        <v>27</v>
      </c>
      <c r="AA534" t="s">
        <v>27</v>
      </c>
      <c r="AB534" t="s">
        <v>27</v>
      </c>
      <c r="AC534" t="s">
        <v>27</v>
      </c>
      <c r="AD534" t="s">
        <v>27</v>
      </c>
      <c r="AE534" t="s">
        <v>27</v>
      </c>
      <c r="AF534" t="s">
        <v>27</v>
      </c>
      <c r="AG534">
        <v>33.31</v>
      </c>
    </row>
    <row r="535" spans="1:33" x14ac:dyDescent="0.25">
      <c r="A535" t="s">
        <v>57</v>
      </c>
      <c r="B535" s="3">
        <v>43996</v>
      </c>
      <c r="C535">
        <v>2020166</v>
      </c>
      <c r="D535">
        <v>10.46</v>
      </c>
      <c r="E535" t="s">
        <v>27</v>
      </c>
      <c r="F535">
        <v>2.5</v>
      </c>
      <c r="G535">
        <v>4.5999999999999996</v>
      </c>
      <c r="H535">
        <v>-0.7</v>
      </c>
      <c r="I535">
        <v>94.5</v>
      </c>
      <c r="J535">
        <v>90.6</v>
      </c>
      <c r="K535">
        <v>0.7</v>
      </c>
      <c r="L535">
        <v>2.7</v>
      </c>
      <c r="M535">
        <v>9</v>
      </c>
      <c r="N535">
        <v>0</v>
      </c>
      <c r="O535" t="s">
        <v>27</v>
      </c>
      <c r="P535" t="s">
        <v>27</v>
      </c>
      <c r="Q535" t="s">
        <v>27</v>
      </c>
      <c r="R535" t="s">
        <v>27</v>
      </c>
      <c r="S535">
        <v>6.4</v>
      </c>
      <c r="T535">
        <v>6.4</v>
      </c>
      <c r="U535">
        <v>6.1</v>
      </c>
      <c r="V535" t="s">
        <v>27</v>
      </c>
      <c r="W535">
        <v>0.76900000000000002</v>
      </c>
      <c r="X535">
        <v>0.08</v>
      </c>
      <c r="Y535" t="s">
        <v>27</v>
      </c>
      <c r="Z535" t="s">
        <v>27</v>
      </c>
      <c r="AA535" t="s">
        <v>27</v>
      </c>
      <c r="AB535" t="s">
        <v>27</v>
      </c>
      <c r="AC535" t="s">
        <v>27</v>
      </c>
      <c r="AD535" t="s">
        <v>27</v>
      </c>
      <c r="AE535" t="s">
        <v>27</v>
      </c>
      <c r="AF535" t="s">
        <v>27</v>
      </c>
      <c r="AG535">
        <v>33.32</v>
      </c>
    </row>
    <row r="536" spans="1:33" x14ac:dyDescent="0.25">
      <c r="A536" t="s">
        <v>57</v>
      </c>
      <c r="B536" s="3">
        <v>43997</v>
      </c>
      <c r="C536">
        <v>2020167</v>
      </c>
      <c r="D536">
        <v>15.1</v>
      </c>
      <c r="E536" t="s">
        <v>27</v>
      </c>
      <c r="F536">
        <v>4.7</v>
      </c>
      <c r="G536">
        <v>10.4</v>
      </c>
      <c r="H536">
        <v>-0.7</v>
      </c>
      <c r="I536">
        <v>86.7</v>
      </c>
      <c r="J536">
        <v>57.8</v>
      </c>
      <c r="K536">
        <v>0.5</v>
      </c>
      <c r="L536">
        <v>2.2000000000000002</v>
      </c>
      <c r="M536">
        <v>1</v>
      </c>
      <c r="N536">
        <v>0</v>
      </c>
      <c r="O536" t="s">
        <v>27</v>
      </c>
      <c r="P536" t="s">
        <v>27</v>
      </c>
      <c r="Q536" t="s">
        <v>27</v>
      </c>
      <c r="R536" t="s">
        <v>27</v>
      </c>
      <c r="S536">
        <v>8.5</v>
      </c>
      <c r="T536">
        <v>6.7</v>
      </c>
      <c r="U536">
        <v>5.7</v>
      </c>
      <c r="V536" t="s">
        <v>27</v>
      </c>
      <c r="W536">
        <v>0.73</v>
      </c>
      <c r="X536">
        <v>0.53300000000000003</v>
      </c>
      <c r="Y536" t="s">
        <v>27</v>
      </c>
      <c r="Z536" t="s">
        <v>27</v>
      </c>
      <c r="AA536" t="s">
        <v>27</v>
      </c>
      <c r="AB536" t="s">
        <v>27</v>
      </c>
      <c r="AC536" t="s">
        <v>27</v>
      </c>
      <c r="AD536" t="s">
        <v>27</v>
      </c>
      <c r="AE536" t="s">
        <v>27</v>
      </c>
      <c r="AF536" t="s">
        <v>27</v>
      </c>
      <c r="AG536">
        <v>33.33</v>
      </c>
    </row>
    <row r="537" spans="1:33" x14ac:dyDescent="0.25">
      <c r="A537" t="s">
        <v>57</v>
      </c>
      <c r="B537" s="3">
        <v>43998</v>
      </c>
      <c r="C537">
        <v>2020168</v>
      </c>
      <c r="D537">
        <v>18.82</v>
      </c>
      <c r="E537" t="s">
        <v>27</v>
      </c>
      <c r="F537">
        <v>7.1</v>
      </c>
      <c r="G537">
        <v>14.6</v>
      </c>
      <c r="H537">
        <v>1.8</v>
      </c>
      <c r="I537">
        <v>80.2</v>
      </c>
      <c r="J537">
        <v>45.5</v>
      </c>
      <c r="K537">
        <v>0.5</v>
      </c>
      <c r="L537">
        <v>1.9</v>
      </c>
      <c r="M537">
        <v>0</v>
      </c>
      <c r="N537">
        <v>0</v>
      </c>
      <c r="O537" t="s">
        <v>27</v>
      </c>
      <c r="P537" t="s">
        <v>27</v>
      </c>
      <c r="Q537" t="s">
        <v>27</v>
      </c>
      <c r="R537" t="s">
        <v>27</v>
      </c>
      <c r="S537">
        <v>10.3</v>
      </c>
      <c r="T537">
        <v>7.8</v>
      </c>
      <c r="U537">
        <v>5.9</v>
      </c>
      <c r="V537" t="s">
        <v>27</v>
      </c>
      <c r="W537">
        <v>0.75600000000000001</v>
      </c>
      <c r="X537">
        <v>0.90600000000000003</v>
      </c>
      <c r="Y537" t="s">
        <v>27</v>
      </c>
      <c r="Z537" t="s">
        <v>27</v>
      </c>
      <c r="AA537" t="s">
        <v>27</v>
      </c>
      <c r="AB537" t="s">
        <v>27</v>
      </c>
      <c r="AC537" t="s">
        <v>27</v>
      </c>
      <c r="AD537" t="s">
        <v>27</v>
      </c>
      <c r="AE537" t="s">
        <v>27</v>
      </c>
      <c r="AF537" t="s">
        <v>27</v>
      </c>
      <c r="AG537">
        <v>33.340000000000003</v>
      </c>
    </row>
    <row r="538" spans="1:33" x14ac:dyDescent="0.25">
      <c r="A538" t="s">
        <v>57</v>
      </c>
      <c r="B538" s="3">
        <v>43999</v>
      </c>
      <c r="C538">
        <v>2020169</v>
      </c>
      <c r="D538">
        <v>23.39</v>
      </c>
      <c r="E538" t="s">
        <v>27</v>
      </c>
      <c r="F538">
        <v>9.1999999999999993</v>
      </c>
      <c r="G538">
        <v>16.100000000000001</v>
      </c>
      <c r="H538">
        <v>0.9</v>
      </c>
      <c r="I538">
        <v>74.8</v>
      </c>
      <c r="J538">
        <v>40.1</v>
      </c>
      <c r="K538">
        <v>0.6</v>
      </c>
      <c r="L538">
        <v>2.6</v>
      </c>
      <c r="M538">
        <v>1</v>
      </c>
      <c r="N538">
        <v>0</v>
      </c>
      <c r="O538" t="s">
        <v>27</v>
      </c>
      <c r="P538" t="s">
        <v>27</v>
      </c>
      <c r="Q538" t="s">
        <v>27</v>
      </c>
      <c r="R538" t="s">
        <v>27</v>
      </c>
      <c r="S538">
        <v>11.2</v>
      </c>
      <c r="T538">
        <v>8.4</v>
      </c>
      <c r="U538">
        <v>6.2</v>
      </c>
      <c r="V538" t="s">
        <v>27</v>
      </c>
      <c r="W538">
        <v>0.73499999999999999</v>
      </c>
      <c r="X538">
        <v>1.0980000000000001</v>
      </c>
      <c r="Y538" t="s">
        <v>27</v>
      </c>
      <c r="Z538" t="s">
        <v>27</v>
      </c>
      <c r="AA538" t="s">
        <v>27</v>
      </c>
      <c r="AB538" t="s">
        <v>27</v>
      </c>
      <c r="AC538" t="s">
        <v>27</v>
      </c>
      <c r="AD538" t="s">
        <v>27</v>
      </c>
      <c r="AE538" t="s">
        <v>27</v>
      </c>
      <c r="AF538" t="s">
        <v>27</v>
      </c>
      <c r="AG538">
        <v>33.35</v>
      </c>
    </row>
    <row r="539" spans="1:33" x14ac:dyDescent="0.25">
      <c r="A539" t="s">
        <v>57</v>
      </c>
      <c r="B539" s="3">
        <v>44000</v>
      </c>
      <c r="C539">
        <v>2020170</v>
      </c>
      <c r="D539">
        <v>28.72</v>
      </c>
      <c r="E539" t="s">
        <v>27</v>
      </c>
      <c r="F539">
        <v>11.5</v>
      </c>
      <c r="G539">
        <v>20.5</v>
      </c>
      <c r="H539">
        <v>0.9</v>
      </c>
      <c r="I539">
        <v>64.3</v>
      </c>
      <c r="J539">
        <v>26.1</v>
      </c>
      <c r="K539">
        <v>0.5</v>
      </c>
      <c r="L539">
        <v>2.1</v>
      </c>
      <c r="M539">
        <v>0</v>
      </c>
      <c r="N539">
        <v>0</v>
      </c>
      <c r="O539" t="s">
        <v>27</v>
      </c>
      <c r="P539" t="s">
        <v>27</v>
      </c>
      <c r="Q539" t="s">
        <v>27</v>
      </c>
      <c r="R539" t="s">
        <v>27</v>
      </c>
      <c r="S539">
        <v>13.3</v>
      </c>
      <c r="T539">
        <v>9.5</v>
      </c>
      <c r="U539">
        <v>6.6</v>
      </c>
      <c r="V539" t="s">
        <v>27</v>
      </c>
      <c r="W539">
        <v>0.628</v>
      </c>
      <c r="X539">
        <v>1.778</v>
      </c>
      <c r="Y539" t="s">
        <v>27</v>
      </c>
      <c r="Z539" t="s">
        <v>27</v>
      </c>
      <c r="AA539" t="s">
        <v>27</v>
      </c>
      <c r="AB539" t="s">
        <v>27</v>
      </c>
      <c r="AC539" t="s">
        <v>27</v>
      </c>
      <c r="AD539" t="s">
        <v>27</v>
      </c>
      <c r="AE539" t="s">
        <v>27</v>
      </c>
      <c r="AF539" t="s">
        <v>27</v>
      </c>
      <c r="AG539">
        <v>33.35</v>
      </c>
    </row>
    <row r="540" spans="1:33" x14ac:dyDescent="0.25">
      <c r="A540" t="s">
        <v>57</v>
      </c>
      <c r="B540" s="3">
        <v>44001</v>
      </c>
      <c r="C540">
        <v>2020171</v>
      </c>
      <c r="D540">
        <v>24.1</v>
      </c>
      <c r="E540" t="s">
        <v>27</v>
      </c>
      <c r="F540">
        <v>14</v>
      </c>
      <c r="G540">
        <v>21.7</v>
      </c>
      <c r="H540">
        <v>2.9</v>
      </c>
      <c r="I540">
        <v>61.1</v>
      </c>
      <c r="J540">
        <v>28.8</v>
      </c>
      <c r="K540">
        <v>0.6</v>
      </c>
      <c r="L540">
        <v>2.8</v>
      </c>
      <c r="M540">
        <v>0</v>
      </c>
      <c r="N540">
        <v>0</v>
      </c>
      <c r="O540" t="s">
        <v>27</v>
      </c>
      <c r="P540" t="s">
        <v>27</v>
      </c>
      <c r="Q540" t="s">
        <v>27</v>
      </c>
      <c r="R540" t="s">
        <v>27</v>
      </c>
      <c r="S540">
        <v>14.5</v>
      </c>
      <c r="T540">
        <v>10.4</v>
      </c>
      <c r="U540">
        <v>7.2</v>
      </c>
      <c r="V540" t="s">
        <v>27</v>
      </c>
      <c r="W540">
        <v>0.749</v>
      </c>
      <c r="X540">
        <v>1.8520000000000001</v>
      </c>
      <c r="Y540" t="s">
        <v>27</v>
      </c>
      <c r="Z540" t="s">
        <v>27</v>
      </c>
      <c r="AA540" t="s">
        <v>27</v>
      </c>
      <c r="AB540" t="s">
        <v>27</v>
      </c>
      <c r="AC540" t="s">
        <v>27</v>
      </c>
      <c r="AD540" t="s">
        <v>27</v>
      </c>
      <c r="AE540" t="s">
        <v>27</v>
      </c>
      <c r="AF540" t="s">
        <v>27</v>
      </c>
      <c r="AG540">
        <v>33.340000000000003</v>
      </c>
    </row>
    <row r="541" spans="1:33" x14ac:dyDescent="0.25">
      <c r="A541" t="s">
        <v>57</v>
      </c>
      <c r="B541" s="3">
        <v>44002</v>
      </c>
      <c r="C541">
        <v>2020172</v>
      </c>
      <c r="D541">
        <v>10.95</v>
      </c>
      <c r="E541" t="s">
        <v>27</v>
      </c>
      <c r="F541">
        <v>11.7</v>
      </c>
      <c r="G541">
        <v>16.2</v>
      </c>
      <c r="H541">
        <v>8.4</v>
      </c>
      <c r="I541">
        <v>82.9</v>
      </c>
      <c r="J541">
        <v>59.1</v>
      </c>
      <c r="K541">
        <v>0.4</v>
      </c>
      <c r="L541">
        <v>2.2000000000000002</v>
      </c>
      <c r="M541">
        <v>2</v>
      </c>
      <c r="N541">
        <v>0</v>
      </c>
      <c r="O541" t="s">
        <v>27</v>
      </c>
      <c r="P541" t="s">
        <v>27</v>
      </c>
      <c r="Q541" t="s">
        <v>27</v>
      </c>
      <c r="R541" t="s">
        <v>27</v>
      </c>
      <c r="S541">
        <v>13.3</v>
      </c>
      <c r="T541">
        <v>10.9</v>
      </c>
      <c r="U541">
        <v>7.9</v>
      </c>
      <c r="V541" t="s">
        <v>27</v>
      </c>
      <c r="W541">
        <v>1.085</v>
      </c>
      <c r="X541">
        <v>0.751</v>
      </c>
      <c r="Y541" t="s">
        <v>27</v>
      </c>
      <c r="Z541" t="s">
        <v>27</v>
      </c>
      <c r="AA541" t="s">
        <v>27</v>
      </c>
      <c r="AB541" t="s">
        <v>27</v>
      </c>
      <c r="AC541" t="s">
        <v>27</v>
      </c>
      <c r="AD541" t="s">
        <v>27</v>
      </c>
      <c r="AE541" t="s">
        <v>27</v>
      </c>
      <c r="AF541" t="s">
        <v>27</v>
      </c>
      <c r="AG541">
        <v>33.33</v>
      </c>
    </row>
    <row r="542" spans="1:33" x14ac:dyDescent="0.25">
      <c r="A542" t="s">
        <v>57</v>
      </c>
      <c r="B542" s="3">
        <v>44003</v>
      </c>
      <c r="C542">
        <v>2020173</v>
      </c>
      <c r="D542">
        <v>24.44</v>
      </c>
      <c r="E542" t="s">
        <v>27</v>
      </c>
      <c r="F542">
        <v>11.8</v>
      </c>
      <c r="G542">
        <v>19.399999999999999</v>
      </c>
      <c r="H542">
        <v>4.8</v>
      </c>
      <c r="I542">
        <v>68.900000000000006</v>
      </c>
      <c r="J542">
        <v>39.299999999999997</v>
      </c>
      <c r="K542">
        <v>0.4</v>
      </c>
      <c r="L542">
        <v>3</v>
      </c>
      <c r="M542">
        <v>0</v>
      </c>
      <c r="N542">
        <v>0</v>
      </c>
      <c r="O542" t="s">
        <v>27</v>
      </c>
      <c r="P542" t="s">
        <v>27</v>
      </c>
      <c r="Q542" t="s">
        <v>27</v>
      </c>
      <c r="R542" t="s">
        <v>27</v>
      </c>
      <c r="S542">
        <v>14.3</v>
      </c>
      <c r="T542">
        <v>11</v>
      </c>
      <c r="U542">
        <v>8.1</v>
      </c>
      <c r="V542" t="s">
        <v>27</v>
      </c>
      <c r="W542">
        <v>0.88200000000000001</v>
      </c>
      <c r="X542">
        <v>1.3620000000000001</v>
      </c>
      <c r="Y542" t="s">
        <v>27</v>
      </c>
      <c r="Z542" t="s">
        <v>27</v>
      </c>
      <c r="AA542" t="s">
        <v>27</v>
      </c>
      <c r="AB542" t="s">
        <v>27</v>
      </c>
      <c r="AC542" t="s">
        <v>27</v>
      </c>
      <c r="AD542" t="s">
        <v>27</v>
      </c>
      <c r="AE542" t="s">
        <v>27</v>
      </c>
      <c r="AF542" t="s">
        <v>27</v>
      </c>
      <c r="AG542">
        <v>33.32</v>
      </c>
    </row>
    <row r="543" spans="1:33" x14ac:dyDescent="0.25">
      <c r="A543" t="s">
        <v>57</v>
      </c>
      <c r="B543" s="3">
        <v>44004</v>
      </c>
      <c r="C543">
        <v>2020174</v>
      </c>
      <c r="D543">
        <v>25.26</v>
      </c>
      <c r="E543" t="s">
        <v>27</v>
      </c>
      <c r="F543">
        <v>12.7</v>
      </c>
      <c r="G543">
        <v>21.8</v>
      </c>
      <c r="H543">
        <v>0.9</v>
      </c>
      <c r="I543">
        <v>62.8</v>
      </c>
      <c r="J543">
        <v>33.799999999999997</v>
      </c>
      <c r="K543">
        <v>0.6</v>
      </c>
      <c r="L543">
        <v>3.1</v>
      </c>
      <c r="M543">
        <v>0</v>
      </c>
      <c r="N543">
        <v>0</v>
      </c>
      <c r="O543" t="s">
        <v>27</v>
      </c>
      <c r="P543" t="s">
        <v>27</v>
      </c>
      <c r="Q543" t="s">
        <v>27</v>
      </c>
      <c r="R543" t="s">
        <v>27</v>
      </c>
      <c r="S543">
        <v>14.2</v>
      </c>
      <c r="T543">
        <v>11.1</v>
      </c>
      <c r="U543">
        <v>8.3000000000000007</v>
      </c>
      <c r="V543" t="s">
        <v>27</v>
      </c>
      <c r="W543">
        <v>0.88300000000000001</v>
      </c>
      <c r="X543">
        <v>1.7290000000000001</v>
      </c>
      <c r="Y543" t="s">
        <v>27</v>
      </c>
      <c r="Z543" t="s">
        <v>27</v>
      </c>
      <c r="AA543" t="s">
        <v>27</v>
      </c>
      <c r="AB543" t="s">
        <v>27</v>
      </c>
      <c r="AC543" t="s">
        <v>27</v>
      </c>
      <c r="AD543" t="s">
        <v>27</v>
      </c>
      <c r="AE543" t="s">
        <v>27</v>
      </c>
      <c r="AF543" t="s">
        <v>27</v>
      </c>
      <c r="AG543">
        <v>33.299999999999997</v>
      </c>
    </row>
    <row r="544" spans="1:33" x14ac:dyDescent="0.25">
      <c r="A544" t="s">
        <v>57</v>
      </c>
      <c r="B544" s="3">
        <v>44005</v>
      </c>
      <c r="C544">
        <v>2020175</v>
      </c>
      <c r="D544">
        <v>17.690000000000001</v>
      </c>
      <c r="E544" t="s">
        <v>27</v>
      </c>
      <c r="F544">
        <v>13.4</v>
      </c>
      <c r="G544">
        <v>23.1</v>
      </c>
      <c r="H544">
        <v>6.1</v>
      </c>
      <c r="I544">
        <v>80.099999999999994</v>
      </c>
      <c r="J544">
        <v>38.700000000000003</v>
      </c>
      <c r="K544">
        <v>0.2</v>
      </c>
      <c r="L544">
        <v>2.8</v>
      </c>
      <c r="M544">
        <v>3</v>
      </c>
      <c r="N544">
        <v>0</v>
      </c>
      <c r="O544" t="s">
        <v>27</v>
      </c>
      <c r="P544" t="s">
        <v>27</v>
      </c>
      <c r="Q544" t="s">
        <v>27</v>
      </c>
      <c r="R544" t="s">
        <v>27</v>
      </c>
      <c r="S544">
        <v>15.2</v>
      </c>
      <c r="T544">
        <v>11.8</v>
      </c>
      <c r="U544">
        <v>8.6999999999999993</v>
      </c>
      <c r="V544" t="s">
        <v>27</v>
      </c>
      <c r="W544">
        <v>1.095</v>
      </c>
      <c r="X544">
        <v>1.734</v>
      </c>
      <c r="Y544" t="s">
        <v>27</v>
      </c>
      <c r="Z544" t="s">
        <v>27</v>
      </c>
      <c r="AA544" t="s">
        <v>27</v>
      </c>
      <c r="AB544" t="s">
        <v>27</v>
      </c>
      <c r="AC544" t="s">
        <v>27</v>
      </c>
      <c r="AD544" t="s">
        <v>27</v>
      </c>
      <c r="AE544" t="s">
        <v>27</v>
      </c>
      <c r="AF544" t="s">
        <v>27</v>
      </c>
      <c r="AG544">
        <v>33.270000000000003</v>
      </c>
    </row>
    <row r="545" spans="1:33" x14ac:dyDescent="0.25">
      <c r="A545" t="s">
        <v>57</v>
      </c>
      <c r="B545" s="3">
        <v>44006</v>
      </c>
      <c r="C545">
        <v>2020176</v>
      </c>
      <c r="D545">
        <v>14.64</v>
      </c>
      <c r="E545" t="s">
        <v>27</v>
      </c>
      <c r="F545">
        <v>12</v>
      </c>
      <c r="G545">
        <v>17.5</v>
      </c>
      <c r="H545">
        <v>6.7</v>
      </c>
      <c r="I545">
        <v>88.3</v>
      </c>
      <c r="J545">
        <v>54.1</v>
      </c>
      <c r="K545">
        <v>0.3</v>
      </c>
      <c r="L545">
        <v>2.7</v>
      </c>
      <c r="M545">
        <v>12</v>
      </c>
      <c r="N545">
        <v>0</v>
      </c>
      <c r="O545" t="s">
        <v>27</v>
      </c>
      <c r="P545" t="s">
        <v>27</v>
      </c>
      <c r="Q545" t="s">
        <v>27</v>
      </c>
      <c r="R545" t="s">
        <v>27</v>
      </c>
      <c r="S545">
        <v>14.3</v>
      </c>
      <c r="T545">
        <v>12</v>
      </c>
      <c r="U545">
        <v>9.1</v>
      </c>
      <c r="V545" t="s">
        <v>27</v>
      </c>
      <c r="W545">
        <v>1.0840000000000001</v>
      </c>
      <c r="X545">
        <v>0.92</v>
      </c>
      <c r="Y545" t="s">
        <v>27</v>
      </c>
      <c r="Z545" t="s">
        <v>27</v>
      </c>
      <c r="AA545" t="s">
        <v>27</v>
      </c>
      <c r="AB545" t="s">
        <v>27</v>
      </c>
      <c r="AC545" t="s">
        <v>27</v>
      </c>
      <c r="AD545" t="s">
        <v>27</v>
      </c>
      <c r="AE545" t="s">
        <v>27</v>
      </c>
      <c r="AF545" t="s">
        <v>27</v>
      </c>
      <c r="AG545">
        <v>33.25</v>
      </c>
    </row>
    <row r="546" spans="1:33" x14ac:dyDescent="0.25">
      <c r="A546" t="s">
        <v>57</v>
      </c>
      <c r="B546" s="3">
        <v>44007</v>
      </c>
      <c r="C546">
        <v>2020177</v>
      </c>
      <c r="D546">
        <v>29.77</v>
      </c>
      <c r="E546" t="s">
        <v>27</v>
      </c>
      <c r="F546">
        <v>14.6</v>
      </c>
      <c r="G546">
        <v>22.9</v>
      </c>
      <c r="H546">
        <v>5.5</v>
      </c>
      <c r="I546">
        <v>67.900000000000006</v>
      </c>
      <c r="J546">
        <v>29.2</v>
      </c>
      <c r="K546">
        <v>0.2</v>
      </c>
      <c r="L546">
        <v>2.5</v>
      </c>
      <c r="M546">
        <v>1</v>
      </c>
      <c r="N546">
        <v>0</v>
      </c>
      <c r="O546" t="s">
        <v>27</v>
      </c>
      <c r="P546" t="s">
        <v>27</v>
      </c>
      <c r="Q546" t="s">
        <v>27</v>
      </c>
      <c r="R546" t="s">
        <v>27</v>
      </c>
      <c r="S546">
        <v>16.5</v>
      </c>
      <c r="T546">
        <v>12.4</v>
      </c>
      <c r="U546">
        <v>9.3000000000000007</v>
      </c>
      <c r="V546" t="s">
        <v>27</v>
      </c>
      <c r="W546">
        <v>0.81399999999999995</v>
      </c>
      <c r="X546">
        <v>1.974</v>
      </c>
      <c r="Y546" t="s">
        <v>27</v>
      </c>
      <c r="Z546" t="s">
        <v>27</v>
      </c>
      <c r="AA546" t="s">
        <v>27</v>
      </c>
      <c r="AB546" t="s">
        <v>27</v>
      </c>
      <c r="AC546" t="s">
        <v>27</v>
      </c>
      <c r="AD546" t="s">
        <v>27</v>
      </c>
      <c r="AE546" t="s">
        <v>27</v>
      </c>
      <c r="AF546" t="s">
        <v>27</v>
      </c>
      <c r="AG546">
        <v>33.22</v>
      </c>
    </row>
    <row r="547" spans="1:33" x14ac:dyDescent="0.25">
      <c r="A547" t="s">
        <v>57</v>
      </c>
      <c r="B547" s="3">
        <v>44008</v>
      </c>
      <c r="C547">
        <v>2020178</v>
      </c>
      <c r="D547">
        <v>16.93</v>
      </c>
      <c r="E547" t="s">
        <v>27</v>
      </c>
      <c r="F547">
        <v>13.9</v>
      </c>
      <c r="G547">
        <v>19.8</v>
      </c>
      <c r="H547">
        <v>7</v>
      </c>
      <c r="I547">
        <v>62.3</v>
      </c>
      <c r="J547">
        <v>40.700000000000003</v>
      </c>
      <c r="K547">
        <v>0.9</v>
      </c>
      <c r="L547">
        <v>4.4000000000000004</v>
      </c>
      <c r="M547">
        <v>0</v>
      </c>
      <c r="N547">
        <v>0</v>
      </c>
      <c r="O547" t="s">
        <v>27</v>
      </c>
      <c r="P547" t="s">
        <v>27</v>
      </c>
      <c r="Q547" t="s">
        <v>27</v>
      </c>
      <c r="R547" t="s">
        <v>27</v>
      </c>
      <c r="S547">
        <v>14.7</v>
      </c>
      <c r="T547">
        <v>12.8</v>
      </c>
      <c r="U547">
        <v>9.8000000000000007</v>
      </c>
      <c r="V547" t="s">
        <v>27</v>
      </c>
      <c r="W547">
        <v>0.93700000000000006</v>
      </c>
      <c r="X547">
        <v>1.365</v>
      </c>
      <c r="Y547" t="s">
        <v>27</v>
      </c>
      <c r="Z547" t="s">
        <v>27</v>
      </c>
      <c r="AA547" t="s">
        <v>27</v>
      </c>
      <c r="AB547" t="s">
        <v>27</v>
      </c>
      <c r="AC547" t="s">
        <v>27</v>
      </c>
      <c r="AD547" t="s">
        <v>27</v>
      </c>
      <c r="AE547" t="s">
        <v>27</v>
      </c>
      <c r="AF547" t="s">
        <v>27</v>
      </c>
      <c r="AG547">
        <v>33.18</v>
      </c>
    </row>
    <row r="548" spans="1:33" x14ac:dyDescent="0.25">
      <c r="A548" t="s">
        <v>57</v>
      </c>
      <c r="B548" s="3">
        <v>44009</v>
      </c>
      <c r="C548">
        <v>2020179</v>
      </c>
      <c r="D548">
        <v>21.64</v>
      </c>
      <c r="E548" t="s">
        <v>27</v>
      </c>
      <c r="F548">
        <v>8.1999999999999993</v>
      </c>
      <c r="G548">
        <v>13.9</v>
      </c>
      <c r="H548">
        <v>4.5999999999999996</v>
      </c>
      <c r="I548">
        <v>74.900000000000006</v>
      </c>
      <c r="J548">
        <v>42.8</v>
      </c>
      <c r="K548">
        <v>1</v>
      </c>
      <c r="L548">
        <v>3.7</v>
      </c>
      <c r="M548">
        <v>3</v>
      </c>
      <c r="N548">
        <v>0</v>
      </c>
      <c r="O548" t="s">
        <v>27</v>
      </c>
      <c r="P548" t="s">
        <v>27</v>
      </c>
      <c r="Q548" t="s">
        <v>27</v>
      </c>
      <c r="R548" t="s">
        <v>27</v>
      </c>
      <c r="S548">
        <v>12.3</v>
      </c>
      <c r="T548">
        <v>11.7</v>
      </c>
      <c r="U548">
        <v>9.8000000000000007</v>
      </c>
      <c r="V548" t="s">
        <v>27</v>
      </c>
      <c r="W548">
        <v>0.68100000000000005</v>
      </c>
      <c r="X548">
        <v>0.91</v>
      </c>
      <c r="Y548" t="s">
        <v>27</v>
      </c>
      <c r="Z548" t="s">
        <v>27</v>
      </c>
      <c r="AA548" t="s">
        <v>27</v>
      </c>
      <c r="AB548" t="s">
        <v>27</v>
      </c>
      <c r="AC548" t="s">
        <v>27</v>
      </c>
      <c r="AD548" t="s">
        <v>27</v>
      </c>
      <c r="AE548" t="s">
        <v>27</v>
      </c>
      <c r="AF548" t="s">
        <v>27</v>
      </c>
      <c r="AG548">
        <v>33.14</v>
      </c>
    </row>
    <row r="549" spans="1:33" x14ac:dyDescent="0.25">
      <c r="A549" t="s">
        <v>57</v>
      </c>
      <c r="B549" s="3">
        <v>44010</v>
      </c>
      <c r="C549">
        <v>2020180</v>
      </c>
      <c r="D549">
        <v>14.95</v>
      </c>
      <c r="E549" t="s">
        <v>27</v>
      </c>
      <c r="F549">
        <v>7</v>
      </c>
      <c r="G549">
        <v>13.2</v>
      </c>
      <c r="H549">
        <v>4.2</v>
      </c>
      <c r="I549">
        <v>88.4</v>
      </c>
      <c r="J549">
        <v>63.7</v>
      </c>
      <c r="K549">
        <v>0.8</v>
      </c>
      <c r="L549">
        <v>2.8</v>
      </c>
      <c r="M549">
        <v>1</v>
      </c>
      <c r="N549">
        <v>0</v>
      </c>
      <c r="O549" t="s">
        <v>27</v>
      </c>
      <c r="P549" t="s">
        <v>27</v>
      </c>
      <c r="Q549" t="s">
        <v>27</v>
      </c>
      <c r="R549" t="s">
        <v>27</v>
      </c>
      <c r="S549">
        <v>11.2</v>
      </c>
      <c r="T549">
        <v>10.7</v>
      </c>
      <c r="U549">
        <v>9.6</v>
      </c>
      <c r="V549" t="s">
        <v>27</v>
      </c>
      <c r="W549">
        <v>0.96399999999999997</v>
      </c>
      <c r="X549">
        <v>0.54900000000000004</v>
      </c>
      <c r="Y549" t="s">
        <v>27</v>
      </c>
      <c r="Z549" t="s">
        <v>27</v>
      </c>
      <c r="AA549" t="s">
        <v>27</v>
      </c>
      <c r="AB549" t="s">
        <v>27</v>
      </c>
      <c r="AC549" t="s">
        <v>27</v>
      </c>
      <c r="AD549" t="s">
        <v>27</v>
      </c>
      <c r="AE549" t="s">
        <v>27</v>
      </c>
      <c r="AF549" t="s">
        <v>27</v>
      </c>
      <c r="AG549">
        <v>33.1</v>
      </c>
    </row>
    <row r="550" spans="1:33" x14ac:dyDescent="0.25">
      <c r="A550" t="s">
        <v>57</v>
      </c>
      <c r="B550" s="3">
        <v>44011</v>
      </c>
      <c r="C550">
        <v>2020181</v>
      </c>
      <c r="D550">
        <v>28.18</v>
      </c>
      <c r="E550" t="s">
        <v>27</v>
      </c>
      <c r="F550">
        <v>11.6</v>
      </c>
      <c r="G550">
        <v>19.5</v>
      </c>
      <c r="H550">
        <v>3.9</v>
      </c>
      <c r="I550">
        <v>69.599999999999994</v>
      </c>
      <c r="J550">
        <v>31.9</v>
      </c>
      <c r="K550">
        <v>0.7</v>
      </c>
      <c r="L550">
        <v>2.7</v>
      </c>
      <c r="M550">
        <v>9</v>
      </c>
      <c r="N550">
        <v>0</v>
      </c>
      <c r="O550" t="s">
        <v>27</v>
      </c>
      <c r="P550" t="s">
        <v>27</v>
      </c>
      <c r="Q550" t="s">
        <v>27</v>
      </c>
      <c r="R550" t="s">
        <v>27</v>
      </c>
      <c r="S550">
        <v>14.3</v>
      </c>
      <c r="T550">
        <v>11.3</v>
      </c>
      <c r="U550">
        <v>9.3000000000000007</v>
      </c>
      <c r="V550" t="s">
        <v>27</v>
      </c>
      <c r="W550">
        <v>0.72199999999999998</v>
      </c>
      <c r="X550">
        <v>1.5409999999999999</v>
      </c>
      <c r="Y550" t="s">
        <v>27</v>
      </c>
      <c r="Z550" t="s">
        <v>27</v>
      </c>
      <c r="AA550" t="s">
        <v>27</v>
      </c>
      <c r="AB550" t="s">
        <v>27</v>
      </c>
      <c r="AC550" t="s">
        <v>27</v>
      </c>
      <c r="AD550" t="s">
        <v>27</v>
      </c>
      <c r="AE550" t="s">
        <v>27</v>
      </c>
      <c r="AF550" t="s">
        <v>27</v>
      </c>
      <c r="AG550">
        <v>33.049999999999997</v>
      </c>
    </row>
    <row r="551" spans="1:33" x14ac:dyDescent="0.25">
      <c r="A551" t="s">
        <v>57</v>
      </c>
      <c r="B551" s="3">
        <v>44012</v>
      </c>
      <c r="C551">
        <v>2020182</v>
      </c>
      <c r="D551">
        <v>14.16</v>
      </c>
      <c r="E551" t="s">
        <v>27</v>
      </c>
      <c r="F551">
        <v>7.7</v>
      </c>
      <c r="G551">
        <v>12</v>
      </c>
      <c r="H551">
        <v>4.7</v>
      </c>
      <c r="I551">
        <v>88.4</v>
      </c>
      <c r="J551">
        <v>63.6</v>
      </c>
      <c r="K551">
        <v>0.7</v>
      </c>
      <c r="L551">
        <v>2.8</v>
      </c>
      <c r="M551">
        <v>10</v>
      </c>
      <c r="N551">
        <v>0</v>
      </c>
      <c r="O551" t="s">
        <v>27</v>
      </c>
      <c r="P551" t="s">
        <v>27</v>
      </c>
      <c r="Q551" t="s">
        <v>27</v>
      </c>
      <c r="R551" t="s">
        <v>27</v>
      </c>
      <c r="S551">
        <v>11.7</v>
      </c>
      <c r="T551">
        <v>11.2</v>
      </c>
      <c r="U551">
        <v>9.6</v>
      </c>
      <c r="V551" t="s">
        <v>27</v>
      </c>
      <c r="W551">
        <v>0.88900000000000001</v>
      </c>
      <c r="X551">
        <v>0.50900000000000001</v>
      </c>
      <c r="Y551" t="s">
        <v>27</v>
      </c>
      <c r="Z551" t="s">
        <v>27</v>
      </c>
      <c r="AA551" t="s">
        <v>27</v>
      </c>
      <c r="AB551" t="s">
        <v>27</v>
      </c>
      <c r="AC551" t="s">
        <v>27</v>
      </c>
      <c r="AD551" t="s">
        <v>27</v>
      </c>
      <c r="AE551" t="s">
        <v>27</v>
      </c>
      <c r="AF551" t="s">
        <v>27</v>
      </c>
      <c r="AG551">
        <v>33</v>
      </c>
    </row>
    <row r="552" spans="1:33" x14ac:dyDescent="0.25">
      <c r="A552" t="s">
        <v>57</v>
      </c>
      <c r="B552" s="3">
        <v>44013</v>
      </c>
      <c r="C552">
        <v>2020183</v>
      </c>
      <c r="D552">
        <v>11.95</v>
      </c>
      <c r="E552" t="s">
        <v>27</v>
      </c>
      <c r="F552">
        <v>5.4</v>
      </c>
      <c r="G552">
        <v>9.4</v>
      </c>
      <c r="H552">
        <v>3.7</v>
      </c>
      <c r="I552">
        <v>91.7</v>
      </c>
      <c r="J552">
        <v>72.2</v>
      </c>
      <c r="K552">
        <v>1.2</v>
      </c>
      <c r="L552">
        <v>3.5</v>
      </c>
      <c r="M552">
        <v>22</v>
      </c>
      <c r="N552">
        <v>0</v>
      </c>
      <c r="O552" t="s">
        <v>27</v>
      </c>
      <c r="P552" t="s">
        <v>27</v>
      </c>
      <c r="Q552" t="s">
        <v>27</v>
      </c>
      <c r="R552" t="s">
        <v>27</v>
      </c>
      <c r="S552">
        <v>10.3</v>
      </c>
      <c r="T552">
        <v>10.4</v>
      </c>
      <c r="U552">
        <v>9.5</v>
      </c>
      <c r="V552" t="s">
        <v>27</v>
      </c>
      <c r="W552">
        <v>0.85299999999999998</v>
      </c>
      <c r="X552">
        <v>0.32800000000000001</v>
      </c>
      <c r="Y552" t="s">
        <v>27</v>
      </c>
      <c r="Z552" t="s">
        <v>27</v>
      </c>
      <c r="AA552" t="s">
        <v>27</v>
      </c>
      <c r="AB552" t="s">
        <v>27</v>
      </c>
      <c r="AC552" t="s">
        <v>27</v>
      </c>
      <c r="AD552" t="s">
        <v>27</v>
      </c>
      <c r="AE552" t="s">
        <v>27</v>
      </c>
      <c r="AF552" t="s">
        <v>27</v>
      </c>
      <c r="AG552">
        <v>32.950000000000003</v>
      </c>
    </row>
    <row r="553" spans="1:33" x14ac:dyDescent="0.25">
      <c r="A553" t="s">
        <v>57</v>
      </c>
      <c r="B553" s="3">
        <v>44014</v>
      </c>
      <c r="C553">
        <v>2020184</v>
      </c>
      <c r="D553">
        <v>16.18</v>
      </c>
      <c r="E553" t="s">
        <v>27</v>
      </c>
      <c r="F553">
        <v>8</v>
      </c>
      <c r="G553">
        <v>13.8</v>
      </c>
      <c r="H553">
        <v>3.8</v>
      </c>
      <c r="I553">
        <v>81</v>
      </c>
      <c r="J553">
        <v>49.9</v>
      </c>
      <c r="K553">
        <v>1</v>
      </c>
      <c r="L553">
        <v>3.1</v>
      </c>
      <c r="M553">
        <v>7</v>
      </c>
      <c r="N553">
        <v>0</v>
      </c>
      <c r="O553" t="s">
        <v>27</v>
      </c>
      <c r="P553" t="s">
        <v>27</v>
      </c>
      <c r="Q553" t="s">
        <v>27</v>
      </c>
      <c r="R553" t="s">
        <v>27</v>
      </c>
      <c r="S553">
        <v>12</v>
      </c>
      <c r="T553">
        <v>10.1</v>
      </c>
      <c r="U553">
        <v>9.1999999999999993</v>
      </c>
      <c r="V553" t="s">
        <v>27</v>
      </c>
      <c r="W553">
        <v>0.78900000000000003</v>
      </c>
      <c r="X553">
        <v>0.79200000000000004</v>
      </c>
      <c r="Y553" t="s">
        <v>27</v>
      </c>
      <c r="Z553" t="s">
        <v>27</v>
      </c>
      <c r="AA553" t="s">
        <v>27</v>
      </c>
      <c r="AB553" t="s">
        <v>27</v>
      </c>
      <c r="AC553" t="s">
        <v>27</v>
      </c>
      <c r="AD553" t="s">
        <v>27</v>
      </c>
      <c r="AE553" t="s">
        <v>27</v>
      </c>
      <c r="AF553" t="s">
        <v>27</v>
      </c>
      <c r="AG553">
        <v>32.9</v>
      </c>
    </row>
    <row r="554" spans="1:33" x14ac:dyDescent="0.25">
      <c r="A554" t="s">
        <v>57</v>
      </c>
      <c r="B554" s="3">
        <v>44015</v>
      </c>
      <c r="C554">
        <v>2020185</v>
      </c>
      <c r="D554">
        <v>15.54</v>
      </c>
      <c r="E554" t="s">
        <v>27</v>
      </c>
      <c r="F554">
        <v>8</v>
      </c>
      <c r="G554">
        <v>13.2</v>
      </c>
      <c r="H554">
        <v>0.5</v>
      </c>
      <c r="I554">
        <v>74.3</v>
      </c>
      <c r="J554">
        <v>41.8</v>
      </c>
      <c r="K554">
        <v>0.6</v>
      </c>
      <c r="L554">
        <v>2.2000000000000002</v>
      </c>
      <c r="M554">
        <v>0</v>
      </c>
      <c r="N554">
        <v>0</v>
      </c>
      <c r="O554" t="s">
        <v>27</v>
      </c>
      <c r="P554" t="s">
        <v>27</v>
      </c>
      <c r="Q554" t="s">
        <v>27</v>
      </c>
      <c r="R554" t="s">
        <v>27</v>
      </c>
      <c r="S554">
        <v>10.5</v>
      </c>
      <c r="T554">
        <v>10.1</v>
      </c>
      <c r="U554">
        <v>9.1</v>
      </c>
      <c r="V554" t="s">
        <v>27</v>
      </c>
      <c r="W554">
        <v>0.63600000000000001</v>
      </c>
      <c r="X554">
        <v>0.88600000000000001</v>
      </c>
      <c r="Y554" t="s">
        <v>27</v>
      </c>
      <c r="Z554" t="s">
        <v>27</v>
      </c>
      <c r="AA554" t="s">
        <v>27</v>
      </c>
      <c r="AB554" t="s">
        <v>27</v>
      </c>
      <c r="AC554" t="s">
        <v>27</v>
      </c>
      <c r="AD554" t="s">
        <v>27</v>
      </c>
      <c r="AE554" t="s">
        <v>27</v>
      </c>
      <c r="AF554" t="s">
        <v>27</v>
      </c>
      <c r="AG554">
        <v>32.840000000000003</v>
      </c>
    </row>
    <row r="555" spans="1:33" x14ac:dyDescent="0.25">
      <c r="A555" t="s">
        <v>57</v>
      </c>
      <c r="B555" s="3">
        <v>44016</v>
      </c>
      <c r="C555">
        <v>2020186</v>
      </c>
      <c r="D555">
        <v>20.98</v>
      </c>
      <c r="E555" t="s">
        <v>27</v>
      </c>
      <c r="F555">
        <v>8.1999999999999993</v>
      </c>
      <c r="G555">
        <v>15.7</v>
      </c>
      <c r="H555">
        <v>2.4</v>
      </c>
      <c r="I555">
        <v>71.3</v>
      </c>
      <c r="J555">
        <v>42.7</v>
      </c>
      <c r="K555">
        <v>0.7</v>
      </c>
      <c r="L555">
        <v>2.7</v>
      </c>
      <c r="M555">
        <v>0</v>
      </c>
      <c r="N555">
        <v>0</v>
      </c>
      <c r="O555" t="s">
        <v>27</v>
      </c>
      <c r="P555" t="s">
        <v>27</v>
      </c>
      <c r="Q555" t="s">
        <v>27</v>
      </c>
      <c r="R555" t="s">
        <v>27</v>
      </c>
      <c r="S555">
        <v>11.1</v>
      </c>
      <c r="T555">
        <v>10.199999999999999</v>
      </c>
      <c r="U555">
        <v>9</v>
      </c>
      <c r="V555" t="s">
        <v>27</v>
      </c>
      <c r="W555">
        <v>0.76200000000000001</v>
      </c>
      <c r="X555">
        <v>1.0229999999999999</v>
      </c>
      <c r="Y555" t="s">
        <v>27</v>
      </c>
      <c r="Z555" t="s">
        <v>27</v>
      </c>
      <c r="AA555" t="s">
        <v>27</v>
      </c>
      <c r="AB555" t="s">
        <v>27</v>
      </c>
      <c r="AC555" t="s">
        <v>27</v>
      </c>
      <c r="AD555" t="s">
        <v>27</v>
      </c>
      <c r="AE555" t="s">
        <v>27</v>
      </c>
      <c r="AF555" t="s">
        <v>27</v>
      </c>
      <c r="AG555">
        <v>32.78</v>
      </c>
    </row>
    <row r="556" spans="1:33" x14ac:dyDescent="0.25">
      <c r="A556" t="s">
        <v>57</v>
      </c>
      <c r="B556" s="3">
        <v>44017</v>
      </c>
      <c r="C556">
        <v>2020187</v>
      </c>
      <c r="D556">
        <v>20.05</v>
      </c>
      <c r="E556" t="s">
        <v>27</v>
      </c>
      <c r="F556">
        <v>11.5</v>
      </c>
      <c r="G556">
        <v>20.5</v>
      </c>
      <c r="H556">
        <v>1.7</v>
      </c>
      <c r="I556">
        <v>67.2</v>
      </c>
      <c r="J556">
        <v>28.4</v>
      </c>
      <c r="K556">
        <v>0.3</v>
      </c>
      <c r="L556">
        <v>1.8</v>
      </c>
      <c r="M556">
        <v>0</v>
      </c>
      <c r="N556">
        <v>0</v>
      </c>
      <c r="O556" t="s">
        <v>27</v>
      </c>
      <c r="P556" t="s">
        <v>27</v>
      </c>
      <c r="Q556" t="s">
        <v>27</v>
      </c>
      <c r="R556" t="s">
        <v>27</v>
      </c>
      <c r="S556">
        <v>11.2</v>
      </c>
      <c r="T556">
        <v>9.9</v>
      </c>
      <c r="U556">
        <v>9</v>
      </c>
      <c r="V556" t="s">
        <v>27</v>
      </c>
      <c r="W556">
        <v>0.68300000000000005</v>
      </c>
      <c r="X556">
        <v>1.722</v>
      </c>
      <c r="Y556" t="s">
        <v>27</v>
      </c>
      <c r="Z556" t="s">
        <v>27</v>
      </c>
      <c r="AA556" t="s">
        <v>27</v>
      </c>
      <c r="AB556" t="s">
        <v>27</v>
      </c>
      <c r="AC556" t="s">
        <v>27</v>
      </c>
      <c r="AD556" t="s">
        <v>27</v>
      </c>
      <c r="AE556" t="s">
        <v>27</v>
      </c>
      <c r="AF556" t="s">
        <v>27</v>
      </c>
      <c r="AG556">
        <v>32.71</v>
      </c>
    </row>
    <row r="557" spans="1:33" x14ac:dyDescent="0.25">
      <c r="A557" t="s">
        <v>57</v>
      </c>
      <c r="B557" s="3">
        <v>44018</v>
      </c>
      <c r="C557">
        <v>2020188</v>
      </c>
      <c r="D557">
        <v>19.97</v>
      </c>
      <c r="E557" t="s">
        <v>27</v>
      </c>
      <c r="F557">
        <v>13.1</v>
      </c>
      <c r="G557">
        <v>22.6</v>
      </c>
      <c r="H557">
        <v>4</v>
      </c>
      <c r="I557">
        <v>61.8</v>
      </c>
      <c r="J557">
        <v>28.3</v>
      </c>
      <c r="K557">
        <v>0.3</v>
      </c>
      <c r="L557">
        <v>2.4</v>
      </c>
      <c r="M557">
        <v>0</v>
      </c>
      <c r="N557">
        <v>0</v>
      </c>
      <c r="O557" t="s">
        <v>27</v>
      </c>
      <c r="P557" t="s">
        <v>27</v>
      </c>
      <c r="Q557" t="s">
        <v>27</v>
      </c>
      <c r="R557" t="s">
        <v>27</v>
      </c>
      <c r="S557">
        <v>13.5</v>
      </c>
      <c r="T557">
        <v>11</v>
      </c>
      <c r="U557">
        <v>9.1</v>
      </c>
      <c r="V557" t="s">
        <v>27</v>
      </c>
      <c r="W557">
        <v>0.77600000000000002</v>
      </c>
      <c r="X557">
        <v>1.966</v>
      </c>
      <c r="Y557" t="s">
        <v>27</v>
      </c>
      <c r="Z557" t="s">
        <v>27</v>
      </c>
      <c r="AA557" t="s">
        <v>27</v>
      </c>
      <c r="AB557" t="s">
        <v>27</v>
      </c>
      <c r="AC557" t="s">
        <v>27</v>
      </c>
      <c r="AD557" t="s">
        <v>27</v>
      </c>
      <c r="AE557" t="s">
        <v>27</v>
      </c>
      <c r="AF557" t="s">
        <v>27</v>
      </c>
      <c r="AG557">
        <v>32.64</v>
      </c>
    </row>
    <row r="558" spans="1:33" x14ac:dyDescent="0.25">
      <c r="A558" t="s">
        <v>57</v>
      </c>
      <c r="B558" s="3">
        <v>44019</v>
      </c>
      <c r="C558">
        <v>2020189</v>
      </c>
      <c r="D558">
        <v>11.69</v>
      </c>
      <c r="E558" t="s">
        <v>27</v>
      </c>
      <c r="F558">
        <v>7.7</v>
      </c>
      <c r="G558">
        <v>12.7</v>
      </c>
      <c r="H558">
        <v>2.1</v>
      </c>
      <c r="I558">
        <v>85.5</v>
      </c>
      <c r="J558">
        <v>56.8</v>
      </c>
      <c r="K558">
        <v>0.5</v>
      </c>
      <c r="L558">
        <v>2.5</v>
      </c>
      <c r="M558">
        <v>10</v>
      </c>
      <c r="N558">
        <v>0</v>
      </c>
      <c r="O558" t="s">
        <v>27</v>
      </c>
      <c r="P558" t="s">
        <v>27</v>
      </c>
      <c r="Q558" t="s">
        <v>27</v>
      </c>
      <c r="R558" t="s">
        <v>27</v>
      </c>
      <c r="S558">
        <v>10.6</v>
      </c>
      <c r="T558">
        <v>10.7</v>
      </c>
      <c r="U558">
        <v>9.4</v>
      </c>
      <c r="V558" t="s">
        <v>27</v>
      </c>
      <c r="W558">
        <v>0.83199999999999996</v>
      </c>
      <c r="X558">
        <v>0.63300000000000001</v>
      </c>
      <c r="Y558" t="s">
        <v>27</v>
      </c>
      <c r="Z558" t="s">
        <v>27</v>
      </c>
      <c r="AA558" t="s">
        <v>27</v>
      </c>
      <c r="AB558" t="s">
        <v>27</v>
      </c>
      <c r="AC558" t="s">
        <v>27</v>
      </c>
      <c r="AD558" t="s">
        <v>27</v>
      </c>
      <c r="AE558" t="s">
        <v>27</v>
      </c>
      <c r="AF558" t="s">
        <v>27</v>
      </c>
      <c r="AG558">
        <v>32.56</v>
      </c>
    </row>
    <row r="559" spans="1:33" x14ac:dyDescent="0.25">
      <c r="A559" t="s">
        <v>57</v>
      </c>
      <c r="B559" s="3">
        <v>44020</v>
      </c>
      <c r="C559">
        <v>2020190</v>
      </c>
      <c r="D559">
        <v>20.04</v>
      </c>
      <c r="E559" t="s">
        <v>27</v>
      </c>
      <c r="F559">
        <v>9.6999999999999993</v>
      </c>
      <c r="G559">
        <v>17.600000000000001</v>
      </c>
      <c r="H559">
        <v>2.2999999999999998</v>
      </c>
      <c r="I559">
        <v>75.900000000000006</v>
      </c>
      <c r="J559">
        <v>40.700000000000003</v>
      </c>
      <c r="K559">
        <v>0.3</v>
      </c>
      <c r="L559">
        <v>2</v>
      </c>
      <c r="M559">
        <v>0</v>
      </c>
      <c r="N559">
        <v>0</v>
      </c>
      <c r="O559" t="s">
        <v>27</v>
      </c>
      <c r="P559" t="s">
        <v>27</v>
      </c>
      <c r="Q559" t="s">
        <v>27</v>
      </c>
      <c r="R559" t="s">
        <v>27</v>
      </c>
      <c r="S559">
        <v>12.9</v>
      </c>
      <c r="T559">
        <v>10.6</v>
      </c>
      <c r="U559">
        <v>9.1999999999999993</v>
      </c>
      <c r="V559" t="s">
        <v>27</v>
      </c>
      <c r="W559">
        <v>0.81699999999999995</v>
      </c>
      <c r="X559">
        <v>1.19</v>
      </c>
      <c r="Y559" t="s">
        <v>27</v>
      </c>
      <c r="Z559" t="s">
        <v>27</v>
      </c>
      <c r="AA559" t="s">
        <v>27</v>
      </c>
      <c r="AB559" t="s">
        <v>27</v>
      </c>
      <c r="AC559" t="s">
        <v>27</v>
      </c>
      <c r="AD559" t="s">
        <v>27</v>
      </c>
      <c r="AE559" t="s">
        <v>27</v>
      </c>
      <c r="AF559" t="s">
        <v>27</v>
      </c>
      <c r="AG559">
        <v>32.479999999999997</v>
      </c>
    </row>
    <row r="560" spans="1:33" x14ac:dyDescent="0.25">
      <c r="A560" t="s">
        <v>57</v>
      </c>
      <c r="B560" s="3">
        <v>44021</v>
      </c>
      <c r="C560">
        <v>2020191</v>
      </c>
      <c r="D560">
        <v>11.17</v>
      </c>
      <c r="E560" t="s">
        <v>27</v>
      </c>
      <c r="F560">
        <v>8.6</v>
      </c>
      <c r="G560">
        <v>13.1</v>
      </c>
      <c r="H560">
        <v>3.4</v>
      </c>
      <c r="I560">
        <v>84</v>
      </c>
      <c r="J560">
        <v>64.3</v>
      </c>
      <c r="K560">
        <v>0.4</v>
      </c>
      <c r="L560">
        <v>2.2999999999999998</v>
      </c>
      <c r="M560">
        <v>1</v>
      </c>
      <c r="N560">
        <v>0</v>
      </c>
      <c r="O560" t="s">
        <v>27</v>
      </c>
      <c r="P560" t="s">
        <v>27</v>
      </c>
      <c r="Q560" t="s">
        <v>27</v>
      </c>
      <c r="R560" t="s">
        <v>27</v>
      </c>
      <c r="S560">
        <v>11.5</v>
      </c>
      <c r="T560">
        <v>10.8</v>
      </c>
      <c r="U560">
        <v>9.4</v>
      </c>
      <c r="V560" t="s">
        <v>27</v>
      </c>
      <c r="W560">
        <v>0.97099999999999997</v>
      </c>
      <c r="X560">
        <v>0.53900000000000003</v>
      </c>
      <c r="Y560" t="s">
        <v>27</v>
      </c>
      <c r="Z560" t="s">
        <v>27</v>
      </c>
      <c r="AA560" t="s">
        <v>27</v>
      </c>
      <c r="AB560" t="s">
        <v>27</v>
      </c>
      <c r="AC560" t="s">
        <v>27</v>
      </c>
      <c r="AD560" t="s">
        <v>27</v>
      </c>
      <c r="AE560" t="s">
        <v>27</v>
      </c>
      <c r="AF560" t="s">
        <v>27</v>
      </c>
      <c r="AG560">
        <v>32.4</v>
      </c>
    </row>
    <row r="561" spans="1:33" x14ac:dyDescent="0.25">
      <c r="A561" t="s">
        <v>57</v>
      </c>
      <c r="B561" s="3">
        <v>44022</v>
      </c>
      <c r="C561">
        <v>2020192</v>
      </c>
      <c r="D561">
        <v>25.49</v>
      </c>
      <c r="E561" t="s">
        <v>27</v>
      </c>
      <c r="F561">
        <v>11.1</v>
      </c>
      <c r="G561">
        <v>19.3</v>
      </c>
      <c r="H561">
        <v>3.6</v>
      </c>
      <c r="I561">
        <v>69.7</v>
      </c>
      <c r="J561">
        <v>38.299999999999997</v>
      </c>
      <c r="K561">
        <v>0.4</v>
      </c>
      <c r="L561">
        <v>2.6</v>
      </c>
      <c r="M561">
        <v>0</v>
      </c>
      <c r="N561">
        <v>0</v>
      </c>
      <c r="O561" t="s">
        <v>27</v>
      </c>
      <c r="P561" t="s">
        <v>27</v>
      </c>
      <c r="Q561" t="s">
        <v>27</v>
      </c>
      <c r="R561" t="s">
        <v>27</v>
      </c>
      <c r="S561">
        <v>14</v>
      </c>
      <c r="T561">
        <v>11.2</v>
      </c>
      <c r="U561">
        <v>9.3000000000000007</v>
      </c>
      <c r="V561" t="s">
        <v>27</v>
      </c>
      <c r="W561">
        <v>0.85499999999999998</v>
      </c>
      <c r="X561">
        <v>1.377</v>
      </c>
      <c r="Y561" t="s">
        <v>27</v>
      </c>
      <c r="Z561" t="s">
        <v>27</v>
      </c>
      <c r="AA561" t="s">
        <v>27</v>
      </c>
      <c r="AB561" t="s">
        <v>27</v>
      </c>
      <c r="AC561" t="s">
        <v>27</v>
      </c>
      <c r="AD561" t="s">
        <v>27</v>
      </c>
      <c r="AE561" t="s">
        <v>27</v>
      </c>
      <c r="AF561" t="s">
        <v>27</v>
      </c>
      <c r="AG561">
        <v>32.31</v>
      </c>
    </row>
    <row r="562" spans="1:33" x14ac:dyDescent="0.25">
      <c r="A562" t="s">
        <v>57</v>
      </c>
      <c r="B562" s="3">
        <v>44023</v>
      </c>
      <c r="C562">
        <v>2020193</v>
      </c>
      <c r="D562">
        <v>16.62</v>
      </c>
      <c r="E562" t="s">
        <v>27</v>
      </c>
      <c r="F562">
        <v>12.3</v>
      </c>
      <c r="G562">
        <v>18.8</v>
      </c>
      <c r="H562">
        <v>3.6</v>
      </c>
      <c r="I562">
        <v>61.8</v>
      </c>
      <c r="J562">
        <v>33</v>
      </c>
      <c r="K562">
        <v>0.9</v>
      </c>
      <c r="L562">
        <v>2.8</v>
      </c>
      <c r="M562">
        <v>0</v>
      </c>
      <c r="N562">
        <v>0</v>
      </c>
      <c r="O562" t="s">
        <v>27</v>
      </c>
      <c r="P562" t="s">
        <v>27</v>
      </c>
      <c r="Q562" t="s">
        <v>27</v>
      </c>
      <c r="R562" t="s">
        <v>27</v>
      </c>
      <c r="S562">
        <v>12.3</v>
      </c>
      <c r="T562">
        <v>11.3</v>
      </c>
      <c r="U562">
        <v>9.6</v>
      </c>
      <c r="V562" t="s">
        <v>27</v>
      </c>
      <c r="W562">
        <v>0.71799999999999997</v>
      </c>
      <c r="X562">
        <v>1.458</v>
      </c>
      <c r="Y562" t="s">
        <v>27</v>
      </c>
      <c r="Z562" t="s">
        <v>27</v>
      </c>
      <c r="AA562" t="s">
        <v>27</v>
      </c>
      <c r="AB562" t="s">
        <v>27</v>
      </c>
      <c r="AC562" t="s">
        <v>27</v>
      </c>
      <c r="AD562" t="s">
        <v>27</v>
      </c>
      <c r="AE562" t="s">
        <v>27</v>
      </c>
      <c r="AF562" t="s">
        <v>27</v>
      </c>
      <c r="AG562">
        <v>32.22</v>
      </c>
    </row>
    <row r="563" spans="1:33" x14ac:dyDescent="0.25">
      <c r="A563" t="s">
        <v>57</v>
      </c>
      <c r="B563" s="3">
        <v>44024</v>
      </c>
      <c r="C563">
        <v>2020194</v>
      </c>
      <c r="D563">
        <v>22.78</v>
      </c>
      <c r="E563" t="s">
        <v>27</v>
      </c>
      <c r="F563">
        <v>7.3</v>
      </c>
      <c r="G563">
        <v>13.8</v>
      </c>
      <c r="H563">
        <v>-0.1</v>
      </c>
      <c r="I563">
        <v>73.599999999999994</v>
      </c>
      <c r="J563">
        <v>41.1</v>
      </c>
      <c r="K563">
        <v>1.3</v>
      </c>
      <c r="L563">
        <v>4</v>
      </c>
      <c r="M563">
        <v>4</v>
      </c>
      <c r="N563">
        <v>0</v>
      </c>
      <c r="O563" t="s">
        <v>27</v>
      </c>
      <c r="P563" t="s">
        <v>27</v>
      </c>
      <c r="Q563" t="s">
        <v>27</v>
      </c>
      <c r="R563" t="s">
        <v>27</v>
      </c>
      <c r="S563">
        <v>11.6</v>
      </c>
      <c r="T563">
        <v>11.1</v>
      </c>
      <c r="U563">
        <v>9.6999999999999993</v>
      </c>
      <c r="V563" t="s">
        <v>27</v>
      </c>
      <c r="W563">
        <v>0.64700000000000002</v>
      </c>
      <c r="X563">
        <v>0.92700000000000005</v>
      </c>
      <c r="Y563" t="s">
        <v>27</v>
      </c>
      <c r="Z563" t="s">
        <v>27</v>
      </c>
      <c r="AA563" t="s">
        <v>27</v>
      </c>
      <c r="AB563" t="s">
        <v>27</v>
      </c>
      <c r="AC563" t="s">
        <v>27</v>
      </c>
      <c r="AD563" t="s">
        <v>27</v>
      </c>
      <c r="AE563" t="s">
        <v>27</v>
      </c>
      <c r="AF563" t="s">
        <v>27</v>
      </c>
      <c r="AG563">
        <v>32.119999999999997</v>
      </c>
    </row>
    <row r="564" spans="1:33" x14ac:dyDescent="0.25">
      <c r="A564" t="s">
        <v>57</v>
      </c>
      <c r="B564" s="3">
        <v>44025</v>
      </c>
      <c r="C564">
        <v>2020195</v>
      </c>
      <c r="D564">
        <v>25.08</v>
      </c>
      <c r="E564" t="s">
        <v>27</v>
      </c>
      <c r="F564">
        <v>7.3</v>
      </c>
      <c r="G564">
        <v>16.100000000000001</v>
      </c>
      <c r="H564">
        <v>-0.8</v>
      </c>
      <c r="I564">
        <v>72.599999999999994</v>
      </c>
      <c r="J564">
        <v>31.2</v>
      </c>
      <c r="K564">
        <v>0.4</v>
      </c>
      <c r="L564">
        <v>2.5</v>
      </c>
      <c r="M564">
        <v>1</v>
      </c>
      <c r="N564">
        <v>0</v>
      </c>
      <c r="O564" t="s">
        <v>27</v>
      </c>
      <c r="P564" t="s">
        <v>27</v>
      </c>
      <c r="Q564" t="s">
        <v>27</v>
      </c>
      <c r="R564" t="s">
        <v>27</v>
      </c>
      <c r="S564">
        <v>10.6</v>
      </c>
      <c r="T564">
        <v>10.199999999999999</v>
      </c>
      <c r="U564">
        <v>9.5</v>
      </c>
      <c r="V564" t="s">
        <v>27</v>
      </c>
      <c r="W564">
        <v>0.56999999999999995</v>
      </c>
      <c r="X564">
        <v>1.2569999999999999</v>
      </c>
      <c r="Y564" t="s">
        <v>27</v>
      </c>
      <c r="Z564" t="s">
        <v>27</v>
      </c>
      <c r="AA564" t="s">
        <v>27</v>
      </c>
      <c r="AB564" t="s">
        <v>27</v>
      </c>
      <c r="AC564" t="s">
        <v>27</v>
      </c>
      <c r="AD564" t="s">
        <v>27</v>
      </c>
      <c r="AE564" t="s">
        <v>27</v>
      </c>
      <c r="AF564" t="s">
        <v>27</v>
      </c>
      <c r="AG564">
        <v>32.020000000000003</v>
      </c>
    </row>
    <row r="565" spans="1:33" x14ac:dyDescent="0.25">
      <c r="A565" t="s">
        <v>57</v>
      </c>
      <c r="B565" s="3">
        <v>44026</v>
      </c>
      <c r="C565">
        <v>2020196</v>
      </c>
      <c r="D565">
        <v>29.16</v>
      </c>
      <c r="E565" t="s">
        <v>27</v>
      </c>
      <c r="F565">
        <v>11.6</v>
      </c>
      <c r="G565">
        <v>21.1</v>
      </c>
      <c r="H565">
        <v>0</v>
      </c>
      <c r="I565">
        <v>59.3</v>
      </c>
      <c r="J565">
        <v>22.5</v>
      </c>
      <c r="K565">
        <v>0.6</v>
      </c>
      <c r="L565">
        <v>3</v>
      </c>
      <c r="M565">
        <v>0</v>
      </c>
      <c r="N565">
        <v>0</v>
      </c>
      <c r="O565" t="s">
        <v>27</v>
      </c>
      <c r="P565" t="s">
        <v>27</v>
      </c>
      <c r="Q565" t="s">
        <v>27</v>
      </c>
      <c r="R565" t="s">
        <v>27</v>
      </c>
      <c r="S565">
        <v>13.9</v>
      </c>
      <c r="T565">
        <v>11.1</v>
      </c>
      <c r="U565">
        <v>9.4</v>
      </c>
      <c r="V565" t="s">
        <v>27</v>
      </c>
      <c r="W565">
        <v>0.56299999999999994</v>
      </c>
      <c r="X565">
        <v>1.9390000000000001</v>
      </c>
      <c r="Y565" t="s">
        <v>27</v>
      </c>
      <c r="Z565" t="s">
        <v>27</v>
      </c>
      <c r="AA565" t="s">
        <v>27</v>
      </c>
      <c r="AB565" t="s">
        <v>27</v>
      </c>
      <c r="AC565" t="s">
        <v>27</v>
      </c>
      <c r="AD565" t="s">
        <v>27</v>
      </c>
      <c r="AE565" t="s">
        <v>27</v>
      </c>
      <c r="AF565" t="s">
        <v>27</v>
      </c>
      <c r="AG565">
        <v>31.92</v>
      </c>
    </row>
    <row r="566" spans="1:33" x14ac:dyDescent="0.25">
      <c r="A566" t="s">
        <v>57</v>
      </c>
      <c r="B566" s="3">
        <v>44027</v>
      </c>
      <c r="C566">
        <v>2020197</v>
      </c>
      <c r="D566">
        <v>25.55</v>
      </c>
      <c r="E566" t="s">
        <v>27</v>
      </c>
      <c r="F566">
        <v>13.2</v>
      </c>
      <c r="G566">
        <v>22.2</v>
      </c>
      <c r="H566">
        <v>3.5</v>
      </c>
      <c r="I566">
        <v>66</v>
      </c>
      <c r="J566">
        <v>37.799999999999997</v>
      </c>
      <c r="K566">
        <v>0.5</v>
      </c>
      <c r="L566">
        <v>2.2999999999999998</v>
      </c>
      <c r="M566">
        <v>0</v>
      </c>
      <c r="N566">
        <v>0</v>
      </c>
      <c r="O566" t="s">
        <v>27</v>
      </c>
      <c r="P566" t="s">
        <v>27</v>
      </c>
      <c r="Q566" t="s">
        <v>27</v>
      </c>
      <c r="R566" t="s">
        <v>27</v>
      </c>
      <c r="S566">
        <v>15.8</v>
      </c>
      <c r="T566">
        <v>12.4</v>
      </c>
      <c r="U566">
        <v>9.8000000000000007</v>
      </c>
      <c r="V566" t="s">
        <v>27</v>
      </c>
      <c r="W566">
        <v>1.014</v>
      </c>
      <c r="X566">
        <v>1.669</v>
      </c>
      <c r="Y566" t="s">
        <v>27</v>
      </c>
      <c r="Z566" t="s">
        <v>27</v>
      </c>
      <c r="AA566" t="s">
        <v>27</v>
      </c>
      <c r="AB566" t="s">
        <v>27</v>
      </c>
      <c r="AC566" t="s">
        <v>27</v>
      </c>
      <c r="AD566" t="s">
        <v>27</v>
      </c>
      <c r="AE566" t="s">
        <v>27</v>
      </c>
      <c r="AF566" t="s">
        <v>27</v>
      </c>
      <c r="AG566">
        <v>31.81</v>
      </c>
    </row>
    <row r="567" spans="1:33" x14ac:dyDescent="0.25">
      <c r="A567" t="s">
        <v>57</v>
      </c>
      <c r="B567" s="3">
        <v>44028</v>
      </c>
      <c r="C567">
        <v>2020198</v>
      </c>
      <c r="D567">
        <v>13.86</v>
      </c>
      <c r="E567" t="s">
        <v>27</v>
      </c>
      <c r="F567">
        <v>12.6</v>
      </c>
      <c r="G567">
        <v>18.7</v>
      </c>
      <c r="H567">
        <v>4.5999999999999996</v>
      </c>
      <c r="I567">
        <v>68.8</v>
      </c>
      <c r="J567">
        <v>46.6</v>
      </c>
      <c r="K567">
        <v>0.9</v>
      </c>
      <c r="L567">
        <v>3.6</v>
      </c>
      <c r="M567">
        <v>0</v>
      </c>
      <c r="N567">
        <v>0</v>
      </c>
      <c r="O567" t="s">
        <v>27</v>
      </c>
      <c r="P567" t="s">
        <v>27</v>
      </c>
      <c r="Q567" t="s">
        <v>27</v>
      </c>
      <c r="R567" t="s">
        <v>27</v>
      </c>
      <c r="S567">
        <v>13</v>
      </c>
      <c r="T567">
        <v>12.2</v>
      </c>
      <c r="U567">
        <v>10.3</v>
      </c>
      <c r="V567" t="s">
        <v>27</v>
      </c>
      <c r="W567">
        <v>1.0049999999999999</v>
      </c>
      <c r="X567">
        <v>1.1519999999999999</v>
      </c>
      <c r="Y567" t="s">
        <v>27</v>
      </c>
      <c r="Z567" t="s">
        <v>27</v>
      </c>
      <c r="AA567" t="s">
        <v>27</v>
      </c>
      <c r="AB567" t="s">
        <v>27</v>
      </c>
      <c r="AC567" t="s">
        <v>27</v>
      </c>
      <c r="AD567" t="s">
        <v>27</v>
      </c>
      <c r="AE567" t="s">
        <v>27</v>
      </c>
      <c r="AF567" t="s">
        <v>27</v>
      </c>
      <c r="AG567">
        <v>31.7</v>
      </c>
    </row>
    <row r="568" spans="1:33" x14ac:dyDescent="0.25">
      <c r="A568" t="s">
        <v>57</v>
      </c>
      <c r="B568" s="3">
        <v>44029</v>
      </c>
      <c r="C568">
        <v>2020199</v>
      </c>
      <c r="D568">
        <v>17.79</v>
      </c>
      <c r="E568" t="s">
        <v>27</v>
      </c>
      <c r="F568">
        <v>12.2</v>
      </c>
      <c r="G568">
        <v>18.8</v>
      </c>
      <c r="H568">
        <v>6.1</v>
      </c>
      <c r="I568">
        <v>74.400000000000006</v>
      </c>
      <c r="J568">
        <v>43.8</v>
      </c>
      <c r="K568">
        <v>0.6</v>
      </c>
      <c r="L568">
        <v>2.7</v>
      </c>
      <c r="M568">
        <v>0</v>
      </c>
      <c r="N568">
        <v>0</v>
      </c>
      <c r="O568" t="s">
        <v>27</v>
      </c>
      <c r="P568" t="s">
        <v>27</v>
      </c>
      <c r="Q568" t="s">
        <v>27</v>
      </c>
      <c r="R568" t="s">
        <v>27</v>
      </c>
      <c r="S568">
        <v>14.2</v>
      </c>
      <c r="T568">
        <v>12</v>
      </c>
      <c r="U568">
        <v>10.3</v>
      </c>
      <c r="V568" t="s">
        <v>27</v>
      </c>
      <c r="W568">
        <v>0.95099999999999996</v>
      </c>
      <c r="X568">
        <v>1.22</v>
      </c>
      <c r="Y568" t="s">
        <v>27</v>
      </c>
      <c r="Z568" t="s">
        <v>27</v>
      </c>
      <c r="AA568" t="s">
        <v>27</v>
      </c>
      <c r="AB568" t="s">
        <v>27</v>
      </c>
      <c r="AC568" t="s">
        <v>27</v>
      </c>
      <c r="AD568" t="s">
        <v>27</v>
      </c>
      <c r="AE568" t="s">
        <v>27</v>
      </c>
      <c r="AF568" t="s">
        <v>27</v>
      </c>
      <c r="AG568">
        <v>31.58</v>
      </c>
    </row>
    <row r="569" spans="1:33" x14ac:dyDescent="0.25">
      <c r="A569" t="s">
        <v>57</v>
      </c>
      <c r="B569" s="3">
        <v>44030</v>
      </c>
      <c r="C569">
        <v>2020200</v>
      </c>
      <c r="D569">
        <v>27.93</v>
      </c>
      <c r="E569" t="s">
        <v>27</v>
      </c>
      <c r="F569">
        <v>13.5</v>
      </c>
      <c r="G569">
        <v>21.3</v>
      </c>
      <c r="H569">
        <v>3.7</v>
      </c>
      <c r="I569">
        <v>64.3</v>
      </c>
      <c r="J569">
        <v>33.299999999999997</v>
      </c>
      <c r="K569">
        <v>0.6</v>
      </c>
      <c r="L569">
        <v>2.5</v>
      </c>
      <c r="M569">
        <v>0</v>
      </c>
      <c r="N569">
        <v>0</v>
      </c>
      <c r="O569" t="s">
        <v>27</v>
      </c>
      <c r="P569" t="s">
        <v>27</v>
      </c>
      <c r="Q569" t="s">
        <v>27</v>
      </c>
      <c r="R569" t="s">
        <v>27</v>
      </c>
      <c r="S569">
        <v>16.600000000000001</v>
      </c>
      <c r="T569">
        <v>12.8</v>
      </c>
      <c r="U569">
        <v>10.4</v>
      </c>
      <c r="V569" t="s">
        <v>27</v>
      </c>
      <c r="W569">
        <v>0.84299999999999997</v>
      </c>
      <c r="X569">
        <v>1.6890000000000001</v>
      </c>
      <c r="Y569" t="s">
        <v>27</v>
      </c>
      <c r="Z569" t="s">
        <v>27</v>
      </c>
      <c r="AA569" t="s">
        <v>27</v>
      </c>
      <c r="AB569" t="s">
        <v>27</v>
      </c>
      <c r="AC569" t="s">
        <v>27</v>
      </c>
      <c r="AD569" t="s">
        <v>27</v>
      </c>
      <c r="AE569" t="s">
        <v>27</v>
      </c>
      <c r="AF569" t="s">
        <v>27</v>
      </c>
      <c r="AG569">
        <v>31.46</v>
      </c>
    </row>
    <row r="570" spans="1:33" x14ac:dyDescent="0.25">
      <c r="A570" t="s">
        <v>57</v>
      </c>
      <c r="B570" s="3">
        <v>44031</v>
      </c>
      <c r="C570">
        <v>2020201</v>
      </c>
      <c r="D570">
        <v>24.04</v>
      </c>
      <c r="E570" t="s">
        <v>27</v>
      </c>
      <c r="F570">
        <v>13.7</v>
      </c>
      <c r="G570">
        <v>21.6</v>
      </c>
      <c r="H570">
        <v>5.9</v>
      </c>
      <c r="I570">
        <v>71.5</v>
      </c>
      <c r="J570">
        <v>43.3</v>
      </c>
      <c r="K570">
        <v>0.5</v>
      </c>
      <c r="L570">
        <v>2.1</v>
      </c>
      <c r="M570">
        <v>0</v>
      </c>
      <c r="N570">
        <v>0</v>
      </c>
      <c r="O570" t="s">
        <v>27</v>
      </c>
      <c r="P570" t="s">
        <v>27</v>
      </c>
      <c r="Q570" t="s">
        <v>27</v>
      </c>
      <c r="R570" t="s">
        <v>27</v>
      </c>
      <c r="S570">
        <v>18</v>
      </c>
      <c r="T570">
        <v>13.8</v>
      </c>
      <c r="U570">
        <v>10.8</v>
      </c>
      <c r="V570" t="s">
        <v>27</v>
      </c>
      <c r="W570">
        <v>1.1200000000000001</v>
      </c>
      <c r="X570">
        <v>1.4670000000000001</v>
      </c>
      <c r="Y570" t="s">
        <v>27</v>
      </c>
      <c r="Z570" t="s">
        <v>27</v>
      </c>
      <c r="AA570" t="s">
        <v>27</v>
      </c>
      <c r="AB570" t="s">
        <v>27</v>
      </c>
      <c r="AC570" t="s">
        <v>27</v>
      </c>
      <c r="AD570" t="s">
        <v>27</v>
      </c>
      <c r="AE570" t="s">
        <v>27</v>
      </c>
      <c r="AF570" t="s">
        <v>27</v>
      </c>
      <c r="AG570">
        <v>31.34</v>
      </c>
    </row>
    <row r="571" spans="1:33" x14ac:dyDescent="0.25">
      <c r="A571" t="s">
        <v>57</v>
      </c>
      <c r="B571" s="3">
        <v>44032</v>
      </c>
      <c r="C571">
        <v>2020202</v>
      </c>
      <c r="D571">
        <v>29.58</v>
      </c>
      <c r="E571" t="s">
        <v>27</v>
      </c>
      <c r="F571">
        <v>14.5</v>
      </c>
      <c r="G571">
        <v>24.2</v>
      </c>
      <c r="H571">
        <v>4.7</v>
      </c>
      <c r="I571">
        <v>63.7</v>
      </c>
      <c r="J571">
        <v>26.6</v>
      </c>
      <c r="K571">
        <v>0.5</v>
      </c>
      <c r="L571">
        <v>2.4</v>
      </c>
      <c r="M571">
        <v>0</v>
      </c>
      <c r="N571">
        <v>0</v>
      </c>
      <c r="O571" t="s">
        <v>27</v>
      </c>
      <c r="P571" t="s">
        <v>27</v>
      </c>
      <c r="Q571" t="s">
        <v>27</v>
      </c>
      <c r="R571" t="s">
        <v>27</v>
      </c>
      <c r="S571">
        <v>19</v>
      </c>
      <c r="T571">
        <v>14.2</v>
      </c>
      <c r="U571">
        <v>11.1</v>
      </c>
      <c r="V571" t="s">
        <v>27</v>
      </c>
      <c r="W571">
        <v>0.80300000000000005</v>
      </c>
      <c r="X571">
        <v>2.2160000000000002</v>
      </c>
      <c r="Y571" t="s">
        <v>27</v>
      </c>
      <c r="Z571" t="s">
        <v>27</v>
      </c>
      <c r="AA571" t="s">
        <v>27</v>
      </c>
      <c r="AB571" t="s">
        <v>27</v>
      </c>
      <c r="AC571" t="s">
        <v>27</v>
      </c>
      <c r="AD571" t="s">
        <v>27</v>
      </c>
      <c r="AE571" t="s">
        <v>27</v>
      </c>
      <c r="AF571" t="s">
        <v>27</v>
      </c>
      <c r="AG571">
        <v>31.21</v>
      </c>
    </row>
    <row r="572" spans="1:33" x14ac:dyDescent="0.25">
      <c r="A572" t="s">
        <v>57</v>
      </c>
      <c r="B572" s="3">
        <v>44033</v>
      </c>
      <c r="C572">
        <v>2020203</v>
      </c>
      <c r="D572">
        <v>25.46</v>
      </c>
      <c r="E572" t="s">
        <v>27</v>
      </c>
      <c r="F572">
        <v>17.399999999999999</v>
      </c>
      <c r="G572">
        <v>26.5</v>
      </c>
      <c r="H572">
        <v>7</v>
      </c>
      <c r="I572">
        <v>56.6</v>
      </c>
      <c r="J572">
        <v>28.8</v>
      </c>
      <c r="K572">
        <v>0.7</v>
      </c>
      <c r="L572">
        <v>2.8</v>
      </c>
      <c r="M572">
        <v>0</v>
      </c>
      <c r="N572">
        <v>0</v>
      </c>
      <c r="O572" t="s">
        <v>27</v>
      </c>
      <c r="P572" t="s">
        <v>27</v>
      </c>
      <c r="Q572" t="s">
        <v>27</v>
      </c>
      <c r="R572" t="s">
        <v>27</v>
      </c>
      <c r="S572">
        <v>20.9</v>
      </c>
      <c r="T572">
        <v>14.8</v>
      </c>
      <c r="U572">
        <v>11.5</v>
      </c>
      <c r="V572" t="s">
        <v>27</v>
      </c>
      <c r="W572">
        <v>0.996</v>
      </c>
      <c r="X572">
        <v>2.4620000000000002</v>
      </c>
      <c r="Y572" t="s">
        <v>27</v>
      </c>
      <c r="Z572" t="s">
        <v>27</v>
      </c>
      <c r="AA572" t="s">
        <v>27</v>
      </c>
      <c r="AB572" t="s">
        <v>27</v>
      </c>
      <c r="AC572" t="s">
        <v>27</v>
      </c>
      <c r="AD572" t="s">
        <v>27</v>
      </c>
      <c r="AE572" t="s">
        <v>27</v>
      </c>
      <c r="AF572" t="s">
        <v>27</v>
      </c>
      <c r="AG572">
        <v>31.08</v>
      </c>
    </row>
    <row r="573" spans="1:33" x14ac:dyDescent="0.25">
      <c r="A573" t="s">
        <v>57</v>
      </c>
      <c r="B573" s="3">
        <v>44034</v>
      </c>
      <c r="C573">
        <v>2020204</v>
      </c>
      <c r="D573">
        <v>27.4</v>
      </c>
      <c r="E573" t="s">
        <v>27</v>
      </c>
      <c r="F573">
        <v>17.399999999999999</v>
      </c>
      <c r="G573">
        <v>25</v>
      </c>
      <c r="H573">
        <v>10.4</v>
      </c>
      <c r="I573">
        <v>57.5</v>
      </c>
      <c r="J573">
        <v>30.7</v>
      </c>
      <c r="K573">
        <v>0.8</v>
      </c>
      <c r="L573">
        <v>2.6</v>
      </c>
      <c r="M573">
        <v>0</v>
      </c>
      <c r="N573">
        <v>0</v>
      </c>
      <c r="O573" t="s">
        <v>27</v>
      </c>
      <c r="P573" t="s">
        <v>27</v>
      </c>
      <c r="Q573" t="s">
        <v>27</v>
      </c>
      <c r="R573" t="s">
        <v>27</v>
      </c>
      <c r="S573">
        <v>22.1</v>
      </c>
      <c r="T573">
        <v>15.5</v>
      </c>
      <c r="U573">
        <v>12</v>
      </c>
      <c r="V573" t="s">
        <v>27</v>
      </c>
      <c r="W573">
        <v>0.97099999999999997</v>
      </c>
      <c r="X573">
        <v>2.1920000000000002</v>
      </c>
      <c r="Y573" t="s">
        <v>27</v>
      </c>
      <c r="Z573" t="s">
        <v>27</v>
      </c>
      <c r="AA573" t="s">
        <v>27</v>
      </c>
      <c r="AB573" t="s">
        <v>27</v>
      </c>
      <c r="AC573" t="s">
        <v>27</v>
      </c>
      <c r="AD573" t="s">
        <v>27</v>
      </c>
      <c r="AE573" t="s">
        <v>27</v>
      </c>
      <c r="AF573" t="s">
        <v>27</v>
      </c>
      <c r="AG573">
        <v>30.95</v>
      </c>
    </row>
    <row r="574" spans="1:33" x14ac:dyDescent="0.25">
      <c r="A574" t="s">
        <v>57</v>
      </c>
      <c r="B574" s="3">
        <v>44035</v>
      </c>
      <c r="C574">
        <v>2020205</v>
      </c>
      <c r="D574">
        <v>24.88</v>
      </c>
      <c r="E574" t="s">
        <v>27</v>
      </c>
      <c r="F574">
        <v>13.7</v>
      </c>
      <c r="G574">
        <v>20.5</v>
      </c>
      <c r="H574">
        <v>7.9</v>
      </c>
      <c r="I574">
        <v>53.2</v>
      </c>
      <c r="J574">
        <v>27</v>
      </c>
      <c r="K574">
        <v>1.1000000000000001</v>
      </c>
      <c r="L574">
        <v>3.3</v>
      </c>
      <c r="M574">
        <v>0</v>
      </c>
      <c r="N574">
        <v>0</v>
      </c>
      <c r="O574" t="s">
        <v>27</v>
      </c>
      <c r="P574" t="s">
        <v>27</v>
      </c>
      <c r="Q574" t="s">
        <v>27</v>
      </c>
      <c r="R574" t="s">
        <v>27</v>
      </c>
      <c r="S574">
        <v>20</v>
      </c>
      <c r="T574">
        <v>15.4</v>
      </c>
      <c r="U574">
        <v>12.4</v>
      </c>
      <c r="V574" t="s">
        <v>27</v>
      </c>
      <c r="W574">
        <v>0.65200000000000002</v>
      </c>
      <c r="X574">
        <v>1.7629999999999999</v>
      </c>
      <c r="Y574" t="s">
        <v>27</v>
      </c>
      <c r="Z574" t="s">
        <v>27</v>
      </c>
      <c r="AA574" t="s">
        <v>27</v>
      </c>
      <c r="AB574" t="s">
        <v>27</v>
      </c>
      <c r="AC574" t="s">
        <v>27</v>
      </c>
      <c r="AD574" t="s">
        <v>27</v>
      </c>
      <c r="AE574" t="s">
        <v>27</v>
      </c>
      <c r="AF574" t="s">
        <v>27</v>
      </c>
      <c r="AG574">
        <v>30.81</v>
      </c>
    </row>
    <row r="575" spans="1:33" x14ac:dyDescent="0.25">
      <c r="A575" t="s">
        <v>57</v>
      </c>
      <c r="B575" s="3">
        <v>44036</v>
      </c>
      <c r="C575">
        <v>2020206</v>
      </c>
      <c r="D575">
        <v>17.95</v>
      </c>
      <c r="E575" t="s">
        <v>27</v>
      </c>
      <c r="F575">
        <v>9.5</v>
      </c>
      <c r="G575">
        <v>15.3</v>
      </c>
      <c r="H575">
        <v>2.9</v>
      </c>
      <c r="I575">
        <v>66.5</v>
      </c>
      <c r="J575">
        <v>41.5</v>
      </c>
      <c r="K575">
        <v>1</v>
      </c>
      <c r="L575">
        <v>3.5</v>
      </c>
      <c r="M575">
        <v>0</v>
      </c>
      <c r="N575">
        <v>0</v>
      </c>
      <c r="O575" t="s">
        <v>27</v>
      </c>
      <c r="P575" t="s">
        <v>27</v>
      </c>
      <c r="Q575" t="s">
        <v>27</v>
      </c>
      <c r="R575" t="s">
        <v>27</v>
      </c>
      <c r="S575">
        <v>16.100000000000001</v>
      </c>
      <c r="T575">
        <v>14.3</v>
      </c>
      <c r="U575">
        <v>12.4</v>
      </c>
      <c r="V575" t="s">
        <v>27</v>
      </c>
      <c r="W575">
        <v>0.72199999999999998</v>
      </c>
      <c r="X575">
        <v>1.018</v>
      </c>
      <c r="Y575" t="s">
        <v>27</v>
      </c>
      <c r="Z575" t="s">
        <v>27</v>
      </c>
      <c r="AA575" t="s">
        <v>27</v>
      </c>
      <c r="AB575" t="s">
        <v>27</v>
      </c>
      <c r="AC575" t="s">
        <v>27</v>
      </c>
      <c r="AD575" t="s">
        <v>27</v>
      </c>
      <c r="AE575" t="s">
        <v>27</v>
      </c>
      <c r="AF575" t="s">
        <v>27</v>
      </c>
      <c r="AG575">
        <v>30.67</v>
      </c>
    </row>
    <row r="576" spans="1:33" x14ac:dyDescent="0.25">
      <c r="A576" t="s">
        <v>57</v>
      </c>
      <c r="B576" s="3">
        <v>44037</v>
      </c>
      <c r="C576">
        <v>2020207</v>
      </c>
      <c r="D576">
        <v>26.63</v>
      </c>
      <c r="E576" t="s">
        <v>27</v>
      </c>
      <c r="F576">
        <v>9.9</v>
      </c>
      <c r="G576">
        <v>18.600000000000001</v>
      </c>
      <c r="H576">
        <v>0.6</v>
      </c>
      <c r="I576">
        <v>70.5</v>
      </c>
      <c r="J576">
        <v>39</v>
      </c>
      <c r="K576">
        <v>0.5</v>
      </c>
      <c r="L576">
        <v>2.1</v>
      </c>
      <c r="M576">
        <v>0</v>
      </c>
      <c r="N576">
        <v>0</v>
      </c>
      <c r="O576" t="s">
        <v>27</v>
      </c>
      <c r="P576" t="s">
        <v>27</v>
      </c>
      <c r="Q576" t="s">
        <v>27</v>
      </c>
      <c r="R576" t="s">
        <v>27</v>
      </c>
      <c r="S576">
        <v>16.899999999999999</v>
      </c>
      <c r="T576">
        <v>13.6</v>
      </c>
      <c r="U576">
        <v>12.1</v>
      </c>
      <c r="V576" t="s">
        <v>27</v>
      </c>
      <c r="W576">
        <v>0.83599999999999997</v>
      </c>
      <c r="X576">
        <v>1.3080000000000001</v>
      </c>
      <c r="Y576" t="s">
        <v>27</v>
      </c>
      <c r="Z576" t="s">
        <v>27</v>
      </c>
      <c r="AA576" t="s">
        <v>27</v>
      </c>
      <c r="AB576" t="s">
        <v>27</v>
      </c>
      <c r="AC576" t="s">
        <v>27</v>
      </c>
      <c r="AD576" t="s">
        <v>27</v>
      </c>
      <c r="AE576" t="s">
        <v>27</v>
      </c>
      <c r="AF576" t="s">
        <v>27</v>
      </c>
      <c r="AG576">
        <v>30.52</v>
      </c>
    </row>
    <row r="577" spans="1:33" x14ac:dyDescent="0.25">
      <c r="A577" t="s">
        <v>57</v>
      </c>
      <c r="B577" s="3">
        <v>44038</v>
      </c>
      <c r="C577">
        <v>2020208</v>
      </c>
      <c r="D577">
        <v>29.1</v>
      </c>
      <c r="E577" t="s">
        <v>27</v>
      </c>
      <c r="F577">
        <v>14</v>
      </c>
      <c r="G577">
        <v>24.3</v>
      </c>
      <c r="H577">
        <v>2.8</v>
      </c>
      <c r="I577">
        <v>60</v>
      </c>
      <c r="J577">
        <v>29.3</v>
      </c>
      <c r="K577">
        <v>0.5</v>
      </c>
      <c r="L577">
        <v>2</v>
      </c>
      <c r="M577">
        <v>0</v>
      </c>
      <c r="N577">
        <v>0</v>
      </c>
      <c r="O577" t="s">
        <v>27</v>
      </c>
      <c r="P577" t="s">
        <v>27</v>
      </c>
      <c r="Q577" t="s">
        <v>27</v>
      </c>
      <c r="R577" t="s">
        <v>27</v>
      </c>
      <c r="S577">
        <v>19.899999999999999</v>
      </c>
      <c r="T577">
        <v>14.2</v>
      </c>
      <c r="U577">
        <v>11.9</v>
      </c>
      <c r="V577" t="s">
        <v>27</v>
      </c>
      <c r="W577">
        <v>0.88800000000000001</v>
      </c>
      <c r="X577">
        <v>2.1429999999999998</v>
      </c>
      <c r="Y577" t="s">
        <v>27</v>
      </c>
      <c r="Z577" t="s">
        <v>27</v>
      </c>
      <c r="AA577" t="s">
        <v>27</v>
      </c>
      <c r="AB577" t="s">
        <v>27</v>
      </c>
      <c r="AC577" t="s">
        <v>27</v>
      </c>
      <c r="AD577" t="s">
        <v>27</v>
      </c>
      <c r="AE577" t="s">
        <v>27</v>
      </c>
      <c r="AF577" t="s">
        <v>27</v>
      </c>
      <c r="AG577">
        <v>30.38</v>
      </c>
    </row>
    <row r="578" spans="1:33" x14ac:dyDescent="0.25">
      <c r="A578" t="s">
        <v>57</v>
      </c>
      <c r="B578" s="3">
        <v>44039</v>
      </c>
      <c r="C578">
        <v>2020209</v>
      </c>
      <c r="D578">
        <v>28.91</v>
      </c>
      <c r="E578" t="s">
        <v>27</v>
      </c>
      <c r="F578">
        <v>18.2</v>
      </c>
      <c r="G578">
        <v>30.3</v>
      </c>
      <c r="H578">
        <v>5.7</v>
      </c>
      <c r="I578">
        <v>53</v>
      </c>
      <c r="J578">
        <v>20.3</v>
      </c>
      <c r="K578">
        <v>0.5</v>
      </c>
      <c r="L578">
        <v>2.1</v>
      </c>
      <c r="M578">
        <v>0</v>
      </c>
      <c r="N578">
        <v>0</v>
      </c>
      <c r="O578" t="s">
        <v>27</v>
      </c>
      <c r="P578" t="s">
        <v>27</v>
      </c>
      <c r="Q578" t="s">
        <v>27</v>
      </c>
      <c r="R578" t="s">
        <v>27</v>
      </c>
      <c r="S578">
        <v>22.5</v>
      </c>
      <c r="T578">
        <v>15.3</v>
      </c>
      <c r="U578">
        <v>12.2</v>
      </c>
      <c r="V578" t="s">
        <v>27</v>
      </c>
      <c r="W578">
        <v>0.874</v>
      </c>
      <c r="X578">
        <v>3.431</v>
      </c>
      <c r="Y578" t="s">
        <v>27</v>
      </c>
      <c r="Z578" t="s">
        <v>27</v>
      </c>
      <c r="AA578" t="s">
        <v>27</v>
      </c>
      <c r="AB578" t="s">
        <v>27</v>
      </c>
      <c r="AC578" t="s">
        <v>27</v>
      </c>
      <c r="AD578" t="s">
        <v>27</v>
      </c>
      <c r="AE578" t="s">
        <v>27</v>
      </c>
      <c r="AF578" t="s">
        <v>27</v>
      </c>
      <c r="AG578">
        <v>30.22</v>
      </c>
    </row>
    <row r="579" spans="1:33" x14ac:dyDescent="0.25">
      <c r="A579" t="s">
        <v>57</v>
      </c>
      <c r="B579" s="3">
        <v>44040</v>
      </c>
      <c r="C579">
        <v>2020210</v>
      </c>
      <c r="D579">
        <v>27.74</v>
      </c>
      <c r="E579" t="s">
        <v>27</v>
      </c>
      <c r="F579">
        <v>18.2</v>
      </c>
      <c r="G579">
        <v>28.4</v>
      </c>
      <c r="H579">
        <v>7.8</v>
      </c>
      <c r="I579">
        <v>49.3</v>
      </c>
      <c r="J579">
        <v>21.8</v>
      </c>
      <c r="K579">
        <v>0.6</v>
      </c>
      <c r="L579">
        <v>2.9</v>
      </c>
      <c r="M579">
        <v>0</v>
      </c>
      <c r="N579">
        <v>0</v>
      </c>
      <c r="O579" t="s">
        <v>27</v>
      </c>
      <c r="P579" t="s">
        <v>27</v>
      </c>
      <c r="Q579" t="s">
        <v>27</v>
      </c>
      <c r="R579" t="s">
        <v>27</v>
      </c>
      <c r="S579">
        <v>23</v>
      </c>
      <c r="T579">
        <v>16</v>
      </c>
      <c r="U579">
        <v>12.6</v>
      </c>
      <c r="V579" t="s">
        <v>27</v>
      </c>
      <c r="W579">
        <v>0.84399999999999997</v>
      </c>
      <c r="X579">
        <v>3.028</v>
      </c>
      <c r="Y579" t="s">
        <v>27</v>
      </c>
      <c r="Z579" t="s">
        <v>27</v>
      </c>
      <c r="AA579" t="s">
        <v>27</v>
      </c>
      <c r="AB579" t="s">
        <v>27</v>
      </c>
      <c r="AC579" t="s">
        <v>27</v>
      </c>
      <c r="AD579" t="s">
        <v>27</v>
      </c>
      <c r="AE579" t="s">
        <v>27</v>
      </c>
      <c r="AF579" t="s">
        <v>27</v>
      </c>
      <c r="AG579">
        <v>30.07</v>
      </c>
    </row>
    <row r="580" spans="1:33" x14ac:dyDescent="0.25">
      <c r="A580" t="s">
        <v>57</v>
      </c>
      <c r="B580" s="3">
        <v>44041</v>
      </c>
      <c r="C580">
        <v>2020211</v>
      </c>
      <c r="D580">
        <v>28.99</v>
      </c>
      <c r="E580" t="s">
        <v>27</v>
      </c>
      <c r="F580">
        <v>17.7</v>
      </c>
      <c r="G580">
        <v>29.1</v>
      </c>
      <c r="H580">
        <v>5.9</v>
      </c>
      <c r="I580">
        <v>48.1</v>
      </c>
      <c r="J580">
        <v>16.5</v>
      </c>
      <c r="K580">
        <v>0.5</v>
      </c>
      <c r="L580">
        <v>2.5</v>
      </c>
      <c r="M580">
        <v>0</v>
      </c>
      <c r="N580">
        <v>0</v>
      </c>
      <c r="O580" t="s">
        <v>27</v>
      </c>
      <c r="P580" t="s">
        <v>27</v>
      </c>
      <c r="Q580" t="s">
        <v>27</v>
      </c>
      <c r="R580" t="s">
        <v>27</v>
      </c>
      <c r="S580">
        <v>22.4</v>
      </c>
      <c r="T580">
        <v>16.2</v>
      </c>
      <c r="U580">
        <v>12.9</v>
      </c>
      <c r="V580" t="s">
        <v>27</v>
      </c>
      <c r="W580">
        <v>0.66400000000000003</v>
      </c>
      <c r="X580">
        <v>3.36</v>
      </c>
      <c r="Y580" t="s">
        <v>27</v>
      </c>
      <c r="Z580" t="s">
        <v>27</v>
      </c>
      <c r="AA580" t="s">
        <v>27</v>
      </c>
      <c r="AB580" t="s">
        <v>27</v>
      </c>
      <c r="AC580" t="s">
        <v>27</v>
      </c>
      <c r="AD580" t="s">
        <v>27</v>
      </c>
      <c r="AE580" t="s">
        <v>27</v>
      </c>
      <c r="AF580" t="s">
        <v>27</v>
      </c>
      <c r="AG580">
        <v>29.91</v>
      </c>
    </row>
    <row r="581" spans="1:33" x14ac:dyDescent="0.25">
      <c r="A581" t="s">
        <v>57</v>
      </c>
      <c r="B581" s="3">
        <v>44042</v>
      </c>
      <c r="C581">
        <v>2020212</v>
      </c>
      <c r="D581">
        <v>27.63</v>
      </c>
      <c r="E581" t="s">
        <v>27</v>
      </c>
      <c r="F581">
        <v>19.899999999999999</v>
      </c>
      <c r="G581">
        <v>31.7</v>
      </c>
      <c r="H581">
        <v>7.7</v>
      </c>
      <c r="I581">
        <v>48.7</v>
      </c>
      <c r="J581">
        <v>18.5</v>
      </c>
      <c r="K581">
        <v>0.4</v>
      </c>
      <c r="L581">
        <v>2.1</v>
      </c>
      <c r="M581">
        <v>0</v>
      </c>
      <c r="N581">
        <v>0</v>
      </c>
      <c r="O581" t="s">
        <v>27</v>
      </c>
      <c r="P581" t="s">
        <v>27</v>
      </c>
      <c r="Q581" t="s">
        <v>27</v>
      </c>
      <c r="R581" t="s">
        <v>27</v>
      </c>
      <c r="S581">
        <v>24</v>
      </c>
      <c r="T581">
        <v>16.600000000000001</v>
      </c>
      <c r="U581">
        <v>13.1</v>
      </c>
      <c r="V581" t="s">
        <v>27</v>
      </c>
      <c r="W581">
        <v>0.86299999999999999</v>
      </c>
      <c r="X581">
        <v>3.802</v>
      </c>
      <c r="Y581" t="s">
        <v>27</v>
      </c>
      <c r="Z581" t="s">
        <v>27</v>
      </c>
      <c r="AA581" t="s">
        <v>27</v>
      </c>
      <c r="AB581" t="s">
        <v>27</v>
      </c>
      <c r="AC581" t="s">
        <v>27</v>
      </c>
      <c r="AD581" t="s">
        <v>27</v>
      </c>
      <c r="AE581" t="s">
        <v>27</v>
      </c>
      <c r="AF581" t="s">
        <v>27</v>
      </c>
      <c r="AG581">
        <v>29.74</v>
      </c>
    </row>
    <row r="582" spans="1:33" x14ac:dyDescent="0.25">
      <c r="A582" t="s">
        <v>57</v>
      </c>
      <c r="B582" s="3">
        <v>44043</v>
      </c>
      <c r="C582">
        <v>2020213</v>
      </c>
      <c r="D582">
        <v>20.440000000000001</v>
      </c>
      <c r="E582" t="s">
        <v>27</v>
      </c>
      <c r="F582">
        <v>20.9</v>
      </c>
      <c r="G582">
        <v>32.1</v>
      </c>
      <c r="H582">
        <v>10.199999999999999</v>
      </c>
      <c r="I582">
        <v>50.4</v>
      </c>
      <c r="J582">
        <v>19.899999999999999</v>
      </c>
      <c r="K582">
        <v>0.4</v>
      </c>
      <c r="L582">
        <v>2.2000000000000002</v>
      </c>
      <c r="M582">
        <v>0</v>
      </c>
      <c r="N582">
        <v>0</v>
      </c>
      <c r="O582" t="s">
        <v>27</v>
      </c>
      <c r="P582" t="s">
        <v>27</v>
      </c>
      <c r="Q582" t="s">
        <v>27</v>
      </c>
      <c r="R582" t="s">
        <v>27</v>
      </c>
      <c r="S582">
        <v>22.2</v>
      </c>
      <c r="T582">
        <v>16.600000000000001</v>
      </c>
      <c r="U582">
        <v>13.5</v>
      </c>
      <c r="V582" t="s">
        <v>27</v>
      </c>
      <c r="W582">
        <v>0.95</v>
      </c>
      <c r="X582">
        <v>3.8239999999999998</v>
      </c>
      <c r="Y582" t="s">
        <v>27</v>
      </c>
      <c r="Z582" t="s">
        <v>27</v>
      </c>
      <c r="AA582" t="s">
        <v>27</v>
      </c>
      <c r="AB582" t="s">
        <v>27</v>
      </c>
      <c r="AC582" t="s">
        <v>27</v>
      </c>
      <c r="AD582" t="s">
        <v>27</v>
      </c>
      <c r="AE582" t="s">
        <v>27</v>
      </c>
      <c r="AF582" t="s">
        <v>27</v>
      </c>
      <c r="AG582">
        <v>29.59</v>
      </c>
    </row>
    <row r="583" spans="1:33" x14ac:dyDescent="0.25">
      <c r="A583" t="s">
        <v>57</v>
      </c>
      <c r="B583" s="3">
        <v>44044</v>
      </c>
      <c r="C583">
        <v>2020214</v>
      </c>
      <c r="D583">
        <v>25.2</v>
      </c>
      <c r="E583" t="s">
        <v>27</v>
      </c>
      <c r="F583">
        <v>19.5</v>
      </c>
      <c r="G583">
        <v>29.5</v>
      </c>
      <c r="H583">
        <v>9.8000000000000007</v>
      </c>
      <c r="I583">
        <v>56.1</v>
      </c>
      <c r="J583">
        <v>27.5</v>
      </c>
      <c r="K583">
        <v>0.4</v>
      </c>
      <c r="L583">
        <v>2.1</v>
      </c>
      <c r="M583">
        <v>0</v>
      </c>
      <c r="N583">
        <v>0</v>
      </c>
      <c r="O583" t="s">
        <v>27</v>
      </c>
      <c r="P583" t="s">
        <v>27</v>
      </c>
      <c r="Q583" t="s">
        <v>27</v>
      </c>
      <c r="R583" t="s">
        <v>27</v>
      </c>
      <c r="S583">
        <v>24.5</v>
      </c>
      <c r="T583">
        <v>17.100000000000001</v>
      </c>
      <c r="U583">
        <v>13.6</v>
      </c>
      <c r="V583" t="s">
        <v>27</v>
      </c>
      <c r="W583">
        <v>1.1319999999999999</v>
      </c>
      <c r="X583">
        <v>2.984</v>
      </c>
      <c r="Y583" t="s">
        <v>27</v>
      </c>
      <c r="Z583" t="s">
        <v>27</v>
      </c>
      <c r="AA583" t="s">
        <v>27</v>
      </c>
      <c r="AB583" t="s">
        <v>27</v>
      </c>
      <c r="AC583" t="s">
        <v>27</v>
      </c>
      <c r="AD583" t="s">
        <v>27</v>
      </c>
      <c r="AE583" t="s">
        <v>27</v>
      </c>
      <c r="AF583" t="s">
        <v>27</v>
      </c>
      <c r="AG583">
        <v>29.42</v>
      </c>
    </row>
    <row r="584" spans="1:33" x14ac:dyDescent="0.25">
      <c r="A584" t="s">
        <v>57</v>
      </c>
      <c r="B584" s="3">
        <v>44045</v>
      </c>
      <c r="C584">
        <v>2020215</v>
      </c>
      <c r="D584">
        <v>26.35</v>
      </c>
      <c r="E584" t="s">
        <v>27</v>
      </c>
      <c r="F584">
        <v>17.399999999999999</v>
      </c>
      <c r="G584">
        <v>26.9</v>
      </c>
      <c r="H584">
        <v>7.4</v>
      </c>
      <c r="I584">
        <v>54.3</v>
      </c>
      <c r="J584">
        <v>20.399999999999999</v>
      </c>
      <c r="K584">
        <v>0.7</v>
      </c>
      <c r="L584">
        <v>2.5</v>
      </c>
      <c r="M584">
        <v>0</v>
      </c>
      <c r="N584">
        <v>0</v>
      </c>
      <c r="O584" t="s">
        <v>27</v>
      </c>
      <c r="P584" t="s">
        <v>27</v>
      </c>
      <c r="Q584" t="s">
        <v>27</v>
      </c>
      <c r="R584" t="s">
        <v>27</v>
      </c>
      <c r="S584">
        <v>22.3</v>
      </c>
      <c r="T584">
        <v>17.100000000000001</v>
      </c>
      <c r="U584">
        <v>13.9</v>
      </c>
      <c r="V584" t="s">
        <v>27</v>
      </c>
      <c r="W584">
        <v>0.72099999999999997</v>
      </c>
      <c r="X584">
        <v>2.8130000000000002</v>
      </c>
      <c r="Y584" t="s">
        <v>27</v>
      </c>
      <c r="Z584" t="s">
        <v>27</v>
      </c>
      <c r="AA584" t="s">
        <v>27</v>
      </c>
      <c r="AB584" t="s">
        <v>27</v>
      </c>
      <c r="AC584" t="s">
        <v>27</v>
      </c>
      <c r="AD584" t="s">
        <v>27</v>
      </c>
      <c r="AE584" t="s">
        <v>27</v>
      </c>
      <c r="AF584" t="s">
        <v>27</v>
      </c>
      <c r="AG584">
        <v>29.25</v>
      </c>
    </row>
    <row r="585" spans="1:33" x14ac:dyDescent="0.25">
      <c r="A585" t="s">
        <v>57</v>
      </c>
      <c r="B585" s="3">
        <v>44046</v>
      </c>
      <c r="C585">
        <v>2020216</v>
      </c>
      <c r="D585">
        <v>25.66</v>
      </c>
      <c r="E585" t="s">
        <v>27</v>
      </c>
      <c r="F585">
        <v>14.1</v>
      </c>
      <c r="G585">
        <v>20.9</v>
      </c>
      <c r="H585">
        <v>5.4</v>
      </c>
      <c r="I585">
        <v>59.1</v>
      </c>
      <c r="J585">
        <v>34.4</v>
      </c>
      <c r="K585">
        <v>1</v>
      </c>
      <c r="L585">
        <v>3</v>
      </c>
      <c r="M585">
        <v>0</v>
      </c>
      <c r="N585">
        <v>0</v>
      </c>
      <c r="O585" t="s">
        <v>27</v>
      </c>
      <c r="P585" t="s">
        <v>27</v>
      </c>
      <c r="Q585" t="s">
        <v>27</v>
      </c>
      <c r="R585" t="s">
        <v>27</v>
      </c>
      <c r="S585">
        <v>19.3</v>
      </c>
      <c r="T585">
        <v>16.3</v>
      </c>
      <c r="U585">
        <v>14</v>
      </c>
      <c r="V585" t="s">
        <v>27</v>
      </c>
      <c r="W585">
        <v>0.85</v>
      </c>
      <c r="X585">
        <v>1.621</v>
      </c>
      <c r="Y585" t="s">
        <v>27</v>
      </c>
      <c r="Z585" t="s">
        <v>27</v>
      </c>
      <c r="AA585" t="s">
        <v>27</v>
      </c>
      <c r="AB585" t="s">
        <v>27</v>
      </c>
      <c r="AC585" t="s">
        <v>27</v>
      </c>
      <c r="AD585" t="s">
        <v>27</v>
      </c>
      <c r="AE585" t="s">
        <v>27</v>
      </c>
      <c r="AF585" t="s">
        <v>27</v>
      </c>
      <c r="AG585">
        <v>29.08</v>
      </c>
    </row>
    <row r="586" spans="1:33" x14ac:dyDescent="0.25">
      <c r="A586" t="s">
        <v>57</v>
      </c>
      <c r="B586" s="3">
        <v>44047</v>
      </c>
      <c r="C586">
        <v>2020217</v>
      </c>
      <c r="D586">
        <v>27.55</v>
      </c>
      <c r="E586" t="s">
        <v>27</v>
      </c>
      <c r="F586">
        <v>14.6</v>
      </c>
      <c r="G586">
        <v>25.9</v>
      </c>
      <c r="H586">
        <v>2.7</v>
      </c>
      <c r="I586">
        <v>62.5</v>
      </c>
      <c r="J586">
        <v>25.1</v>
      </c>
      <c r="K586">
        <v>0.4</v>
      </c>
      <c r="L586">
        <v>2</v>
      </c>
      <c r="M586">
        <v>0</v>
      </c>
      <c r="N586">
        <v>0</v>
      </c>
      <c r="O586" t="s">
        <v>27</v>
      </c>
      <c r="P586" t="s">
        <v>27</v>
      </c>
      <c r="Q586" t="s">
        <v>27</v>
      </c>
      <c r="R586" t="s">
        <v>27</v>
      </c>
      <c r="S586">
        <v>19.899999999999999</v>
      </c>
      <c r="T586">
        <v>15.7</v>
      </c>
      <c r="U586">
        <v>13.8</v>
      </c>
      <c r="V586" t="s">
        <v>27</v>
      </c>
      <c r="W586">
        <v>0.83799999999999997</v>
      </c>
      <c r="X586">
        <v>2.5009999999999999</v>
      </c>
      <c r="Y586" t="s">
        <v>27</v>
      </c>
      <c r="Z586" t="s">
        <v>27</v>
      </c>
      <c r="AA586" t="s">
        <v>27</v>
      </c>
      <c r="AB586" t="s">
        <v>27</v>
      </c>
      <c r="AC586" t="s">
        <v>27</v>
      </c>
      <c r="AD586" t="s">
        <v>27</v>
      </c>
      <c r="AE586" t="s">
        <v>27</v>
      </c>
      <c r="AF586" t="s">
        <v>27</v>
      </c>
      <c r="AG586">
        <v>28.91</v>
      </c>
    </row>
    <row r="587" spans="1:33" x14ac:dyDescent="0.25">
      <c r="A587" t="s">
        <v>57</v>
      </c>
      <c r="B587" s="3">
        <v>44048</v>
      </c>
      <c r="C587">
        <v>2020218</v>
      </c>
      <c r="D587">
        <v>27.26</v>
      </c>
      <c r="E587" t="s">
        <v>27</v>
      </c>
      <c r="F587">
        <v>16.5</v>
      </c>
      <c r="G587">
        <v>27.1</v>
      </c>
      <c r="H587">
        <v>5</v>
      </c>
      <c r="I587">
        <v>54.4</v>
      </c>
      <c r="J587">
        <v>18.7</v>
      </c>
      <c r="K587">
        <v>0.6</v>
      </c>
      <c r="L587">
        <v>2.4</v>
      </c>
      <c r="M587">
        <v>0</v>
      </c>
      <c r="N587">
        <v>0</v>
      </c>
      <c r="O587" t="s">
        <v>27</v>
      </c>
      <c r="P587" t="s">
        <v>27</v>
      </c>
      <c r="Q587" t="s">
        <v>27</v>
      </c>
      <c r="R587" t="s">
        <v>27</v>
      </c>
      <c r="S587">
        <v>21</v>
      </c>
      <c r="T587">
        <v>16</v>
      </c>
      <c r="U587">
        <v>13.7</v>
      </c>
      <c r="V587" t="s">
        <v>27</v>
      </c>
      <c r="W587">
        <v>0.66900000000000004</v>
      </c>
      <c r="X587">
        <v>2.9089999999999998</v>
      </c>
      <c r="Y587" t="s">
        <v>27</v>
      </c>
      <c r="Z587" t="s">
        <v>27</v>
      </c>
      <c r="AA587" t="s">
        <v>27</v>
      </c>
      <c r="AB587" t="s">
        <v>27</v>
      </c>
      <c r="AC587" t="s">
        <v>27</v>
      </c>
      <c r="AD587" t="s">
        <v>27</v>
      </c>
      <c r="AE587" t="s">
        <v>27</v>
      </c>
      <c r="AF587" t="s">
        <v>27</v>
      </c>
      <c r="AG587">
        <v>28.73</v>
      </c>
    </row>
    <row r="588" spans="1:33" x14ac:dyDescent="0.25">
      <c r="A588" t="s">
        <v>57</v>
      </c>
      <c r="B588" s="3">
        <v>44049</v>
      </c>
      <c r="C588">
        <v>2020219</v>
      </c>
      <c r="D588">
        <v>10.82</v>
      </c>
      <c r="E588" t="s">
        <v>27</v>
      </c>
      <c r="F588">
        <v>9.4</v>
      </c>
      <c r="G588">
        <v>19.5</v>
      </c>
      <c r="H588">
        <v>3.9</v>
      </c>
      <c r="I588">
        <v>81.5</v>
      </c>
      <c r="J588">
        <v>39.799999999999997</v>
      </c>
      <c r="K588">
        <v>0.5</v>
      </c>
      <c r="L588">
        <v>3</v>
      </c>
      <c r="M588">
        <v>8.3800000000000008</v>
      </c>
      <c r="N588">
        <v>0</v>
      </c>
      <c r="O588" t="s">
        <v>27</v>
      </c>
      <c r="P588" t="s">
        <v>27</v>
      </c>
      <c r="Q588" t="s">
        <v>27</v>
      </c>
      <c r="R588" t="s">
        <v>27</v>
      </c>
      <c r="S588">
        <v>13.4</v>
      </c>
      <c r="T588">
        <v>15</v>
      </c>
      <c r="U588">
        <v>13.8</v>
      </c>
      <c r="V588" t="s">
        <v>27</v>
      </c>
      <c r="W588">
        <v>0.9</v>
      </c>
      <c r="X588">
        <v>1.361</v>
      </c>
      <c r="Y588" t="s">
        <v>27</v>
      </c>
      <c r="Z588" t="s">
        <v>27</v>
      </c>
      <c r="AA588" t="s">
        <v>27</v>
      </c>
      <c r="AB588" t="s">
        <v>27</v>
      </c>
      <c r="AC588" t="s">
        <v>27</v>
      </c>
      <c r="AD588" t="s">
        <v>27</v>
      </c>
      <c r="AE588" t="s">
        <v>27</v>
      </c>
      <c r="AF588" t="s">
        <v>27</v>
      </c>
      <c r="AG588">
        <v>28.55</v>
      </c>
    </row>
    <row r="589" spans="1:33" x14ac:dyDescent="0.25">
      <c r="A589" t="s">
        <v>57</v>
      </c>
      <c r="B589" s="3">
        <v>44050</v>
      </c>
      <c r="C589">
        <v>2020220</v>
      </c>
      <c r="D589">
        <v>18.899999999999999</v>
      </c>
      <c r="E589" t="s">
        <v>27</v>
      </c>
      <c r="F589">
        <v>8.6999999999999993</v>
      </c>
      <c r="G589">
        <v>15.9</v>
      </c>
      <c r="H589">
        <v>4.2</v>
      </c>
      <c r="I589">
        <v>76.5</v>
      </c>
      <c r="J589">
        <v>42.6</v>
      </c>
      <c r="K589">
        <v>1</v>
      </c>
      <c r="L589">
        <v>2.8</v>
      </c>
      <c r="M589">
        <v>1.27</v>
      </c>
      <c r="N589">
        <v>0</v>
      </c>
      <c r="O589" t="s">
        <v>27</v>
      </c>
      <c r="P589" t="s">
        <v>27</v>
      </c>
      <c r="Q589" t="s">
        <v>27</v>
      </c>
      <c r="R589" t="s">
        <v>27</v>
      </c>
      <c r="S589">
        <v>13.3</v>
      </c>
      <c r="T589">
        <v>13.5</v>
      </c>
      <c r="U589">
        <v>13.3</v>
      </c>
      <c r="V589" t="s">
        <v>27</v>
      </c>
      <c r="W589">
        <v>0.77</v>
      </c>
      <c r="X589">
        <v>1.038</v>
      </c>
      <c r="Y589" t="s">
        <v>27</v>
      </c>
      <c r="Z589" t="s">
        <v>27</v>
      </c>
      <c r="AA589" t="s">
        <v>27</v>
      </c>
      <c r="AB589" t="s">
        <v>27</v>
      </c>
      <c r="AC589" t="s">
        <v>27</v>
      </c>
      <c r="AD589" t="s">
        <v>27</v>
      </c>
      <c r="AE589" t="s">
        <v>27</v>
      </c>
      <c r="AF589" t="s">
        <v>27</v>
      </c>
      <c r="AG589">
        <v>28.36</v>
      </c>
    </row>
    <row r="590" spans="1:33" x14ac:dyDescent="0.25">
      <c r="A590" t="s">
        <v>57</v>
      </c>
      <c r="B590" s="3">
        <v>44051</v>
      </c>
      <c r="C590">
        <v>2020221</v>
      </c>
      <c r="D590">
        <v>18.260000000000002</v>
      </c>
      <c r="E590" t="s">
        <v>27</v>
      </c>
      <c r="F590">
        <v>9.9</v>
      </c>
      <c r="G590">
        <v>17.100000000000001</v>
      </c>
      <c r="H590">
        <v>5.7</v>
      </c>
      <c r="I590">
        <v>73.3</v>
      </c>
      <c r="J590">
        <v>32.6</v>
      </c>
      <c r="K590">
        <v>0.8</v>
      </c>
      <c r="L590">
        <v>2.8</v>
      </c>
      <c r="M590">
        <v>0.51</v>
      </c>
      <c r="N590">
        <v>0</v>
      </c>
      <c r="O590" t="s">
        <v>27</v>
      </c>
      <c r="P590" t="s">
        <v>27</v>
      </c>
      <c r="Q590" t="s">
        <v>27</v>
      </c>
      <c r="R590" t="s">
        <v>27</v>
      </c>
      <c r="S590">
        <v>12.4</v>
      </c>
      <c r="T590">
        <v>13.2</v>
      </c>
      <c r="U590">
        <v>12.9</v>
      </c>
      <c r="V590" t="s">
        <v>27</v>
      </c>
      <c r="W590">
        <v>0.63700000000000001</v>
      </c>
      <c r="X590">
        <v>1.3169999999999999</v>
      </c>
      <c r="Y590" t="s">
        <v>27</v>
      </c>
      <c r="Z590" t="s">
        <v>27</v>
      </c>
      <c r="AA590" t="s">
        <v>27</v>
      </c>
      <c r="AB590" t="s">
        <v>27</v>
      </c>
      <c r="AC590" t="s">
        <v>27</v>
      </c>
      <c r="AD590" t="s">
        <v>27</v>
      </c>
      <c r="AE590" t="s">
        <v>27</v>
      </c>
      <c r="AF590" t="s">
        <v>27</v>
      </c>
      <c r="AG590">
        <v>28.17</v>
      </c>
    </row>
    <row r="591" spans="1:33" x14ac:dyDescent="0.25">
      <c r="A591" t="s">
        <v>57</v>
      </c>
      <c r="B591" s="3">
        <v>44052</v>
      </c>
      <c r="C591">
        <v>2020222</v>
      </c>
      <c r="D591">
        <v>26.22</v>
      </c>
      <c r="E591" t="s">
        <v>27</v>
      </c>
      <c r="F591">
        <v>10.4</v>
      </c>
      <c r="G591">
        <v>18.399999999999999</v>
      </c>
      <c r="H591">
        <v>1.8</v>
      </c>
      <c r="I591">
        <v>70.599999999999994</v>
      </c>
      <c r="J591">
        <v>36.4</v>
      </c>
      <c r="K591">
        <v>0.4</v>
      </c>
      <c r="L591">
        <v>2.1</v>
      </c>
      <c r="M591">
        <v>0</v>
      </c>
      <c r="N591">
        <v>0</v>
      </c>
      <c r="O591" t="s">
        <v>27</v>
      </c>
      <c r="P591" t="s">
        <v>27</v>
      </c>
      <c r="Q591" t="s">
        <v>27</v>
      </c>
      <c r="R591" t="s">
        <v>27</v>
      </c>
      <c r="S591">
        <v>12.8</v>
      </c>
      <c r="T591">
        <v>12.8</v>
      </c>
      <c r="U591">
        <v>12.5</v>
      </c>
      <c r="V591" t="s">
        <v>27</v>
      </c>
      <c r="W591">
        <v>0.76900000000000002</v>
      </c>
      <c r="X591">
        <v>1.3440000000000001</v>
      </c>
      <c r="Y591" t="s">
        <v>27</v>
      </c>
      <c r="Z591" t="s">
        <v>27</v>
      </c>
      <c r="AA591" t="s">
        <v>27</v>
      </c>
      <c r="AB591" t="s">
        <v>27</v>
      </c>
      <c r="AC591" t="s">
        <v>27</v>
      </c>
      <c r="AD591" t="s">
        <v>27</v>
      </c>
      <c r="AE591" t="s">
        <v>27</v>
      </c>
      <c r="AF591" t="s">
        <v>27</v>
      </c>
      <c r="AG591">
        <v>27.99</v>
      </c>
    </row>
    <row r="592" spans="1:33" x14ac:dyDescent="0.25">
      <c r="A592" t="s">
        <v>57</v>
      </c>
      <c r="B592" s="3">
        <v>44053</v>
      </c>
      <c r="C592">
        <v>2020223</v>
      </c>
      <c r="D592">
        <v>18.760000000000002</v>
      </c>
      <c r="E592" t="s">
        <v>27</v>
      </c>
      <c r="F592">
        <v>11.9</v>
      </c>
      <c r="G592">
        <v>21.9</v>
      </c>
      <c r="H592">
        <v>3.4</v>
      </c>
      <c r="I592">
        <v>74.3</v>
      </c>
      <c r="J592">
        <v>34.4</v>
      </c>
      <c r="K592">
        <v>0.5</v>
      </c>
      <c r="L592">
        <v>2.4</v>
      </c>
      <c r="M592">
        <v>0</v>
      </c>
      <c r="N592">
        <v>0</v>
      </c>
      <c r="O592" t="s">
        <v>27</v>
      </c>
      <c r="P592" t="s">
        <v>27</v>
      </c>
      <c r="Q592" t="s">
        <v>27</v>
      </c>
      <c r="R592" t="s">
        <v>27</v>
      </c>
      <c r="S592">
        <v>12.5</v>
      </c>
      <c r="T592">
        <v>12.7</v>
      </c>
      <c r="U592">
        <v>12.3</v>
      </c>
      <c r="V592" t="s">
        <v>27</v>
      </c>
      <c r="W592">
        <v>0.90200000000000002</v>
      </c>
      <c r="X592">
        <v>1.72</v>
      </c>
      <c r="Y592" t="s">
        <v>27</v>
      </c>
      <c r="Z592" t="s">
        <v>27</v>
      </c>
      <c r="AA592" t="s">
        <v>27</v>
      </c>
      <c r="AB592" t="s">
        <v>27</v>
      </c>
      <c r="AC592" t="s">
        <v>27</v>
      </c>
      <c r="AD592" t="s">
        <v>27</v>
      </c>
      <c r="AE592" t="s">
        <v>27</v>
      </c>
      <c r="AF592" t="s">
        <v>27</v>
      </c>
      <c r="AG592">
        <v>27.79</v>
      </c>
    </row>
    <row r="593" spans="1:33" x14ac:dyDescent="0.25">
      <c r="A593" t="s">
        <v>57</v>
      </c>
      <c r="B593" s="3">
        <v>44054</v>
      </c>
      <c r="C593">
        <v>2020224</v>
      </c>
      <c r="D593">
        <v>20.77</v>
      </c>
      <c r="E593" t="s">
        <v>27</v>
      </c>
      <c r="F593">
        <v>11.2</v>
      </c>
      <c r="G593">
        <v>20.9</v>
      </c>
      <c r="H593">
        <v>1.8</v>
      </c>
      <c r="I593">
        <v>57.4</v>
      </c>
      <c r="J593">
        <v>24.8</v>
      </c>
      <c r="K593">
        <v>0.8</v>
      </c>
      <c r="L593">
        <v>3.3</v>
      </c>
      <c r="M593">
        <v>0</v>
      </c>
      <c r="N593">
        <v>0</v>
      </c>
      <c r="O593" t="s">
        <v>27</v>
      </c>
      <c r="P593" t="s">
        <v>27</v>
      </c>
      <c r="Q593" t="s">
        <v>27</v>
      </c>
      <c r="R593" t="s">
        <v>27</v>
      </c>
      <c r="S593">
        <v>13.4</v>
      </c>
      <c r="T593">
        <v>12.7</v>
      </c>
      <c r="U593">
        <v>12.1</v>
      </c>
      <c r="V593" t="s">
        <v>27</v>
      </c>
      <c r="W593">
        <v>0.61099999999999999</v>
      </c>
      <c r="X593">
        <v>1.853</v>
      </c>
      <c r="Y593" t="s">
        <v>27</v>
      </c>
      <c r="Z593" t="s">
        <v>27</v>
      </c>
      <c r="AA593" t="s">
        <v>27</v>
      </c>
      <c r="AB593" t="s">
        <v>27</v>
      </c>
      <c r="AC593" t="s">
        <v>27</v>
      </c>
      <c r="AD593" t="s">
        <v>27</v>
      </c>
      <c r="AE593" t="s">
        <v>27</v>
      </c>
      <c r="AF593" t="s">
        <v>27</v>
      </c>
      <c r="AG593">
        <v>27.6</v>
      </c>
    </row>
    <row r="594" spans="1:33" x14ac:dyDescent="0.25">
      <c r="A594" t="s">
        <v>57</v>
      </c>
      <c r="B594" s="3">
        <v>44055</v>
      </c>
      <c r="C594">
        <v>2020225</v>
      </c>
      <c r="D594">
        <v>23.71</v>
      </c>
      <c r="E594" t="s">
        <v>27</v>
      </c>
      <c r="F594">
        <v>7.8</v>
      </c>
      <c r="G594">
        <v>17</v>
      </c>
      <c r="H594">
        <v>-1.7</v>
      </c>
      <c r="I594">
        <v>63</v>
      </c>
      <c r="J594">
        <v>29.5</v>
      </c>
      <c r="K594">
        <v>0.5</v>
      </c>
      <c r="L594">
        <v>2.6</v>
      </c>
      <c r="M594">
        <v>0</v>
      </c>
      <c r="N594">
        <v>0</v>
      </c>
      <c r="O594" t="s">
        <v>27</v>
      </c>
      <c r="P594" t="s">
        <v>27</v>
      </c>
      <c r="Q594" t="s">
        <v>27</v>
      </c>
      <c r="R594" t="s">
        <v>27</v>
      </c>
      <c r="S594">
        <v>11.1</v>
      </c>
      <c r="T594">
        <v>12.2</v>
      </c>
      <c r="U594">
        <v>12.1</v>
      </c>
      <c r="V594" t="s">
        <v>27</v>
      </c>
      <c r="W594">
        <v>0.56999999999999995</v>
      </c>
      <c r="X594">
        <v>1.3620000000000001</v>
      </c>
      <c r="Y594" t="s">
        <v>27</v>
      </c>
      <c r="Z594" t="s">
        <v>27</v>
      </c>
      <c r="AA594" t="s">
        <v>27</v>
      </c>
      <c r="AB594" t="s">
        <v>27</v>
      </c>
      <c r="AC594" t="s">
        <v>27</v>
      </c>
      <c r="AD594" t="s">
        <v>27</v>
      </c>
      <c r="AE594" t="s">
        <v>27</v>
      </c>
      <c r="AF594" t="s">
        <v>27</v>
      </c>
      <c r="AG594">
        <v>27.4</v>
      </c>
    </row>
    <row r="595" spans="1:33" x14ac:dyDescent="0.25">
      <c r="A595" t="s">
        <v>57</v>
      </c>
      <c r="B595" s="3">
        <v>44056</v>
      </c>
      <c r="C595">
        <v>2020226</v>
      </c>
      <c r="D595">
        <v>23.17</v>
      </c>
      <c r="E595" t="s">
        <v>27</v>
      </c>
      <c r="F595">
        <v>7.9</v>
      </c>
      <c r="G595">
        <v>18.2</v>
      </c>
      <c r="H595">
        <v>-1.1000000000000001</v>
      </c>
      <c r="I595">
        <v>67.599999999999994</v>
      </c>
      <c r="J595">
        <v>28.8</v>
      </c>
      <c r="K595">
        <v>0.5</v>
      </c>
      <c r="L595">
        <v>2.2000000000000002</v>
      </c>
      <c r="M595">
        <v>0</v>
      </c>
      <c r="N595">
        <v>0</v>
      </c>
      <c r="O595" t="s">
        <v>27</v>
      </c>
      <c r="P595" t="s">
        <v>27</v>
      </c>
      <c r="Q595" t="s">
        <v>27</v>
      </c>
      <c r="R595" t="s">
        <v>27</v>
      </c>
      <c r="S595">
        <v>13</v>
      </c>
      <c r="T595">
        <v>12</v>
      </c>
      <c r="U595">
        <v>11.8</v>
      </c>
      <c r="V595" t="s">
        <v>27</v>
      </c>
      <c r="W595">
        <v>0.60099999999999998</v>
      </c>
      <c r="X595">
        <v>1.486</v>
      </c>
      <c r="Y595" t="s">
        <v>27</v>
      </c>
      <c r="Z595" t="s">
        <v>27</v>
      </c>
      <c r="AA595" t="s">
        <v>27</v>
      </c>
      <c r="AB595" t="s">
        <v>27</v>
      </c>
      <c r="AC595" t="s">
        <v>27</v>
      </c>
      <c r="AD595" t="s">
        <v>27</v>
      </c>
      <c r="AE595" t="s">
        <v>27</v>
      </c>
      <c r="AF595" t="s">
        <v>27</v>
      </c>
      <c r="AG595">
        <v>27.2</v>
      </c>
    </row>
    <row r="596" spans="1:33" x14ac:dyDescent="0.25">
      <c r="A596" t="s">
        <v>57</v>
      </c>
      <c r="B596" s="3">
        <v>44057</v>
      </c>
      <c r="C596">
        <v>2020227</v>
      </c>
      <c r="D596">
        <v>25.37</v>
      </c>
      <c r="E596" t="s">
        <v>27</v>
      </c>
      <c r="F596">
        <v>11</v>
      </c>
      <c r="G596">
        <v>22.4</v>
      </c>
      <c r="H596">
        <v>-1.1000000000000001</v>
      </c>
      <c r="I596">
        <v>65.5</v>
      </c>
      <c r="J596">
        <v>32.700000000000003</v>
      </c>
      <c r="K596">
        <v>0.5</v>
      </c>
      <c r="L596">
        <v>2.7</v>
      </c>
      <c r="M596">
        <v>0</v>
      </c>
      <c r="N596">
        <v>0</v>
      </c>
      <c r="O596" t="s">
        <v>27</v>
      </c>
      <c r="P596" t="s">
        <v>27</v>
      </c>
      <c r="Q596" t="s">
        <v>27</v>
      </c>
      <c r="R596" t="s">
        <v>27</v>
      </c>
      <c r="S596">
        <v>14.6</v>
      </c>
      <c r="T596">
        <v>12.4</v>
      </c>
      <c r="U596">
        <v>11.7</v>
      </c>
      <c r="V596" t="s">
        <v>27</v>
      </c>
      <c r="W596">
        <v>0.88500000000000001</v>
      </c>
      <c r="X596">
        <v>1.821</v>
      </c>
      <c r="Y596" t="s">
        <v>27</v>
      </c>
      <c r="Z596" t="s">
        <v>27</v>
      </c>
      <c r="AA596" t="s">
        <v>27</v>
      </c>
      <c r="AB596" t="s">
        <v>27</v>
      </c>
      <c r="AC596" t="s">
        <v>27</v>
      </c>
      <c r="AD596" t="s">
        <v>27</v>
      </c>
      <c r="AE596" t="s">
        <v>27</v>
      </c>
      <c r="AF596" t="s">
        <v>27</v>
      </c>
      <c r="AG596">
        <v>26.99</v>
      </c>
    </row>
    <row r="597" spans="1:33" x14ac:dyDescent="0.25">
      <c r="A597" t="s">
        <v>57</v>
      </c>
      <c r="B597" s="3">
        <v>44058</v>
      </c>
      <c r="C597">
        <v>2020228</v>
      </c>
      <c r="D597">
        <v>25.7</v>
      </c>
      <c r="E597" t="s">
        <v>27</v>
      </c>
      <c r="F597">
        <v>16</v>
      </c>
      <c r="G597">
        <v>28.1</v>
      </c>
      <c r="H597">
        <v>3.6</v>
      </c>
      <c r="I597">
        <v>59.6</v>
      </c>
      <c r="J597">
        <v>22</v>
      </c>
      <c r="K597">
        <v>0.4</v>
      </c>
      <c r="L597">
        <v>2.1</v>
      </c>
      <c r="M597">
        <v>0</v>
      </c>
      <c r="N597">
        <v>0</v>
      </c>
      <c r="O597" t="s">
        <v>27</v>
      </c>
      <c r="P597" t="s">
        <v>27</v>
      </c>
      <c r="Q597" t="s">
        <v>27</v>
      </c>
      <c r="R597" t="s">
        <v>27</v>
      </c>
      <c r="S597">
        <v>18</v>
      </c>
      <c r="T597">
        <v>13.5</v>
      </c>
      <c r="U597">
        <v>11.8</v>
      </c>
      <c r="V597" t="s">
        <v>27</v>
      </c>
      <c r="W597">
        <v>0.83799999999999997</v>
      </c>
      <c r="X597">
        <v>2.9710000000000001</v>
      </c>
      <c r="Y597" t="s">
        <v>27</v>
      </c>
      <c r="Z597" t="s">
        <v>27</v>
      </c>
      <c r="AA597" t="s">
        <v>27</v>
      </c>
      <c r="AB597" t="s">
        <v>27</v>
      </c>
      <c r="AC597" t="s">
        <v>27</v>
      </c>
      <c r="AD597" t="s">
        <v>27</v>
      </c>
      <c r="AE597" t="s">
        <v>27</v>
      </c>
      <c r="AF597" t="s">
        <v>27</v>
      </c>
      <c r="AG597">
        <v>26.79</v>
      </c>
    </row>
    <row r="598" spans="1:33" x14ac:dyDescent="0.25">
      <c r="A598" t="s">
        <v>57</v>
      </c>
      <c r="B598" s="3">
        <v>44059</v>
      </c>
      <c r="C598">
        <v>2020229</v>
      </c>
      <c r="D598">
        <v>23.97</v>
      </c>
      <c r="E598" t="s">
        <v>27</v>
      </c>
      <c r="F598">
        <v>19.2</v>
      </c>
      <c r="G598">
        <v>31.5</v>
      </c>
      <c r="H598">
        <v>7.5</v>
      </c>
      <c r="I598">
        <v>46.2</v>
      </c>
      <c r="J598">
        <v>18.100000000000001</v>
      </c>
      <c r="K598">
        <v>0.5</v>
      </c>
      <c r="L598">
        <v>2.2999999999999998</v>
      </c>
      <c r="M598">
        <v>0</v>
      </c>
      <c r="N598">
        <v>0</v>
      </c>
      <c r="O598" t="s">
        <v>27</v>
      </c>
      <c r="P598" t="s">
        <v>27</v>
      </c>
      <c r="Q598" t="s">
        <v>27</v>
      </c>
      <c r="R598" t="s">
        <v>27</v>
      </c>
      <c r="S598">
        <v>20.5</v>
      </c>
      <c r="T598">
        <v>14.4</v>
      </c>
      <c r="U598">
        <v>12.1</v>
      </c>
      <c r="V598" t="s">
        <v>27</v>
      </c>
      <c r="W598">
        <v>0.83799999999999997</v>
      </c>
      <c r="X598">
        <v>3.7919999999999998</v>
      </c>
      <c r="Y598" t="s">
        <v>27</v>
      </c>
      <c r="Z598" t="s">
        <v>27</v>
      </c>
      <c r="AA598" t="s">
        <v>27</v>
      </c>
      <c r="AB598" t="s">
        <v>27</v>
      </c>
      <c r="AC598" t="s">
        <v>27</v>
      </c>
      <c r="AD598" t="s">
        <v>27</v>
      </c>
      <c r="AE598" t="s">
        <v>27</v>
      </c>
      <c r="AF598" t="s">
        <v>27</v>
      </c>
      <c r="AG598">
        <v>26.58</v>
      </c>
    </row>
    <row r="599" spans="1:33" x14ac:dyDescent="0.25">
      <c r="A599" t="s">
        <v>57</v>
      </c>
      <c r="B599" s="3">
        <v>44060</v>
      </c>
      <c r="C599">
        <v>2020230</v>
      </c>
      <c r="D599">
        <v>23.51</v>
      </c>
      <c r="E599" t="s">
        <v>27</v>
      </c>
      <c r="F599">
        <v>20</v>
      </c>
      <c r="G599">
        <v>31.1</v>
      </c>
      <c r="H599">
        <v>9.9</v>
      </c>
      <c r="I599">
        <v>51.2</v>
      </c>
      <c r="J599">
        <v>18.7</v>
      </c>
      <c r="K599">
        <v>0.5</v>
      </c>
      <c r="L599">
        <v>3.2</v>
      </c>
      <c r="M599">
        <v>0</v>
      </c>
      <c r="N599">
        <v>0</v>
      </c>
      <c r="O599" t="s">
        <v>27</v>
      </c>
      <c r="P599" t="s">
        <v>27</v>
      </c>
      <c r="Q599" t="s">
        <v>27</v>
      </c>
      <c r="R599" t="s">
        <v>27</v>
      </c>
      <c r="S599">
        <v>22.1</v>
      </c>
      <c r="T599">
        <v>15.6</v>
      </c>
      <c r="U599">
        <v>12.5</v>
      </c>
      <c r="V599" t="s">
        <v>27</v>
      </c>
      <c r="W599">
        <v>0.84699999999999998</v>
      </c>
      <c r="X599">
        <v>3.6819999999999999</v>
      </c>
      <c r="Y599" t="s">
        <v>27</v>
      </c>
      <c r="Z599" t="s">
        <v>27</v>
      </c>
      <c r="AA599" t="s">
        <v>27</v>
      </c>
      <c r="AB599" t="s">
        <v>27</v>
      </c>
      <c r="AC599" t="s">
        <v>27</v>
      </c>
      <c r="AD599" t="s">
        <v>27</v>
      </c>
      <c r="AE599" t="s">
        <v>27</v>
      </c>
      <c r="AF599" t="s">
        <v>27</v>
      </c>
      <c r="AG599">
        <v>26.37</v>
      </c>
    </row>
    <row r="600" spans="1:33" x14ac:dyDescent="0.25">
      <c r="A600" t="s">
        <v>57</v>
      </c>
      <c r="B600" s="3">
        <v>44061</v>
      </c>
      <c r="C600">
        <v>2020231</v>
      </c>
      <c r="D600">
        <v>24.73</v>
      </c>
      <c r="E600" t="s">
        <v>27</v>
      </c>
      <c r="F600">
        <v>18.8</v>
      </c>
      <c r="G600">
        <v>29.9</v>
      </c>
      <c r="H600">
        <v>7.2</v>
      </c>
      <c r="I600">
        <v>46.2</v>
      </c>
      <c r="J600">
        <v>14</v>
      </c>
      <c r="K600">
        <v>0.6</v>
      </c>
      <c r="L600">
        <v>2.4</v>
      </c>
      <c r="M600">
        <v>0</v>
      </c>
      <c r="N600">
        <v>0</v>
      </c>
      <c r="O600" t="s">
        <v>27</v>
      </c>
      <c r="P600" t="s">
        <v>27</v>
      </c>
      <c r="Q600" t="s">
        <v>27</v>
      </c>
      <c r="R600" t="s">
        <v>27</v>
      </c>
      <c r="S600">
        <v>20</v>
      </c>
      <c r="T600">
        <v>15.5</v>
      </c>
      <c r="U600">
        <v>13</v>
      </c>
      <c r="V600" t="s">
        <v>27</v>
      </c>
      <c r="W600">
        <v>0.59099999999999997</v>
      </c>
      <c r="X600">
        <v>3.63</v>
      </c>
      <c r="Y600" t="s">
        <v>27</v>
      </c>
      <c r="Z600" t="s">
        <v>27</v>
      </c>
      <c r="AA600" t="s">
        <v>27</v>
      </c>
      <c r="AB600" t="s">
        <v>27</v>
      </c>
      <c r="AC600" t="s">
        <v>27</v>
      </c>
      <c r="AD600" t="s">
        <v>27</v>
      </c>
      <c r="AE600" t="s">
        <v>27</v>
      </c>
      <c r="AF600" t="s">
        <v>27</v>
      </c>
      <c r="AG600">
        <v>26.15</v>
      </c>
    </row>
    <row r="601" spans="1:33" x14ac:dyDescent="0.25">
      <c r="A601" t="s">
        <v>57</v>
      </c>
      <c r="B601" s="3">
        <v>44062</v>
      </c>
      <c r="C601">
        <v>2020232</v>
      </c>
      <c r="D601">
        <v>18.7</v>
      </c>
      <c r="E601" t="s">
        <v>27</v>
      </c>
      <c r="F601">
        <v>15.5</v>
      </c>
      <c r="G601">
        <v>25.6</v>
      </c>
      <c r="H601">
        <v>4.7</v>
      </c>
      <c r="I601">
        <v>50.6</v>
      </c>
      <c r="J601">
        <v>16.3</v>
      </c>
      <c r="K601">
        <v>0.4</v>
      </c>
      <c r="L601">
        <v>2.1</v>
      </c>
      <c r="M601">
        <v>0</v>
      </c>
      <c r="N601">
        <v>0</v>
      </c>
      <c r="O601" t="s">
        <v>27</v>
      </c>
      <c r="P601" t="s">
        <v>27</v>
      </c>
      <c r="Q601" t="s">
        <v>27</v>
      </c>
      <c r="R601" t="s">
        <v>27</v>
      </c>
      <c r="S601">
        <v>18.600000000000001</v>
      </c>
      <c r="T601">
        <v>15.1</v>
      </c>
      <c r="U601">
        <v>13.1</v>
      </c>
      <c r="V601" t="s">
        <v>27</v>
      </c>
      <c r="W601">
        <v>0.53400000000000003</v>
      </c>
      <c r="X601">
        <v>2.742</v>
      </c>
      <c r="Y601" t="s">
        <v>27</v>
      </c>
      <c r="Z601" t="s">
        <v>27</v>
      </c>
      <c r="AA601" t="s">
        <v>27</v>
      </c>
      <c r="AB601" t="s">
        <v>27</v>
      </c>
      <c r="AC601" t="s">
        <v>27</v>
      </c>
      <c r="AD601" t="s">
        <v>27</v>
      </c>
      <c r="AE601" t="s">
        <v>27</v>
      </c>
      <c r="AF601" t="s">
        <v>27</v>
      </c>
      <c r="AG601">
        <v>25.94</v>
      </c>
    </row>
    <row r="602" spans="1:33" x14ac:dyDescent="0.25">
      <c r="A602" t="s">
        <v>57</v>
      </c>
      <c r="B602" s="3">
        <v>44063</v>
      </c>
      <c r="C602">
        <v>2020233</v>
      </c>
      <c r="D602">
        <v>15.28</v>
      </c>
      <c r="E602" t="s">
        <v>27</v>
      </c>
      <c r="F602">
        <v>14.2</v>
      </c>
      <c r="G602">
        <v>21.7</v>
      </c>
      <c r="H602">
        <v>8.4</v>
      </c>
      <c r="I602">
        <v>61.3</v>
      </c>
      <c r="J602">
        <v>34.1</v>
      </c>
      <c r="K602">
        <v>0.4</v>
      </c>
      <c r="L602">
        <v>2</v>
      </c>
      <c r="M602">
        <v>0</v>
      </c>
      <c r="N602">
        <v>0</v>
      </c>
      <c r="O602" t="s">
        <v>27</v>
      </c>
      <c r="P602" t="s">
        <v>27</v>
      </c>
      <c r="Q602" t="s">
        <v>27</v>
      </c>
      <c r="R602" t="s">
        <v>27</v>
      </c>
      <c r="S602">
        <v>17.3</v>
      </c>
      <c r="T602">
        <v>14.8</v>
      </c>
      <c r="U602">
        <v>13.2</v>
      </c>
      <c r="V602" t="s">
        <v>27</v>
      </c>
      <c r="W602">
        <v>0.88600000000000001</v>
      </c>
      <c r="X602">
        <v>1.712</v>
      </c>
      <c r="Y602" t="s">
        <v>27</v>
      </c>
      <c r="Z602" t="s">
        <v>27</v>
      </c>
      <c r="AA602" t="s">
        <v>27</v>
      </c>
      <c r="AB602" t="s">
        <v>27</v>
      </c>
      <c r="AC602" t="s">
        <v>27</v>
      </c>
      <c r="AD602" t="s">
        <v>27</v>
      </c>
      <c r="AE602" t="s">
        <v>27</v>
      </c>
      <c r="AF602" t="s">
        <v>27</v>
      </c>
      <c r="AG602">
        <v>25.72</v>
      </c>
    </row>
    <row r="603" spans="1:33" x14ac:dyDescent="0.25">
      <c r="A603" t="s">
        <v>57</v>
      </c>
      <c r="B603" s="3">
        <v>44064</v>
      </c>
      <c r="C603">
        <v>2020234</v>
      </c>
      <c r="D603">
        <v>11.08</v>
      </c>
      <c r="E603" t="s">
        <v>27</v>
      </c>
      <c r="F603">
        <v>13.7</v>
      </c>
      <c r="G603">
        <v>22.2</v>
      </c>
      <c r="H603">
        <v>6.9</v>
      </c>
      <c r="I603">
        <v>70.8</v>
      </c>
      <c r="J603">
        <v>41.2</v>
      </c>
      <c r="K603">
        <v>0.8</v>
      </c>
      <c r="L603">
        <v>3.5</v>
      </c>
      <c r="M603">
        <v>1.52</v>
      </c>
      <c r="N603">
        <v>0</v>
      </c>
      <c r="O603" t="s">
        <v>27</v>
      </c>
      <c r="P603" t="s">
        <v>27</v>
      </c>
      <c r="Q603" t="s">
        <v>27</v>
      </c>
      <c r="R603" t="s">
        <v>27</v>
      </c>
      <c r="S603">
        <v>15.3</v>
      </c>
      <c r="T603">
        <v>14.3</v>
      </c>
      <c r="U603">
        <v>13.1</v>
      </c>
      <c r="V603" t="s">
        <v>27</v>
      </c>
      <c r="W603">
        <v>1.105</v>
      </c>
      <c r="X603">
        <v>1.577</v>
      </c>
      <c r="Y603" t="s">
        <v>27</v>
      </c>
      <c r="Z603" t="s">
        <v>27</v>
      </c>
      <c r="AA603" t="s">
        <v>27</v>
      </c>
      <c r="AB603" t="s">
        <v>27</v>
      </c>
      <c r="AC603" t="s">
        <v>27</v>
      </c>
      <c r="AD603" t="s">
        <v>27</v>
      </c>
      <c r="AE603" t="s">
        <v>27</v>
      </c>
      <c r="AF603" t="s">
        <v>27</v>
      </c>
      <c r="AG603">
        <v>25.5</v>
      </c>
    </row>
    <row r="604" spans="1:33" x14ac:dyDescent="0.25">
      <c r="A604" t="s">
        <v>57</v>
      </c>
      <c r="B604" s="3">
        <v>44065</v>
      </c>
      <c r="C604">
        <v>2020235</v>
      </c>
      <c r="D604">
        <v>23.67</v>
      </c>
      <c r="E604" t="s">
        <v>27</v>
      </c>
      <c r="F604">
        <v>11.4</v>
      </c>
      <c r="G604">
        <v>19.399999999999999</v>
      </c>
      <c r="H604">
        <v>3.2</v>
      </c>
      <c r="I604">
        <v>59.5</v>
      </c>
      <c r="J604">
        <v>30.2</v>
      </c>
      <c r="K604">
        <v>0.8</v>
      </c>
      <c r="L604">
        <v>2.4</v>
      </c>
      <c r="M604">
        <v>0.51</v>
      </c>
      <c r="N604">
        <v>0</v>
      </c>
      <c r="O604" t="s">
        <v>27</v>
      </c>
      <c r="P604" t="s">
        <v>27</v>
      </c>
      <c r="Q604" t="s">
        <v>27</v>
      </c>
      <c r="R604" t="s">
        <v>27</v>
      </c>
      <c r="S604">
        <v>11.8</v>
      </c>
      <c r="T604">
        <v>13.2</v>
      </c>
      <c r="U604">
        <v>12.8</v>
      </c>
      <c r="V604" t="s">
        <v>27</v>
      </c>
      <c r="W604">
        <v>0.68100000000000005</v>
      </c>
      <c r="X604">
        <v>1.5740000000000001</v>
      </c>
      <c r="Y604" t="s">
        <v>27</v>
      </c>
      <c r="Z604" t="s">
        <v>27</v>
      </c>
      <c r="AA604" t="s">
        <v>27</v>
      </c>
      <c r="AB604" t="s">
        <v>27</v>
      </c>
      <c r="AC604" t="s">
        <v>27</v>
      </c>
      <c r="AD604" t="s">
        <v>27</v>
      </c>
      <c r="AE604" t="s">
        <v>27</v>
      </c>
      <c r="AF604" t="s">
        <v>27</v>
      </c>
      <c r="AG604">
        <v>25.27</v>
      </c>
    </row>
    <row r="605" spans="1:33" x14ac:dyDescent="0.25">
      <c r="A605" t="s">
        <v>57</v>
      </c>
      <c r="B605" s="3">
        <v>44066</v>
      </c>
      <c r="C605">
        <v>2020236</v>
      </c>
      <c r="D605">
        <v>20.96</v>
      </c>
      <c r="E605" t="s">
        <v>27</v>
      </c>
      <c r="F605">
        <v>11.7</v>
      </c>
      <c r="G605">
        <v>22.4</v>
      </c>
      <c r="H605">
        <v>1.2</v>
      </c>
      <c r="I605">
        <v>63.7</v>
      </c>
      <c r="J605">
        <v>20.5</v>
      </c>
      <c r="K605">
        <v>0.5</v>
      </c>
      <c r="L605">
        <v>2.2999999999999998</v>
      </c>
      <c r="M605">
        <v>0</v>
      </c>
      <c r="N605">
        <v>0</v>
      </c>
      <c r="O605" t="s">
        <v>27</v>
      </c>
      <c r="P605" t="s">
        <v>27</v>
      </c>
      <c r="Q605" t="s">
        <v>27</v>
      </c>
      <c r="R605" t="s">
        <v>27</v>
      </c>
      <c r="S605">
        <v>13.7</v>
      </c>
      <c r="T605">
        <v>12.9</v>
      </c>
      <c r="U605">
        <v>12.5</v>
      </c>
      <c r="V605" t="s">
        <v>27</v>
      </c>
      <c r="W605">
        <v>0.55500000000000005</v>
      </c>
      <c r="X605">
        <v>2.1520000000000001</v>
      </c>
      <c r="Y605" t="s">
        <v>27</v>
      </c>
      <c r="Z605" t="s">
        <v>27</v>
      </c>
      <c r="AA605" t="s">
        <v>27</v>
      </c>
      <c r="AB605" t="s">
        <v>27</v>
      </c>
      <c r="AC605" t="s">
        <v>27</v>
      </c>
      <c r="AD605" t="s">
        <v>27</v>
      </c>
      <c r="AE605" t="s">
        <v>27</v>
      </c>
      <c r="AF605" t="s">
        <v>27</v>
      </c>
      <c r="AG605">
        <v>25.04</v>
      </c>
    </row>
    <row r="606" spans="1:33" x14ac:dyDescent="0.25">
      <c r="A606" t="s">
        <v>57</v>
      </c>
      <c r="B606" s="3">
        <v>44067</v>
      </c>
      <c r="C606">
        <v>2020237</v>
      </c>
      <c r="D606">
        <v>14</v>
      </c>
      <c r="E606" t="s">
        <v>27</v>
      </c>
      <c r="F606">
        <v>9.9</v>
      </c>
      <c r="G606">
        <v>17.399999999999999</v>
      </c>
      <c r="H606">
        <v>3.7</v>
      </c>
      <c r="I606">
        <v>72</v>
      </c>
      <c r="J606">
        <v>40.5</v>
      </c>
      <c r="K606">
        <v>0.5</v>
      </c>
      <c r="L606">
        <v>2</v>
      </c>
      <c r="M606">
        <v>0</v>
      </c>
      <c r="N606">
        <v>0</v>
      </c>
      <c r="O606" t="s">
        <v>27</v>
      </c>
      <c r="P606" t="s">
        <v>27</v>
      </c>
      <c r="Q606" t="s">
        <v>27</v>
      </c>
      <c r="R606" t="s">
        <v>27</v>
      </c>
      <c r="S606">
        <v>11.9</v>
      </c>
      <c r="T606">
        <v>12.6</v>
      </c>
      <c r="U606">
        <v>12.4</v>
      </c>
      <c r="V606" t="s">
        <v>27</v>
      </c>
      <c r="W606">
        <v>0.80700000000000005</v>
      </c>
      <c r="X606">
        <v>1.1859999999999999</v>
      </c>
      <c r="Y606" t="s">
        <v>27</v>
      </c>
      <c r="Z606" t="s">
        <v>27</v>
      </c>
      <c r="AA606" t="s">
        <v>27</v>
      </c>
      <c r="AB606" t="s">
        <v>27</v>
      </c>
      <c r="AC606" t="s">
        <v>27</v>
      </c>
      <c r="AD606" t="s">
        <v>27</v>
      </c>
      <c r="AE606" t="s">
        <v>27</v>
      </c>
      <c r="AF606" t="s">
        <v>27</v>
      </c>
      <c r="AG606">
        <v>24.82</v>
      </c>
    </row>
    <row r="607" spans="1:33" x14ac:dyDescent="0.25">
      <c r="A607" t="s">
        <v>57</v>
      </c>
      <c r="B607" s="3">
        <v>44068</v>
      </c>
      <c r="C607">
        <v>2020238</v>
      </c>
      <c r="D607">
        <v>23.67</v>
      </c>
      <c r="E607" t="s">
        <v>27</v>
      </c>
      <c r="F607">
        <v>10.1</v>
      </c>
      <c r="G607">
        <v>20.3</v>
      </c>
      <c r="H607">
        <v>-0.1</v>
      </c>
      <c r="I607">
        <v>66.099999999999994</v>
      </c>
      <c r="J607">
        <v>24.6</v>
      </c>
      <c r="K607">
        <v>0.5</v>
      </c>
      <c r="L607">
        <v>2</v>
      </c>
      <c r="M607">
        <v>0</v>
      </c>
      <c r="N607">
        <v>0</v>
      </c>
      <c r="O607" t="s">
        <v>27</v>
      </c>
      <c r="P607" t="s">
        <v>27</v>
      </c>
      <c r="Q607" t="s">
        <v>27</v>
      </c>
      <c r="R607" t="s">
        <v>27</v>
      </c>
      <c r="S607">
        <v>12.6</v>
      </c>
      <c r="T607">
        <v>12.2</v>
      </c>
      <c r="U607">
        <v>12</v>
      </c>
      <c r="V607" t="s">
        <v>27</v>
      </c>
      <c r="W607">
        <v>0.58499999999999996</v>
      </c>
      <c r="X607">
        <v>1.7929999999999999</v>
      </c>
      <c r="Y607" t="s">
        <v>27</v>
      </c>
      <c r="Z607" t="s">
        <v>27</v>
      </c>
      <c r="AA607" t="s">
        <v>27</v>
      </c>
      <c r="AB607" t="s">
        <v>27</v>
      </c>
      <c r="AC607" t="s">
        <v>27</v>
      </c>
      <c r="AD607" t="s">
        <v>27</v>
      </c>
      <c r="AE607" t="s">
        <v>27</v>
      </c>
      <c r="AF607" t="s">
        <v>27</v>
      </c>
      <c r="AG607">
        <v>24.59</v>
      </c>
    </row>
    <row r="608" spans="1:33" x14ac:dyDescent="0.25">
      <c r="A608" t="s">
        <v>57</v>
      </c>
      <c r="B608" s="3">
        <v>44069</v>
      </c>
      <c r="C608">
        <v>2020239</v>
      </c>
      <c r="D608">
        <v>23.29</v>
      </c>
      <c r="E608" t="s">
        <v>27</v>
      </c>
      <c r="F608">
        <v>10.6</v>
      </c>
      <c r="G608">
        <v>21.7</v>
      </c>
      <c r="H608">
        <v>-1</v>
      </c>
      <c r="I608">
        <v>64</v>
      </c>
      <c r="J608">
        <v>22.5</v>
      </c>
      <c r="K608">
        <v>0.4</v>
      </c>
      <c r="L608">
        <v>3</v>
      </c>
      <c r="M608">
        <v>0</v>
      </c>
      <c r="N608">
        <v>0</v>
      </c>
      <c r="O608" t="s">
        <v>27</v>
      </c>
      <c r="P608" t="s">
        <v>27</v>
      </c>
      <c r="Q608" t="s">
        <v>27</v>
      </c>
      <c r="R608" t="s">
        <v>27</v>
      </c>
      <c r="S608">
        <v>12.9</v>
      </c>
      <c r="T608">
        <v>12</v>
      </c>
      <c r="U608">
        <v>11.8</v>
      </c>
      <c r="V608" t="s">
        <v>27</v>
      </c>
      <c r="W608">
        <v>0.58499999999999996</v>
      </c>
      <c r="X608">
        <v>2.0150000000000001</v>
      </c>
      <c r="Y608" t="s">
        <v>27</v>
      </c>
      <c r="Z608" t="s">
        <v>27</v>
      </c>
      <c r="AA608" t="s">
        <v>27</v>
      </c>
      <c r="AB608" t="s">
        <v>27</v>
      </c>
      <c r="AC608" t="s">
        <v>27</v>
      </c>
      <c r="AD608" t="s">
        <v>27</v>
      </c>
      <c r="AE608" t="s">
        <v>27</v>
      </c>
      <c r="AF608" t="s">
        <v>27</v>
      </c>
      <c r="AG608">
        <v>24.36</v>
      </c>
    </row>
    <row r="609" spans="1:33" x14ac:dyDescent="0.25">
      <c r="A609" t="s">
        <v>57</v>
      </c>
      <c r="B609" s="3">
        <v>44070</v>
      </c>
      <c r="C609">
        <v>2020240</v>
      </c>
      <c r="D609">
        <v>22.92</v>
      </c>
      <c r="E609" t="s">
        <v>27</v>
      </c>
      <c r="F609">
        <v>10.199999999999999</v>
      </c>
      <c r="G609">
        <v>20.8</v>
      </c>
      <c r="H609">
        <v>-0.9</v>
      </c>
      <c r="I609">
        <v>63.9</v>
      </c>
      <c r="J609">
        <v>24.9</v>
      </c>
      <c r="K609">
        <v>0.4</v>
      </c>
      <c r="L609">
        <v>2</v>
      </c>
      <c r="M609">
        <v>0</v>
      </c>
      <c r="N609">
        <v>0</v>
      </c>
      <c r="O609" t="s">
        <v>27</v>
      </c>
      <c r="P609" t="s">
        <v>27</v>
      </c>
      <c r="Q609" t="s">
        <v>27</v>
      </c>
      <c r="R609" t="s">
        <v>27</v>
      </c>
      <c r="S609">
        <v>12.5</v>
      </c>
      <c r="T609">
        <v>11.8</v>
      </c>
      <c r="U609">
        <v>11.7</v>
      </c>
      <c r="V609" t="s">
        <v>27</v>
      </c>
      <c r="W609">
        <v>0.61</v>
      </c>
      <c r="X609">
        <v>1.84</v>
      </c>
      <c r="Y609" t="s">
        <v>27</v>
      </c>
      <c r="Z609" t="s">
        <v>27</v>
      </c>
      <c r="AA609" t="s">
        <v>27</v>
      </c>
      <c r="AB609" t="s">
        <v>27</v>
      </c>
      <c r="AC609" t="s">
        <v>27</v>
      </c>
      <c r="AD609" t="s">
        <v>27</v>
      </c>
      <c r="AE609" t="s">
        <v>27</v>
      </c>
      <c r="AF609" t="s">
        <v>27</v>
      </c>
      <c r="AG609">
        <v>24.12</v>
      </c>
    </row>
    <row r="610" spans="1:33" x14ac:dyDescent="0.25">
      <c r="A610" t="s">
        <v>57</v>
      </c>
      <c r="B610" s="3">
        <v>44071</v>
      </c>
      <c r="C610">
        <v>2020241</v>
      </c>
      <c r="D610">
        <v>22.93</v>
      </c>
      <c r="E610" t="s">
        <v>27</v>
      </c>
      <c r="F610">
        <v>13.8</v>
      </c>
      <c r="G610">
        <v>25.8</v>
      </c>
      <c r="H610">
        <v>1.4</v>
      </c>
      <c r="I610">
        <v>51.1</v>
      </c>
      <c r="J610">
        <v>16.8</v>
      </c>
      <c r="K610">
        <v>0.6</v>
      </c>
      <c r="L610">
        <v>2</v>
      </c>
      <c r="M610">
        <v>0</v>
      </c>
      <c r="N610">
        <v>0</v>
      </c>
      <c r="O610" t="s">
        <v>27</v>
      </c>
      <c r="P610" t="s">
        <v>27</v>
      </c>
      <c r="Q610" t="s">
        <v>27</v>
      </c>
      <c r="R610" t="s">
        <v>27</v>
      </c>
      <c r="S610">
        <v>13.9</v>
      </c>
      <c r="T610">
        <v>11.9</v>
      </c>
      <c r="U610">
        <v>11.6</v>
      </c>
      <c r="V610" t="s">
        <v>27</v>
      </c>
      <c r="W610">
        <v>0.55700000000000005</v>
      </c>
      <c r="X610">
        <v>2.758</v>
      </c>
      <c r="Y610" t="s">
        <v>27</v>
      </c>
      <c r="Z610" t="s">
        <v>27</v>
      </c>
      <c r="AA610" t="s">
        <v>27</v>
      </c>
      <c r="AB610" t="s">
        <v>27</v>
      </c>
      <c r="AC610" t="s">
        <v>27</v>
      </c>
      <c r="AD610" t="s">
        <v>27</v>
      </c>
      <c r="AE610" t="s">
        <v>27</v>
      </c>
      <c r="AF610" t="s">
        <v>27</v>
      </c>
      <c r="AG610">
        <v>23.89</v>
      </c>
    </row>
    <row r="611" spans="1:33" x14ac:dyDescent="0.25">
      <c r="A611" t="s">
        <v>57</v>
      </c>
      <c r="B611" s="3">
        <v>44072</v>
      </c>
      <c r="C611">
        <v>2020242</v>
      </c>
      <c r="D611">
        <v>14.84</v>
      </c>
      <c r="E611" t="s">
        <v>27</v>
      </c>
      <c r="F611">
        <v>9.6</v>
      </c>
      <c r="G611">
        <v>15</v>
      </c>
      <c r="H611">
        <v>3.2</v>
      </c>
      <c r="I611">
        <v>56.3</v>
      </c>
      <c r="J611">
        <v>37.299999999999997</v>
      </c>
      <c r="K611">
        <v>0.9</v>
      </c>
      <c r="L611">
        <v>3.3</v>
      </c>
      <c r="M611">
        <v>0</v>
      </c>
      <c r="N611">
        <v>0</v>
      </c>
      <c r="O611" t="s">
        <v>27</v>
      </c>
      <c r="P611" t="s">
        <v>27</v>
      </c>
      <c r="Q611" t="s">
        <v>27</v>
      </c>
      <c r="R611" t="s">
        <v>27</v>
      </c>
      <c r="S611">
        <v>11.9</v>
      </c>
      <c r="T611">
        <v>11.9</v>
      </c>
      <c r="U611">
        <v>11.6</v>
      </c>
      <c r="V611" t="s">
        <v>27</v>
      </c>
      <c r="W611">
        <v>0.63400000000000001</v>
      </c>
      <c r="X611">
        <v>1.0660000000000001</v>
      </c>
      <c r="Y611" t="s">
        <v>27</v>
      </c>
      <c r="Z611" t="s">
        <v>27</v>
      </c>
      <c r="AA611" t="s">
        <v>27</v>
      </c>
      <c r="AB611" t="s">
        <v>27</v>
      </c>
      <c r="AC611" t="s">
        <v>27</v>
      </c>
      <c r="AD611" t="s">
        <v>27</v>
      </c>
      <c r="AE611" t="s">
        <v>27</v>
      </c>
      <c r="AF611" t="s">
        <v>27</v>
      </c>
      <c r="AG611">
        <v>23.65</v>
      </c>
    </row>
    <row r="612" spans="1:33" x14ac:dyDescent="0.25">
      <c r="A612" t="s">
        <v>57</v>
      </c>
      <c r="B612" s="3">
        <v>44073</v>
      </c>
      <c r="C612">
        <v>2020243</v>
      </c>
      <c r="D612">
        <v>18.170000000000002</v>
      </c>
      <c r="E612" t="s">
        <v>27</v>
      </c>
      <c r="F612">
        <v>7.8</v>
      </c>
      <c r="G612">
        <v>14.9</v>
      </c>
      <c r="H612">
        <v>1.7</v>
      </c>
      <c r="I612">
        <v>63.3</v>
      </c>
      <c r="J612">
        <v>32.700000000000003</v>
      </c>
      <c r="K612">
        <v>0.9</v>
      </c>
      <c r="L612">
        <v>2.6</v>
      </c>
      <c r="M612">
        <v>1.52</v>
      </c>
      <c r="N612">
        <v>0</v>
      </c>
      <c r="O612" t="s">
        <v>27</v>
      </c>
      <c r="P612" t="s">
        <v>27</v>
      </c>
      <c r="Q612" t="s">
        <v>27</v>
      </c>
      <c r="R612" t="s">
        <v>27</v>
      </c>
      <c r="S612">
        <v>11.3</v>
      </c>
      <c r="T612">
        <v>11.1</v>
      </c>
      <c r="U612">
        <v>11.4</v>
      </c>
      <c r="V612" t="s">
        <v>27</v>
      </c>
      <c r="W612">
        <v>0.55400000000000005</v>
      </c>
      <c r="X612">
        <v>1.1399999999999999</v>
      </c>
      <c r="Y612" t="s">
        <v>27</v>
      </c>
      <c r="Z612" t="s">
        <v>27</v>
      </c>
      <c r="AA612" t="s">
        <v>27</v>
      </c>
      <c r="AB612" t="s">
        <v>27</v>
      </c>
      <c r="AC612" t="s">
        <v>27</v>
      </c>
      <c r="AD612" t="s">
        <v>27</v>
      </c>
      <c r="AE612" t="s">
        <v>27</v>
      </c>
      <c r="AF612" t="s">
        <v>27</v>
      </c>
      <c r="AG612">
        <v>23.41</v>
      </c>
    </row>
    <row r="613" spans="1:33" x14ac:dyDescent="0.25">
      <c r="A613" t="s">
        <v>57</v>
      </c>
      <c r="B613" s="3">
        <v>44074</v>
      </c>
      <c r="C613">
        <v>2020244</v>
      </c>
      <c r="D613">
        <v>12.67</v>
      </c>
      <c r="E613" t="s">
        <v>27</v>
      </c>
      <c r="F613">
        <v>8.5</v>
      </c>
      <c r="G613">
        <v>13.6</v>
      </c>
      <c r="H613">
        <v>4</v>
      </c>
      <c r="I613">
        <v>75.5</v>
      </c>
      <c r="J613">
        <v>50.6</v>
      </c>
      <c r="K613">
        <v>0.8</v>
      </c>
      <c r="L613">
        <v>2.2000000000000002</v>
      </c>
      <c r="M613">
        <v>0.25</v>
      </c>
      <c r="N613">
        <v>0</v>
      </c>
      <c r="O613" t="s">
        <v>27</v>
      </c>
      <c r="P613" t="s">
        <v>27</v>
      </c>
      <c r="Q613" t="s">
        <v>27</v>
      </c>
      <c r="R613" t="s">
        <v>27</v>
      </c>
      <c r="S613">
        <v>10.9</v>
      </c>
      <c r="T613">
        <v>11.2</v>
      </c>
      <c r="U613">
        <v>11.2</v>
      </c>
      <c r="V613" t="s">
        <v>27</v>
      </c>
      <c r="W613">
        <v>0.78900000000000003</v>
      </c>
      <c r="X613">
        <v>0.77</v>
      </c>
      <c r="Y613" t="s">
        <v>27</v>
      </c>
      <c r="Z613" t="s">
        <v>27</v>
      </c>
      <c r="AA613" t="s">
        <v>27</v>
      </c>
      <c r="AB613" t="s">
        <v>27</v>
      </c>
      <c r="AC613" t="s">
        <v>27</v>
      </c>
      <c r="AD613" t="s">
        <v>27</v>
      </c>
      <c r="AE613" t="s">
        <v>27</v>
      </c>
      <c r="AF613" t="s">
        <v>27</v>
      </c>
      <c r="AG613">
        <v>23.17</v>
      </c>
    </row>
    <row r="614" spans="1:33" x14ac:dyDescent="0.25">
      <c r="A614" t="s">
        <v>57</v>
      </c>
      <c r="B614" s="3">
        <v>44075</v>
      </c>
      <c r="C614">
        <v>2020245</v>
      </c>
      <c r="D614">
        <v>20.48</v>
      </c>
      <c r="E614" t="s">
        <v>27</v>
      </c>
      <c r="F614">
        <v>15.2</v>
      </c>
      <c r="G614">
        <v>23.4</v>
      </c>
      <c r="H614">
        <v>6.3</v>
      </c>
      <c r="I614">
        <v>59.6</v>
      </c>
      <c r="J614">
        <v>35.299999999999997</v>
      </c>
      <c r="K614">
        <v>1.4</v>
      </c>
      <c r="L614">
        <v>3.8</v>
      </c>
      <c r="M614">
        <v>0</v>
      </c>
      <c r="N614">
        <v>0</v>
      </c>
      <c r="O614" t="s">
        <v>27</v>
      </c>
      <c r="P614" t="s">
        <v>27</v>
      </c>
      <c r="Q614" t="s">
        <v>27</v>
      </c>
      <c r="R614" t="s">
        <v>27</v>
      </c>
      <c r="S614">
        <v>13.7</v>
      </c>
      <c r="T614">
        <v>11.7</v>
      </c>
      <c r="U614">
        <v>11</v>
      </c>
      <c r="V614" t="s">
        <v>27</v>
      </c>
      <c r="W614">
        <v>1.0149999999999999</v>
      </c>
      <c r="X614">
        <v>1.86</v>
      </c>
      <c r="Y614" t="s">
        <v>27</v>
      </c>
      <c r="Z614" t="s">
        <v>27</v>
      </c>
      <c r="AA614" t="s">
        <v>27</v>
      </c>
      <c r="AB614" t="s">
        <v>27</v>
      </c>
      <c r="AC614" t="s">
        <v>27</v>
      </c>
      <c r="AD614" t="s">
        <v>27</v>
      </c>
      <c r="AE614" t="s">
        <v>27</v>
      </c>
      <c r="AF614" t="s">
        <v>27</v>
      </c>
      <c r="AG614">
        <v>22.93</v>
      </c>
    </row>
    <row r="615" spans="1:33" x14ac:dyDescent="0.25">
      <c r="A615" t="s">
        <v>57</v>
      </c>
      <c r="B615" s="3">
        <v>44076</v>
      </c>
      <c r="C615">
        <v>2020246</v>
      </c>
      <c r="D615">
        <v>17.55</v>
      </c>
      <c r="E615" t="s">
        <v>27</v>
      </c>
      <c r="F615">
        <v>12.7</v>
      </c>
      <c r="G615">
        <v>19.2</v>
      </c>
      <c r="H615">
        <v>3.2</v>
      </c>
      <c r="I615">
        <v>68.900000000000006</v>
      </c>
      <c r="J615">
        <v>43.1</v>
      </c>
      <c r="K615">
        <v>1</v>
      </c>
      <c r="L615">
        <v>3.2</v>
      </c>
      <c r="M615">
        <v>0.25</v>
      </c>
      <c r="N615">
        <v>0</v>
      </c>
      <c r="O615" t="s">
        <v>27</v>
      </c>
      <c r="P615" t="s">
        <v>27</v>
      </c>
      <c r="Q615" t="s">
        <v>27</v>
      </c>
      <c r="R615" t="s">
        <v>27</v>
      </c>
      <c r="S615">
        <v>13.5</v>
      </c>
      <c r="T615">
        <v>12.3</v>
      </c>
      <c r="U615">
        <v>11.2</v>
      </c>
      <c r="V615" t="s">
        <v>27</v>
      </c>
      <c r="W615">
        <v>0.96</v>
      </c>
      <c r="X615">
        <v>1.2669999999999999</v>
      </c>
      <c r="Y615" t="s">
        <v>27</v>
      </c>
      <c r="Z615" t="s">
        <v>27</v>
      </c>
      <c r="AA615" t="s">
        <v>27</v>
      </c>
      <c r="AB615" t="s">
        <v>27</v>
      </c>
      <c r="AC615" t="s">
        <v>27</v>
      </c>
      <c r="AD615" t="s">
        <v>27</v>
      </c>
      <c r="AE615" t="s">
        <v>27</v>
      </c>
      <c r="AF615" t="s">
        <v>27</v>
      </c>
      <c r="AG615">
        <v>22.69</v>
      </c>
    </row>
    <row r="616" spans="1:33" x14ac:dyDescent="0.25">
      <c r="A616" t="s">
        <v>57</v>
      </c>
      <c r="B616" s="3">
        <v>44077</v>
      </c>
      <c r="C616">
        <v>2020247</v>
      </c>
      <c r="D616">
        <v>21.5</v>
      </c>
      <c r="E616" t="s">
        <v>27</v>
      </c>
      <c r="F616">
        <v>12.5</v>
      </c>
      <c r="G616">
        <v>24.6</v>
      </c>
      <c r="H616">
        <v>2.1</v>
      </c>
      <c r="I616">
        <v>61.3</v>
      </c>
      <c r="J616">
        <v>20.3</v>
      </c>
      <c r="K616">
        <v>0.5</v>
      </c>
      <c r="L616">
        <v>2.7</v>
      </c>
      <c r="M616">
        <v>0</v>
      </c>
      <c r="N616">
        <v>0</v>
      </c>
      <c r="O616" t="s">
        <v>27</v>
      </c>
      <c r="P616" t="s">
        <v>27</v>
      </c>
      <c r="Q616" t="s">
        <v>27</v>
      </c>
      <c r="R616" t="s">
        <v>27</v>
      </c>
      <c r="S616">
        <v>12</v>
      </c>
      <c r="T616">
        <v>11.5</v>
      </c>
      <c r="U616">
        <v>11.2</v>
      </c>
      <c r="V616" t="s">
        <v>27</v>
      </c>
      <c r="W616">
        <v>0.627</v>
      </c>
      <c r="X616">
        <v>2.4620000000000002</v>
      </c>
      <c r="Y616" t="s">
        <v>27</v>
      </c>
      <c r="Z616" t="s">
        <v>27</v>
      </c>
      <c r="AA616" t="s">
        <v>27</v>
      </c>
      <c r="AB616" t="s">
        <v>27</v>
      </c>
      <c r="AC616" t="s">
        <v>27</v>
      </c>
      <c r="AD616" t="s">
        <v>27</v>
      </c>
      <c r="AE616" t="s">
        <v>27</v>
      </c>
      <c r="AF616" t="s">
        <v>27</v>
      </c>
      <c r="AG616">
        <v>22.44</v>
      </c>
    </row>
    <row r="617" spans="1:33" x14ac:dyDescent="0.25">
      <c r="A617" t="s">
        <v>57</v>
      </c>
      <c r="B617" s="3">
        <v>44078</v>
      </c>
      <c r="C617">
        <v>2020248</v>
      </c>
      <c r="D617">
        <v>20.07</v>
      </c>
      <c r="E617" t="s">
        <v>27</v>
      </c>
      <c r="F617">
        <v>15.5</v>
      </c>
      <c r="G617">
        <v>27.9</v>
      </c>
      <c r="H617">
        <v>4.5</v>
      </c>
      <c r="I617">
        <v>54.2</v>
      </c>
      <c r="J617">
        <v>18.399999999999999</v>
      </c>
      <c r="K617">
        <v>0.4</v>
      </c>
      <c r="L617">
        <v>2.4</v>
      </c>
      <c r="M617">
        <v>0</v>
      </c>
      <c r="N617">
        <v>0</v>
      </c>
      <c r="O617" t="s">
        <v>27</v>
      </c>
      <c r="P617" t="s">
        <v>27</v>
      </c>
      <c r="Q617" t="s">
        <v>27</v>
      </c>
      <c r="R617" t="s">
        <v>27</v>
      </c>
      <c r="S617">
        <v>14.7</v>
      </c>
      <c r="T617">
        <v>11.8</v>
      </c>
      <c r="U617">
        <v>11.1</v>
      </c>
      <c r="V617" t="s">
        <v>27</v>
      </c>
      <c r="W617">
        <v>0.69299999999999995</v>
      </c>
      <c r="X617">
        <v>3.073</v>
      </c>
      <c r="Y617" t="s">
        <v>27</v>
      </c>
      <c r="Z617" t="s">
        <v>27</v>
      </c>
      <c r="AA617" t="s">
        <v>27</v>
      </c>
      <c r="AB617" t="s">
        <v>27</v>
      </c>
      <c r="AC617" t="s">
        <v>27</v>
      </c>
      <c r="AD617" t="s">
        <v>27</v>
      </c>
      <c r="AE617" t="s">
        <v>27</v>
      </c>
      <c r="AF617" t="s">
        <v>27</v>
      </c>
      <c r="AG617">
        <v>22.2</v>
      </c>
    </row>
    <row r="618" spans="1:33" x14ac:dyDescent="0.25">
      <c r="A618" t="s">
        <v>57</v>
      </c>
      <c r="B618" s="3">
        <v>44079</v>
      </c>
      <c r="C618">
        <v>2020249</v>
      </c>
      <c r="D618">
        <v>19.93</v>
      </c>
      <c r="E618" t="s">
        <v>27</v>
      </c>
      <c r="F618">
        <v>15.8</v>
      </c>
      <c r="G618">
        <v>24.9</v>
      </c>
      <c r="H618">
        <v>6.5</v>
      </c>
      <c r="I618">
        <v>50.5</v>
      </c>
      <c r="J618">
        <v>22.7</v>
      </c>
      <c r="K618">
        <v>0.6</v>
      </c>
      <c r="L618">
        <v>2.2000000000000002</v>
      </c>
      <c r="M618">
        <v>0</v>
      </c>
      <c r="N618">
        <v>0</v>
      </c>
      <c r="O618" t="s">
        <v>27</v>
      </c>
      <c r="P618" t="s">
        <v>27</v>
      </c>
      <c r="Q618" t="s">
        <v>27</v>
      </c>
      <c r="R618" t="s">
        <v>27</v>
      </c>
      <c r="S618">
        <v>14.7</v>
      </c>
      <c r="T618">
        <v>12.3</v>
      </c>
      <c r="U618">
        <v>11.2</v>
      </c>
      <c r="V618" t="s">
        <v>27</v>
      </c>
      <c r="W618">
        <v>0.71299999999999997</v>
      </c>
      <c r="X618">
        <v>2.4279999999999999</v>
      </c>
      <c r="Y618" t="s">
        <v>27</v>
      </c>
      <c r="Z618" t="s">
        <v>27</v>
      </c>
      <c r="AA618" t="s">
        <v>27</v>
      </c>
      <c r="AB618" t="s">
        <v>27</v>
      </c>
      <c r="AC618" t="s">
        <v>27</v>
      </c>
      <c r="AD618" t="s">
        <v>27</v>
      </c>
      <c r="AE618" t="s">
        <v>27</v>
      </c>
      <c r="AF618" t="s">
        <v>27</v>
      </c>
      <c r="AG618">
        <v>21.95</v>
      </c>
    </row>
    <row r="619" spans="1:33" x14ac:dyDescent="0.25">
      <c r="A619" t="s">
        <v>57</v>
      </c>
      <c r="B619" s="3">
        <v>44080</v>
      </c>
      <c r="C619">
        <v>2020250</v>
      </c>
      <c r="D619">
        <v>19.77</v>
      </c>
      <c r="E619" t="s">
        <v>27</v>
      </c>
      <c r="F619">
        <v>14.4</v>
      </c>
      <c r="G619">
        <v>23.8</v>
      </c>
      <c r="H619">
        <v>4.3</v>
      </c>
      <c r="I619">
        <v>59.3</v>
      </c>
      <c r="J619">
        <v>31</v>
      </c>
      <c r="K619">
        <v>0.7</v>
      </c>
      <c r="L619">
        <v>2.4</v>
      </c>
      <c r="M619">
        <v>0</v>
      </c>
      <c r="N619">
        <v>0</v>
      </c>
      <c r="O619" t="s">
        <v>27</v>
      </c>
      <c r="P619" t="s">
        <v>27</v>
      </c>
      <c r="Q619" t="s">
        <v>27</v>
      </c>
      <c r="R619" t="s">
        <v>27</v>
      </c>
      <c r="S619">
        <v>14.5</v>
      </c>
      <c r="T619">
        <v>12.2</v>
      </c>
      <c r="U619">
        <v>11.3</v>
      </c>
      <c r="V619" t="s">
        <v>27</v>
      </c>
      <c r="W619">
        <v>0.91500000000000004</v>
      </c>
      <c r="X619">
        <v>2.0369999999999999</v>
      </c>
      <c r="Y619" t="s">
        <v>27</v>
      </c>
      <c r="Z619" t="s">
        <v>27</v>
      </c>
      <c r="AA619" t="s">
        <v>27</v>
      </c>
      <c r="AB619" t="s">
        <v>27</v>
      </c>
      <c r="AC619" t="s">
        <v>27</v>
      </c>
      <c r="AD619" t="s">
        <v>27</v>
      </c>
      <c r="AE619" t="s">
        <v>27</v>
      </c>
      <c r="AF619" t="s">
        <v>27</v>
      </c>
      <c r="AG619">
        <v>21.71</v>
      </c>
    </row>
    <row r="620" spans="1:33" x14ac:dyDescent="0.25">
      <c r="A620" t="s">
        <v>57</v>
      </c>
      <c r="B620" s="3">
        <v>44081</v>
      </c>
      <c r="C620">
        <v>2020251</v>
      </c>
      <c r="D620">
        <v>17.14</v>
      </c>
      <c r="E620" t="s">
        <v>27</v>
      </c>
      <c r="F620">
        <v>9.1</v>
      </c>
      <c r="G620">
        <v>15.8</v>
      </c>
      <c r="H620">
        <v>-1</v>
      </c>
      <c r="I620">
        <v>55.1</v>
      </c>
      <c r="J620">
        <v>25.5</v>
      </c>
      <c r="K620">
        <v>1</v>
      </c>
      <c r="L620">
        <v>2.8</v>
      </c>
      <c r="M620">
        <v>0</v>
      </c>
      <c r="N620">
        <v>0</v>
      </c>
      <c r="O620" t="s">
        <v>27</v>
      </c>
      <c r="P620" t="s">
        <v>27</v>
      </c>
      <c r="Q620" t="s">
        <v>27</v>
      </c>
      <c r="R620" t="s">
        <v>27</v>
      </c>
      <c r="S620">
        <v>11.2</v>
      </c>
      <c r="T620">
        <v>12.1</v>
      </c>
      <c r="U620">
        <v>11.3</v>
      </c>
      <c r="V620" t="s">
        <v>27</v>
      </c>
      <c r="W620">
        <v>0.45700000000000002</v>
      </c>
      <c r="X620">
        <v>1.335</v>
      </c>
      <c r="Y620" t="s">
        <v>27</v>
      </c>
      <c r="Z620" t="s">
        <v>27</v>
      </c>
      <c r="AA620" t="s">
        <v>27</v>
      </c>
      <c r="AB620" t="s">
        <v>27</v>
      </c>
      <c r="AC620" t="s">
        <v>27</v>
      </c>
      <c r="AD620" t="s">
        <v>27</v>
      </c>
      <c r="AE620" t="s">
        <v>27</v>
      </c>
      <c r="AF620" t="s">
        <v>27</v>
      </c>
      <c r="AG620">
        <v>21.46</v>
      </c>
    </row>
    <row r="621" spans="1:33" x14ac:dyDescent="0.25">
      <c r="A621" t="s">
        <v>57</v>
      </c>
      <c r="B621" s="3">
        <v>44082</v>
      </c>
      <c r="C621">
        <v>2020252</v>
      </c>
      <c r="D621">
        <v>19.350000000000001</v>
      </c>
      <c r="E621" t="s">
        <v>27</v>
      </c>
      <c r="F621">
        <v>7</v>
      </c>
      <c r="G621">
        <v>17.5</v>
      </c>
      <c r="H621">
        <v>-3</v>
      </c>
      <c r="I621">
        <v>55.3</v>
      </c>
      <c r="J621">
        <v>12.5</v>
      </c>
      <c r="K621">
        <v>0.4</v>
      </c>
      <c r="L621">
        <v>1.9</v>
      </c>
      <c r="M621">
        <v>0</v>
      </c>
      <c r="N621">
        <v>0</v>
      </c>
      <c r="O621" t="s">
        <v>27</v>
      </c>
      <c r="P621" t="s">
        <v>27</v>
      </c>
      <c r="Q621" t="s">
        <v>27</v>
      </c>
      <c r="R621" t="s">
        <v>27</v>
      </c>
      <c r="S621">
        <v>8.1</v>
      </c>
      <c r="T621">
        <v>10.199999999999999</v>
      </c>
      <c r="U621">
        <v>11.1</v>
      </c>
      <c r="V621" t="s">
        <v>27</v>
      </c>
      <c r="W621">
        <v>0.249</v>
      </c>
      <c r="X621">
        <v>1.7430000000000001</v>
      </c>
      <c r="Y621" t="s">
        <v>27</v>
      </c>
      <c r="Z621" t="s">
        <v>27</v>
      </c>
      <c r="AA621" t="s">
        <v>27</v>
      </c>
      <c r="AB621" t="s">
        <v>27</v>
      </c>
      <c r="AC621" t="s">
        <v>27</v>
      </c>
      <c r="AD621" t="s">
        <v>27</v>
      </c>
      <c r="AE621" t="s">
        <v>27</v>
      </c>
      <c r="AF621" t="s">
        <v>27</v>
      </c>
      <c r="AG621">
        <v>21.21</v>
      </c>
    </row>
    <row r="622" spans="1:33" x14ac:dyDescent="0.25">
      <c r="A622" t="s">
        <v>57</v>
      </c>
      <c r="B622" s="3">
        <v>44083</v>
      </c>
      <c r="C622">
        <v>2020253</v>
      </c>
      <c r="D622">
        <v>19.940000000000001</v>
      </c>
      <c r="E622" t="s">
        <v>27</v>
      </c>
      <c r="F622">
        <v>11.2</v>
      </c>
      <c r="G622">
        <v>22.6</v>
      </c>
      <c r="H622">
        <v>0.5</v>
      </c>
      <c r="I622">
        <v>62.2</v>
      </c>
      <c r="J622">
        <v>30</v>
      </c>
      <c r="K622">
        <v>0.3</v>
      </c>
      <c r="L622">
        <v>1.7</v>
      </c>
      <c r="M622">
        <v>0</v>
      </c>
      <c r="N622">
        <v>0</v>
      </c>
      <c r="O622" t="s">
        <v>27</v>
      </c>
      <c r="P622" t="s">
        <v>27</v>
      </c>
      <c r="Q622" t="s">
        <v>27</v>
      </c>
      <c r="R622" t="s">
        <v>27</v>
      </c>
      <c r="S622">
        <v>10.4</v>
      </c>
      <c r="T622">
        <v>10.199999999999999</v>
      </c>
      <c r="U622">
        <v>10.6</v>
      </c>
      <c r="V622" t="s">
        <v>27</v>
      </c>
      <c r="W622">
        <v>0.82099999999999995</v>
      </c>
      <c r="X622">
        <v>1.9159999999999999</v>
      </c>
      <c r="Y622" t="s">
        <v>27</v>
      </c>
      <c r="Z622" t="s">
        <v>27</v>
      </c>
      <c r="AA622" t="s">
        <v>27</v>
      </c>
      <c r="AB622" t="s">
        <v>27</v>
      </c>
      <c r="AC622" t="s">
        <v>27</v>
      </c>
      <c r="AD622" t="s">
        <v>27</v>
      </c>
      <c r="AE622" t="s">
        <v>27</v>
      </c>
      <c r="AF622" t="s">
        <v>27</v>
      </c>
      <c r="AG622">
        <v>20.96</v>
      </c>
    </row>
    <row r="623" spans="1:33" x14ac:dyDescent="0.25">
      <c r="A623" t="s">
        <v>57</v>
      </c>
      <c r="B623" s="3">
        <v>44084</v>
      </c>
      <c r="C623">
        <v>2020254</v>
      </c>
      <c r="D623">
        <v>19.7</v>
      </c>
      <c r="E623" t="s">
        <v>27</v>
      </c>
      <c r="F623">
        <v>13</v>
      </c>
      <c r="G623">
        <v>25.9</v>
      </c>
      <c r="H623">
        <v>2.2999999999999998</v>
      </c>
      <c r="I623">
        <v>59.7</v>
      </c>
      <c r="J623">
        <v>20.2</v>
      </c>
      <c r="K623">
        <v>0.3</v>
      </c>
      <c r="L623">
        <v>2</v>
      </c>
      <c r="M623">
        <v>0</v>
      </c>
      <c r="N623">
        <v>0</v>
      </c>
      <c r="O623" t="s">
        <v>27</v>
      </c>
      <c r="P623" t="s">
        <v>27</v>
      </c>
      <c r="Q623" t="s">
        <v>27</v>
      </c>
      <c r="R623" t="s">
        <v>27</v>
      </c>
      <c r="S623">
        <v>11.3</v>
      </c>
      <c r="T623">
        <v>10.4</v>
      </c>
      <c r="U623">
        <v>10.5</v>
      </c>
      <c r="V623" t="s">
        <v>27</v>
      </c>
      <c r="W623">
        <v>0.67500000000000004</v>
      </c>
      <c r="X623">
        <v>2.6669999999999998</v>
      </c>
      <c r="Y623" t="s">
        <v>27</v>
      </c>
      <c r="Z623" t="s">
        <v>27</v>
      </c>
      <c r="AA623" t="s">
        <v>27</v>
      </c>
      <c r="AB623" t="s">
        <v>27</v>
      </c>
      <c r="AC623" t="s">
        <v>27</v>
      </c>
      <c r="AD623" t="s">
        <v>27</v>
      </c>
      <c r="AE623" t="s">
        <v>27</v>
      </c>
      <c r="AF623" t="s">
        <v>27</v>
      </c>
      <c r="AG623">
        <v>20.71</v>
      </c>
    </row>
    <row r="624" spans="1:33" x14ac:dyDescent="0.25">
      <c r="A624" t="s">
        <v>57</v>
      </c>
      <c r="B624" s="3">
        <v>44085</v>
      </c>
      <c r="C624">
        <v>2020255</v>
      </c>
      <c r="D624">
        <v>19.190000000000001</v>
      </c>
      <c r="E624" t="s">
        <v>27</v>
      </c>
      <c r="F624">
        <v>14.5</v>
      </c>
      <c r="G624">
        <v>26.9</v>
      </c>
      <c r="H624">
        <v>3.6</v>
      </c>
      <c r="I624">
        <v>53.3</v>
      </c>
      <c r="J624">
        <v>18.600000000000001</v>
      </c>
      <c r="K624">
        <v>0.5</v>
      </c>
      <c r="L624">
        <v>2.7</v>
      </c>
      <c r="M624">
        <v>0</v>
      </c>
      <c r="N624">
        <v>0</v>
      </c>
      <c r="O624" t="s">
        <v>27</v>
      </c>
      <c r="P624" t="s">
        <v>27</v>
      </c>
      <c r="Q624" t="s">
        <v>27</v>
      </c>
      <c r="R624" t="s">
        <v>27</v>
      </c>
      <c r="S624">
        <v>12.2</v>
      </c>
      <c r="T624">
        <v>10.7</v>
      </c>
      <c r="U624">
        <v>10.4</v>
      </c>
      <c r="V624" t="s">
        <v>27</v>
      </c>
      <c r="W624">
        <v>0.65800000000000003</v>
      </c>
      <c r="X624">
        <v>2.88</v>
      </c>
      <c r="Y624" t="s">
        <v>27</v>
      </c>
      <c r="Z624" t="s">
        <v>27</v>
      </c>
      <c r="AA624" t="s">
        <v>27</v>
      </c>
      <c r="AB624" t="s">
        <v>27</v>
      </c>
      <c r="AC624" t="s">
        <v>27</v>
      </c>
      <c r="AD624" t="s">
        <v>27</v>
      </c>
      <c r="AE624" t="s">
        <v>27</v>
      </c>
      <c r="AF624" t="s">
        <v>27</v>
      </c>
      <c r="AG624">
        <v>20.46</v>
      </c>
    </row>
    <row r="625" spans="1:33" x14ac:dyDescent="0.25">
      <c r="A625" t="s">
        <v>57</v>
      </c>
      <c r="B625" s="3">
        <v>44086</v>
      </c>
      <c r="C625">
        <v>2020256</v>
      </c>
      <c r="D625">
        <v>16.670000000000002</v>
      </c>
      <c r="E625" t="s">
        <v>27</v>
      </c>
      <c r="F625">
        <v>13.4</v>
      </c>
      <c r="G625">
        <v>25.2</v>
      </c>
      <c r="H625">
        <v>3.5</v>
      </c>
      <c r="I625">
        <v>50.8</v>
      </c>
      <c r="J625">
        <v>16.399999999999999</v>
      </c>
      <c r="K625">
        <v>0.4</v>
      </c>
      <c r="L625">
        <v>2.8</v>
      </c>
      <c r="M625">
        <v>0</v>
      </c>
      <c r="N625">
        <v>0</v>
      </c>
      <c r="O625" t="s">
        <v>27</v>
      </c>
      <c r="P625" t="s">
        <v>27</v>
      </c>
      <c r="Q625" t="s">
        <v>27</v>
      </c>
      <c r="R625" t="s">
        <v>27</v>
      </c>
      <c r="S625">
        <v>12.3</v>
      </c>
      <c r="T625">
        <v>10.8</v>
      </c>
      <c r="U625">
        <v>10.4</v>
      </c>
      <c r="V625" t="s">
        <v>27</v>
      </c>
      <c r="W625">
        <v>0.52600000000000002</v>
      </c>
      <c r="X625">
        <v>2.681</v>
      </c>
      <c r="Y625" t="s">
        <v>27</v>
      </c>
      <c r="Z625" t="s">
        <v>27</v>
      </c>
      <c r="AA625" t="s">
        <v>27</v>
      </c>
      <c r="AB625" t="s">
        <v>27</v>
      </c>
      <c r="AC625" t="s">
        <v>27</v>
      </c>
      <c r="AD625" t="s">
        <v>27</v>
      </c>
      <c r="AE625" t="s">
        <v>27</v>
      </c>
      <c r="AF625" t="s">
        <v>27</v>
      </c>
      <c r="AG625">
        <v>20.21</v>
      </c>
    </row>
    <row r="626" spans="1:33" x14ac:dyDescent="0.25">
      <c r="A626" t="s">
        <v>57</v>
      </c>
      <c r="B626" s="3">
        <v>44087</v>
      </c>
      <c r="C626">
        <v>2020257</v>
      </c>
      <c r="D626">
        <v>11.06</v>
      </c>
      <c r="E626" t="s">
        <v>27</v>
      </c>
      <c r="F626">
        <v>9.6999999999999993</v>
      </c>
      <c r="G626">
        <v>18.399999999999999</v>
      </c>
      <c r="H626">
        <v>2.8</v>
      </c>
      <c r="I626">
        <v>63.2</v>
      </c>
      <c r="J626">
        <v>39.9</v>
      </c>
      <c r="K626">
        <v>0.3</v>
      </c>
      <c r="L626">
        <v>1.7</v>
      </c>
      <c r="M626">
        <v>0</v>
      </c>
      <c r="N626">
        <v>0</v>
      </c>
      <c r="O626" t="s">
        <v>27</v>
      </c>
      <c r="P626" t="s">
        <v>27</v>
      </c>
      <c r="Q626" t="s">
        <v>27</v>
      </c>
      <c r="R626" t="s">
        <v>27</v>
      </c>
      <c r="S626">
        <v>10.7</v>
      </c>
      <c r="T626">
        <v>10.6</v>
      </c>
      <c r="U626">
        <v>10.5</v>
      </c>
      <c r="V626" t="s">
        <v>27</v>
      </c>
      <c r="W626">
        <v>0.84199999999999997</v>
      </c>
      <c r="X626">
        <v>1.268</v>
      </c>
      <c r="Y626" t="s">
        <v>27</v>
      </c>
      <c r="Z626" t="s">
        <v>27</v>
      </c>
      <c r="AA626" t="s">
        <v>27</v>
      </c>
      <c r="AB626" t="s">
        <v>27</v>
      </c>
      <c r="AC626" t="s">
        <v>27</v>
      </c>
      <c r="AD626" t="s">
        <v>27</v>
      </c>
      <c r="AE626" t="s">
        <v>27</v>
      </c>
      <c r="AF626" t="s">
        <v>27</v>
      </c>
      <c r="AG626">
        <v>19.95</v>
      </c>
    </row>
    <row r="627" spans="1:33" x14ac:dyDescent="0.25">
      <c r="A627" t="s">
        <v>57</v>
      </c>
      <c r="B627" s="3">
        <v>44088</v>
      </c>
      <c r="C627">
        <v>2020258</v>
      </c>
      <c r="D627">
        <v>8.57</v>
      </c>
      <c r="E627" t="s">
        <v>27</v>
      </c>
      <c r="F627">
        <v>11.1</v>
      </c>
      <c r="G627">
        <v>20.3</v>
      </c>
      <c r="H627">
        <v>5.4</v>
      </c>
      <c r="I627">
        <v>64.099999999999994</v>
      </c>
      <c r="J627">
        <v>22.2</v>
      </c>
      <c r="K627">
        <v>0.2</v>
      </c>
      <c r="L627">
        <v>1.7</v>
      </c>
      <c r="M627">
        <v>0</v>
      </c>
      <c r="N627">
        <v>0</v>
      </c>
      <c r="O627" t="s">
        <v>27</v>
      </c>
      <c r="P627" t="s">
        <v>27</v>
      </c>
      <c r="Q627" t="s">
        <v>27</v>
      </c>
      <c r="R627" t="s">
        <v>27</v>
      </c>
      <c r="S627">
        <v>12.3</v>
      </c>
      <c r="T627">
        <v>10.7</v>
      </c>
      <c r="U627">
        <v>10.4</v>
      </c>
      <c r="V627" t="s">
        <v>27</v>
      </c>
      <c r="W627">
        <v>0.52700000000000002</v>
      </c>
      <c r="X627">
        <v>1.847</v>
      </c>
      <c r="Y627" t="s">
        <v>27</v>
      </c>
      <c r="Z627" t="s">
        <v>27</v>
      </c>
      <c r="AA627" t="s">
        <v>27</v>
      </c>
      <c r="AB627" t="s">
        <v>27</v>
      </c>
      <c r="AC627" t="s">
        <v>27</v>
      </c>
      <c r="AD627" t="s">
        <v>27</v>
      </c>
      <c r="AE627" t="s">
        <v>27</v>
      </c>
      <c r="AF627" t="s">
        <v>27</v>
      </c>
      <c r="AG627">
        <v>19.7</v>
      </c>
    </row>
    <row r="628" spans="1:33" x14ac:dyDescent="0.25">
      <c r="A628" t="s">
        <v>57</v>
      </c>
      <c r="B628" s="3">
        <v>44089</v>
      </c>
      <c r="C628">
        <v>2020259</v>
      </c>
      <c r="D628">
        <v>16.12</v>
      </c>
      <c r="E628" t="s">
        <v>27</v>
      </c>
      <c r="F628">
        <v>13.1</v>
      </c>
      <c r="G628">
        <v>21.8</v>
      </c>
      <c r="H628">
        <v>3.8</v>
      </c>
      <c r="I628">
        <v>66.2</v>
      </c>
      <c r="J628">
        <v>33.5</v>
      </c>
      <c r="K628">
        <v>0.4</v>
      </c>
      <c r="L628">
        <v>2.8</v>
      </c>
      <c r="M628">
        <v>0</v>
      </c>
      <c r="N628">
        <v>0</v>
      </c>
      <c r="O628" t="s">
        <v>27</v>
      </c>
      <c r="P628" t="s">
        <v>27</v>
      </c>
      <c r="Q628" t="s">
        <v>27</v>
      </c>
      <c r="R628" t="s">
        <v>27</v>
      </c>
      <c r="S628">
        <v>13</v>
      </c>
      <c r="T628">
        <v>11.1</v>
      </c>
      <c r="U628">
        <v>10.4</v>
      </c>
      <c r="V628" t="s">
        <v>27</v>
      </c>
      <c r="W628">
        <v>0.875</v>
      </c>
      <c r="X628">
        <v>1.7370000000000001</v>
      </c>
      <c r="Y628" t="s">
        <v>27</v>
      </c>
      <c r="Z628" t="s">
        <v>27</v>
      </c>
      <c r="AA628" t="s">
        <v>27</v>
      </c>
      <c r="AB628" t="s">
        <v>27</v>
      </c>
      <c r="AC628" t="s">
        <v>27</v>
      </c>
      <c r="AD628" t="s">
        <v>27</v>
      </c>
      <c r="AE628" t="s">
        <v>27</v>
      </c>
      <c r="AF628" t="s">
        <v>27</v>
      </c>
      <c r="AG628">
        <v>19.45</v>
      </c>
    </row>
    <row r="629" spans="1:33" x14ac:dyDescent="0.25">
      <c r="A629" t="s">
        <v>57</v>
      </c>
      <c r="B629" s="3">
        <v>44090</v>
      </c>
      <c r="C629">
        <v>2020260</v>
      </c>
      <c r="D629">
        <v>13.26</v>
      </c>
      <c r="E629" t="s">
        <v>27</v>
      </c>
      <c r="F629">
        <v>13.5</v>
      </c>
      <c r="G629">
        <v>23</v>
      </c>
      <c r="H629">
        <v>6.4</v>
      </c>
      <c r="I629">
        <v>70.099999999999994</v>
      </c>
      <c r="J629">
        <v>35.299999999999997</v>
      </c>
      <c r="K629">
        <v>0.3</v>
      </c>
      <c r="L629">
        <v>1.5</v>
      </c>
      <c r="M629">
        <v>0</v>
      </c>
      <c r="N629">
        <v>0</v>
      </c>
      <c r="O629" t="s">
        <v>27</v>
      </c>
      <c r="P629" t="s">
        <v>27</v>
      </c>
      <c r="Q629" t="s">
        <v>27</v>
      </c>
      <c r="R629" t="s">
        <v>27</v>
      </c>
      <c r="S629">
        <v>13.6</v>
      </c>
      <c r="T629">
        <v>11.5</v>
      </c>
      <c r="U629">
        <v>10.5</v>
      </c>
      <c r="V629" t="s">
        <v>27</v>
      </c>
      <c r="W629">
        <v>0.98899999999999999</v>
      </c>
      <c r="X629">
        <v>1.8129999999999999</v>
      </c>
      <c r="Y629" t="s">
        <v>27</v>
      </c>
      <c r="Z629" t="s">
        <v>27</v>
      </c>
      <c r="AA629" t="s">
        <v>27</v>
      </c>
      <c r="AB629" t="s">
        <v>27</v>
      </c>
      <c r="AC629" t="s">
        <v>27</v>
      </c>
      <c r="AD629" t="s">
        <v>27</v>
      </c>
      <c r="AE629" t="s">
        <v>27</v>
      </c>
      <c r="AF629" t="s">
        <v>27</v>
      </c>
      <c r="AG629">
        <v>19.2</v>
      </c>
    </row>
    <row r="630" spans="1:33" x14ac:dyDescent="0.25">
      <c r="A630" t="s">
        <v>57</v>
      </c>
      <c r="B630" s="3">
        <v>44091</v>
      </c>
      <c r="C630">
        <v>2020261</v>
      </c>
      <c r="D630">
        <v>13.29</v>
      </c>
      <c r="E630" t="s">
        <v>27</v>
      </c>
      <c r="F630">
        <v>13.1</v>
      </c>
      <c r="G630">
        <v>23.9</v>
      </c>
      <c r="H630">
        <v>4.9000000000000004</v>
      </c>
      <c r="I630">
        <v>66.599999999999994</v>
      </c>
      <c r="J630">
        <v>24.1</v>
      </c>
      <c r="K630">
        <v>0.3</v>
      </c>
      <c r="L630">
        <v>1.6</v>
      </c>
      <c r="M630">
        <v>0</v>
      </c>
      <c r="N630">
        <v>0</v>
      </c>
      <c r="O630" t="s">
        <v>27</v>
      </c>
      <c r="P630" t="s">
        <v>27</v>
      </c>
      <c r="Q630" t="s">
        <v>27</v>
      </c>
      <c r="R630" t="s">
        <v>27</v>
      </c>
      <c r="S630">
        <v>12.5</v>
      </c>
      <c r="T630">
        <v>11.3</v>
      </c>
      <c r="U630">
        <v>10.5</v>
      </c>
      <c r="V630" t="s">
        <v>27</v>
      </c>
      <c r="W630">
        <v>0.71299999999999997</v>
      </c>
      <c r="X630">
        <v>2.246</v>
      </c>
      <c r="Y630" t="s">
        <v>27</v>
      </c>
      <c r="Z630" t="s">
        <v>27</v>
      </c>
      <c r="AA630" t="s">
        <v>27</v>
      </c>
      <c r="AB630" t="s">
        <v>27</v>
      </c>
      <c r="AC630" t="s">
        <v>27</v>
      </c>
      <c r="AD630" t="s">
        <v>27</v>
      </c>
      <c r="AE630" t="s">
        <v>27</v>
      </c>
      <c r="AF630" t="s">
        <v>27</v>
      </c>
      <c r="AG630">
        <v>18.940000000000001</v>
      </c>
    </row>
    <row r="631" spans="1:33" x14ac:dyDescent="0.25">
      <c r="A631" t="s">
        <v>57</v>
      </c>
      <c r="B631" s="3">
        <v>44092</v>
      </c>
      <c r="C631">
        <v>2020262</v>
      </c>
      <c r="D631">
        <v>10.8</v>
      </c>
      <c r="E631" t="s">
        <v>27</v>
      </c>
      <c r="F631">
        <v>12.6</v>
      </c>
      <c r="G631">
        <v>22.7</v>
      </c>
      <c r="H631">
        <v>3.3</v>
      </c>
      <c r="I631">
        <v>63.4</v>
      </c>
      <c r="J631">
        <v>27.6</v>
      </c>
      <c r="K631">
        <v>0.5</v>
      </c>
      <c r="L631">
        <v>2.2999999999999998</v>
      </c>
      <c r="M631">
        <v>0</v>
      </c>
      <c r="N631">
        <v>0</v>
      </c>
      <c r="O631" t="s">
        <v>27</v>
      </c>
      <c r="P631" t="s">
        <v>27</v>
      </c>
      <c r="Q631" t="s">
        <v>27</v>
      </c>
      <c r="R631" t="s">
        <v>27</v>
      </c>
      <c r="S631">
        <v>12.1</v>
      </c>
      <c r="T631">
        <v>10.9</v>
      </c>
      <c r="U631">
        <v>10.5</v>
      </c>
      <c r="V631" t="s">
        <v>27</v>
      </c>
      <c r="W631">
        <v>0.76200000000000001</v>
      </c>
      <c r="X631">
        <v>1.9990000000000001</v>
      </c>
      <c r="Y631" t="s">
        <v>27</v>
      </c>
      <c r="Z631" t="s">
        <v>27</v>
      </c>
      <c r="AA631" t="s">
        <v>27</v>
      </c>
      <c r="AB631" t="s">
        <v>27</v>
      </c>
      <c r="AC631" t="s">
        <v>27</v>
      </c>
      <c r="AD631" t="s">
        <v>27</v>
      </c>
      <c r="AE631" t="s">
        <v>27</v>
      </c>
      <c r="AF631" t="s">
        <v>27</v>
      </c>
      <c r="AG631">
        <v>18.690000000000001</v>
      </c>
    </row>
    <row r="632" spans="1:33" x14ac:dyDescent="0.25">
      <c r="A632" t="s">
        <v>57</v>
      </c>
      <c r="B632" s="3">
        <v>44093</v>
      </c>
      <c r="C632">
        <v>2020263</v>
      </c>
      <c r="D632">
        <v>6.5</v>
      </c>
      <c r="E632" t="s">
        <v>27</v>
      </c>
      <c r="F632">
        <v>9.8000000000000007</v>
      </c>
      <c r="G632">
        <v>13</v>
      </c>
      <c r="H632">
        <v>6.1</v>
      </c>
      <c r="I632">
        <v>78.900000000000006</v>
      </c>
      <c r="J632">
        <v>61.7</v>
      </c>
      <c r="K632">
        <v>0.9</v>
      </c>
      <c r="L632">
        <v>3</v>
      </c>
      <c r="M632">
        <v>0.25</v>
      </c>
      <c r="N632">
        <v>0</v>
      </c>
      <c r="O632" t="s">
        <v>27</v>
      </c>
      <c r="P632" t="s">
        <v>27</v>
      </c>
      <c r="Q632" t="s">
        <v>27</v>
      </c>
      <c r="R632" t="s">
        <v>27</v>
      </c>
      <c r="S632">
        <v>10.4</v>
      </c>
      <c r="T632">
        <v>10.9</v>
      </c>
      <c r="U632">
        <v>10.5</v>
      </c>
      <c r="V632" t="s">
        <v>27</v>
      </c>
      <c r="W632">
        <v>0.92400000000000004</v>
      </c>
      <c r="X632">
        <v>0.57399999999999995</v>
      </c>
      <c r="Y632" t="s">
        <v>27</v>
      </c>
      <c r="Z632" t="s">
        <v>27</v>
      </c>
      <c r="AA632" t="s">
        <v>27</v>
      </c>
      <c r="AB632" t="s">
        <v>27</v>
      </c>
      <c r="AC632" t="s">
        <v>27</v>
      </c>
      <c r="AD632" t="s">
        <v>27</v>
      </c>
      <c r="AE632" t="s">
        <v>27</v>
      </c>
      <c r="AF632" t="s">
        <v>27</v>
      </c>
      <c r="AG632">
        <v>18.440000000000001</v>
      </c>
    </row>
    <row r="633" spans="1:33" x14ac:dyDescent="0.25">
      <c r="A633" t="s">
        <v>57</v>
      </c>
      <c r="B633" s="3">
        <v>44094</v>
      </c>
      <c r="C633">
        <v>2020264</v>
      </c>
      <c r="D633">
        <v>12.48</v>
      </c>
      <c r="E633" t="s">
        <v>27</v>
      </c>
      <c r="F633">
        <v>8.6999999999999993</v>
      </c>
      <c r="G633">
        <v>16.600000000000001</v>
      </c>
      <c r="H633">
        <v>0.8</v>
      </c>
      <c r="I633">
        <v>72.400000000000006</v>
      </c>
      <c r="J633">
        <v>37.299999999999997</v>
      </c>
      <c r="K633">
        <v>0.6</v>
      </c>
      <c r="L633">
        <v>2.5</v>
      </c>
      <c r="M633">
        <v>0</v>
      </c>
      <c r="N633">
        <v>0</v>
      </c>
      <c r="O633" t="s">
        <v>27</v>
      </c>
      <c r="P633" t="s">
        <v>27</v>
      </c>
      <c r="Q633" t="s">
        <v>27</v>
      </c>
      <c r="R633" t="s">
        <v>27</v>
      </c>
      <c r="S633">
        <v>9.5</v>
      </c>
      <c r="T633">
        <v>10.3</v>
      </c>
      <c r="U633">
        <v>10.3</v>
      </c>
      <c r="V633" t="s">
        <v>27</v>
      </c>
      <c r="W633">
        <v>0.70299999999999996</v>
      </c>
      <c r="X633">
        <v>1.1819999999999999</v>
      </c>
      <c r="Y633" t="s">
        <v>27</v>
      </c>
      <c r="Z633" t="s">
        <v>27</v>
      </c>
      <c r="AA633" t="s">
        <v>27</v>
      </c>
      <c r="AB633" t="s">
        <v>27</v>
      </c>
      <c r="AC633" t="s">
        <v>27</v>
      </c>
      <c r="AD633" t="s">
        <v>27</v>
      </c>
      <c r="AE633" t="s">
        <v>27</v>
      </c>
      <c r="AF633" t="s">
        <v>27</v>
      </c>
      <c r="AG633">
        <v>18.18</v>
      </c>
    </row>
    <row r="634" spans="1:33" x14ac:dyDescent="0.25">
      <c r="A634" t="s">
        <v>57</v>
      </c>
      <c r="B634" s="3">
        <v>44095</v>
      </c>
      <c r="C634">
        <v>2020265</v>
      </c>
      <c r="D634">
        <v>10.1</v>
      </c>
      <c r="E634" t="s">
        <v>27</v>
      </c>
      <c r="F634">
        <v>6.8</v>
      </c>
      <c r="G634">
        <v>16.399999999999999</v>
      </c>
      <c r="H634">
        <v>-0.6</v>
      </c>
      <c r="I634">
        <v>77</v>
      </c>
      <c r="J634">
        <v>32</v>
      </c>
      <c r="K634">
        <v>0.4</v>
      </c>
      <c r="L634">
        <v>2</v>
      </c>
      <c r="M634">
        <v>0</v>
      </c>
      <c r="N634">
        <v>0</v>
      </c>
      <c r="O634" t="s">
        <v>27</v>
      </c>
      <c r="P634" t="s">
        <v>27</v>
      </c>
      <c r="Q634" t="s">
        <v>27</v>
      </c>
      <c r="R634" t="s">
        <v>27</v>
      </c>
      <c r="S634">
        <v>7.1</v>
      </c>
      <c r="T634">
        <v>9.3000000000000007</v>
      </c>
      <c r="U634">
        <v>10.1</v>
      </c>
      <c r="V634" t="s">
        <v>27</v>
      </c>
      <c r="W634">
        <v>0.59599999999999997</v>
      </c>
      <c r="X634">
        <v>1.2669999999999999</v>
      </c>
      <c r="Y634" t="s">
        <v>27</v>
      </c>
      <c r="Z634" t="s">
        <v>27</v>
      </c>
      <c r="AA634" t="s">
        <v>27</v>
      </c>
      <c r="AB634" t="s">
        <v>27</v>
      </c>
      <c r="AC634" t="s">
        <v>27</v>
      </c>
      <c r="AD634" t="s">
        <v>27</v>
      </c>
      <c r="AE634" t="s">
        <v>27</v>
      </c>
      <c r="AF634" t="s">
        <v>27</v>
      </c>
      <c r="AG634">
        <v>17.93</v>
      </c>
    </row>
    <row r="635" spans="1:33" x14ac:dyDescent="0.25">
      <c r="A635" t="s">
        <v>57</v>
      </c>
      <c r="B635" s="3">
        <v>44096</v>
      </c>
      <c r="C635">
        <v>2020266</v>
      </c>
      <c r="D635">
        <v>13.85</v>
      </c>
      <c r="E635" t="s">
        <v>27</v>
      </c>
      <c r="F635">
        <v>8.6999999999999993</v>
      </c>
      <c r="G635">
        <v>18.5</v>
      </c>
      <c r="H635">
        <v>0.9</v>
      </c>
      <c r="I635">
        <v>69.900000000000006</v>
      </c>
      <c r="J635">
        <v>34.299999999999997</v>
      </c>
      <c r="K635">
        <v>0.4</v>
      </c>
      <c r="L635">
        <v>2.2000000000000002</v>
      </c>
      <c r="M635">
        <v>0</v>
      </c>
      <c r="N635">
        <v>0</v>
      </c>
      <c r="O635" t="s">
        <v>27</v>
      </c>
      <c r="P635" t="s">
        <v>27</v>
      </c>
      <c r="Q635" t="s">
        <v>27</v>
      </c>
      <c r="R635" t="s">
        <v>27</v>
      </c>
      <c r="S635">
        <v>8.4</v>
      </c>
      <c r="T635">
        <v>9.1</v>
      </c>
      <c r="U635">
        <v>9.6999999999999993</v>
      </c>
      <c r="V635" t="s">
        <v>27</v>
      </c>
      <c r="W635">
        <v>0.72899999999999998</v>
      </c>
      <c r="X635">
        <v>1.3959999999999999</v>
      </c>
      <c r="Y635" t="s">
        <v>27</v>
      </c>
      <c r="Z635" t="s">
        <v>27</v>
      </c>
      <c r="AA635" t="s">
        <v>27</v>
      </c>
      <c r="AB635" t="s">
        <v>27</v>
      </c>
      <c r="AC635" t="s">
        <v>27</v>
      </c>
      <c r="AD635" t="s">
        <v>27</v>
      </c>
      <c r="AE635" t="s">
        <v>27</v>
      </c>
      <c r="AF635" t="s">
        <v>27</v>
      </c>
      <c r="AG635">
        <v>17.68</v>
      </c>
    </row>
    <row r="636" spans="1:33" x14ac:dyDescent="0.25">
      <c r="A636" t="s">
        <v>57</v>
      </c>
      <c r="B636" s="3">
        <v>44097</v>
      </c>
      <c r="C636">
        <v>2020267</v>
      </c>
      <c r="D636">
        <v>3.68</v>
      </c>
      <c r="E636" t="s">
        <v>27</v>
      </c>
      <c r="F636">
        <v>8.9</v>
      </c>
      <c r="G636">
        <v>12.8</v>
      </c>
      <c r="H636">
        <v>3.8</v>
      </c>
      <c r="I636">
        <v>80</v>
      </c>
      <c r="J636">
        <v>52.6</v>
      </c>
      <c r="K636">
        <v>1.1000000000000001</v>
      </c>
      <c r="L636">
        <v>4.3</v>
      </c>
      <c r="M636">
        <v>10.41</v>
      </c>
      <c r="N636">
        <v>0</v>
      </c>
      <c r="O636" t="s">
        <v>27</v>
      </c>
      <c r="P636" t="s">
        <v>27</v>
      </c>
      <c r="Q636" t="s">
        <v>27</v>
      </c>
      <c r="R636" t="s">
        <v>27</v>
      </c>
      <c r="S636">
        <v>8.8000000000000007</v>
      </c>
      <c r="T636">
        <v>9.1999999999999993</v>
      </c>
      <c r="U636">
        <v>9.6</v>
      </c>
      <c r="V636" t="s">
        <v>27</v>
      </c>
      <c r="W636">
        <v>0.77500000000000002</v>
      </c>
      <c r="X636">
        <v>0.69799999999999995</v>
      </c>
      <c r="Y636" t="s">
        <v>27</v>
      </c>
      <c r="Z636" t="s">
        <v>27</v>
      </c>
      <c r="AA636" t="s">
        <v>27</v>
      </c>
      <c r="AB636" t="s">
        <v>27</v>
      </c>
      <c r="AC636" t="s">
        <v>27</v>
      </c>
      <c r="AD636" t="s">
        <v>27</v>
      </c>
      <c r="AE636" t="s">
        <v>27</v>
      </c>
      <c r="AF636" t="s">
        <v>27</v>
      </c>
      <c r="AG636">
        <v>17.43</v>
      </c>
    </row>
    <row r="637" spans="1:33" x14ac:dyDescent="0.25">
      <c r="A637" t="s">
        <v>57</v>
      </c>
      <c r="B637" s="3">
        <v>44098</v>
      </c>
      <c r="C637">
        <v>2020268</v>
      </c>
      <c r="D637">
        <v>7.45</v>
      </c>
      <c r="E637" t="s">
        <v>27</v>
      </c>
      <c r="F637">
        <v>4.9000000000000004</v>
      </c>
      <c r="G637">
        <v>10.1</v>
      </c>
      <c r="H637">
        <v>0.2</v>
      </c>
      <c r="I637">
        <v>91.5</v>
      </c>
      <c r="J637">
        <v>71.3</v>
      </c>
      <c r="K637">
        <v>0.5</v>
      </c>
      <c r="L637">
        <v>3.1</v>
      </c>
      <c r="M637">
        <v>1.52</v>
      </c>
      <c r="N637">
        <v>0</v>
      </c>
      <c r="O637" t="s">
        <v>27</v>
      </c>
      <c r="P637" t="s">
        <v>27</v>
      </c>
      <c r="Q637" t="s">
        <v>27</v>
      </c>
      <c r="R637" t="s">
        <v>27</v>
      </c>
      <c r="S637">
        <v>6.6</v>
      </c>
      <c r="T637">
        <v>8.5</v>
      </c>
      <c r="U637">
        <v>9.3000000000000007</v>
      </c>
      <c r="V637" t="s">
        <v>27</v>
      </c>
      <c r="W637">
        <v>0.88</v>
      </c>
      <c r="X637">
        <v>0.35399999999999998</v>
      </c>
      <c r="Y637" t="s">
        <v>27</v>
      </c>
      <c r="Z637" t="s">
        <v>27</v>
      </c>
      <c r="AA637" t="s">
        <v>27</v>
      </c>
      <c r="AB637" t="s">
        <v>27</v>
      </c>
      <c r="AC637" t="s">
        <v>27</v>
      </c>
      <c r="AD637" t="s">
        <v>27</v>
      </c>
      <c r="AE637" t="s">
        <v>27</v>
      </c>
      <c r="AF637" t="s">
        <v>27</v>
      </c>
      <c r="AG637">
        <v>17.170000000000002</v>
      </c>
    </row>
    <row r="638" spans="1:33" x14ac:dyDescent="0.25">
      <c r="A638" t="s">
        <v>57</v>
      </c>
      <c r="B638" s="3">
        <v>44099</v>
      </c>
      <c r="C638">
        <v>2020269</v>
      </c>
      <c r="D638">
        <v>2.72</v>
      </c>
      <c r="E638" t="s">
        <v>27</v>
      </c>
      <c r="F638">
        <v>3.4</v>
      </c>
      <c r="G638">
        <v>6</v>
      </c>
      <c r="H638">
        <v>0.5</v>
      </c>
      <c r="I638">
        <v>91.8</v>
      </c>
      <c r="J638">
        <v>77.599999999999994</v>
      </c>
      <c r="K638">
        <v>1.2</v>
      </c>
      <c r="L638">
        <v>4</v>
      </c>
      <c r="M638">
        <v>10.67</v>
      </c>
      <c r="N638">
        <v>0</v>
      </c>
      <c r="O638" t="s">
        <v>27</v>
      </c>
      <c r="P638" t="s">
        <v>27</v>
      </c>
      <c r="Q638" t="s">
        <v>27</v>
      </c>
      <c r="R638" t="s">
        <v>27</v>
      </c>
      <c r="S638">
        <v>4.2</v>
      </c>
      <c r="T638">
        <v>7.4</v>
      </c>
      <c r="U638">
        <v>8.9</v>
      </c>
      <c r="V638" t="s">
        <v>27</v>
      </c>
      <c r="W638">
        <v>0.72399999999999998</v>
      </c>
      <c r="X638">
        <v>0.20899999999999999</v>
      </c>
      <c r="Y638" t="s">
        <v>27</v>
      </c>
      <c r="Z638" t="s">
        <v>27</v>
      </c>
      <c r="AA638" t="s">
        <v>27</v>
      </c>
      <c r="AB638" t="s">
        <v>27</v>
      </c>
      <c r="AC638" t="s">
        <v>27</v>
      </c>
      <c r="AD638" t="s">
        <v>27</v>
      </c>
      <c r="AE638" t="s">
        <v>27</v>
      </c>
      <c r="AF638" t="s">
        <v>27</v>
      </c>
      <c r="AG638">
        <v>16.93</v>
      </c>
    </row>
    <row r="639" spans="1:33" x14ac:dyDescent="0.25">
      <c r="A639" t="s">
        <v>57</v>
      </c>
      <c r="B639" s="3">
        <v>44100</v>
      </c>
      <c r="C639">
        <v>2020270</v>
      </c>
      <c r="D639">
        <v>6.98</v>
      </c>
      <c r="E639" t="s">
        <v>27</v>
      </c>
      <c r="F639">
        <v>3.3</v>
      </c>
      <c r="G639">
        <v>6.7</v>
      </c>
      <c r="H639">
        <v>0.8</v>
      </c>
      <c r="I639">
        <v>81.3</v>
      </c>
      <c r="J639">
        <v>60.5</v>
      </c>
      <c r="K639">
        <v>1.3</v>
      </c>
      <c r="L639">
        <v>3.6</v>
      </c>
      <c r="M639">
        <v>1</v>
      </c>
      <c r="N639">
        <v>0</v>
      </c>
      <c r="O639" t="s">
        <v>27</v>
      </c>
      <c r="P639" t="s">
        <v>27</v>
      </c>
      <c r="Q639" t="s">
        <v>27</v>
      </c>
      <c r="R639" t="s">
        <v>27</v>
      </c>
      <c r="S639">
        <v>4.5999999999999996</v>
      </c>
      <c r="T639">
        <v>6.9</v>
      </c>
      <c r="U639">
        <v>8.5</v>
      </c>
      <c r="V639" t="s">
        <v>27</v>
      </c>
      <c r="W639">
        <v>0.59199999999999997</v>
      </c>
      <c r="X639">
        <v>0.38700000000000001</v>
      </c>
      <c r="Y639" t="s">
        <v>27</v>
      </c>
      <c r="Z639" t="s">
        <v>27</v>
      </c>
      <c r="AA639" t="s">
        <v>27</v>
      </c>
      <c r="AB639" t="s">
        <v>27</v>
      </c>
      <c r="AC639" t="s">
        <v>27</v>
      </c>
      <c r="AD639" t="s">
        <v>27</v>
      </c>
      <c r="AE639" t="s">
        <v>27</v>
      </c>
      <c r="AF639" t="s">
        <v>27</v>
      </c>
      <c r="AG639">
        <v>16.68</v>
      </c>
    </row>
    <row r="640" spans="1:33" x14ac:dyDescent="0.25">
      <c r="A640" t="s">
        <v>57</v>
      </c>
      <c r="B640" s="3">
        <v>44101</v>
      </c>
      <c r="C640">
        <v>2020271</v>
      </c>
      <c r="D640">
        <v>15.32</v>
      </c>
      <c r="E640" t="s">
        <v>27</v>
      </c>
      <c r="F640">
        <v>3.9</v>
      </c>
      <c r="G640">
        <v>12.8</v>
      </c>
      <c r="H640">
        <v>-2.4</v>
      </c>
      <c r="I640">
        <v>79.599999999999994</v>
      </c>
      <c r="J640">
        <v>41.1</v>
      </c>
      <c r="K640">
        <v>0.5</v>
      </c>
      <c r="L640">
        <v>2.9</v>
      </c>
      <c r="M640">
        <v>1</v>
      </c>
      <c r="N640">
        <v>0</v>
      </c>
      <c r="O640" t="s">
        <v>27</v>
      </c>
      <c r="P640" t="s">
        <v>27</v>
      </c>
      <c r="Q640" t="s">
        <v>27</v>
      </c>
      <c r="R640" t="s">
        <v>27</v>
      </c>
      <c r="S640">
        <v>5.2</v>
      </c>
      <c r="T640">
        <v>6.7</v>
      </c>
      <c r="U640">
        <v>8.1</v>
      </c>
      <c r="V640" t="s">
        <v>27</v>
      </c>
      <c r="W640">
        <v>0.60499999999999998</v>
      </c>
      <c r="X640">
        <v>0.86699999999999999</v>
      </c>
      <c r="Y640" t="s">
        <v>27</v>
      </c>
      <c r="Z640" t="s">
        <v>27</v>
      </c>
      <c r="AA640" t="s">
        <v>27</v>
      </c>
      <c r="AB640" t="s">
        <v>27</v>
      </c>
      <c r="AC640" t="s">
        <v>27</v>
      </c>
      <c r="AD640" t="s">
        <v>27</v>
      </c>
      <c r="AE640" t="s">
        <v>27</v>
      </c>
      <c r="AF640" t="s">
        <v>27</v>
      </c>
      <c r="AG640">
        <v>16.43</v>
      </c>
    </row>
    <row r="641" spans="1:33" x14ac:dyDescent="0.25">
      <c r="A641" t="s">
        <v>57</v>
      </c>
      <c r="B641" s="3">
        <v>44102</v>
      </c>
      <c r="C641">
        <v>2020272</v>
      </c>
      <c r="D641">
        <v>15.61</v>
      </c>
      <c r="E641" t="s">
        <v>27</v>
      </c>
      <c r="F641">
        <v>8.6</v>
      </c>
      <c r="G641">
        <v>20.100000000000001</v>
      </c>
      <c r="H641">
        <v>-0.2</v>
      </c>
      <c r="I641">
        <v>74.599999999999994</v>
      </c>
      <c r="J641">
        <v>37.1</v>
      </c>
      <c r="K641">
        <v>0.7</v>
      </c>
      <c r="L641">
        <v>2.8</v>
      </c>
      <c r="M641">
        <v>1</v>
      </c>
      <c r="N641">
        <v>0</v>
      </c>
      <c r="O641" t="s">
        <v>27</v>
      </c>
      <c r="P641" t="s">
        <v>27</v>
      </c>
      <c r="Q641" t="s">
        <v>27</v>
      </c>
      <c r="R641" t="s">
        <v>27</v>
      </c>
      <c r="S641">
        <v>7.3</v>
      </c>
      <c r="T641">
        <v>7.3</v>
      </c>
      <c r="U641">
        <v>7.9</v>
      </c>
      <c r="V641" t="s">
        <v>27</v>
      </c>
      <c r="W641">
        <v>0.874</v>
      </c>
      <c r="X641">
        <v>1.482</v>
      </c>
      <c r="Y641" t="s">
        <v>27</v>
      </c>
      <c r="Z641" t="s">
        <v>27</v>
      </c>
      <c r="AA641" t="s">
        <v>27</v>
      </c>
      <c r="AB641" t="s">
        <v>27</v>
      </c>
      <c r="AC641" t="s">
        <v>27</v>
      </c>
      <c r="AD641" t="s">
        <v>27</v>
      </c>
      <c r="AE641" t="s">
        <v>27</v>
      </c>
      <c r="AF641" t="s">
        <v>27</v>
      </c>
      <c r="AG641">
        <v>16.18</v>
      </c>
    </row>
    <row r="642" spans="1:33" x14ac:dyDescent="0.25">
      <c r="A642" t="s">
        <v>57</v>
      </c>
      <c r="B642" s="3">
        <v>44103</v>
      </c>
      <c r="C642">
        <v>2020273</v>
      </c>
      <c r="D642">
        <v>15.5</v>
      </c>
      <c r="E642" t="s">
        <v>27</v>
      </c>
      <c r="F642">
        <v>10.199999999999999</v>
      </c>
      <c r="G642">
        <v>22.6</v>
      </c>
      <c r="H642">
        <v>1.5</v>
      </c>
      <c r="I642">
        <v>69.400000000000006</v>
      </c>
      <c r="J642">
        <v>25.9</v>
      </c>
      <c r="K642">
        <v>0.4</v>
      </c>
      <c r="L642">
        <v>2.2000000000000002</v>
      </c>
      <c r="M642">
        <v>0</v>
      </c>
      <c r="N642">
        <v>0</v>
      </c>
      <c r="O642" t="s">
        <v>27</v>
      </c>
      <c r="P642" t="s">
        <v>27</v>
      </c>
      <c r="Q642" t="s">
        <v>27</v>
      </c>
      <c r="R642" t="s">
        <v>27</v>
      </c>
      <c r="S642">
        <v>7.7</v>
      </c>
      <c r="T642">
        <v>7.8</v>
      </c>
      <c r="U642">
        <v>8</v>
      </c>
      <c r="V642" t="s">
        <v>27</v>
      </c>
      <c r="W642">
        <v>0.70899999999999996</v>
      </c>
      <c r="X642">
        <v>2.028</v>
      </c>
      <c r="Y642" t="s">
        <v>27</v>
      </c>
      <c r="Z642" t="s">
        <v>27</v>
      </c>
      <c r="AA642" t="s">
        <v>27</v>
      </c>
      <c r="AB642" t="s">
        <v>27</v>
      </c>
      <c r="AC642" t="s">
        <v>27</v>
      </c>
      <c r="AD642" t="s">
        <v>27</v>
      </c>
      <c r="AE642" t="s">
        <v>27</v>
      </c>
      <c r="AF642" t="s">
        <v>27</v>
      </c>
      <c r="AG642">
        <v>15.93</v>
      </c>
    </row>
    <row r="643" spans="1:33" x14ac:dyDescent="0.25">
      <c r="A643" t="s">
        <v>57</v>
      </c>
      <c r="B643" s="3">
        <v>44104</v>
      </c>
      <c r="C643">
        <v>2020274</v>
      </c>
      <c r="D643">
        <v>13.5</v>
      </c>
      <c r="E643" t="s">
        <v>27</v>
      </c>
      <c r="F643">
        <v>10.3</v>
      </c>
      <c r="G643">
        <v>21.7</v>
      </c>
      <c r="H643">
        <v>1.8</v>
      </c>
      <c r="I643">
        <v>68.3</v>
      </c>
      <c r="J643">
        <v>31.6</v>
      </c>
      <c r="K643">
        <v>0.4</v>
      </c>
      <c r="L643">
        <v>3</v>
      </c>
      <c r="M643">
        <v>0</v>
      </c>
      <c r="N643">
        <v>0</v>
      </c>
      <c r="O643" t="s">
        <v>27</v>
      </c>
      <c r="P643" t="s">
        <v>27</v>
      </c>
      <c r="Q643" t="s">
        <v>27</v>
      </c>
      <c r="R643" t="s">
        <v>27</v>
      </c>
      <c r="S643">
        <v>7.7</v>
      </c>
      <c r="T643">
        <v>8</v>
      </c>
      <c r="U643">
        <v>8.1999999999999993</v>
      </c>
      <c r="V643" t="s">
        <v>27</v>
      </c>
      <c r="W643">
        <v>0.82199999999999995</v>
      </c>
      <c r="X643">
        <v>1.7789999999999999</v>
      </c>
      <c r="Y643" t="s">
        <v>27</v>
      </c>
      <c r="Z643" t="s">
        <v>27</v>
      </c>
      <c r="AA643" t="s">
        <v>27</v>
      </c>
      <c r="AB643" t="s">
        <v>27</v>
      </c>
      <c r="AC643" t="s">
        <v>27</v>
      </c>
      <c r="AD643" t="s">
        <v>27</v>
      </c>
      <c r="AE643" t="s">
        <v>27</v>
      </c>
      <c r="AF643" t="s">
        <v>27</v>
      </c>
      <c r="AG643">
        <v>15.69</v>
      </c>
    </row>
    <row r="644" spans="1:33" x14ac:dyDescent="0.25">
      <c r="A644" t="s">
        <v>57</v>
      </c>
      <c r="B644" s="3">
        <v>44105</v>
      </c>
      <c r="C644">
        <v>2020275</v>
      </c>
      <c r="D644">
        <v>6.54</v>
      </c>
      <c r="E644" t="s">
        <v>27</v>
      </c>
      <c r="F644">
        <v>10.1</v>
      </c>
      <c r="G644">
        <v>18.899999999999999</v>
      </c>
      <c r="H644">
        <v>3.6</v>
      </c>
      <c r="I644">
        <v>76.2</v>
      </c>
      <c r="J644">
        <v>35.5</v>
      </c>
      <c r="K644">
        <v>0.1</v>
      </c>
      <c r="L644">
        <v>1.3</v>
      </c>
      <c r="M644">
        <v>0</v>
      </c>
      <c r="N644">
        <v>0</v>
      </c>
      <c r="O644" t="s">
        <v>27</v>
      </c>
      <c r="P644" t="s">
        <v>27</v>
      </c>
      <c r="Q644" t="s">
        <v>27</v>
      </c>
      <c r="R644" t="s">
        <v>27</v>
      </c>
      <c r="S644">
        <v>8.1999999999999993</v>
      </c>
      <c r="T644">
        <v>8.3000000000000007</v>
      </c>
      <c r="U644">
        <v>8.3000000000000007</v>
      </c>
      <c r="V644" t="s">
        <v>27</v>
      </c>
      <c r="W644">
        <v>0.77600000000000002</v>
      </c>
      <c r="X644">
        <v>1.41</v>
      </c>
      <c r="Y644" t="s">
        <v>27</v>
      </c>
      <c r="Z644" t="s">
        <v>27</v>
      </c>
      <c r="AA644" t="s">
        <v>27</v>
      </c>
      <c r="AB644" t="s">
        <v>27</v>
      </c>
      <c r="AC644" t="s">
        <v>27</v>
      </c>
      <c r="AD644" t="s">
        <v>27</v>
      </c>
      <c r="AE644" t="s">
        <v>27</v>
      </c>
      <c r="AF644" t="s">
        <v>27</v>
      </c>
      <c r="AG644">
        <v>15.45</v>
      </c>
    </row>
    <row r="645" spans="1:33" x14ac:dyDescent="0.25">
      <c r="A645" t="s">
        <v>57</v>
      </c>
      <c r="B645" s="3">
        <v>44106</v>
      </c>
      <c r="C645">
        <v>2020276</v>
      </c>
      <c r="D645">
        <v>13.84</v>
      </c>
      <c r="E645" t="s">
        <v>27</v>
      </c>
      <c r="F645">
        <v>10.6</v>
      </c>
      <c r="G645">
        <v>21.5</v>
      </c>
      <c r="H645">
        <v>2.7</v>
      </c>
      <c r="I645">
        <v>68.5</v>
      </c>
      <c r="J645">
        <v>30.7</v>
      </c>
      <c r="K645">
        <v>0.4</v>
      </c>
      <c r="L645">
        <v>2.8</v>
      </c>
      <c r="M645">
        <v>0</v>
      </c>
      <c r="N645">
        <v>0</v>
      </c>
      <c r="O645" t="s">
        <v>27</v>
      </c>
      <c r="P645" t="s">
        <v>27</v>
      </c>
      <c r="Q645" t="s">
        <v>27</v>
      </c>
      <c r="R645" t="s">
        <v>27</v>
      </c>
      <c r="S645">
        <v>8.6999999999999993</v>
      </c>
      <c r="T645">
        <v>8.5</v>
      </c>
      <c r="U645">
        <v>8.3000000000000007</v>
      </c>
      <c r="V645" t="s">
        <v>27</v>
      </c>
      <c r="W645">
        <v>0.78600000000000003</v>
      </c>
      <c r="X645">
        <v>1.774</v>
      </c>
      <c r="Y645" t="s">
        <v>27</v>
      </c>
      <c r="Z645" t="s">
        <v>27</v>
      </c>
      <c r="AA645" t="s">
        <v>27</v>
      </c>
      <c r="AB645" t="s">
        <v>27</v>
      </c>
      <c r="AC645" t="s">
        <v>27</v>
      </c>
      <c r="AD645" t="s">
        <v>27</v>
      </c>
      <c r="AE645" t="s">
        <v>27</v>
      </c>
      <c r="AF645" t="s">
        <v>27</v>
      </c>
      <c r="AG645">
        <v>15.2</v>
      </c>
    </row>
    <row r="646" spans="1:33" x14ac:dyDescent="0.25">
      <c r="A646" t="s">
        <v>57</v>
      </c>
      <c r="B646" s="3">
        <v>44107</v>
      </c>
      <c r="C646">
        <v>2020277</v>
      </c>
      <c r="D646">
        <v>13.46</v>
      </c>
      <c r="E646" t="s">
        <v>27</v>
      </c>
      <c r="F646">
        <v>10.5</v>
      </c>
      <c r="G646">
        <v>21.1</v>
      </c>
      <c r="H646">
        <v>3.2</v>
      </c>
      <c r="I646">
        <v>73.400000000000006</v>
      </c>
      <c r="J646">
        <v>35.5</v>
      </c>
      <c r="K646">
        <v>0.4</v>
      </c>
      <c r="L646">
        <v>2.6</v>
      </c>
      <c r="M646">
        <v>0</v>
      </c>
      <c r="N646">
        <v>0</v>
      </c>
      <c r="O646" t="s">
        <v>27</v>
      </c>
      <c r="P646" t="s">
        <v>27</v>
      </c>
      <c r="Q646" t="s">
        <v>27</v>
      </c>
      <c r="R646" t="s">
        <v>27</v>
      </c>
      <c r="S646">
        <v>8.6</v>
      </c>
      <c r="T646">
        <v>8.5</v>
      </c>
      <c r="U646">
        <v>8.4</v>
      </c>
      <c r="V646" t="s">
        <v>27</v>
      </c>
      <c r="W646">
        <v>0.89</v>
      </c>
      <c r="X646">
        <v>1.617</v>
      </c>
      <c r="Y646" t="s">
        <v>27</v>
      </c>
      <c r="Z646" t="s">
        <v>27</v>
      </c>
      <c r="AA646" t="s">
        <v>27</v>
      </c>
      <c r="AB646" t="s">
        <v>27</v>
      </c>
      <c r="AC646" t="s">
        <v>27</v>
      </c>
      <c r="AD646" t="s">
        <v>27</v>
      </c>
      <c r="AE646" t="s">
        <v>27</v>
      </c>
      <c r="AF646" t="s">
        <v>27</v>
      </c>
      <c r="AG646">
        <v>14.96</v>
      </c>
    </row>
    <row r="647" spans="1:33" x14ac:dyDescent="0.25">
      <c r="A647" t="s">
        <v>57</v>
      </c>
      <c r="B647" s="3">
        <v>44108</v>
      </c>
      <c r="C647">
        <v>2020278</v>
      </c>
      <c r="D647">
        <v>9.01</v>
      </c>
      <c r="E647" t="s">
        <v>27</v>
      </c>
      <c r="F647">
        <v>7.9</v>
      </c>
      <c r="G647">
        <v>16.3</v>
      </c>
      <c r="H647">
        <v>0.9</v>
      </c>
      <c r="I647">
        <v>73.3</v>
      </c>
      <c r="J647">
        <v>34.799999999999997</v>
      </c>
      <c r="K647">
        <v>0.8</v>
      </c>
      <c r="L647">
        <v>3.7</v>
      </c>
      <c r="M647">
        <v>0</v>
      </c>
      <c r="N647">
        <v>0</v>
      </c>
      <c r="O647" t="s">
        <v>27</v>
      </c>
      <c r="P647" t="s">
        <v>27</v>
      </c>
      <c r="Q647" t="s">
        <v>27</v>
      </c>
      <c r="R647" t="s">
        <v>27</v>
      </c>
      <c r="S647">
        <v>7</v>
      </c>
      <c r="T647">
        <v>8.1</v>
      </c>
      <c r="U647">
        <v>8.5</v>
      </c>
      <c r="V647" t="s">
        <v>27</v>
      </c>
      <c r="W647">
        <v>0.64600000000000002</v>
      </c>
      <c r="X647">
        <v>1.21</v>
      </c>
      <c r="Y647" t="s">
        <v>27</v>
      </c>
      <c r="Z647" t="s">
        <v>27</v>
      </c>
      <c r="AA647" t="s">
        <v>27</v>
      </c>
      <c r="AB647" t="s">
        <v>27</v>
      </c>
      <c r="AC647" t="s">
        <v>27</v>
      </c>
      <c r="AD647" t="s">
        <v>27</v>
      </c>
      <c r="AE647" t="s">
        <v>27</v>
      </c>
      <c r="AF647" t="s">
        <v>27</v>
      </c>
      <c r="AG647">
        <v>14.72</v>
      </c>
    </row>
    <row r="648" spans="1:33" x14ac:dyDescent="0.25">
      <c r="A648" t="s">
        <v>57</v>
      </c>
      <c r="B648" s="3">
        <v>44109</v>
      </c>
      <c r="C648">
        <v>2020279</v>
      </c>
      <c r="D648">
        <v>13.56</v>
      </c>
      <c r="E648" t="s">
        <v>27</v>
      </c>
      <c r="F648">
        <v>9.1999999999999993</v>
      </c>
      <c r="G648">
        <v>19.7</v>
      </c>
      <c r="H648">
        <v>0.1</v>
      </c>
      <c r="I648">
        <v>74.900000000000006</v>
      </c>
      <c r="J648">
        <v>43.2</v>
      </c>
      <c r="K648">
        <v>0.8</v>
      </c>
      <c r="L648">
        <v>4.0999999999999996</v>
      </c>
      <c r="M648">
        <v>0</v>
      </c>
      <c r="N648">
        <v>0</v>
      </c>
      <c r="O648" t="s">
        <v>27</v>
      </c>
      <c r="P648" t="s">
        <v>27</v>
      </c>
      <c r="Q648" t="s">
        <v>27</v>
      </c>
      <c r="R648" t="s">
        <v>27</v>
      </c>
      <c r="S648">
        <v>7.6</v>
      </c>
      <c r="T648">
        <v>7.9</v>
      </c>
      <c r="U648">
        <v>8.3000000000000007</v>
      </c>
      <c r="V648" t="s">
        <v>27</v>
      </c>
      <c r="W648">
        <v>0.99299999999999999</v>
      </c>
      <c r="X648">
        <v>1.306</v>
      </c>
      <c r="Y648" t="s">
        <v>27</v>
      </c>
      <c r="Z648" t="s">
        <v>27</v>
      </c>
      <c r="AA648" t="s">
        <v>27</v>
      </c>
      <c r="AB648" t="s">
        <v>27</v>
      </c>
      <c r="AC648" t="s">
        <v>27</v>
      </c>
      <c r="AD648" t="s">
        <v>27</v>
      </c>
      <c r="AE648" t="s">
        <v>27</v>
      </c>
      <c r="AF648" t="s">
        <v>27</v>
      </c>
      <c r="AG648">
        <v>14.48</v>
      </c>
    </row>
    <row r="649" spans="1:33" x14ac:dyDescent="0.25">
      <c r="A649" t="s">
        <v>57</v>
      </c>
      <c r="B649" s="3">
        <v>44110</v>
      </c>
      <c r="C649">
        <v>2020280</v>
      </c>
      <c r="D649">
        <v>12.44</v>
      </c>
      <c r="E649" t="s">
        <v>27</v>
      </c>
      <c r="F649">
        <v>11.3</v>
      </c>
      <c r="G649">
        <v>18.600000000000001</v>
      </c>
      <c r="H649">
        <v>5.4</v>
      </c>
      <c r="I649">
        <v>76.400000000000006</v>
      </c>
      <c r="J649">
        <v>49.4</v>
      </c>
      <c r="K649">
        <v>1</v>
      </c>
      <c r="L649">
        <v>4</v>
      </c>
      <c r="M649">
        <v>0</v>
      </c>
      <c r="N649">
        <v>0</v>
      </c>
      <c r="O649" t="s">
        <v>27</v>
      </c>
      <c r="P649" t="s">
        <v>27</v>
      </c>
      <c r="Q649" t="s">
        <v>27</v>
      </c>
      <c r="R649" t="s">
        <v>27</v>
      </c>
      <c r="S649">
        <v>8.9</v>
      </c>
      <c r="T649">
        <v>8.5</v>
      </c>
      <c r="U649">
        <v>8.3000000000000007</v>
      </c>
      <c r="V649" t="s">
        <v>27</v>
      </c>
      <c r="W649">
        <v>1.0609999999999999</v>
      </c>
      <c r="X649">
        <v>1.087</v>
      </c>
      <c r="Y649" t="s">
        <v>27</v>
      </c>
      <c r="Z649" t="s">
        <v>27</v>
      </c>
      <c r="AA649" t="s">
        <v>27</v>
      </c>
      <c r="AB649" t="s">
        <v>27</v>
      </c>
      <c r="AC649" t="s">
        <v>27</v>
      </c>
      <c r="AD649" t="s">
        <v>27</v>
      </c>
      <c r="AE649" t="s">
        <v>27</v>
      </c>
      <c r="AF649" t="s">
        <v>27</v>
      </c>
      <c r="AG649">
        <v>14.24</v>
      </c>
    </row>
    <row r="650" spans="1:33" x14ac:dyDescent="0.25">
      <c r="A650" t="s">
        <v>57</v>
      </c>
      <c r="B650" s="3">
        <v>44111</v>
      </c>
      <c r="C650">
        <v>2020281</v>
      </c>
      <c r="D650">
        <v>13.26</v>
      </c>
      <c r="E650" t="s">
        <v>27</v>
      </c>
      <c r="F650">
        <v>9.6999999999999993</v>
      </c>
      <c r="G650">
        <v>20.5</v>
      </c>
      <c r="H650">
        <v>2.1</v>
      </c>
      <c r="I650">
        <v>78</v>
      </c>
      <c r="J650">
        <v>36.700000000000003</v>
      </c>
      <c r="K650">
        <v>0.4</v>
      </c>
      <c r="L650">
        <v>2.6</v>
      </c>
      <c r="M650">
        <v>0</v>
      </c>
      <c r="N650">
        <v>0</v>
      </c>
      <c r="O650" t="s">
        <v>27</v>
      </c>
      <c r="P650" t="s">
        <v>27</v>
      </c>
      <c r="Q650" t="s">
        <v>27</v>
      </c>
      <c r="R650" t="s">
        <v>27</v>
      </c>
      <c r="S650">
        <v>8.3000000000000007</v>
      </c>
      <c r="T650">
        <v>8.3000000000000007</v>
      </c>
      <c r="U650">
        <v>8.4</v>
      </c>
      <c r="V650" t="s">
        <v>27</v>
      </c>
      <c r="W650">
        <v>0.88600000000000001</v>
      </c>
      <c r="X650">
        <v>1.528</v>
      </c>
      <c r="Y650" t="s">
        <v>27</v>
      </c>
      <c r="Z650" t="s">
        <v>27</v>
      </c>
      <c r="AA650" t="s">
        <v>27</v>
      </c>
      <c r="AB650" t="s">
        <v>27</v>
      </c>
      <c r="AC650" t="s">
        <v>27</v>
      </c>
      <c r="AD650" t="s">
        <v>27</v>
      </c>
      <c r="AE650" t="s">
        <v>27</v>
      </c>
      <c r="AF650" t="s">
        <v>27</v>
      </c>
      <c r="AG650">
        <v>14.01</v>
      </c>
    </row>
    <row r="651" spans="1:33" x14ac:dyDescent="0.25">
      <c r="A651" t="s">
        <v>57</v>
      </c>
      <c r="B651" s="3">
        <v>44112</v>
      </c>
      <c r="C651">
        <v>2020282</v>
      </c>
      <c r="D651">
        <v>2.3199999999999998</v>
      </c>
      <c r="E651" t="s">
        <v>27</v>
      </c>
      <c r="F651">
        <v>6.8</v>
      </c>
      <c r="G651">
        <v>10.8</v>
      </c>
      <c r="H651">
        <v>1.8</v>
      </c>
      <c r="I651">
        <v>91.2</v>
      </c>
      <c r="J651">
        <v>71.3</v>
      </c>
      <c r="K651">
        <v>0.3</v>
      </c>
      <c r="L651">
        <v>2.5</v>
      </c>
      <c r="M651">
        <v>3</v>
      </c>
      <c r="N651">
        <v>0</v>
      </c>
      <c r="O651" t="s">
        <v>27</v>
      </c>
      <c r="P651" t="s">
        <v>27</v>
      </c>
      <c r="Q651" t="s">
        <v>27</v>
      </c>
      <c r="R651" t="s">
        <v>27</v>
      </c>
      <c r="S651">
        <v>5.5</v>
      </c>
      <c r="T651">
        <v>7.8</v>
      </c>
      <c r="U651">
        <v>8.5</v>
      </c>
      <c r="V651" t="s">
        <v>27</v>
      </c>
      <c r="W651">
        <v>0.92400000000000004</v>
      </c>
      <c r="X651">
        <v>0.372</v>
      </c>
      <c r="Y651" t="s">
        <v>27</v>
      </c>
      <c r="Z651" t="s">
        <v>27</v>
      </c>
      <c r="AA651" t="s">
        <v>27</v>
      </c>
      <c r="AB651" t="s">
        <v>27</v>
      </c>
      <c r="AC651" t="s">
        <v>27</v>
      </c>
      <c r="AD651" t="s">
        <v>27</v>
      </c>
      <c r="AE651" t="s">
        <v>27</v>
      </c>
      <c r="AF651" t="s">
        <v>27</v>
      </c>
      <c r="AG651">
        <v>13.78</v>
      </c>
    </row>
    <row r="652" spans="1:33" x14ac:dyDescent="0.25">
      <c r="A652" t="s">
        <v>57</v>
      </c>
      <c r="B652" s="3">
        <v>44113</v>
      </c>
      <c r="C652">
        <v>2020283</v>
      </c>
      <c r="D652">
        <v>2.75</v>
      </c>
      <c r="E652" t="s">
        <v>27</v>
      </c>
      <c r="F652">
        <v>6.4</v>
      </c>
      <c r="G652">
        <v>9.3000000000000007</v>
      </c>
      <c r="H652">
        <v>2.1</v>
      </c>
      <c r="I652">
        <v>90.7</v>
      </c>
      <c r="J652">
        <v>68.7</v>
      </c>
      <c r="K652">
        <v>0.5</v>
      </c>
      <c r="L652">
        <v>2.9</v>
      </c>
      <c r="M652">
        <v>3</v>
      </c>
      <c r="N652">
        <v>0</v>
      </c>
      <c r="O652" t="s">
        <v>27</v>
      </c>
      <c r="P652" t="s">
        <v>27</v>
      </c>
      <c r="Q652" t="s">
        <v>27</v>
      </c>
      <c r="R652" t="s">
        <v>27</v>
      </c>
      <c r="S652">
        <v>6.2</v>
      </c>
      <c r="T652">
        <v>7.2</v>
      </c>
      <c r="U652">
        <v>8.1999999999999993</v>
      </c>
      <c r="V652" t="s">
        <v>27</v>
      </c>
      <c r="W652">
        <v>0.80500000000000005</v>
      </c>
      <c r="X652">
        <v>0.36699999999999999</v>
      </c>
      <c r="Y652" t="s">
        <v>27</v>
      </c>
      <c r="Z652" t="s">
        <v>27</v>
      </c>
      <c r="AA652" t="s">
        <v>27</v>
      </c>
      <c r="AB652" t="s">
        <v>27</v>
      </c>
      <c r="AC652" t="s">
        <v>27</v>
      </c>
      <c r="AD652" t="s">
        <v>27</v>
      </c>
      <c r="AE652" t="s">
        <v>27</v>
      </c>
      <c r="AF652" t="s">
        <v>27</v>
      </c>
      <c r="AG652">
        <v>13.55</v>
      </c>
    </row>
    <row r="653" spans="1:33" x14ac:dyDescent="0.25">
      <c r="A653" t="s">
        <v>57</v>
      </c>
      <c r="B653" s="3">
        <v>44114</v>
      </c>
      <c r="C653">
        <v>2020284</v>
      </c>
      <c r="D653">
        <v>4.26</v>
      </c>
      <c r="E653" t="s">
        <v>27</v>
      </c>
      <c r="F653">
        <v>5.2</v>
      </c>
      <c r="G653">
        <v>9</v>
      </c>
      <c r="H653">
        <v>0.7</v>
      </c>
      <c r="I653">
        <v>77.5</v>
      </c>
      <c r="J653">
        <v>57.6</v>
      </c>
      <c r="K653">
        <v>2</v>
      </c>
      <c r="L653">
        <v>4.4000000000000004</v>
      </c>
      <c r="M653">
        <v>5</v>
      </c>
      <c r="N653">
        <v>0</v>
      </c>
      <c r="O653" t="s">
        <v>27</v>
      </c>
      <c r="P653" t="s">
        <v>27</v>
      </c>
      <c r="Q653" t="s">
        <v>27</v>
      </c>
      <c r="R653" t="s">
        <v>27</v>
      </c>
      <c r="S653">
        <v>5.4</v>
      </c>
      <c r="T653">
        <v>7.3</v>
      </c>
      <c r="U653">
        <v>8</v>
      </c>
      <c r="V653" t="s">
        <v>27</v>
      </c>
      <c r="W653">
        <v>0.65900000000000003</v>
      </c>
      <c r="X653">
        <v>0.48499999999999999</v>
      </c>
      <c r="Y653" t="s">
        <v>27</v>
      </c>
      <c r="Z653" t="s">
        <v>27</v>
      </c>
      <c r="AA653" t="s">
        <v>27</v>
      </c>
      <c r="AB653" t="s">
        <v>27</v>
      </c>
      <c r="AC653" t="s">
        <v>27</v>
      </c>
      <c r="AD653" t="s">
        <v>27</v>
      </c>
      <c r="AE653" t="s">
        <v>27</v>
      </c>
      <c r="AF653" t="s">
        <v>27</v>
      </c>
      <c r="AG653">
        <v>13.32</v>
      </c>
    </row>
    <row r="654" spans="1:33" x14ac:dyDescent="0.25">
      <c r="A654" t="s">
        <v>57</v>
      </c>
      <c r="B654" s="3">
        <v>44115</v>
      </c>
      <c r="C654">
        <v>2020285</v>
      </c>
      <c r="D654">
        <v>6.34</v>
      </c>
      <c r="E654" t="s">
        <v>27</v>
      </c>
      <c r="F654">
        <v>1.1000000000000001</v>
      </c>
      <c r="G654">
        <v>4.5999999999999996</v>
      </c>
      <c r="H654">
        <v>-0.7</v>
      </c>
      <c r="I654">
        <v>77.2</v>
      </c>
      <c r="J654">
        <v>53.1</v>
      </c>
      <c r="K654">
        <v>1.4</v>
      </c>
      <c r="L654">
        <v>4</v>
      </c>
      <c r="M654">
        <v>10</v>
      </c>
      <c r="N654">
        <v>0.10000000000000009</v>
      </c>
      <c r="O654" t="s">
        <v>27</v>
      </c>
      <c r="P654" t="s">
        <v>27</v>
      </c>
      <c r="Q654" t="s">
        <v>27</v>
      </c>
      <c r="R654" t="s">
        <v>27</v>
      </c>
      <c r="S654">
        <v>2.2999999999999998</v>
      </c>
      <c r="T654">
        <v>5.6</v>
      </c>
      <c r="U654">
        <v>7.6</v>
      </c>
      <c r="V654" t="s">
        <v>27</v>
      </c>
      <c r="W654">
        <v>0.44900000000000001</v>
      </c>
      <c r="X654">
        <v>0.39700000000000002</v>
      </c>
      <c r="Y654" t="s">
        <v>27</v>
      </c>
      <c r="Z654" t="s">
        <v>27</v>
      </c>
      <c r="AA654" t="s">
        <v>27</v>
      </c>
      <c r="AB654" t="s">
        <v>27</v>
      </c>
      <c r="AC654" t="s">
        <v>27</v>
      </c>
      <c r="AD654" t="s">
        <v>27</v>
      </c>
      <c r="AE654" t="s">
        <v>27</v>
      </c>
      <c r="AF654" t="s">
        <v>27</v>
      </c>
      <c r="AG654">
        <v>13.09</v>
      </c>
    </row>
    <row r="655" spans="1:33" x14ac:dyDescent="0.25">
      <c r="A655" t="s">
        <v>57</v>
      </c>
      <c r="B655" s="3">
        <v>44116</v>
      </c>
      <c r="C655">
        <v>2020286</v>
      </c>
      <c r="D655">
        <v>5.98</v>
      </c>
      <c r="E655" t="s">
        <v>27</v>
      </c>
      <c r="F655">
        <v>0.3</v>
      </c>
      <c r="G655">
        <v>3.9</v>
      </c>
      <c r="H655">
        <v>-1.5</v>
      </c>
      <c r="I655">
        <v>89.7</v>
      </c>
      <c r="J655">
        <v>74.7</v>
      </c>
      <c r="K655">
        <v>0.9</v>
      </c>
      <c r="L655">
        <v>3.2</v>
      </c>
      <c r="M655">
        <v>6</v>
      </c>
      <c r="N655">
        <v>5.1000000000000156E-2</v>
      </c>
      <c r="O655" t="s">
        <v>27</v>
      </c>
      <c r="P655" t="s">
        <v>27</v>
      </c>
      <c r="Q655" t="s">
        <v>27</v>
      </c>
      <c r="R655" t="s">
        <v>27</v>
      </c>
      <c r="S655">
        <v>1.4</v>
      </c>
      <c r="T655">
        <v>4.8</v>
      </c>
      <c r="U655">
        <v>7.1</v>
      </c>
      <c r="V655" t="s">
        <v>27</v>
      </c>
      <c r="W655">
        <v>0.60399999999999998</v>
      </c>
      <c r="X655">
        <v>0.20499999999999999</v>
      </c>
      <c r="Y655" t="s">
        <v>27</v>
      </c>
      <c r="Z655" t="s">
        <v>27</v>
      </c>
      <c r="AA655" t="s">
        <v>27</v>
      </c>
      <c r="AB655" t="s">
        <v>27</v>
      </c>
      <c r="AC655" t="s">
        <v>27</v>
      </c>
      <c r="AD655" t="s">
        <v>27</v>
      </c>
      <c r="AE655" t="s">
        <v>27</v>
      </c>
      <c r="AF655" t="s">
        <v>27</v>
      </c>
      <c r="AG655">
        <v>12.87</v>
      </c>
    </row>
    <row r="656" spans="1:33" x14ac:dyDescent="0.25">
      <c r="A656" t="s">
        <v>57</v>
      </c>
      <c r="B656" s="3">
        <v>44117</v>
      </c>
      <c r="C656">
        <v>2020287</v>
      </c>
      <c r="D656">
        <v>2.0699999999999998</v>
      </c>
      <c r="E656" t="s">
        <v>27</v>
      </c>
      <c r="F656">
        <v>0.3</v>
      </c>
      <c r="G656">
        <v>2.6</v>
      </c>
      <c r="H656">
        <v>-1.4</v>
      </c>
      <c r="I656">
        <v>91.1</v>
      </c>
      <c r="J656">
        <v>78.400000000000006</v>
      </c>
      <c r="K656">
        <v>1.4</v>
      </c>
      <c r="L656">
        <v>4.4000000000000004</v>
      </c>
      <c r="M656">
        <v>18</v>
      </c>
      <c r="N656">
        <v>0.14400000000000013</v>
      </c>
      <c r="O656" t="s">
        <v>27</v>
      </c>
      <c r="P656" t="s">
        <v>27</v>
      </c>
      <c r="Q656" t="s">
        <v>27</v>
      </c>
      <c r="R656" t="s">
        <v>27</v>
      </c>
      <c r="S656">
        <v>1.2</v>
      </c>
      <c r="T656">
        <v>4.2</v>
      </c>
      <c r="U656">
        <v>6.5</v>
      </c>
      <c r="V656" t="s">
        <v>27</v>
      </c>
      <c r="W656">
        <v>0.57899999999999996</v>
      </c>
      <c r="X656">
        <v>0.16</v>
      </c>
      <c r="Y656" t="s">
        <v>27</v>
      </c>
      <c r="Z656" t="s">
        <v>27</v>
      </c>
      <c r="AA656" t="s">
        <v>27</v>
      </c>
      <c r="AB656" t="s">
        <v>27</v>
      </c>
      <c r="AC656" t="s">
        <v>27</v>
      </c>
      <c r="AD656" t="s">
        <v>27</v>
      </c>
      <c r="AE656" t="s">
        <v>27</v>
      </c>
      <c r="AF656" t="s">
        <v>27</v>
      </c>
      <c r="AG656">
        <v>12.65</v>
      </c>
    </row>
    <row r="657" spans="1:33" x14ac:dyDescent="0.25">
      <c r="A657" t="s">
        <v>57</v>
      </c>
      <c r="B657" s="3">
        <v>44118</v>
      </c>
      <c r="C657">
        <v>2020288</v>
      </c>
      <c r="D657">
        <v>8.66</v>
      </c>
      <c r="E657" t="s">
        <v>27</v>
      </c>
      <c r="F657">
        <v>0.6</v>
      </c>
      <c r="G657">
        <v>4.3</v>
      </c>
      <c r="H657">
        <v>-1.2</v>
      </c>
      <c r="I657">
        <v>83.4</v>
      </c>
      <c r="J657">
        <v>59.4</v>
      </c>
      <c r="K657">
        <v>1.3</v>
      </c>
      <c r="L657">
        <v>3.9</v>
      </c>
      <c r="M657">
        <v>3</v>
      </c>
      <c r="N657">
        <v>0.12400000000000011</v>
      </c>
      <c r="O657" t="s">
        <v>27</v>
      </c>
      <c r="P657" t="s">
        <v>27</v>
      </c>
      <c r="Q657" t="s">
        <v>27</v>
      </c>
      <c r="R657" t="s">
        <v>27</v>
      </c>
      <c r="S657">
        <v>1</v>
      </c>
      <c r="T657">
        <v>3.8</v>
      </c>
      <c r="U657">
        <v>6</v>
      </c>
      <c r="V657" t="s">
        <v>27</v>
      </c>
      <c r="W657">
        <v>0.49399999999999999</v>
      </c>
      <c r="X657">
        <v>0.33800000000000002</v>
      </c>
      <c r="Y657" t="s">
        <v>27</v>
      </c>
      <c r="Z657" t="s">
        <v>27</v>
      </c>
      <c r="AA657" t="s">
        <v>27</v>
      </c>
      <c r="AB657" t="s">
        <v>27</v>
      </c>
      <c r="AC657" t="s">
        <v>27</v>
      </c>
      <c r="AD657" t="s">
        <v>27</v>
      </c>
      <c r="AE657" t="s">
        <v>27</v>
      </c>
      <c r="AF657" t="s">
        <v>27</v>
      </c>
      <c r="AG657">
        <v>12.43</v>
      </c>
    </row>
    <row r="658" spans="1:33" x14ac:dyDescent="0.25">
      <c r="A658" t="s">
        <v>57</v>
      </c>
      <c r="B658" s="3">
        <v>44119</v>
      </c>
      <c r="C658">
        <v>2020289</v>
      </c>
      <c r="D658">
        <v>8.4600000000000009</v>
      </c>
      <c r="E658" t="s">
        <v>27</v>
      </c>
      <c r="F658">
        <v>0.8</v>
      </c>
      <c r="G658">
        <v>4.7</v>
      </c>
      <c r="H658">
        <v>-1.1000000000000001</v>
      </c>
      <c r="I658">
        <v>79.8</v>
      </c>
      <c r="J658">
        <v>54.4</v>
      </c>
      <c r="K658">
        <v>1</v>
      </c>
      <c r="L658">
        <v>2.8</v>
      </c>
      <c r="M658">
        <v>3</v>
      </c>
      <c r="N658">
        <v>0.12800000000000011</v>
      </c>
      <c r="O658" t="s">
        <v>27</v>
      </c>
      <c r="P658" t="s">
        <v>27</v>
      </c>
      <c r="Q658" t="s">
        <v>27</v>
      </c>
      <c r="R658" t="s">
        <v>27</v>
      </c>
      <c r="S658">
        <v>1</v>
      </c>
      <c r="T658">
        <v>3.6</v>
      </c>
      <c r="U658">
        <v>5.7</v>
      </c>
      <c r="V658" t="s">
        <v>27</v>
      </c>
      <c r="W658">
        <v>0.46300000000000002</v>
      </c>
      <c r="X658">
        <v>0.38800000000000001</v>
      </c>
      <c r="Y658" t="s">
        <v>27</v>
      </c>
      <c r="Z658" t="s">
        <v>27</v>
      </c>
      <c r="AA658" t="s">
        <v>27</v>
      </c>
      <c r="AB658" t="s">
        <v>27</v>
      </c>
      <c r="AC658" t="s">
        <v>27</v>
      </c>
      <c r="AD658" t="s">
        <v>27</v>
      </c>
      <c r="AE658" t="s">
        <v>27</v>
      </c>
      <c r="AF658" t="s">
        <v>27</v>
      </c>
      <c r="AG658">
        <v>12.21</v>
      </c>
    </row>
    <row r="659" spans="1:33" x14ac:dyDescent="0.25">
      <c r="A659" t="s">
        <v>57</v>
      </c>
      <c r="B659" s="3">
        <v>44120</v>
      </c>
      <c r="C659">
        <v>2020290</v>
      </c>
      <c r="D659">
        <v>2.46</v>
      </c>
      <c r="E659" t="s">
        <v>27</v>
      </c>
      <c r="F659">
        <v>4</v>
      </c>
      <c r="G659">
        <v>9</v>
      </c>
      <c r="H659">
        <v>-0.5</v>
      </c>
      <c r="I659">
        <v>88.6</v>
      </c>
      <c r="J659">
        <v>71.599999999999994</v>
      </c>
      <c r="K659">
        <v>1.6</v>
      </c>
      <c r="L659">
        <v>4.5999999999999996</v>
      </c>
      <c r="M659">
        <v>10</v>
      </c>
      <c r="N659">
        <v>8.3000000000000185E-2</v>
      </c>
      <c r="O659" t="s">
        <v>27</v>
      </c>
      <c r="P659" t="s">
        <v>27</v>
      </c>
      <c r="Q659" t="s">
        <v>27</v>
      </c>
      <c r="R659" t="s">
        <v>27</v>
      </c>
      <c r="S659">
        <v>0.8</v>
      </c>
      <c r="T659">
        <v>3.2</v>
      </c>
      <c r="U659">
        <v>5.0999999999999996</v>
      </c>
      <c r="V659" t="s">
        <v>27</v>
      </c>
      <c r="W659">
        <v>0.82199999999999995</v>
      </c>
      <c r="X659">
        <v>0.32600000000000001</v>
      </c>
      <c r="Y659" t="s">
        <v>27</v>
      </c>
      <c r="Z659" t="s">
        <v>27</v>
      </c>
      <c r="AA659" t="s">
        <v>27</v>
      </c>
      <c r="AB659" t="s">
        <v>27</v>
      </c>
      <c r="AC659" t="s">
        <v>27</v>
      </c>
      <c r="AD659" t="s">
        <v>27</v>
      </c>
      <c r="AE659" t="s">
        <v>27</v>
      </c>
      <c r="AF659" t="s">
        <v>27</v>
      </c>
      <c r="AG659">
        <v>11.99</v>
      </c>
    </row>
    <row r="660" spans="1:33" x14ac:dyDescent="0.25">
      <c r="A660" t="s">
        <v>57</v>
      </c>
      <c r="B660" s="3">
        <v>44121</v>
      </c>
      <c r="C660">
        <v>2020291</v>
      </c>
      <c r="D660">
        <v>3.24</v>
      </c>
      <c r="E660" t="s">
        <v>27</v>
      </c>
      <c r="F660">
        <v>-1.3</v>
      </c>
      <c r="G660">
        <v>-0.3</v>
      </c>
      <c r="H660">
        <v>-2.4</v>
      </c>
      <c r="I660">
        <v>81.400000000000006</v>
      </c>
      <c r="J660">
        <v>62.8</v>
      </c>
      <c r="K660">
        <v>0.7</v>
      </c>
      <c r="L660">
        <v>2.8</v>
      </c>
      <c r="M660">
        <v>3</v>
      </c>
      <c r="N660">
        <v>8.3000000000000185E-2</v>
      </c>
      <c r="O660" t="s">
        <v>27</v>
      </c>
      <c r="P660" t="s">
        <v>27</v>
      </c>
      <c r="Q660" t="s">
        <v>27</v>
      </c>
      <c r="R660" t="s">
        <v>27</v>
      </c>
      <c r="S660">
        <v>0.7</v>
      </c>
      <c r="T660">
        <v>2.7</v>
      </c>
      <c r="U660">
        <v>4.7</v>
      </c>
      <c r="V660" t="s">
        <v>27</v>
      </c>
      <c r="W660">
        <v>0.376</v>
      </c>
      <c r="X660">
        <v>0.223</v>
      </c>
      <c r="Y660" t="s">
        <v>27</v>
      </c>
      <c r="Z660" t="s">
        <v>27</v>
      </c>
      <c r="AA660" t="s">
        <v>27</v>
      </c>
      <c r="AB660" t="s">
        <v>27</v>
      </c>
      <c r="AC660" t="s">
        <v>27</v>
      </c>
      <c r="AD660" t="s">
        <v>27</v>
      </c>
      <c r="AE660" t="s">
        <v>27</v>
      </c>
      <c r="AF660" t="s">
        <v>27</v>
      </c>
      <c r="AG660">
        <v>11.78</v>
      </c>
    </row>
    <row r="661" spans="1:33" x14ac:dyDescent="0.25">
      <c r="A661" t="s">
        <v>57</v>
      </c>
      <c r="B661" s="3">
        <v>44122</v>
      </c>
      <c r="C661">
        <v>2020292</v>
      </c>
      <c r="D661">
        <v>1.56</v>
      </c>
      <c r="E661" t="s">
        <v>27</v>
      </c>
      <c r="F661">
        <v>0.4</v>
      </c>
      <c r="G661">
        <v>3.6</v>
      </c>
      <c r="H661">
        <v>-2.8</v>
      </c>
      <c r="I661">
        <v>93.9</v>
      </c>
      <c r="J661">
        <v>89.5</v>
      </c>
      <c r="K661">
        <v>0.6</v>
      </c>
      <c r="L661">
        <v>3</v>
      </c>
      <c r="M661">
        <v>9</v>
      </c>
      <c r="N661">
        <v>0.13500000000000023</v>
      </c>
      <c r="O661" t="s">
        <v>27</v>
      </c>
      <c r="P661" t="s">
        <v>27</v>
      </c>
      <c r="Q661" t="s">
        <v>27</v>
      </c>
      <c r="R661" t="s">
        <v>27</v>
      </c>
      <c r="S661">
        <v>0.8</v>
      </c>
      <c r="T661">
        <v>2.8</v>
      </c>
      <c r="U661">
        <v>4.5999999999999996</v>
      </c>
      <c r="V661" t="s">
        <v>27</v>
      </c>
      <c r="W661">
        <v>0.70499999999999996</v>
      </c>
      <c r="X661">
        <v>8.3000000000000004E-2</v>
      </c>
      <c r="Y661" t="s">
        <v>27</v>
      </c>
      <c r="Z661" t="s">
        <v>27</v>
      </c>
      <c r="AA661" t="s">
        <v>27</v>
      </c>
      <c r="AB661" t="s">
        <v>27</v>
      </c>
      <c r="AC661" t="s">
        <v>27</v>
      </c>
      <c r="AD661" t="s">
        <v>27</v>
      </c>
      <c r="AE661" t="s">
        <v>27</v>
      </c>
      <c r="AF661" t="s">
        <v>27</v>
      </c>
      <c r="AG661">
        <v>11.57</v>
      </c>
    </row>
    <row r="662" spans="1:33" x14ac:dyDescent="0.25">
      <c r="A662" t="s">
        <v>57</v>
      </c>
      <c r="B662" s="3">
        <v>44123</v>
      </c>
      <c r="C662">
        <v>2020293</v>
      </c>
      <c r="D662">
        <v>3.44</v>
      </c>
      <c r="E662" t="s">
        <v>27</v>
      </c>
      <c r="F662">
        <v>2.6</v>
      </c>
      <c r="G662">
        <v>4.9000000000000004</v>
      </c>
      <c r="H662">
        <v>-1.2</v>
      </c>
      <c r="I662">
        <v>81.7</v>
      </c>
      <c r="J662">
        <v>68.3</v>
      </c>
      <c r="K662">
        <v>1.8</v>
      </c>
      <c r="L662">
        <v>4.8</v>
      </c>
      <c r="M662">
        <v>3</v>
      </c>
      <c r="N662">
        <v>0.10600000000000032</v>
      </c>
      <c r="O662" t="s">
        <v>27</v>
      </c>
      <c r="P662" t="s">
        <v>27</v>
      </c>
      <c r="Q662" t="s">
        <v>27</v>
      </c>
      <c r="R662" t="s">
        <v>27</v>
      </c>
      <c r="S662">
        <v>0.7</v>
      </c>
      <c r="T662">
        <v>2.7</v>
      </c>
      <c r="U662">
        <v>4.5</v>
      </c>
      <c r="V662" t="s">
        <v>27</v>
      </c>
      <c r="W662">
        <v>0.59</v>
      </c>
      <c r="X662">
        <v>0.27400000000000002</v>
      </c>
      <c r="Y662" t="s">
        <v>27</v>
      </c>
      <c r="Z662" t="s">
        <v>27</v>
      </c>
      <c r="AA662" t="s">
        <v>27</v>
      </c>
      <c r="AB662" t="s">
        <v>27</v>
      </c>
      <c r="AC662" t="s">
        <v>27</v>
      </c>
      <c r="AD662" t="s">
        <v>27</v>
      </c>
      <c r="AE662" t="s">
        <v>27</v>
      </c>
      <c r="AF662" t="s">
        <v>27</v>
      </c>
      <c r="AG662">
        <v>11.36</v>
      </c>
    </row>
    <row r="663" spans="1:33" x14ac:dyDescent="0.25">
      <c r="A663" t="s">
        <v>57</v>
      </c>
      <c r="B663" s="3">
        <v>44124</v>
      </c>
      <c r="C663">
        <v>2020294</v>
      </c>
      <c r="D663">
        <v>4.12</v>
      </c>
      <c r="E663" t="s">
        <v>27</v>
      </c>
      <c r="F663">
        <v>-0.4</v>
      </c>
      <c r="G663">
        <v>2.2999999999999998</v>
      </c>
      <c r="H663">
        <v>-2.4</v>
      </c>
      <c r="I663">
        <v>81.8</v>
      </c>
      <c r="J663">
        <v>65.3</v>
      </c>
      <c r="K663">
        <v>1</v>
      </c>
      <c r="L663">
        <v>3.4</v>
      </c>
      <c r="M663">
        <v>2</v>
      </c>
      <c r="N663">
        <v>0.1080000000000001</v>
      </c>
      <c r="O663" t="s">
        <v>27</v>
      </c>
      <c r="P663" t="s">
        <v>27</v>
      </c>
      <c r="Q663" t="s">
        <v>27</v>
      </c>
      <c r="R663" t="s">
        <v>27</v>
      </c>
      <c r="S663">
        <v>0.7</v>
      </c>
      <c r="T663">
        <v>2.6</v>
      </c>
      <c r="U663">
        <v>4.3</v>
      </c>
      <c r="V663" t="s">
        <v>27</v>
      </c>
      <c r="W663">
        <v>0.47</v>
      </c>
      <c r="X663">
        <v>0.25</v>
      </c>
      <c r="Y663" t="s">
        <v>27</v>
      </c>
      <c r="Z663" t="s">
        <v>27</v>
      </c>
      <c r="AA663" t="s">
        <v>27</v>
      </c>
      <c r="AB663" t="s">
        <v>27</v>
      </c>
      <c r="AC663" t="s">
        <v>27</v>
      </c>
      <c r="AD663" t="s">
        <v>27</v>
      </c>
      <c r="AE663" t="s">
        <v>27</v>
      </c>
      <c r="AF663" t="s">
        <v>27</v>
      </c>
      <c r="AG663">
        <v>11.15</v>
      </c>
    </row>
    <row r="664" spans="1:33" x14ac:dyDescent="0.25">
      <c r="A664" t="s">
        <v>57</v>
      </c>
      <c r="B664" s="3">
        <v>44125</v>
      </c>
      <c r="C664">
        <v>2020295</v>
      </c>
      <c r="D664">
        <v>1.26</v>
      </c>
      <c r="E664" t="s">
        <v>27</v>
      </c>
      <c r="F664">
        <v>-4.5999999999999996</v>
      </c>
      <c r="G664">
        <v>-2</v>
      </c>
      <c r="H664">
        <v>-10.3</v>
      </c>
      <c r="I664">
        <v>86.8</v>
      </c>
      <c r="J664">
        <v>78.8</v>
      </c>
      <c r="K664">
        <v>0.7</v>
      </c>
      <c r="L664">
        <v>2.7</v>
      </c>
      <c r="M664">
        <v>2</v>
      </c>
      <c r="N664">
        <v>0.12199999999999989</v>
      </c>
      <c r="O664" t="s">
        <v>27</v>
      </c>
      <c r="P664" t="s">
        <v>27</v>
      </c>
      <c r="Q664" t="s">
        <v>27</v>
      </c>
      <c r="R664" t="s">
        <v>27</v>
      </c>
      <c r="S664">
        <v>0.7</v>
      </c>
      <c r="T664">
        <v>2.5</v>
      </c>
      <c r="U664">
        <v>4.0999999999999996</v>
      </c>
      <c r="V664" t="s">
        <v>27</v>
      </c>
      <c r="W664">
        <v>0.41399999999999998</v>
      </c>
      <c r="X664">
        <v>0.111</v>
      </c>
      <c r="Y664" t="s">
        <v>27</v>
      </c>
      <c r="Z664" t="s">
        <v>27</v>
      </c>
      <c r="AA664" t="s">
        <v>27</v>
      </c>
      <c r="AB664" t="s">
        <v>27</v>
      </c>
      <c r="AC664" t="s">
        <v>27</v>
      </c>
      <c r="AD664" t="s">
        <v>27</v>
      </c>
      <c r="AE664" t="s">
        <v>27</v>
      </c>
      <c r="AF664" t="s">
        <v>27</v>
      </c>
      <c r="AG664">
        <v>10.95</v>
      </c>
    </row>
    <row r="665" spans="1:33" x14ac:dyDescent="0.25">
      <c r="A665" t="s">
        <v>57</v>
      </c>
      <c r="B665" s="3">
        <v>44126</v>
      </c>
      <c r="C665">
        <v>2020296</v>
      </c>
      <c r="D665">
        <v>9.3000000000000007</v>
      </c>
      <c r="E665" t="s">
        <v>27</v>
      </c>
      <c r="F665">
        <v>-7.8</v>
      </c>
      <c r="G665">
        <v>-0.5</v>
      </c>
      <c r="H665">
        <v>-13.7</v>
      </c>
      <c r="I665">
        <v>79</v>
      </c>
      <c r="J665">
        <v>47.3</v>
      </c>
      <c r="K665">
        <v>0.3</v>
      </c>
      <c r="L665">
        <v>2.2999999999999998</v>
      </c>
      <c r="M665">
        <v>0</v>
      </c>
      <c r="N665">
        <v>0.12199999999999989</v>
      </c>
      <c r="O665">
        <v>0.3</v>
      </c>
      <c r="P665" t="s">
        <v>27</v>
      </c>
      <c r="Q665" t="s">
        <v>27</v>
      </c>
      <c r="R665" t="s">
        <v>27</v>
      </c>
      <c r="S665">
        <v>0.3</v>
      </c>
      <c r="T665">
        <v>2.2999999999999998</v>
      </c>
      <c r="U665">
        <v>3.9</v>
      </c>
      <c r="V665" t="s">
        <v>27</v>
      </c>
      <c r="W665">
        <v>0.27900000000000003</v>
      </c>
      <c r="X665">
        <v>0.311</v>
      </c>
      <c r="Y665" t="s">
        <v>27</v>
      </c>
      <c r="Z665" t="s">
        <v>27</v>
      </c>
      <c r="AA665" t="s">
        <v>27</v>
      </c>
      <c r="AB665" t="s">
        <v>27</v>
      </c>
      <c r="AC665" t="s">
        <v>27</v>
      </c>
      <c r="AD665" t="s">
        <v>27</v>
      </c>
      <c r="AE665" t="s">
        <v>27</v>
      </c>
      <c r="AF665" t="s">
        <v>27</v>
      </c>
      <c r="AG665">
        <v>10.75</v>
      </c>
    </row>
    <row r="666" spans="1:33" x14ac:dyDescent="0.25">
      <c r="A666" t="s">
        <v>57</v>
      </c>
      <c r="B666" s="3">
        <v>44127</v>
      </c>
      <c r="C666">
        <v>2020297</v>
      </c>
      <c r="D666">
        <v>0.38</v>
      </c>
      <c r="E666" t="s">
        <v>27</v>
      </c>
      <c r="F666">
        <v>-6.2</v>
      </c>
      <c r="G666">
        <v>-4.5</v>
      </c>
      <c r="H666">
        <v>-8.9</v>
      </c>
      <c r="I666">
        <v>89.1</v>
      </c>
      <c r="J666">
        <v>78.7</v>
      </c>
      <c r="K666">
        <v>0.5</v>
      </c>
      <c r="L666">
        <v>2.5</v>
      </c>
      <c r="M666">
        <v>22</v>
      </c>
      <c r="N666">
        <v>0.44700000000000006</v>
      </c>
      <c r="O666">
        <v>-1.7</v>
      </c>
      <c r="P666" t="s">
        <v>27</v>
      </c>
      <c r="Q666" t="s">
        <v>27</v>
      </c>
      <c r="R666" t="s">
        <v>27</v>
      </c>
      <c r="S666">
        <v>0.2</v>
      </c>
      <c r="T666">
        <v>2.2000000000000002</v>
      </c>
      <c r="U666">
        <v>3.8</v>
      </c>
      <c r="V666" t="s">
        <v>27</v>
      </c>
      <c r="W666">
        <v>0.34499999999999997</v>
      </c>
      <c r="X666">
        <v>9.2999999999999999E-2</v>
      </c>
      <c r="Y666" t="s">
        <v>27</v>
      </c>
      <c r="Z666" t="s">
        <v>27</v>
      </c>
      <c r="AA666" t="s">
        <v>27</v>
      </c>
      <c r="AB666" t="s">
        <v>27</v>
      </c>
      <c r="AC666" t="s">
        <v>27</v>
      </c>
      <c r="AD666" t="s">
        <v>27</v>
      </c>
      <c r="AE666" t="s">
        <v>27</v>
      </c>
      <c r="AF666" t="s">
        <v>27</v>
      </c>
      <c r="AG666">
        <v>10.55</v>
      </c>
    </row>
    <row r="667" spans="1:33" x14ac:dyDescent="0.25">
      <c r="A667" t="s">
        <v>57</v>
      </c>
      <c r="B667" s="3">
        <v>44128</v>
      </c>
      <c r="C667">
        <v>2020298</v>
      </c>
      <c r="D667">
        <v>1.17</v>
      </c>
      <c r="E667" t="s">
        <v>27</v>
      </c>
      <c r="F667">
        <v>-9.6999999999999993</v>
      </c>
      <c r="G667">
        <v>-6.5</v>
      </c>
      <c r="H667">
        <v>-11.6</v>
      </c>
      <c r="I667">
        <v>88.1</v>
      </c>
      <c r="J667">
        <v>84.7</v>
      </c>
      <c r="K667">
        <v>1.2</v>
      </c>
      <c r="L667">
        <v>3.2</v>
      </c>
      <c r="M667">
        <v>3</v>
      </c>
      <c r="N667">
        <v>0.43199999999999994</v>
      </c>
      <c r="O667">
        <v>-0.2</v>
      </c>
      <c r="P667" t="s">
        <v>27</v>
      </c>
      <c r="Q667" t="s">
        <v>27</v>
      </c>
      <c r="R667" t="s">
        <v>27</v>
      </c>
      <c r="S667">
        <v>0.4</v>
      </c>
      <c r="T667">
        <v>2.1</v>
      </c>
      <c r="U667">
        <v>3.6</v>
      </c>
      <c r="V667" t="s">
        <v>27</v>
      </c>
      <c r="W667">
        <v>0.317</v>
      </c>
      <c r="X667">
        <v>5.7000000000000002E-2</v>
      </c>
      <c r="Y667" t="s">
        <v>27</v>
      </c>
      <c r="Z667" t="s">
        <v>27</v>
      </c>
      <c r="AA667" t="s">
        <v>27</v>
      </c>
      <c r="AB667" t="s">
        <v>27</v>
      </c>
      <c r="AC667" t="s">
        <v>27</v>
      </c>
      <c r="AD667" t="s">
        <v>27</v>
      </c>
      <c r="AE667" t="s">
        <v>27</v>
      </c>
      <c r="AF667" t="s">
        <v>27</v>
      </c>
      <c r="AG667">
        <v>10.36</v>
      </c>
    </row>
    <row r="668" spans="1:33" x14ac:dyDescent="0.25">
      <c r="A668" t="s">
        <v>57</v>
      </c>
      <c r="B668" s="3">
        <v>44129</v>
      </c>
      <c r="C668">
        <v>2020299</v>
      </c>
      <c r="D668">
        <v>2.33</v>
      </c>
      <c r="E668" t="s">
        <v>27</v>
      </c>
      <c r="F668">
        <v>-10.7</v>
      </c>
      <c r="G668">
        <v>-3.1</v>
      </c>
      <c r="H668">
        <v>-17.899999999999999</v>
      </c>
      <c r="I668">
        <v>83.7</v>
      </c>
      <c r="J668">
        <v>53.6</v>
      </c>
      <c r="K668">
        <v>0.3</v>
      </c>
      <c r="L668">
        <v>1.9</v>
      </c>
      <c r="M668">
        <v>0</v>
      </c>
      <c r="N668">
        <v>0.37400000000000011</v>
      </c>
      <c r="O668">
        <v>-0.2</v>
      </c>
      <c r="P668" t="s">
        <v>27</v>
      </c>
      <c r="Q668" t="s">
        <v>27</v>
      </c>
      <c r="R668" t="s">
        <v>27</v>
      </c>
      <c r="S668">
        <v>0.5</v>
      </c>
      <c r="T668">
        <v>2.1</v>
      </c>
      <c r="U668">
        <v>3.5</v>
      </c>
      <c r="V668" t="s">
        <v>27</v>
      </c>
      <c r="W668">
        <v>0.26100000000000001</v>
      </c>
      <c r="X668">
        <v>0.22600000000000001</v>
      </c>
      <c r="Y668" t="s">
        <v>27</v>
      </c>
      <c r="Z668" t="s">
        <v>27</v>
      </c>
      <c r="AA668" t="s">
        <v>27</v>
      </c>
      <c r="AB668" t="s">
        <v>27</v>
      </c>
      <c r="AC668" t="s">
        <v>27</v>
      </c>
      <c r="AD668" t="s">
        <v>27</v>
      </c>
      <c r="AE668" t="s">
        <v>27</v>
      </c>
      <c r="AF668" t="s">
        <v>27</v>
      </c>
      <c r="AG668">
        <v>10.17</v>
      </c>
    </row>
    <row r="669" spans="1:33" x14ac:dyDescent="0.25">
      <c r="A669" t="s">
        <v>57</v>
      </c>
      <c r="B669" s="3">
        <v>44130</v>
      </c>
      <c r="C669">
        <v>2020300</v>
      </c>
      <c r="D669">
        <v>4.0599999999999996</v>
      </c>
      <c r="E669" t="s">
        <v>27</v>
      </c>
      <c r="F669">
        <v>-2.9</v>
      </c>
      <c r="G669">
        <v>4.4000000000000004</v>
      </c>
      <c r="H669">
        <v>-10.8</v>
      </c>
      <c r="I669">
        <v>90</v>
      </c>
      <c r="J669">
        <v>76.900000000000006</v>
      </c>
      <c r="K669">
        <v>0</v>
      </c>
      <c r="L669">
        <v>1</v>
      </c>
      <c r="M669">
        <v>0</v>
      </c>
      <c r="N669">
        <v>0.31600000000000028</v>
      </c>
      <c r="O669">
        <v>-0.1</v>
      </c>
      <c r="P669" t="s">
        <v>27</v>
      </c>
      <c r="Q669" t="s">
        <v>27</v>
      </c>
      <c r="R669" t="s">
        <v>27</v>
      </c>
      <c r="S669">
        <v>0.6</v>
      </c>
      <c r="T669">
        <v>2.2000000000000002</v>
      </c>
      <c r="U669">
        <v>3.5</v>
      </c>
      <c r="V669" t="s">
        <v>27</v>
      </c>
      <c r="W669">
        <v>0.64200000000000002</v>
      </c>
      <c r="X669">
        <v>0.193</v>
      </c>
      <c r="Y669" t="s">
        <v>27</v>
      </c>
      <c r="Z669" t="s">
        <v>27</v>
      </c>
      <c r="AA669" t="s">
        <v>27</v>
      </c>
      <c r="AB669" t="s">
        <v>27</v>
      </c>
      <c r="AC669" t="s">
        <v>27</v>
      </c>
      <c r="AD669" t="s">
        <v>27</v>
      </c>
      <c r="AE669" t="s">
        <v>27</v>
      </c>
      <c r="AF669" t="s">
        <v>27</v>
      </c>
      <c r="AG669">
        <v>9.98</v>
      </c>
    </row>
    <row r="670" spans="1:33" x14ac:dyDescent="0.25">
      <c r="A670" t="s">
        <v>57</v>
      </c>
      <c r="B670" s="3">
        <v>44131</v>
      </c>
      <c r="C670">
        <v>2020301</v>
      </c>
      <c r="D670">
        <v>7.31</v>
      </c>
      <c r="E670" t="s">
        <v>27</v>
      </c>
      <c r="F670">
        <v>0</v>
      </c>
      <c r="G670">
        <v>4.5</v>
      </c>
      <c r="H670">
        <v>-7.9</v>
      </c>
      <c r="I670">
        <v>84.9</v>
      </c>
      <c r="J670">
        <v>72.099999999999994</v>
      </c>
      <c r="K670">
        <v>0</v>
      </c>
      <c r="L670">
        <v>0</v>
      </c>
      <c r="M670">
        <v>0</v>
      </c>
      <c r="N670">
        <v>0.28400000000000025</v>
      </c>
      <c r="O670">
        <v>-0.1</v>
      </c>
      <c r="P670" t="s">
        <v>27</v>
      </c>
      <c r="Q670" t="s">
        <v>27</v>
      </c>
      <c r="R670" t="s">
        <v>27</v>
      </c>
      <c r="S670">
        <v>0.6</v>
      </c>
      <c r="T670">
        <v>2.1</v>
      </c>
      <c r="U670">
        <v>3.4</v>
      </c>
      <c r="V670" t="s">
        <v>27</v>
      </c>
      <c r="W670">
        <v>0.60499999999999998</v>
      </c>
      <c r="X670">
        <v>0.23400000000000001</v>
      </c>
      <c r="Y670" t="s">
        <v>27</v>
      </c>
      <c r="Z670" t="s">
        <v>27</v>
      </c>
      <c r="AA670" t="s">
        <v>27</v>
      </c>
      <c r="AB670" t="s">
        <v>27</v>
      </c>
      <c r="AC670" t="s">
        <v>27</v>
      </c>
      <c r="AD670" t="s">
        <v>27</v>
      </c>
      <c r="AE670" t="s">
        <v>27</v>
      </c>
      <c r="AF670" t="s">
        <v>27</v>
      </c>
      <c r="AG670">
        <v>9.8000000000000007</v>
      </c>
    </row>
    <row r="671" spans="1:33" x14ac:dyDescent="0.25">
      <c r="A671" t="s">
        <v>57</v>
      </c>
      <c r="B671" s="3">
        <v>44132</v>
      </c>
      <c r="C671">
        <v>2020302</v>
      </c>
      <c r="D671">
        <v>4</v>
      </c>
      <c r="E671" t="s">
        <v>27</v>
      </c>
      <c r="F671">
        <v>5.2</v>
      </c>
      <c r="G671">
        <v>8</v>
      </c>
      <c r="H671">
        <v>3.6</v>
      </c>
      <c r="I671">
        <v>79.5</v>
      </c>
      <c r="J671">
        <v>69.599999999999994</v>
      </c>
      <c r="K671">
        <v>0.7</v>
      </c>
      <c r="L671">
        <v>3.5</v>
      </c>
      <c r="M671">
        <v>1</v>
      </c>
      <c r="N671">
        <v>0.18800000000000017</v>
      </c>
      <c r="O671">
        <v>0.5</v>
      </c>
      <c r="P671" t="s">
        <v>27</v>
      </c>
      <c r="Q671" t="s">
        <v>27</v>
      </c>
      <c r="R671" t="s">
        <v>27</v>
      </c>
      <c r="S671">
        <v>0.5</v>
      </c>
      <c r="T671">
        <v>2.1</v>
      </c>
      <c r="U671">
        <v>3.3</v>
      </c>
      <c r="V671" t="s">
        <v>27</v>
      </c>
      <c r="W671">
        <v>0.747</v>
      </c>
      <c r="X671">
        <v>0.32600000000000001</v>
      </c>
      <c r="Y671" t="s">
        <v>27</v>
      </c>
      <c r="Z671" t="s">
        <v>27</v>
      </c>
      <c r="AA671" t="s">
        <v>27</v>
      </c>
      <c r="AB671" t="s">
        <v>27</v>
      </c>
      <c r="AC671" t="s">
        <v>27</v>
      </c>
      <c r="AD671" t="s">
        <v>27</v>
      </c>
      <c r="AE671" t="s">
        <v>27</v>
      </c>
      <c r="AF671" t="s">
        <v>27</v>
      </c>
      <c r="AG671">
        <v>9.6199999999999992</v>
      </c>
    </row>
    <row r="672" spans="1:33" x14ac:dyDescent="0.25">
      <c r="A672" t="s">
        <v>57</v>
      </c>
      <c r="B672" s="3">
        <v>44133</v>
      </c>
      <c r="C672">
        <v>2020303</v>
      </c>
      <c r="D672">
        <v>5.97</v>
      </c>
      <c r="E672" t="s">
        <v>27</v>
      </c>
      <c r="F672">
        <v>4.3</v>
      </c>
      <c r="G672">
        <v>9.9</v>
      </c>
      <c r="H672">
        <v>-0.7</v>
      </c>
      <c r="I672">
        <v>79.900000000000006</v>
      </c>
      <c r="J672">
        <v>59.2</v>
      </c>
      <c r="K672">
        <v>0.6</v>
      </c>
      <c r="L672">
        <v>3.9</v>
      </c>
      <c r="M672">
        <v>0</v>
      </c>
      <c r="N672">
        <v>0.14100000000000001</v>
      </c>
      <c r="O672">
        <v>0.5</v>
      </c>
      <c r="P672" t="s">
        <v>27</v>
      </c>
      <c r="Q672" t="s">
        <v>27</v>
      </c>
      <c r="R672" t="s">
        <v>27</v>
      </c>
      <c r="S672">
        <v>0.5</v>
      </c>
      <c r="T672">
        <v>1.9</v>
      </c>
      <c r="U672">
        <v>3.2</v>
      </c>
      <c r="V672" t="s">
        <v>27</v>
      </c>
      <c r="W672">
        <v>0.72</v>
      </c>
      <c r="X672">
        <v>0.496</v>
      </c>
      <c r="Y672" t="s">
        <v>27</v>
      </c>
      <c r="Z672" t="s">
        <v>27</v>
      </c>
      <c r="AA672" t="s">
        <v>27</v>
      </c>
      <c r="AB672" t="s">
        <v>27</v>
      </c>
      <c r="AC672" t="s">
        <v>27</v>
      </c>
      <c r="AD672" t="s">
        <v>27</v>
      </c>
      <c r="AE672" t="s">
        <v>27</v>
      </c>
      <c r="AF672" t="s">
        <v>27</v>
      </c>
      <c r="AG672">
        <v>9.44</v>
      </c>
    </row>
    <row r="673" spans="1:33" x14ac:dyDescent="0.25">
      <c r="A673" t="s">
        <v>57</v>
      </c>
      <c r="B673" s="3">
        <v>44134</v>
      </c>
      <c r="C673">
        <v>2020304</v>
      </c>
      <c r="D673">
        <v>7.18</v>
      </c>
      <c r="E673" t="s">
        <v>27</v>
      </c>
      <c r="F673">
        <v>1.4</v>
      </c>
      <c r="G673">
        <v>5.2</v>
      </c>
      <c r="H673">
        <v>-3.2</v>
      </c>
      <c r="I673">
        <v>77.5</v>
      </c>
      <c r="J673">
        <v>53.6</v>
      </c>
      <c r="K673">
        <v>1.7</v>
      </c>
      <c r="L673">
        <v>5.6</v>
      </c>
      <c r="M673">
        <v>1</v>
      </c>
      <c r="N673">
        <v>0.12800000000000011</v>
      </c>
      <c r="O673">
        <v>0.5</v>
      </c>
      <c r="P673" t="s">
        <v>27</v>
      </c>
      <c r="Q673" t="s">
        <v>27</v>
      </c>
      <c r="R673" t="s">
        <v>27</v>
      </c>
      <c r="S673">
        <v>0.5</v>
      </c>
      <c r="T673">
        <v>1.9</v>
      </c>
      <c r="U673">
        <v>3.1</v>
      </c>
      <c r="V673" t="s">
        <v>27</v>
      </c>
      <c r="W673">
        <v>0.47199999999999998</v>
      </c>
      <c r="X673">
        <v>0.40899999999999997</v>
      </c>
      <c r="Y673" t="s">
        <v>27</v>
      </c>
      <c r="Z673" t="s">
        <v>27</v>
      </c>
      <c r="AA673" t="s">
        <v>27</v>
      </c>
      <c r="AB673" t="s">
        <v>27</v>
      </c>
      <c r="AC673" t="s">
        <v>27</v>
      </c>
      <c r="AD673" t="s">
        <v>27</v>
      </c>
      <c r="AE673" t="s">
        <v>27</v>
      </c>
      <c r="AF673" t="s">
        <v>27</v>
      </c>
      <c r="AG673">
        <v>9.26</v>
      </c>
    </row>
    <row r="674" spans="1:33" x14ac:dyDescent="0.25">
      <c r="A674" t="s">
        <v>57</v>
      </c>
      <c r="B674" s="3">
        <v>44135</v>
      </c>
      <c r="C674">
        <v>2020305</v>
      </c>
      <c r="D674">
        <v>7.81</v>
      </c>
      <c r="E674" t="s">
        <v>27</v>
      </c>
      <c r="F674">
        <v>-1.8</v>
      </c>
      <c r="G674">
        <v>6</v>
      </c>
      <c r="H674">
        <v>-7.2</v>
      </c>
      <c r="I674">
        <v>80.099999999999994</v>
      </c>
      <c r="J674">
        <v>48.2</v>
      </c>
      <c r="K674">
        <v>0.2</v>
      </c>
      <c r="L674">
        <v>2.2999999999999998</v>
      </c>
      <c r="M674">
        <v>0</v>
      </c>
      <c r="N674">
        <v>0.13600000000000012</v>
      </c>
      <c r="O674">
        <v>0.3</v>
      </c>
      <c r="P674" t="s">
        <v>27</v>
      </c>
      <c r="Q674" t="s">
        <v>27</v>
      </c>
      <c r="R674" t="s">
        <v>27</v>
      </c>
      <c r="S674">
        <v>0.3</v>
      </c>
      <c r="T674">
        <v>1.8</v>
      </c>
      <c r="U674">
        <v>3</v>
      </c>
      <c r="V674" t="s">
        <v>27</v>
      </c>
      <c r="W674">
        <v>0.44900000000000001</v>
      </c>
      <c r="X674">
        <v>0.48299999999999998</v>
      </c>
      <c r="Y674" t="s">
        <v>27</v>
      </c>
      <c r="Z674" t="s">
        <v>27</v>
      </c>
      <c r="AA674" t="s">
        <v>27</v>
      </c>
      <c r="AB674" t="s">
        <v>27</v>
      </c>
      <c r="AC674" t="s">
        <v>27</v>
      </c>
      <c r="AD674" t="s">
        <v>27</v>
      </c>
      <c r="AE674" t="s">
        <v>27</v>
      </c>
      <c r="AF674" t="s">
        <v>27</v>
      </c>
      <c r="AG674">
        <v>9.09</v>
      </c>
    </row>
    <row r="675" spans="1:33" x14ac:dyDescent="0.25">
      <c r="A675" t="s">
        <v>57</v>
      </c>
      <c r="B675" s="3">
        <v>44136</v>
      </c>
      <c r="C675">
        <v>2020306</v>
      </c>
      <c r="D675">
        <v>8.67</v>
      </c>
      <c r="E675" t="s">
        <v>27</v>
      </c>
      <c r="F675">
        <v>1</v>
      </c>
      <c r="G675">
        <v>7.8</v>
      </c>
      <c r="H675">
        <v>-4.5999999999999996</v>
      </c>
      <c r="I675">
        <v>70.2</v>
      </c>
      <c r="J675">
        <v>48</v>
      </c>
      <c r="K675">
        <v>0.2</v>
      </c>
      <c r="L675">
        <v>2</v>
      </c>
      <c r="M675">
        <v>0</v>
      </c>
      <c r="N675">
        <v>0.13200000000000012</v>
      </c>
      <c r="O675">
        <v>0.2</v>
      </c>
      <c r="P675" t="s">
        <v>27</v>
      </c>
      <c r="Q675" t="s">
        <v>27</v>
      </c>
      <c r="R675" t="s">
        <v>27</v>
      </c>
      <c r="S675">
        <v>0.2</v>
      </c>
      <c r="T675">
        <v>1.7</v>
      </c>
      <c r="U675">
        <v>2.9</v>
      </c>
      <c r="V675" t="s">
        <v>27</v>
      </c>
      <c r="W675">
        <v>0.50700000000000001</v>
      </c>
      <c r="X675">
        <v>0.54900000000000004</v>
      </c>
      <c r="Y675" t="s">
        <v>27</v>
      </c>
      <c r="Z675" t="s">
        <v>27</v>
      </c>
      <c r="AA675" t="s">
        <v>27</v>
      </c>
      <c r="AB675" t="s">
        <v>27</v>
      </c>
      <c r="AC675" t="s">
        <v>27</v>
      </c>
      <c r="AD675" t="s">
        <v>27</v>
      </c>
      <c r="AE675" t="s">
        <v>27</v>
      </c>
      <c r="AF675" t="s">
        <v>27</v>
      </c>
      <c r="AG675">
        <v>8.92</v>
      </c>
    </row>
    <row r="676" spans="1:33" x14ac:dyDescent="0.25">
      <c r="A676" t="s">
        <v>57</v>
      </c>
      <c r="B676" s="3">
        <v>44137</v>
      </c>
      <c r="C676">
        <v>2020307</v>
      </c>
      <c r="D676">
        <v>7.88</v>
      </c>
      <c r="E676" t="s">
        <v>27</v>
      </c>
      <c r="F676">
        <v>2.6</v>
      </c>
      <c r="G676">
        <v>9.4</v>
      </c>
      <c r="H676">
        <v>-2.4</v>
      </c>
      <c r="I676">
        <v>64.5</v>
      </c>
      <c r="J676">
        <v>42.4</v>
      </c>
      <c r="K676">
        <v>0</v>
      </c>
      <c r="L676">
        <v>0</v>
      </c>
      <c r="M676">
        <v>0</v>
      </c>
      <c r="N676">
        <v>0.13500000000000023</v>
      </c>
      <c r="O676">
        <v>0.1</v>
      </c>
      <c r="P676" t="s">
        <v>27</v>
      </c>
      <c r="Q676" t="s">
        <v>27</v>
      </c>
      <c r="R676" t="s">
        <v>27</v>
      </c>
      <c r="S676">
        <v>0.1</v>
      </c>
      <c r="T676">
        <v>1.6</v>
      </c>
      <c r="U676">
        <v>2.8</v>
      </c>
      <c r="V676" t="s">
        <v>27</v>
      </c>
      <c r="W676">
        <v>0.5</v>
      </c>
      <c r="X676">
        <v>0.67900000000000005</v>
      </c>
      <c r="Y676" t="s">
        <v>27</v>
      </c>
      <c r="Z676" t="s">
        <v>27</v>
      </c>
      <c r="AA676" t="s">
        <v>27</v>
      </c>
      <c r="AB676" t="s">
        <v>27</v>
      </c>
      <c r="AC676" t="s">
        <v>27</v>
      </c>
      <c r="AD676" t="s">
        <v>27</v>
      </c>
      <c r="AE676" t="s">
        <v>27</v>
      </c>
      <c r="AF676" t="s">
        <v>27</v>
      </c>
      <c r="AG676">
        <v>8.76</v>
      </c>
    </row>
    <row r="677" spans="1:33" x14ac:dyDescent="0.25">
      <c r="A677" t="s">
        <v>57</v>
      </c>
      <c r="B677" s="3">
        <v>44138</v>
      </c>
      <c r="C677">
        <v>2020308</v>
      </c>
      <c r="D677">
        <v>1.76</v>
      </c>
      <c r="E677" t="s">
        <v>27</v>
      </c>
      <c r="F677">
        <v>1.7</v>
      </c>
      <c r="G677">
        <v>3.4</v>
      </c>
      <c r="H677">
        <v>-0.1</v>
      </c>
      <c r="I677">
        <v>83.6</v>
      </c>
      <c r="J677">
        <v>68.3</v>
      </c>
      <c r="K677">
        <v>0</v>
      </c>
      <c r="L677">
        <v>0.8</v>
      </c>
      <c r="M677">
        <v>2</v>
      </c>
      <c r="N677">
        <v>0.13500000000000023</v>
      </c>
      <c r="O677">
        <v>0.2</v>
      </c>
      <c r="P677" t="s">
        <v>27</v>
      </c>
      <c r="Q677" t="s">
        <v>27</v>
      </c>
      <c r="R677" t="s">
        <v>27</v>
      </c>
      <c r="S677">
        <v>0.2</v>
      </c>
      <c r="T677">
        <v>1.6</v>
      </c>
      <c r="U677">
        <v>2.8</v>
      </c>
      <c r="V677" t="s">
        <v>27</v>
      </c>
      <c r="W677">
        <v>0.53400000000000003</v>
      </c>
      <c r="X677">
        <v>0.248</v>
      </c>
      <c r="Y677" t="s">
        <v>27</v>
      </c>
      <c r="Z677" t="s">
        <v>27</v>
      </c>
      <c r="AA677" t="s">
        <v>27</v>
      </c>
      <c r="AB677" t="s">
        <v>27</v>
      </c>
      <c r="AC677" t="s">
        <v>27</v>
      </c>
      <c r="AD677" t="s">
        <v>27</v>
      </c>
      <c r="AE677" t="s">
        <v>27</v>
      </c>
      <c r="AF677" t="s">
        <v>27</v>
      </c>
      <c r="AG677">
        <v>8.59</v>
      </c>
    </row>
    <row r="678" spans="1:33" x14ac:dyDescent="0.25">
      <c r="A678" t="s">
        <v>57</v>
      </c>
      <c r="B678" s="3">
        <v>44139</v>
      </c>
      <c r="C678">
        <v>2020309</v>
      </c>
      <c r="D678">
        <v>3.1</v>
      </c>
      <c r="E678" t="s">
        <v>27</v>
      </c>
      <c r="F678">
        <v>4.0999999999999996</v>
      </c>
      <c r="G678">
        <v>6.3</v>
      </c>
      <c r="H678">
        <v>0.4</v>
      </c>
      <c r="I678">
        <v>94.4</v>
      </c>
      <c r="J678">
        <v>86.2</v>
      </c>
      <c r="K678">
        <v>0.8</v>
      </c>
      <c r="L678">
        <v>3.4</v>
      </c>
      <c r="M678">
        <v>2</v>
      </c>
      <c r="N678">
        <v>0.11100000000000021</v>
      </c>
      <c r="O678">
        <v>0.2</v>
      </c>
      <c r="P678" t="s">
        <v>27</v>
      </c>
      <c r="Q678" t="s">
        <v>27</v>
      </c>
      <c r="R678" t="s">
        <v>27</v>
      </c>
      <c r="S678">
        <v>0.2</v>
      </c>
      <c r="T678">
        <v>1.5</v>
      </c>
      <c r="U678">
        <v>2.7</v>
      </c>
      <c r="V678" t="s">
        <v>27</v>
      </c>
      <c r="W678">
        <v>0.82499999999999996</v>
      </c>
      <c r="X678">
        <v>0.13200000000000001</v>
      </c>
      <c r="Y678" t="s">
        <v>27</v>
      </c>
      <c r="Z678" t="s">
        <v>27</v>
      </c>
      <c r="AA678" t="s">
        <v>27</v>
      </c>
      <c r="AB678" t="s">
        <v>27</v>
      </c>
      <c r="AC678" t="s">
        <v>27</v>
      </c>
      <c r="AD678" t="s">
        <v>27</v>
      </c>
      <c r="AE678" t="s">
        <v>27</v>
      </c>
      <c r="AF678" t="s">
        <v>27</v>
      </c>
      <c r="AG678">
        <v>8.43</v>
      </c>
    </row>
    <row r="679" spans="1:33" x14ac:dyDescent="0.25">
      <c r="A679" t="s">
        <v>57</v>
      </c>
      <c r="B679" s="3">
        <v>44140</v>
      </c>
      <c r="C679">
        <v>2020310</v>
      </c>
      <c r="D679">
        <v>2.46</v>
      </c>
      <c r="E679" t="s">
        <v>27</v>
      </c>
      <c r="F679">
        <v>0.4</v>
      </c>
      <c r="G679">
        <v>6.1</v>
      </c>
      <c r="H679">
        <v>-5.7</v>
      </c>
      <c r="I679">
        <v>90.8</v>
      </c>
      <c r="J679">
        <v>69.099999999999994</v>
      </c>
      <c r="K679">
        <v>1.3</v>
      </c>
      <c r="L679">
        <v>4.5</v>
      </c>
      <c r="M679">
        <v>12</v>
      </c>
      <c r="N679">
        <v>0.10499999999999998</v>
      </c>
      <c r="O679">
        <v>0.3</v>
      </c>
      <c r="P679" t="s">
        <v>27</v>
      </c>
      <c r="Q679" t="s">
        <v>27</v>
      </c>
      <c r="R679" t="s">
        <v>27</v>
      </c>
      <c r="S679">
        <v>0.3</v>
      </c>
      <c r="T679">
        <v>1.4</v>
      </c>
      <c r="U679">
        <v>2.5</v>
      </c>
      <c r="V679" t="s">
        <v>27</v>
      </c>
      <c r="W679">
        <v>0.65100000000000002</v>
      </c>
      <c r="X679">
        <v>0.29099999999999998</v>
      </c>
      <c r="Y679" t="s">
        <v>27</v>
      </c>
      <c r="Z679" t="s">
        <v>27</v>
      </c>
      <c r="AA679" t="s">
        <v>27</v>
      </c>
      <c r="AB679" t="s">
        <v>27</v>
      </c>
      <c r="AC679" t="s">
        <v>27</v>
      </c>
      <c r="AD679" t="s">
        <v>27</v>
      </c>
      <c r="AE679" t="s">
        <v>27</v>
      </c>
      <c r="AF679" t="s">
        <v>27</v>
      </c>
      <c r="AG679">
        <v>8.2799999999999994</v>
      </c>
    </row>
    <row r="680" spans="1:33" x14ac:dyDescent="0.25">
      <c r="A680" t="s">
        <v>57</v>
      </c>
      <c r="B680" s="3">
        <v>44141</v>
      </c>
      <c r="C680">
        <v>2020311</v>
      </c>
      <c r="D680">
        <v>6.15</v>
      </c>
      <c r="E680" t="s">
        <v>27</v>
      </c>
      <c r="F680">
        <v>-3.7</v>
      </c>
      <c r="G680">
        <v>-0.5</v>
      </c>
      <c r="H680">
        <v>-8.1</v>
      </c>
      <c r="I680">
        <v>84.2</v>
      </c>
      <c r="J680">
        <v>68</v>
      </c>
      <c r="K680">
        <v>1</v>
      </c>
      <c r="L680">
        <v>3.5</v>
      </c>
      <c r="M680">
        <v>0</v>
      </c>
      <c r="N680">
        <v>0.11299999999999999</v>
      </c>
      <c r="O680">
        <v>0.2</v>
      </c>
      <c r="P680" t="s">
        <v>27</v>
      </c>
      <c r="Q680" t="s">
        <v>27</v>
      </c>
      <c r="R680" t="s">
        <v>27</v>
      </c>
      <c r="S680">
        <v>0.2</v>
      </c>
      <c r="T680">
        <v>1.4</v>
      </c>
      <c r="U680">
        <v>2.4</v>
      </c>
      <c r="V680" t="s">
        <v>27</v>
      </c>
      <c r="W680">
        <v>0.40100000000000002</v>
      </c>
      <c r="X680">
        <v>0.189</v>
      </c>
      <c r="Y680" t="s">
        <v>27</v>
      </c>
      <c r="Z680" t="s">
        <v>27</v>
      </c>
      <c r="AA680" t="s">
        <v>27</v>
      </c>
      <c r="AB680" t="s">
        <v>27</v>
      </c>
      <c r="AC680" t="s">
        <v>27</v>
      </c>
      <c r="AD680" t="s">
        <v>27</v>
      </c>
      <c r="AE680" t="s">
        <v>27</v>
      </c>
      <c r="AF680" t="s">
        <v>27</v>
      </c>
      <c r="AG680">
        <v>8.1199999999999992</v>
      </c>
    </row>
    <row r="681" spans="1:33" x14ac:dyDescent="0.25">
      <c r="A681" t="s">
        <v>57</v>
      </c>
      <c r="B681" s="3">
        <v>44142</v>
      </c>
      <c r="C681">
        <v>2020312</v>
      </c>
      <c r="D681">
        <v>2.02</v>
      </c>
      <c r="E681" t="s">
        <v>27</v>
      </c>
      <c r="F681">
        <v>-7.6</v>
      </c>
      <c r="G681">
        <v>-5.0999999999999996</v>
      </c>
      <c r="H681">
        <v>-9.9</v>
      </c>
      <c r="I681">
        <v>86.3</v>
      </c>
      <c r="J681">
        <v>72.599999999999994</v>
      </c>
      <c r="K681">
        <v>0.7</v>
      </c>
      <c r="L681">
        <v>3.5</v>
      </c>
      <c r="M681">
        <v>4</v>
      </c>
      <c r="N681">
        <v>0.19700000000000006</v>
      </c>
      <c r="O681">
        <v>-0.3</v>
      </c>
      <c r="P681" t="s">
        <v>27</v>
      </c>
      <c r="Q681" t="s">
        <v>27</v>
      </c>
      <c r="R681" t="s">
        <v>27</v>
      </c>
      <c r="S681">
        <v>-0.3</v>
      </c>
      <c r="T681">
        <v>1.3</v>
      </c>
      <c r="U681">
        <v>2.4</v>
      </c>
      <c r="V681" t="s">
        <v>27</v>
      </c>
      <c r="W681">
        <v>0.30399999999999999</v>
      </c>
      <c r="X681">
        <v>0.115</v>
      </c>
      <c r="Y681" t="s">
        <v>27</v>
      </c>
      <c r="Z681" t="s">
        <v>27</v>
      </c>
      <c r="AA681" t="s">
        <v>27</v>
      </c>
      <c r="AB681" t="s">
        <v>27</v>
      </c>
      <c r="AC681" t="s">
        <v>27</v>
      </c>
      <c r="AD681" t="s">
        <v>27</v>
      </c>
      <c r="AE681" t="s">
        <v>27</v>
      </c>
      <c r="AF681" t="s">
        <v>27</v>
      </c>
      <c r="AG681">
        <v>7.98</v>
      </c>
    </row>
    <row r="682" spans="1:33" x14ac:dyDescent="0.25">
      <c r="A682" t="s">
        <v>57</v>
      </c>
      <c r="B682" s="3">
        <v>44143</v>
      </c>
      <c r="C682">
        <v>2020313</v>
      </c>
      <c r="D682">
        <v>7.36</v>
      </c>
      <c r="E682" t="s">
        <v>27</v>
      </c>
      <c r="F682">
        <v>-10.3</v>
      </c>
      <c r="G682">
        <v>-6.1</v>
      </c>
      <c r="H682">
        <v>-16.7</v>
      </c>
      <c r="I682">
        <v>87.9</v>
      </c>
      <c r="J682">
        <v>82</v>
      </c>
      <c r="K682">
        <v>0.8</v>
      </c>
      <c r="L682">
        <v>3.6</v>
      </c>
      <c r="M682">
        <v>7</v>
      </c>
      <c r="N682">
        <v>0.19700000000000006</v>
      </c>
      <c r="O682">
        <v>-0.2</v>
      </c>
      <c r="P682" t="s">
        <v>27</v>
      </c>
      <c r="Q682" t="s">
        <v>27</v>
      </c>
      <c r="R682" t="s">
        <v>27</v>
      </c>
      <c r="S682">
        <v>-0.2</v>
      </c>
      <c r="T682">
        <v>1.1000000000000001</v>
      </c>
      <c r="U682">
        <v>2.2999999999999998</v>
      </c>
      <c r="V682" t="s">
        <v>27</v>
      </c>
      <c r="W682">
        <v>0.316</v>
      </c>
      <c r="X682">
        <v>6.9000000000000006E-2</v>
      </c>
      <c r="Y682" t="s">
        <v>27</v>
      </c>
      <c r="Z682" t="s">
        <v>27</v>
      </c>
      <c r="AA682" t="s">
        <v>27</v>
      </c>
      <c r="AB682" t="s">
        <v>27</v>
      </c>
      <c r="AC682" t="s">
        <v>27</v>
      </c>
      <c r="AD682" t="s">
        <v>27</v>
      </c>
      <c r="AE682" t="s">
        <v>27</v>
      </c>
      <c r="AF682" t="s">
        <v>27</v>
      </c>
      <c r="AG682">
        <v>7.83</v>
      </c>
    </row>
    <row r="683" spans="1:33" x14ac:dyDescent="0.25">
      <c r="A683" t="s">
        <v>57</v>
      </c>
      <c r="B683" s="3">
        <v>44144</v>
      </c>
      <c r="C683">
        <v>2020314</v>
      </c>
      <c r="D683">
        <v>3.89</v>
      </c>
      <c r="E683" t="s">
        <v>27</v>
      </c>
      <c r="F683">
        <v>-10.3</v>
      </c>
      <c r="G683">
        <v>-4.9000000000000004</v>
      </c>
      <c r="H683">
        <v>-17.8</v>
      </c>
      <c r="I683">
        <v>86.5</v>
      </c>
      <c r="J683">
        <v>77.3</v>
      </c>
      <c r="K683">
        <v>0.2</v>
      </c>
      <c r="L683">
        <v>2.1</v>
      </c>
      <c r="M683">
        <v>1</v>
      </c>
      <c r="N683">
        <v>0.24299999999999988</v>
      </c>
      <c r="O683">
        <v>-3</v>
      </c>
      <c r="P683" t="s">
        <v>27</v>
      </c>
      <c r="Q683" t="s">
        <v>27</v>
      </c>
      <c r="R683" t="s">
        <v>27</v>
      </c>
      <c r="S683">
        <v>-0.2</v>
      </c>
      <c r="T683">
        <v>1.1000000000000001</v>
      </c>
      <c r="U683">
        <v>2.2000000000000002</v>
      </c>
      <c r="V683" t="s">
        <v>27</v>
      </c>
      <c r="W683">
        <v>0.32700000000000001</v>
      </c>
      <c r="X683">
        <v>9.6000000000000002E-2</v>
      </c>
      <c r="Y683" t="s">
        <v>27</v>
      </c>
      <c r="Z683" t="s">
        <v>27</v>
      </c>
      <c r="AA683" t="s">
        <v>27</v>
      </c>
      <c r="AB683" t="s">
        <v>27</v>
      </c>
      <c r="AC683" t="s">
        <v>27</v>
      </c>
      <c r="AD683" t="s">
        <v>27</v>
      </c>
      <c r="AE683" t="s">
        <v>27</v>
      </c>
      <c r="AF683" t="s">
        <v>27</v>
      </c>
      <c r="AG683">
        <v>7.69</v>
      </c>
    </row>
    <row r="684" spans="1:33" x14ac:dyDescent="0.25">
      <c r="A684" t="s">
        <v>57</v>
      </c>
      <c r="B684" s="3">
        <v>44145</v>
      </c>
      <c r="C684">
        <v>2020315</v>
      </c>
      <c r="D684">
        <v>0.56000000000000005</v>
      </c>
      <c r="E684" t="s">
        <v>27</v>
      </c>
      <c r="F684">
        <v>-6.2</v>
      </c>
      <c r="G684">
        <v>-4.0999999999999996</v>
      </c>
      <c r="H684">
        <v>-7.6</v>
      </c>
      <c r="I684">
        <v>90</v>
      </c>
      <c r="J684">
        <v>86</v>
      </c>
      <c r="K684">
        <v>0.7</v>
      </c>
      <c r="L684">
        <v>2.5</v>
      </c>
      <c r="M684">
        <v>7</v>
      </c>
      <c r="N684">
        <v>0.32500000000000018</v>
      </c>
      <c r="O684">
        <v>-1</v>
      </c>
      <c r="P684" t="s">
        <v>27</v>
      </c>
      <c r="Q684" t="s">
        <v>27</v>
      </c>
      <c r="R684" t="s">
        <v>27</v>
      </c>
      <c r="S684">
        <v>-0.1</v>
      </c>
      <c r="T684">
        <v>1.1000000000000001</v>
      </c>
      <c r="U684">
        <v>2.2000000000000002</v>
      </c>
      <c r="V684" t="s">
        <v>27</v>
      </c>
      <c r="W684">
        <v>0.38800000000000001</v>
      </c>
      <c r="X684">
        <v>6.3E-2</v>
      </c>
      <c r="Y684" t="s">
        <v>27</v>
      </c>
      <c r="Z684" t="s">
        <v>27</v>
      </c>
      <c r="AA684" t="s">
        <v>27</v>
      </c>
      <c r="AB684" t="s">
        <v>27</v>
      </c>
      <c r="AC684" t="s">
        <v>27</v>
      </c>
      <c r="AD684" t="s">
        <v>27</v>
      </c>
      <c r="AE684" t="s">
        <v>27</v>
      </c>
      <c r="AF684" t="s">
        <v>27</v>
      </c>
      <c r="AG684">
        <v>7.55</v>
      </c>
    </row>
    <row r="685" spans="1:33" x14ac:dyDescent="0.25">
      <c r="A685" t="s">
        <v>57</v>
      </c>
      <c r="B685" s="3">
        <v>44146</v>
      </c>
      <c r="C685">
        <v>2020316</v>
      </c>
      <c r="D685">
        <v>0.72</v>
      </c>
      <c r="E685" t="s">
        <v>27</v>
      </c>
      <c r="F685">
        <v>-6.9</v>
      </c>
      <c r="G685">
        <v>-5.3</v>
      </c>
      <c r="H685">
        <v>-7.9</v>
      </c>
      <c r="I685">
        <v>87.2</v>
      </c>
      <c r="J685">
        <v>76.8</v>
      </c>
      <c r="K685">
        <v>0.7</v>
      </c>
      <c r="L685">
        <v>3.4</v>
      </c>
      <c r="M685">
        <v>0</v>
      </c>
      <c r="N685">
        <v>0.29700000000000015</v>
      </c>
      <c r="O685">
        <v>-0.8</v>
      </c>
      <c r="P685" t="s">
        <v>27</v>
      </c>
      <c r="Q685" t="s">
        <v>27</v>
      </c>
      <c r="R685" t="s">
        <v>27</v>
      </c>
      <c r="S685">
        <v>-0.1</v>
      </c>
      <c r="T685">
        <v>1</v>
      </c>
      <c r="U685">
        <v>2.1</v>
      </c>
      <c r="V685" t="s">
        <v>27</v>
      </c>
      <c r="W685">
        <v>0.317</v>
      </c>
      <c r="X685">
        <v>9.6000000000000002E-2</v>
      </c>
      <c r="Y685" t="s">
        <v>27</v>
      </c>
      <c r="Z685" t="s">
        <v>27</v>
      </c>
      <c r="AA685" t="s">
        <v>27</v>
      </c>
      <c r="AB685" t="s">
        <v>27</v>
      </c>
      <c r="AC685" t="s">
        <v>27</v>
      </c>
      <c r="AD685" t="s">
        <v>27</v>
      </c>
      <c r="AE685" t="s">
        <v>27</v>
      </c>
      <c r="AF685" t="s">
        <v>27</v>
      </c>
      <c r="AG685">
        <v>7.41</v>
      </c>
    </row>
    <row r="686" spans="1:33" x14ac:dyDescent="0.25">
      <c r="A686" t="s">
        <v>57</v>
      </c>
      <c r="B686" s="3">
        <v>44147</v>
      </c>
      <c r="C686">
        <v>2020317</v>
      </c>
      <c r="D686">
        <v>0.59</v>
      </c>
      <c r="E686" t="s">
        <v>27</v>
      </c>
      <c r="F686">
        <v>-6.2</v>
      </c>
      <c r="G686">
        <v>-4.5999999999999996</v>
      </c>
      <c r="H686">
        <v>-7.6</v>
      </c>
      <c r="I686">
        <v>88</v>
      </c>
      <c r="J686">
        <v>78.8</v>
      </c>
      <c r="K686">
        <v>0.9</v>
      </c>
      <c r="L686">
        <v>3.4</v>
      </c>
      <c r="M686">
        <v>3</v>
      </c>
      <c r="N686">
        <v>0.32400000000000029</v>
      </c>
      <c r="O686">
        <v>-0.7</v>
      </c>
      <c r="P686" t="s">
        <v>27</v>
      </c>
      <c r="Q686" t="s">
        <v>27</v>
      </c>
      <c r="R686" t="s">
        <v>27</v>
      </c>
      <c r="S686">
        <v>0</v>
      </c>
      <c r="T686">
        <v>1</v>
      </c>
      <c r="U686">
        <v>2.1</v>
      </c>
      <c r="V686" t="s">
        <v>27</v>
      </c>
      <c r="W686">
        <v>0.34300000000000003</v>
      </c>
      <c r="X686">
        <v>9.1999999999999998E-2</v>
      </c>
      <c r="Y686" t="s">
        <v>27</v>
      </c>
      <c r="Z686" t="s">
        <v>27</v>
      </c>
      <c r="AA686" t="s">
        <v>27</v>
      </c>
      <c r="AB686" t="s">
        <v>27</v>
      </c>
      <c r="AC686" t="s">
        <v>27</v>
      </c>
      <c r="AD686" t="s">
        <v>27</v>
      </c>
      <c r="AE686" t="s">
        <v>27</v>
      </c>
      <c r="AF686" t="s">
        <v>27</v>
      </c>
      <c r="AG686">
        <v>7.28</v>
      </c>
    </row>
    <row r="687" spans="1:33" x14ac:dyDescent="0.25">
      <c r="A687" t="s">
        <v>57</v>
      </c>
      <c r="B687" s="3">
        <v>44148</v>
      </c>
      <c r="C687">
        <v>2020318</v>
      </c>
      <c r="D687">
        <v>0.26</v>
      </c>
      <c r="E687" t="s">
        <v>27</v>
      </c>
      <c r="F687">
        <v>-3.9</v>
      </c>
      <c r="G687">
        <v>-1.8</v>
      </c>
      <c r="H687">
        <v>-5.6</v>
      </c>
      <c r="I687">
        <v>88</v>
      </c>
      <c r="J687">
        <v>75</v>
      </c>
      <c r="K687">
        <v>1.6</v>
      </c>
      <c r="L687">
        <v>4.8</v>
      </c>
      <c r="M687">
        <v>7</v>
      </c>
      <c r="N687">
        <v>0.38700000000000001</v>
      </c>
      <c r="O687">
        <v>-0.6</v>
      </c>
      <c r="P687" t="s">
        <v>27</v>
      </c>
      <c r="Q687" t="s">
        <v>27</v>
      </c>
      <c r="R687" t="s">
        <v>27</v>
      </c>
      <c r="S687">
        <v>0</v>
      </c>
      <c r="T687">
        <v>1</v>
      </c>
      <c r="U687">
        <v>2</v>
      </c>
      <c r="V687" t="s">
        <v>27</v>
      </c>
      <c r="W687">
        <v>0.40200000000000002</v>
      </c>
      <c r="X687">
        <v>0.13400000000000001</v>
      </c>
      <c r="Y687" t="s">
        <v>27</v>
      </c>
      <c r="Z687" t="s">
        <v>27</v>
      </c>
      <c r="AA687" t="s">
        <v>27</v>
      </c>
      <c r="AB687" t="s">
        <v>27</v>
      </c>
      <c r="AC687" t="s">
        <v>27</v>
      </c>
      <c r="AD687" t="s">
        <v>27</v>
      </c>
      <c r="AE687" t="s">
        <v>27</v>
      </c>
      <c r="AF687" t="s">
        <v>27</v>
      </c>
      <c r="AG687">
        <v>7.16</v>
      </c>
    </row>
    <row r="688" spans="1:33" x14ac:dyDescent="0.25">
      <c r="A688" t="s">
        <v>57</v>
      </c>
      <c r="B688" s="3">
        <v>44149</v>
      </c>
      <c r="C688">
        <v>2020319</v>
      </c>
      <c r="D688">
        <v>3.41</v>
      </c>
      <c r="E688" t="s">
        <v>27</v>
      </c>
      <c r="F688">
        <v>-4.5</v>
      </c>
      <c r="G688">
        <v>-0.7</v>
      </c>
      <c r="H688">
        <v>-6.2</v>
      </c>
      <c r="I688">
        <v>78.5</v>
      </c>
      <c r="J688">
        <v>56.2</v>
      </c>
      <c r="K688">
        <v>1.4</v>
      </c>
      <c r="L688">
        <v>3.9</v>
      </c>
      <c r="M688">
        <v>1</v>
      </c>
      <c r="N688">
        <v>0.37300000000000022</v>
      </c>
      <c r="O688">
        <v>-0.6</v>
      </c>
      <c r="P688" t="s">
        <v>27</v>
      </c>
      <c r="Q688" t="s">
        <v>27</v>
      </c>
      <c r="R688" t="s">
        <v>27</v>
      </c>
      <c r="S688">
        <v>0</v>
      </c>
      <c r="T688">
        <v>1</v>
      </c>
      <c r="U688">
        <v>2</v>
      </c>
      <c r="V688" t="s">
        <v>27</v>
      </c>
      <c r="W688">
        <v>0.32700000000000001</v>
      </c>
      <c r="X688">
        <v>0.255</v>
      </c>
      <c r="Y688" t="s">
        <v>27</v>
      </c>
      <c r="Z688" t="s">
        <v>27</v>
      </c>
      <c r="AA688" t="s">
        <v>27</v>
      </c>
      <c r="AB688" t="s">
        <v>27</v>
      </c>
      <c r="AC688" t="s">
        <v>27</v>
      </c>
      <c r="AD688" t="s">
        <v>27</v>
      </c>
      <c r="AE688" t="s">
        <v>27</v>
      </c>
      <c r="AF688" t="s">
        <v>27</v>
      </c>
      <c r="AG688">
        <v>7.03</v>
      </c>
    </row>
    <row r="689" spans="1:33" x14ac:dyDescent="0.25">
      <c r="A689" t="s">
        <v>57</v>
      </c>
      <c r="B689" s="3">
        <v>44150</v>
      </c>
      <c r="C689">
        <v>2020320</v>
      </c>
      <c r="D689">
        <v>5.43</v>
      </c>
      <c r="E689" t="s">
        <v>27</v>
      </c>
      <c r="F689">
        <v>-3.7</v>
      </c>
      <c r="G689">
        <v>-0.3</v>
      </c>
      <c r="H689">
        <v>-8.4</v>
      </c>
      <c r="I689">
        <v>84.5</v>
      </c>
      <c r="J689">
        <v>62.5</v>
      </c>
      <c r="K689">
        <v>1.2</v>
      </c>
      <c r="L689">
        <v>4.8</v>
      </c>
      <c r="M689">
        <v>4</v>
      </c>
      <c r="N689">
        <v>0.37599999999999989</v>
      </c>
      <c r="O689">
        <v>-0.5</v>
      </c>
      <c r="P689" t="s">
        <v>27</v>
      </c>
      <c r="Q689" t="s">
        <v>27</v>
      </c>
      <c r="R689" t="s">
        <v>27</v>
      </c>
      <c r="S689">
        <v>0</v>
      </c>
      <c r="T689">
        <v>1</v>
      </c>
      <c r="U689">
        <v>2</v>
      </c>
      <c r="V689" t="s">
        <v>27</v>
      </c>
      <c r="W689">
        <v>0.374</v>
      </c>
      <c r="X689">
        <v>0.224</v>
      </c>
      <c r="Y689" t="s">
        <v>27</v>
      </c>
      <c r="Z689" t="s">
        <v>27</v>
      </c>
      <c r="AA689" t="s">
        <v>27</v>
      </c>
      <c r="AB689" t="s">
        <v>27</v>
      </c>
      <c r="AC689" t="s">
        <v>27</v>
      </c>
      <c r="AD689" t="s">
        <v>27</v>
      </c>
      <c r="AE689" t="s">
        <v>27</v>
      </c>
      <c r="AF689" t="s">
        <v>27</v>
      </c>
      <c r="AG689">
        <v>6.91</v>
      </c>
    </row>
    <row r="690" spans="1:33" x14ac:dyDescent="0.25">
      <c r="A690" t="s">
        <v>57</v>
      </c>
      <c r="B690" s="3">
        <v>44151</v>
      </c>
      <c r="C690">
        <v>2020321</v>
      </c>
      <c r="D690">
        <v>1.21</v>
      </c>
      <c r="E690" t="s">
        <v>27</v>
      </c>
      <c r="F690">
        <v>-3.7</v>
      </c>
      <c r="G690">
        <v>-0.9</v>
      </c>
      <c r="H690">
        <v>-8.6</v>
      </c>
      <c r="I690">
        <v>91.5</v>
      </c>
      <c r="J690">
        <v>84.7</v>
      </c>
      <c r="K690">
        <v>0.2</v>
      </c>
      <c r="L690">
        <v>2.1</v>
      </c>
      <c r="M690">
        <v>6</v>
      </c>
      <c r="N690">
        <v>0.42500000000000027</v>
      </c>
      <c r="O690">
        <v>-0.6</v>
      </c>
      <c r="P690" t="s">
        <v>27</v>
      </c>
      <c r="Q690" t="s">
        <v>27</v>
      </c>
      <c r="R690" t="s">
        <v>27</v>
      </c>
      <c r="S690">
        <v>0</v>
      </c>
      <c r="T690">
        <v>1</v>
      </c>
      <c r="U690">
        <v>2</v>
      </c>
      <c r="V690" t="s">
        <v>27</v>
      </c>
      <c r="W690">
        <v>0.48299999999999998</v>
      </c>
      <c r="X690">
        <v>8.6999999999999994E-2</v>
      </c>
      <c r="Y690" t="s">
        <v>27</v>
      </c>
      <c r="Z690" t="s">
        <v>27</v>
      </c>
      <c r="AA690" t="s">
        <v>27</v>
      </c>
      <c r="AB690" t="s">
        <v>27</v>
      </c>
      <c r="AC690" t="s">
        <v>27</v>
      </c>
      <c r="AD690" t="s">
        <v>27</v>
      </c>
      <c r="AE690" t="s">
        <v>27</v>
      </c>
      <c r="AF690" t="s">
        <v>27</v>
      </c>
      <c r="AG690">
        <v>6.8</v>
      </c>
    </row>
    <row r="691" spans="1:33" x14ac:dyDescent="0.25">
      <c r="A691" t="s">
        <v>57</v>
      </c>
      <c r="B691" s="3">
        <v>44152</v>
      </c>
      <c r="C691">
        <v>2020322</v>
      </c>
      <c r="D691">
        <v>2.81</v>
      </c>
      <c r="E691" t="s">
        <v>27</v>
      </c>
      <c r="F691">
        <v>1.6</v>
      </c>
      <c r="G691">
        <v>4.7</v>
      </c>
      <c r="H691">
        <v>-1.5</v>
      </c>
      <c r="I691">
        <v>88.5</v>
      </c>
      <c r="J691">
        <v>73.3</v>
      </c>
      <c r="K691">
        <v>1.2</v>
      </c>
      <c r="L691">
        <v>3.7</v>
      </c>
      <c r="M691">
        <v>0</v>
      </c>
      <c r="N691">
        <v>0.38300000000000001</v>
      </c>
      <c r="O691">
        <v>-0.2</v>
      </c>
      <c r="P691" t="s">
        <v>27</v>
      </c>
      <c r="Q691" t="s">
        <v>27</v>
      </c>
      <c r="R691" t="s">
        <v>27</v>
      </c>
      <c r="S691">
        <v>0</v>
      </c>
      <c r="T691">
        <v>1</v>
      </c>
      <c r="U691">
        <v>2</v>
      </c>
      <c r="V691" t="s">
        <v>27</v>
      </c>
      <c r="W691">
        <v>0.626</v>
      </c>
      <c r="X691">
        <v>0.22800000000000001</v>
      </c>
      <c r="Y691" t="s">
        <v>27</v>
      </c>
      <c r="Z691" t="s">
        <v>27</v>
      </c>
      <c r="AA691" t="s">
        <v>27</v>
      </c>
      <c r="AB691" t="s">
        <v>27</v>
      </c>
      <c r="AC691" t="s">
        <v>27</v>
      </c>
      <c r="AD691" t="s">
        <v>27</v>
      </c>
      <c r="AE691" t="s">
        <v>27</v>
      </c>
      <c r="AF691" t="s">
        <v>27</v>
      </c>
      <c r="AG691">
        <v>6.68</v>
      </c>
    </row>
    <row r="692" spans="1:33" x14ac:dyDescent="0.25">
      <c r="A692" t="s">
        <v>57</v>
      </c>
      <c r="B692" s="3">
        <v>44153</v>
      </c>
      <c r="C692">
        <v>2020323</v>
      </c>
      <c r="D692">
        <v>1.26</v>
      </c>
      <c r="E692" t="s">
        <v>27</v>
      </c>
      <c r="F692">
        <v>-1.3</v>
      </c>
      <c r="G692">
        <v>0</v>
      </c>
      <c r="H692">
        <v>-3.3</v>
      </c>
      <c r="I692">
        <v>91.8</v>
      </c>
      <c r="J692">
        <v>72.599999999999994</v>
      </c>
      <c r="K692">
        <v>0.5</v>
      </c>
      <c r="L692">
        <v>2.5</v>
      </c>
      <c r="M692">
        <v>5</v>
      </c>
      <c r="N692">
        <v>0.41100000000000003</v>
      </c>
      <c r="O692">
        <v>-0.2</v>
      </c>
      <c r="P692" t="s">
        <v>27</v>
      </c>
      <c r="Q692" t="s">
        <v>27</v>
      </c>
      <c r="R692" t="s">
        <v>27</v>
      </c>
      <c r="S692">
        <v>0</v>
      </c>
      <c r="T692">
        <v>1</v>
      </c>
      <c r="U692">
        <v>1.9</v>
      </c>
      <c r="V692" t="s">
        <v>27</v>
      </c>
      <c r="W692">
        <v>0.44500000000000001</v>
      </c>
      <c r="X692">
        <v>0.16800000000000001</v>
      </c>
      <c r="Y692" t="s">
        <v>27</v>
      </c>
      <c r="Z692" t="s">
        <v>27</v>
      </c>
      <c r="AA692" t="s">
        <v>27</v>
      </c>
      <c r="AB692" t="s">
        <v>27</v>
      </c>
      <c r="AC692" t="s">
        <v>27</v>
      </c>
      <c r="AD692" t="s">
        <v>27</v>
      </c>
      <c r="AE692" t="s">
        <v>27</v>
      </c>
      <c r="AF692" t="s">
        <v>27</v>
      </c>
      <c r="AG692">
        <v>6.57</v>
      </c>
    </row>
    <row r="693" spans="1:33" x14ac:dyDescent="0.25">
      <c r="A693" t="s">
        <v>57</v>
      </c>
      <c r="B693" s="3">
        <v>44154</v>
      </c>
      <c r="C693">
        <v>2020324</v>
      </c>
      <c r="D693">
        <v>0.85</v>
      </c>
      <c r="E693" t="s">
        <v>27</v>
      </c>
      <c r="F693">
        <v>-5.4</v>
      </c>
      <c r="G693">
        <v>-1.2</v>
      </c>
      <c r="H693">
        <v>-11.6</v>
      </c>
      <c r="I693">
        <v>86.8</v>
      </c>
      <c r="J693">
        <v>63.2</v>
      </c>
      <c r="K693">
        <v>0.4</v>
      </c>
      <c r="L693">
        <v>3.1</v>
      </c>
      <c r="M693">
        <v>1</v>
      </c>
      <c r="N693">
        <v>0.41199999999999992</v>
      </c>
      <c r="O693">
        <v>-0.3</v>
      </c>
      <c r="P693" t="s">
        <v>27</v>
      </c>
      <c r="Q693" t="s">
        <v>27</v>
      </c>
      <c r="R693" t="s">
        <v>27</v>
      </c>
      <c r="S693">
        <v>0</v>
      </c>
      <c r="T693">
        <v>1</v>
      </c>
      <c r="U693">
        <v>1.9</v>
      </c>
      <c r="V693" t="s">
        <v>27</v>
      </c>
      <c r="W693">
        <v>0.35299999999999998</v>
      </c>
      <c r="X693">
        <v>0.20599999999999999</v>
      </c>
      <c r="Y693" t="s">
        <v>27</v>
      </c>
      <c r="Z693" t="s">
        <v>27</v>
      </c>
      <c r="AA693" t="s">
        <v>27</v>
      </c>
      <c r="AB693" t="s">
        <v>27</v>
      </c>
      <c r="AC693" t="s">
        <v>27</v>
      </c>
      <c r="AD693" t="s">
        <v>27</v>
      </c>
      <c r="AE693" t="s">
        <v>27</v>
      </c>
      <c r="AF693" t="s">
        <v>27</v>
      </c>
      <c r="AG693">
        <v>6.47</v>
      </c>
    </row>
    <row r="694" spans="1:33" x14ac:dyDescent="0.25">
      <c r="A694" t="s">
        <v>57</v>
      </c>
      <c r="B694" s="3">
        <v>44155</v>
      </c>
      <c r="C694">
        <v>2020325</v>
      </c>
      <c r="D694">
        <v>0.78</v>
      </c>
      <c r="E694" t="s">
        <v>27</v>
      </c>
      <c r="F694">
        <v>-5.6</v>
      </c>
      <c r="G694">
        <v>-2.2999999999999998</v>
      </c>
      <c r="H694">
        <v>-10.6</v>
      </c>
      <c r="I694">
        <v>89.8</v>
      </c>
      <c r="J694">
        <v>82.1</v>
      </c>
      <c r="K694">
        <v>0.1</v>
      </c>
      <c r="L694">
        <v>2.2000000000000002</v>
      </c>
      <c r="M694">
        <v>0</v>
      </c>
      <c r="N694">
        <v>0.39800000000000013</v>
      </c>
      <c r="O694">
        <v>-0.7</v>
      </c>
      <c r="P694" t="s">
        <v>27</v>
      </c>
      <c r="Q694" t="s">
        <v>27</v>
      </c>
      <c r="R694" t="s">
        <v>27</v>
      </c>
      <c r="S694">
        <v>0</v>
      </c>
      <c r="T694">
        <v>1</v>
      </c>
      <c r="U694">
        <v>1.9</v>
      </c>
      <c r="V694" t="s">
        <v>27</v>
      </c>
      <c r="W694">
        <v>0.42299999999999999</v>
      </c>
      <c r="X694">
        <v>9.1999999999999998E-2</v>
      </c>
      <c r="Y694" t="s">
        <v>27</v>
      </c>
      <c r="Z694" t="s">
        <v>27</v>
      </c>
      <c r="AA694" t="s">
        <v>27</v>
      </c>
      <c r="AB694" t="s">
        <v>27</v>
      </c>
      <c r="AC694" t="s">
        <v>27</v>
      </c>
      <c r="AD694" t="s">
        <v>27</v>
      </c>
      <c r="AE694" t="s">
        <v>27</v>
      </c>
      <c r="AF694" t="s">
        <v>27</v>
      </c>
      <c r="AG694">
        <v>6.37</v>
      </c>
    </row>
    <row r="695" spans="1:33" x14ac:dyDescent="0.25">
      <c r="A695" t="s">
        <v>57</v>
      </c>
      <c r="B695" s="3">
        <v>44156</v>
      </c>
      <c r="C695">
        <v>2020326</v>
      </c>
      <c r="D695">
        <v>5.17</v>
      </c>
      <c r="E695" t="s">
        <v>27</v>
      </c>
      <c r="F695">
        <v>-3.5</v>
      </c>
      <c r="G695">
        <v>2.2000000000000002</v>
      </c>
      <c r="H695">
        <v>-9</v>
      </c>
      <c r="I695">
        <v>86.4</v>
      </c>
      <c r="J695">
        <v>63.8</v>
      </c>
      <c r="K695">
        <v>0.6</v>
      </c>
      <c r="L695">
        <v>2.8</v>
      </c>
      <c r="M695">
        <v>0</v>
      </c>
      <c r="N695">
        <v>0.38600000000000012</v>
      </c>
      <c r="O695">
        <v>-0.7</v>
      </c>
      <c r="P695" t="s">
        <v>27</v>
      </c>
      <c r="Q695" t="s">
        <v>27</v>
      </c>
      <c r="R695" t="s">
        <v>27</v>
      </c>
      <c r="S695">
        <v>0</v>
      </c>
      <c r="T695">
        <v>1</v>
      </c>
      <c r="U695">
        <v>1.8</v>
      </c>
      <c r="V695" t="s">
        <v>27</v>
      </c>
      <c r="W695">
        <v>0.45700000000000002</v>
      </c>
      <c r="X695">
        <v>0.25900000000000001</v>
      </c>
      <c r="Y695" t="s">
        <v>27</v>
      </c>
      <c r="Z695" t="s">
        <v>27</v>
      </c>
      <c r="AA695" t="s">
        <v>27</v>
      </c>
      <c r="AB695" t="s">
        <v>27</v>
      </c>
      <c r="AC695" t="s">
        <v>27</v>
      </c>
      <c r="AD695" t="s">
        <v>27</v>
      </c>
      <c r="AE695" t="s">
        <v>27</v>
      </c>
      <c r="AF695" t="s">
        <v>27</v>
      </c>
      <c r="AG695">
        <v>6.26</v>
      </c>
    </row>
    <row r="696" spans="1:33" x14ac:dyDescent="0.25">
      <c r="A696" t="s">
        <v>57</v>
      </c>
      <c r="B696" s="3">
        <v>44157</v>
      </c>
      <c r="C696">
        <v>2020327</v>
      </c>
      <c r="D696">
        <v>2.85</v>
      </c>
      <c r="E696" t="s">
        <v>27</v>
      </c>
      <c r="F696">
        <v>-4.8</v>
      </c>
      <c r="G696">
        <v>-3.5</v>
      </c>
      <c r="H696">
        <v>-5.8</v>
      </c>
      <c r="I696">
        <v>91.7</v>
      </c>
      <c r="J696">
        <v>87.5</v>
      </c>
      <c r="K696">
        <v>0.6</v>
      </c>
      <c r="L696">
        <v>1.8</v>
      </c>
      <c r="M696">
        <v>0</v>
      </c>
      <c r="N696">
        <v>0.38500000000000023</v>
      </c>
      <c r="O696">
        <v>-0.7</v>
      </c>
      <c r="P696" t="s">
        <v>27</v>
      </c>
      <c r="Q696" t="s">
        <v>27</v>
      </c>
      <c r="R696" t="s">
        <v>27</v>
      </c>
      <c r="S696">
        <v>0</v>
      </c>
      <c r="T696">
        <v>1</v>
      </c>
      <c r="U696">
        <v>1.8</v>
      </c>
      <c r="V696" t="s">
        <v>27</v>
      </c>
      <c r="W696">
        <v>0.41299999999999998</v>
      </c>
      <c r="X696">
        <v>5.8999999999999997E-2</v>
      </c>
      <c r="Y696" t="s">
        <v>27</v>
      </c>
      <c r="Z696" t="s">
        <v>27</v>
      </c>
      <c r="AA696" t="s">
        <v>27</v>
      </c>
      <c r="AB696" t="s">
        <v>27</v>
      </c>
      <c r="AC696" t="s">
        <v>27</v>
      </c>
      <c r="AD696" t="s">
        <v>27</v>
      </c>
      <c r="AE696" t="s">
        <v>27</v>
      </c>
      <c r="AF696" t="s">
        <v>27</v>
      </c>
      <c r="AG696">
        <v>6.17</v>
      </c>
    </row>
    <row r="697" spans="1:33" x14ac:dyDescent="0.25">
      <c r="A697" t="s">
        <v>57</v>
      </c>
      <c r="B697" s="3">
        <v>44158</v>
      </c>
      <c r="C697">
        <v>2020328</v>
      </c>
      <c r="D697">
        <v>1.1499999999999999</v>
      </c>
      <c r="E697" t="s">
        <v>27</v>
      </c>
      <c r="F697">
        <v>-4.5</v>
      </c>
      <c r="G697">
        <v>-2.1</v>
      </c>
      <c r="H697">
        <v>-7.1</v>
      </c>
      <c r="I697">
        <v>91.9</v>
      </c>
      <c r="J697">
        <v>82.4</v>
      </c>
      <c r="K697">
        <v>0.2</v>
      </c>
      <c r="L697">
        <v>2</v>
      </c>
      <c r="M697">
        <v>1</v>
      </c>
      <c r="N697">
        <v>0.37800000000000011</v>
      </c>
      <c r="O697">
        <v>-0.6</v>
      </c>
      <c r="P697" t="s">
        <v>27</v>
      </c>
      <c r="Q697" t="s">
        <v>27</v>
      </c>
      <c r="R697" t="s">
        <v>27</v>
      </c>
      <c r="S697">
        <v>0</v>
      </c>
      <c r="T697">
        <v>1</v>
      </c>
      <c r="U697">
        <v>1.8</v>
      </c>
      <c r="V697" t="s">
        <v>27</v>
      </c>
      <c r="W697">
        <v>0.43</v>
      </c>
      <c r="X697">
        <v>9.1999999999999998E-2</v>
      </c>
      <c r="Y697" t="s">
        <v>27</v>
      </c>
      <c r="Z697" t="s">
        <v>27</v>
      </c>
      <c r="AA697" t="s">
        <v>27</v>
      </c>
      <c r="AB697" t="s">
        <v>27</v>
      </c>
      <c r="AC697" t="s">
        <v>27</v>
      </c>
      <c r="AD697" t="s">
        <v>27</v>
      </c>
      <c r="AE697" t="s">
        <v>27</v>
      </c>
      <c r="AF697" t="s">
        <v>27</v>
      </c>
      <c r="AG697">
        <v>6.07</v>
      </c>
    </row>
    <row r="698" spans="1:33" x14ac:dyDescent="0.25">
      <c r="A698" t="s">
        <v>57</v>
      </c>
      <c r="B698" s="3">
        <v>44159</v>
      </c>
      <c r="C698">
        <v>2020329</v>
      </c>
      <c r="D698">
        <v>1.1499999999999999</v>
      </c>
      <c r="E698" t="s">
        <v>27</v>
      </c>
      <c r="F698">
        <v>-4.3</v>
      </c>
      <c r="G698">
        <v>-2.4</v>
      </c>
      <c r="H698">
        <v>-5.7</v>
      </c>
      <c r="I698">
        <v>92.7</v>
      </c>
      <c r="J698">
        <v>89.4</v>
      </c>
      <c r="K698">
        <v>0.6</v>
      </c>
      <c r="L698">
        <v>2.8</v>
      </c>
      <c r="M698">
        <v>0</v>
      </c>
      <c r="N698">
        <v>0.37000000000000011</v>
      </c>
      <c r="O698">
        <v>-0.4</v>
      </c>
      <c r="P698" t="s">
        <v>27</v>
      </c>
      <c r="Q698" t="s">
        <v>27</v>
      </c>
      <c r="R698" t="s">
        <v>27</v>
      </c>
      <c r="S698">
        <v>0</v>
      </c>
      <c r="T698">
        <v>1</v>
      </c>
      <c r="U698">
        <v>1.8</v>
      </c>
      <c r="V698" t="s">
        <v>27</v>
      </c>
      <c r="W698">
        <v>0.45700000000000002</v>
      </c>
      <c r="X698">
        <v>5.3999999999999999E-2</v>
      </c>
      <c r="Y698" t="s">
        <v>27</v>
      </c>
      <c r="Z698" t="s">
        <v>27</v>
      </c>
      <c r="AA698" t="s">
        <v>27</v>
      </c>
      <c r="AB698" t="s">
        <v>27</v>
      </c>
      <c r="AC698" t="s">
        <v>27</v>
      </c>
      <c r="AD698" t="s">
        <v>27</v>
      </c>
      <c r="AE698" t="s">
        <v>27</v>
      </c>
      <c r="AF698" t="s">
        <v>27</v>
      </c>
      <c r="AG698">
        <v>5.99</v>
      </c>
    </row>
    <row r="699" spans="1:33" x14ac:dyDescent="0.25">
      <c r="A699" t="s">
        <v>57</v>
      </c>
      <c r="B699" s="3">
        <v>44160</v>
      </c>
      <c r="C699">
        <v>2020330</v>
      </c>
      <c r="D699">
        <v>1.79</v>
      </c>
      <c r="E699" t="s">
        <v>27</v>
      </c>
      <c r="F699">
        <v>-4.3</v>
      </c>
      <c r="G699">
        <v>-1.3</v>
      </c>
      <c r="H699">
        <v>-7.3</v>
      </c>
      <c r="I699">
        <v>84.5</v>
      </c>
      <c r="J699">
        <v>68.400000000000006</v>
      </c>
      <c r="K699">
        <v>1.1000000000000001</v>
      </c>
      <c r="L699">
        <v>3.2</v>
      </c>
      <c r="M699">
        <v>1</v>
      </c>
      <c r="N699">
        <v>0.38500000000000023</v>
      </c>
      <c r="O699">
        <v>-0.5</v>
      </c>
      <c r="P699" t="s">
        <v>27</v>
      </c>
      <c r="Q699" t="s">
        <v>27</v>
      </c>
      <c r="R699" t="s">
        <v>27</v>
      </c>
      <c r="S699">
        <v>0</v>
      </c>
      <c r="T699">
        <v>0.9</v>
      </c>
      <c r="U699">
        <v>1.8</v>
      </c>
      <c r="V699" t="s">
        <v>27</v>
      </c>
      <c r="W699">
        <v>0.38</v>
      </c>
      <c r="X699">
        <v>0.17599999999999999</v>
      </c>
      <c r="Y699" t="s">
        <v>27</v>
      </c>
      <c r="Z699" t="s">
        <v>27</v>
      </c>
      <c r="AA699" t="s">
        <v>27</v>
      </c>
      <c r="AB699" t="s">
        <v>27</v>
      </c>
      <c r="AC699" t="s">
        <v>27</v>
      </c>
      <c r="AD699" t="s">
        <v>27</v>
      </c>
      <c r="AE699" t="s">
        <v>27</v>
      </c>
      <c r="AF699" t="s">
        <v>27</v>
      </c>
      <c r="AG699">
        <v>5.9</v>
      </c>
    </row>
    <row r="700" spans="1:33" x14ac:dyDescent="0.25">
      <c r="A700" t="s">
        <v>57</v>
      </c>
      <c r="B700" s="3">
        <v>44161</v>
      </c>
      <c r="C700">
        <v>2020331</v>
      </c>
      <c r="D700">
        <v>3.93</v>
      </c>
      <c r="E700" t="s">
        <v>27</v>
      </c>
      <c r="F700">
        <v>-3.2</v>
      </c>
      <c r="G700">
        <v>1.3</v>
      </c>
      <c r="H700">
        <v>-7.5</v>
      </c>
      <c r="I700">
        <v>81.099999999999994</v>
      </c>
      <c r="J700">
        <v>56.2</v>
      </c>
      <c r="K700">
        <v>0.8</v>
      </c>
      <c r="L700">
        <v>2.7</v>
      </c>
      <c r="M700">
        <v>0</v>
      </c>
      <c r="N700">
        <v>0.379</v>
      </c>
      <c r="O700">
        <v>-0.6</v>
      </c>
      <c r="P700" t="s">
        <v>27</v>
      </c>
      <c r="Q700" t="s">
        <v>27</v>
      </c>
      <c r="R700" t="s">
        <v>27</v>
      </c>
      <c r="S700">
        <v>0</v>
      </c>
      <c r="T700">
        <v>0.9</v>
      </c>
      <c r="U700">
        <v>1.8</v>
      </c>
      <c r="V700" t="s">
        <v>27</v>
      </c>
      <c r="W700">
        <v>0.378</v>
      </c>
      <c r="X700">
        <v>0.29499999999999998</v>
      </c>
      <c r="Y700" t="s">
        <v>27</v>
      </c>
      <c r="Z700" t="s">
        <v>27</v>
      </c>
      <c r="AA700" t="s">
        <v>27</v>
      </c>
      <c r="AB700" t="s">
        <v>27</v>
      </c>
      <c r="AC700" t="s">
        <v>27</v>
      </c>
      <c r="AD700" t="s">
        <v>27</v>
      </c>
      <c r="AE700" t="s">
        <v>27</v>
      </c>
      <c r="AF700" t="s">
        <v>27</v>
      </c>
      <c r="AG700">
        <v>5.82</v>
      </c>
    </row>
    <row r="701" spans="1:33" x14ac:dyDescent="0.25">
      <c r="A701" t="s">
        <v>57</v>
      </c>
      <c r="B701" s="3">
        <v>44162</v>
      </c>
      <c r="C701">
        <v>2020332</v>
      </c>
      <c r="D701">
        <v>4.1100000000000003</v>
      </c>
      <c r="E701" t="s">
        <v>27</v>
      </c>
      <c r="F701">
        <v>-3.3</v>
      </c>
      <c r="G701">
        <v>-1.6</v>
      </c>
      <c r="H701">
        <v>-4.9000000000000004</v>
      </c>
      <c r="I701">
        <v>89.7</v>
      </c>
      <c r="J701">
        <v>77.5</v>
      </c>
      <c r="K701">
        <v>0.7</v>
      </c>
      <c r="L701">
        <v>2.2999999999999998</v>
      </c>
      <c r="M701">
        <v>0</v>
      </c>
      <c r="N701">
        <v>0.37599999999999989</v>
      </c>
      <c r="O701">
        <v>-0.5</v>
      </c>
      <c r="P701" t="s">
        <v>27</v>
      </c>
      <c r="Q701" t="s">
        <v>27</v>
      </c>
      <c r="R701" t="s">
        <v>27</v>
      </c>
      <c r="S701">
        <v>0</v>
      </c>
      <c r="T701">
        <v>0.9</v>
      </c>
      <c r="U701">
        <v>1.7</v>
      </c>
      <c r="V701" t="s">
        <v>27</v>
      </c>
      <c r="W701">
        <v>0.42199999999999999</v>
      </c>
      <c r="X701">
        <v>0.123</v>
      </c>
      <c r="Y701" t="s">
        <v>27</v>
      </c>
      <c r="Z701" t="s">
        <v>27</v>
      </c>
      <c r="AA701" t="s">
        <v>27</v>
      </c>
      <c r="AB701" t="s">
        <v>27</v>
      </c>
      <c r="AC701" t="s">
        <v>27</v>
      </c>
      <c r="AD701" t="s">
        <v>27</v>
      </c>
      <c r="AE701" t="s">
        <v>27</v>
      </c>
      <c r="AF701" t="s">
        <v>27</v>
      </c>
      <c r="AG701">
        <v>5.74</v>
      </c>
    </row>
    <row r="702" spans="1:33" x14ac:dyDescent="0.25">
      <c r="A702" t="s">
        <v>57</v>
      </c>
      <c r="B702" s="3">
        <v>44163</v>
      </c>
      <c r="C702">
        <v>2020333</v>
      </c>
      <c r="D702">
        <v>2.4700000000000002</v>
      </c>
      <c r="E702" t="s">
        <v>27</v>
      </c>
      <c r="F702">
        <v>-4.3</v>
      </c>
      <c r="G702">
        <v>-0.3</v>
      </c>
      <c r="H702">
        <v>-11.3</v>
      </c>
      <c r="I702">
        <v>83.3</v>
      </c>
      <c r="J702">
        <v>67.900000000000006</v>
      </c>
      <c r="K702">
        <v>0.7</v>
      </c>
      <c r="L702">
        <v>3.4</v>
      </c>
      <c r="M702">
        <v>0</v>
      </c>
      <c r="N702">
        <v>0.36399999999999988</v>
      </c>
      <c r="O702">
        <v>-0.5</v>
      </c>
      <c r="P702" t="s">
        <v>27</v>
      </c>
      <c r="Q702" t="s">
        <v>27</v>
      </c>
      <c r="R702" t="s">
        <v>27</v>
      </c>
      <c r="S702">
        <v>0</v>
      </c>
      <c r="T702">
        <v>0.9</v>
      </c>
      <c r="U702">
        <v>1.7</v>
      </c>
      <c r="V702" t="s">
        <v>27</v>
      </c>
      <c r="W702">
        <v>0.40699999999999997</v>
      </c>
      <c r="X702">
        <v>0.192</v>
      </c>
      <c r="Y702" t="s">
        <v>27</v>
      </c>
      <c r="Z702" t="s">
        <v>27</v>
      </c>
      <c r="AA702" t="s">
        <v>27</v>
      </c>
      <c r="AB702" t="s">
        <v>27</v>
      </c>
      <c r="AC702" t="s">
        <v>27</v>
      </c>
      <c r="AD702" t="s">
        <v>27</v>
      </c>
      <c r="AE702" t="s">
        <v>27</v>
      </c>
      <c r="AF702" t="s">
        <v>27</v>
      </c>
      <c r="AG702">
        <v>5.67</v>
      </c>
    </row>
    <row r="703" spans="1:33" x14ac:dyDescent="0.25">
      <c r="A703" t="s">
        <v>57</v>
      </c>
      <c r="B703" s="3">
        <v>44164</v>
      </c>
      <c r="C703">
        <v>2020334</v>
      </c>
      <c r="D703">
        <v>4.5599999999999996</v>
      </c>
      <c r="E703" t="s">
        <v>27</v>
      </c>
      <c r="F703">
        <v>-4.7</v>
      </c>
      <c r="G703">
        <v>-2.2000000000000002</v>
      </c>
      <c r="H703">
        <v>-9.1999999999999993</v>
      </c>
      <c r="I703">
        <v>90.4</v>
      </c>
      <c r="J703">
        <v>82.4</v>
      </c>
      <c r="K703">
        <v>0.8</v>
      </c>
      <c r="L703">
        <v>2.2000000000000002</v>
      </c>
      <c r="M703">
        <v>0</v>
      </c>
      <c r="N703">
        <v>0.3620000000000001</v>
      </c>
      <c r="O703">
        <v>-1</v>
      </c>
      <c r="P703" t="s">
        <v>27</v>
      </c>
      <c r="Q703" t="s">
        <v>27</v>
      </c>
      <c r="R703" t="s">
        <v>27</v>
      </c>
      <c r="S703">
        <v>0</v>
      </c>
      <c r="T703">
        <v>0.9</v>
      </c>
      <c r="U703">
        <v>1.7</v>
      </c>
      <c r="V703" t="s">
        <v>27</v>
      </c>
      <c r="W703">
        <v>0.42699999999999999</v>
      </c>
      <c r="X703">
        <v>9.0999999999999998E-2</v>
      </c>
      <c r="Y703" t="s">
        <v>27</v>
      </c>
      <c r="Z703" t="s">
        <v>27</v>
      </c>
      <c r="AA703" t="s">
        <v>27</v>
      </c>
      <c r="AB703" t="s">
        <v>27</v>
      </c>
      <c r="AC703" t="s">
        <v>27</v>
      </c>
      <c r="AD703" t="s">
        <v>27</v>
      </c>
      <c r="AE703" t="s">
        <v>27</v>
      </c>
      <c r="AF703" t="s">
        <v>27</v>
      </c>
      <c r="AG703">
        <v>5.6</v>
      </c>
    </row>
    <row r="704" spans="1:33" x14ac:dyDescent="0.25">
      <c r="A704" t="s">
        <v>57</v>
      </c>
      <c r="B704" s="3">
        <v>44165</v>
      </c>
      <c r="C704">
        <v>2020335</v>
      </c>
      <c r="D704">
        <v>1</v>
      </c>
      <c r="E704" t="s">
        <v>27</v>
      </c>
      <c r="F704">
        <v>-3</v>
      </c>
      <c r="G704">
        <v>-1.2</v>
      </c>
      <c r="H704">
        <v>-5.2</v>
      </c>
      <c r="I704">
        <v>83.3</v>
      </c>
      <c r="J704">
        <v>61.6</v>
      </c>
      <c r="K704">
        <v>1.4</v>
      </c>
      <c r="L704">
        <v>4.2</v>
      </c>
      <c r="M704">
        <v>2</v>
      </c>
      <c r="N704">
        <v>0.38600000000000012</v>
      </c>
      <c r="O704">
        <v>-0.7</v>
      </c>
      <c r="P704" t="s">
        <v>27</v>
      </c>
      <c r="Q704" t="s">
        <v>27</v>
      </c>
      <c r="R704" t="s">
        <v>27</v>
      </c>
      <c r="S704">
        <v>0</v>
      </c>
      <c r="T704">
        <v>0.9</v>
      </c>
      <c r="U704">
        <v>1.7</v>
      </c>
      <c r="V704" t="s">
        <v>27</v>
      </c>
      <c r="W704">
        <v>0.34399999999999997</v>
      </c>
      <c r="X704">
        <v>0.214</v>
      </c>
      <c r="Y704" t="s">
        <v>27</v>
      </c>
      <c r="Z704" t="s">
        <v>27</v>
      </c>
      <c r="AA704" t="s">
        <v>27</v>
      </c>
      <c r="AB704" t="s">
        <v>27</v>
      </c>
      <c r="AC704" t="s">
        <v>27</v>
      </c>
      <c r="AD704" t="s">
        <v>27</v>
      </c>
      <c r="AE704" t="s">
        <v>27</v>
      </c>
      <c r="AF704" t="s">
        <v>27</v>
      </c>
      <c r="AG704">
        <v>5.53</v>
      </c>
    </row>
    <row r="705" spans="1:33" x14ac:dyDescent="0.25">
      <c r="A705" t="s">
        <v>57</v>
      </c>
      <c r="B705" s="3">
        <v>44166</v>
      </c>
      <c r="C705">
        <v>2020336</v>
      </c>
      <c r="D705">
        <v>4.95</v>
      </c>
      <c r="E705" t="s">
        <v>27</v>
      </c>
      <c r="F705">
        <v>-7.3</v>
      </c>
      <c r="G705">
        <v>0.3</v>
      </c>
      <c r="H705">
        <v>-13.3</v>
      </c>
      <c r="I705">
        <v>71.5</v>
      </c>
      <c r="J705">
        <v>37.200000000000003</v>
      </c>
      <c r="K705">
        <v>0.6</v>
      </c>
      <c r="L705">
        <v>3.2</v>
      </c>
      <c r="M705">
        <v>1</v>
      </c>
      <c r="N705">
        <v>0.38200000000000012</v>
      </c>
      <c r="O705">
        <v>-0.9</v>
      </c>
      <c r="P705" t="s">
        <v>27</v>
      </c>
      <c r="Q705" t="s">
        <v>27</v>
      </c>
      <c r="R705" t="s">
        <v>27</v>
      </c>
      <c r="S705">
        <v>0</v>
      </c>
      <c r="T705">
        <v>0.8</v>
      </c>
      <c r="U705">
        <v>1.6</v>
      </c>
      <c r="V705" t="s">
        <v>27</v>
      </c>
      <c r="W705">
        <v>0.23200000000000001</v>
      </c>
      <c r="X705">
        <v>0.39200000000000002</v>
      </c>
      <c r="Y705" t="s">
        <v>27</v>
      </c>
      <c r="Z705" t="s">
        <v>27</v>
      </c>
      <c r="AA705" t="s">
        <v>27</v>
      </c>
      <c r="AB705" t="s">
        <v>27</v>
      </c>
      <c r="AC705" t="s">
        <v>27</v>
      </c>
      <c r="AD705" t="s">
        <v>27</v>
      </c>
      <c r="AE705" t="s">
        <v>27</v>
      </c>
      <c r="AF705" t="s">
        <v>27</v>
      </c>
      <c r="AG705">
        <v>5.47</v>
      </c>
    </row>
    <row r="706" spans="1:33" x14ac:dyDescent="0.25">
      <c r="A706" t="s">
        <v>57</v>
      </c>
      <c r="B706" s="3">
        <v>44167</v>
      </c>
      <c r="C706">
        <v>2020337</v>
      </c>
      <c r="D706">
        <v>4.82</v>
      </c>
      <c r="E706" t="s">
        <v>27</v>
      </c>
      <c r="F706">
        <v>-4.5999999999999996</v>
      </c>
      <c r="G706">
        <v>4.0999999999999996</v>
      </c>
      <c r="H706">
        <v>-12.2</v>
      </c>
      <c r="I706">
        <v>65.2</v>
      </c>
      <c r="J706">
        <v>36.1</v>
      </c>
      <c r="K706">
        <v>0.5</v>
      </c>
      <c r="L706">
        <v>2.1</v>
      </c>
      <c r="M706">
        <v>0</v>
      </c>
      <c r="N706">
        <v>0.379</v>
      </c>
      <c r="O706">
        <v>-1.3</v>
      </c>
      <c r="P706" t="s">
        <v>27</v>
      </c>
      <c r="Q706" t="s">
        <v>27</v>
      </c>
      <c r="R706" t="s">
        <v>27</v>
      </c>
      <c r="S706">
        <v>0</v>
      </c>
      <c r="T706">
        <v>0.8</v>
      </c>
      <c r="U706">
        <v>1.6</v>
      </c>
      <c r="V706" t="s">
        <v>27</v>
      </c>
      <c r="W706">
        <v>0.29599999999999999</v>
      </c>
      <c r="X706">
        <v>0.52400000000000002</v>
      </c>
      <c r="Y706" t="s">
        <v>27</v>
      </c>
      <c r="Z706" t="s">
        <v>27</v>
      </c>
      <c r="AA706" t="s">
        <v>27</v>
      </c>
      <c r="AB706" t="s">
        <v>27</v>
      </c>
      <c r="AC706" t="s">
        <v>27</v>
      </c>
      <c r="AD706" t="s">
        <v>27</v>
      </c>
      <c r="AE706" t="s">
        <v>27</v>
      </c>
      <c r="AF706" t="s">
        <v>27</v>
      </c>
      <c r="AG706">
        <v>5.41</v>
      </c>
    </row>
    <row r="707" spans="1:33" x14ac:dyDescent="0.25">
      <c r="A707" t="s">
        <v>57</v>
      </c>
      <c r="B707" s="3">
        <v>44168</v>
      </c>
      <c r="C707">
        <v>2020338</v>
      </c>
      <c r="D707">
        <v>3.68</v>
      </c>
      <c r="E707" t="s">
        <v>27</v>
      </c>
      <c r="F707">
        <v>-2</v>
      </c>
      <c r="G707">
        <v>1.3</v>
      </c>
      <c r="H707">
        <v>-6.4</v>
      </c>
      <c r="I707">
        <v>69.5</v>
      </c>
      <c r="J707">
        <v>53.9</v>
      </c>
      <c r="K707">
        <v>0.6</v>
      </c>
      <c r="L707">
        <v>2.2999999999999998</v>
      </c>
      <c r="M707">
        <v>0</v>
      </c>
      <c r="N707">
        <v>0.37999999999999989</v>
      </c>
      <c r="O707">
        <v>-1.2</v>
      </c>
      <c r="P707" t="s">
        <v>27</v>
      </c>
      <c r="Q707" t="s">
        <v>27</v>
      </c>
      <c r="R707" t="s">
        <v>27</v>
      </c>
      <c r="S707">
        <v>-0.1</v>
      </c>
      <c r="T707">
        <v>0.8</v>
      </c>
      <c r="U707">
        <v>1.6</v>
      </c>
      <c r="V707" t="s">
        <v>27</v>
      </c>
      <c r="W707">
        <v>0.36099999999999999</v>
      </c>
      <c r="X707">
        <v>0.309</v>
      </c>
      <c r="Y707" t="s">
        <v>27</v>
      </c>
      <c r="Z707" t="s">
        <v>27</v>
      </c>
      <c r="AA707" t="s">
        <v>27</v>
      </c>
      <c r="AB707" t="s">
        <v>27</v>
      </c>
      <c r="AC707" t="s">
        <v>27</v>
      </c>
      <c r="AD707" t="s">
        <v>27</v>
      </c>
      <c r="AE707" t="s">
        <v>27</v>
      </c>
      <c r="AF707" t="s">
        <v>27</v>
      </c>
      <c r="AG707">
        <v>5.35</v>
      </c>
    </row>
    <row r="708" spans="1:33" x14ac:dyDescent="0.25">
      <c r="A708" t="s">
        <v>57</v>
      </c>
      <c r="B708" s="3">
        <v>44169</v>
      </c>
      <c r="C708">
        <v>2020339</v>
      </c>
      <c r="D708">
        <v>4.99</v>
      </c>
      <c r="E708" t="s">
        <v>27</v>
      </c>
      <c r="F708">
        <v>-4.9000000000000004</v>
      </c>
      <c r="G708">
        <v>7.2</v>
      </c>
      <c r="H708">
        <v>-9.1</v>
      </c>
      <c r="I708">
        <v>83</v>
      </c>
      <c r="J708">
        <v>42.1</v>
      </c>
      <c r="K708">
        <v>0.2</v>
      </c>
      <c r="L708">
        <v>1.1000000000000001</v>
      </c>
      <c r="M708">
        <v>0</v>
      </c>
      <c r="N708">
        <v>0.37000000000000011</v>
      </c>
      <c r="O708">
        <v>-1.2</v>
      </c>
      <c r="P708" t="s">
        <v>27</v>
      </c>
      <c r="Q708" t="s">
        <v>27</v>
      </c>
      <c r="R708" t="s">
        <v>27</v>
      </c>
      <c r="S708">
        <v>-0.1</v>
      </c>
      <c r="T708">
        <v>0.8</v>
      </c>
      <c r="U708">
        <v>1.6</v>
      </c>
      <c r="V708" t="s">
        <v>27</v>
      </c>
      <c r="W708">
        <v>0.42799999999999999</v>
      </c>
      <c r="X708">
        <v>0.58899999999999997</v>
      </c>
      <c r="Y708" t="s">
        <v>27</v>
      </c>
      <c r="Z708" t="s">
        <v>27</v>
      </c>
      <c r="AA708" t="s">
        <v>27</v>
      </c>
      <c r="AB708" t="s">
        <v>27</v>
      </c>
      <c r="AC708" t="s">
        <v>27</v>
      </c>
      <c r="AD708" t="s">
        <v>27</v>
      </c>
      <c r="AE708" t="s">
        <v>27</v>
      </c>
      <c r="AF708" t="s">
        <v>27</v>
      </c>
      <c r="AG708">
        <v>5.3</v>
      </c>
    </row>
    <row r="709" spans="1:33" x14ac:dyDescent="0.25">
      <c r="A709" t="s">
        <v>57</v>
      </c>
      <c r="B709" s="3">
        <v>44170</v>
      </c>
      <c r="C709">
        <v>2020340</v>
      </c>
      <c r="D709">
        <v>4.9000000000000004</v>
      </c>
      <c r="E709" t="s">
        <v>27</v>
      </c>
      <c r="F709">
        <v>-2.5</v>
      </c>
      <c r="G709">
        <v>3.1</v>
      </c>
      <c r="H709">
        <v>-9.1999999999999993</v>
      </c>
      <c r="I709">
        <v>70.099999999999994</v>
      </c>
      <c r="J709">
        <v>45.9</v>
      </c>
      <c r="K709">
        <v>0.8</v>
      </c>
      <c r="L709">
        <v>2.4</v>
      </c>
      <c r="M709">
        <v>0</v>
      </c>
      <c r="N709">
        <v>0.37700000000000022</v>
      </c>
      <c r="O709">
        <v>-1.4</v>
      </c>
      <c r="P709" t="s">
        <v>27</v>
      </c>
      <c r="Q709" t="s">
        <v>27</v>
      </c>
      <c r="R709" t="s">
        <v>27</v>
      </c>
      <c r="S709">
        <v>-0.1</v>
      </c>
      <c r="T709">
        <v>0.8</v>
      </c>
      <c r="U709">
        <v>1.6</v>
      </c>
      <c r="V709" t="s">
        <v>27</v>
      </c>
      <c r="W709">
        <v>0.35</v>
      </c>
      <c r="X709">
        <v>0.41299999999999998</v>
      </c>
      <c r="Y709" t="s">
        <v>27</v>
      </c>
      <c r="Z709" t="s">
        <v>27</v>
      </c>
      <c r="AA709" t="s">
        <v>27</v>
      </c>
      <c r="AB709" t="s">
        <v>27</v>
      </c>
      <c r="AC709" t="s">
        <v>27</v>
      </c>
      <c r="AD709" t="s">
        <v>27</v>
      </c>
      <c r="AE709" t="s">
        <v>27</v>
      </c>
      <c r="AF709" t="s">
        <v>27</v>
      </c>
      <c r="AG709">
        <v>5.24</v>
      </c>
    </row>
    <row r="710" spans="1:33" x14ac:dyDescent="0.25">
      <c r="A710" t="s">
        <v>57</v>
      </c>
      <c r="B710" s="3">
        <v>44171</v>
      </c>
      <c r="C710">
        <v>2020341</v>
      </c>
      <c r="D710">
        <v>3.95</v>
      </c>
      <c r="E710" t="s">
        <v>27</v>
      </c>
      <c r="F710">
        <v>-3.8</v>
      </c>
      <c r="G710">
        <v>5.5</v>
      </c>
      <c r="H710">
        <v>-10.3</v>
      </c>
      <c r="I710">
        <v>74.7</v>
      </c>
      <c r="J710">
        <v>41.9</v>
      </c>
      <c r="K710">
        <v>0.3</v>
      </c>
      <c r="L710">
        <v>1.6</v>
      </c>
      <c r="M710">
        <v>0</v>
      </c>
      <c r="N710">
        <v>0.36699999999999999</v>
      </c>
      <c r="O710">
        <v>-1.3</v>
      </c>
      <c r="P710" t="s">
        <v>27</v>
      </c>
      <c r="Q710" t="s">
        <v>27</v>
      </c>
      <c r="R710" t="s">
        <v>27</v>
      </c>
      <c r="S710">
        <v>-0.1</v>
      </c>
      <c r="T710">
        <v>0.8</v>
      </c>
      <c r="U710">
        <v>1.5</v>
      </c>
      <c r="V710" t="s">
        <v>27</v>
      </c>
      <c r="W710">
        <v>0.379</v>
      </c>
      <c r="X710">
        <v>0.52600000000000002</v>
      </c>
      <c r="Y710" t="s">
        <v>27</v>
      </c>
      <c r="Z710" t="s">
        <v>27</v>
      </c>
      <c r="AA710" t="s">
        <v>27</v>
      </c>
      <c r="AB710" t="s">
        <v>27</v>
      </c>
      <c r="AC710" t="s">
        <v>27</v>
      </c>
      <c r="AD710" t="s">
        <v>27</v>
      </c>
      <c r="AE710" t="s">
        <v>27</v>
      </c>
      <c r="AF710" t="s">
        <v>27</v>
      </c>
      <c r="AG710">
        <v>5.2</v>
      </c>
    </row>
    <row r="711" spans="1:33" x14ac:dyDescent="0.25">
      <c r="A711" t="s">
        <v>57</v>
      </c>
      <c r="B711" s="3">
        <v>44172</v>
      </c>
      <c r="C711">
        <v>2020342</v>
      </c>
      <c r="D711">
        <v>1.43</v>
      </c>
      <c r="E711" t="s">
        <v>27</v>
      </c>
      <c r="F711">
        <v>-3.3</v>
      </c>
      <c r="G711">
        <v>-2.1</v>
      </c>
      <c r="H711">
        <v>-4.5</v>
      </c>
      <c r="I711">
        <v>90.3</v>
      </c>
      <c r="J711">
        <v>78.099999999999994</v>
      </c>
      <c r="K711">
        <v>1.2</v>
      </c>
      <c r="L711">
        <v>2.6</v>
      </c>
      <c r="M711">
        <v>0</v>
      </c>
      <c r="N711">
        <v>0.38200000000000012</v>
      </c>
      <c r="O711">
        <v>-1</v>
      </c>
      <c r="P711" t="s">
        <v>27</v>
      </c>
      <c r="Q711" t="s">
        <v>27</v>
      </c>
      <c r="R711" t="s">
        <v>27</v>
      </c>
      <c r="S711">
        <v>-0.1</v>
      </c>
      <c r="T711">
        <v>0.8</v>
      </c>
      <c r="U711">
        <v>1.5</v>
      </c>
      <c r="V711" t="s">
        <v>27</v>
      </c>
      <c r="W711">
        <v>0.40699999999999997</v>
      </c>
      <c r="X711">
        <v>0.114</v>
      </c>
      <c r="Y711" t="s">
        <v>27</v>
      </c>
      <c r="Z711" t="s">
        <v>27</v>
      </c>
      <c r="AA711" t="s">
        <v>27</v>
      </c>
      <c r="AB711" t="s">
        <v>27</v>
      </c>
      <c r="AC711" t="s">
        <v>27</v>
      </c>
      <c r="AD711" t="s">
        <v>27</v>
      </c>
      <c r="AE711" t="s">
        <v>27</v>
      </c>
      <c r="AF711" t="s">
        <v>27</v>
      </c>
      <c r="AG711">
        <v>5.15</v>
      </c>
    </row>
    <row r="712" spans="1:33" x14ac:dyDescent="0.25">
      <c r="A712" t="s">
        <v>57</v>
      </c>
      <c r="B712" s="3">
        <v>44173</v>
      </c>
      <c r="C712">
        <v>2020343</v>
      </c>
      <c r="D712">
        <v>0.65</v>
      </c>
      <c r="E712" t="s">
        <v>27</v>
      </c>
      <c r="F712">
        <v>-0.3</v>
      </c>
      <c r="G712">
        <v>1.1000000000000001</v>
      </c>
      <c r="H712">
        <v>-3.3</v>
      </c>
      <c r="I712">
        <v>95.9</v>
      </c>
      <c r="J712">
        <v>94</v>
      </c>
      <c r="K712">
        <v>0.3</v>
      </c>
      <c r="L712">
        <v>1.9</v>
      </c>
      <c r="M712">
        <v>15</v>
      </c>
      <c r="N712">
        <v>0.44100000000000028</v>
      </c>
      <c r="O712">
        <v>-0.2</v>
      </c>
      <c r="P712" t="s">
        <v>27</v>
      </c>
      <c r="Q712" t="s">
        <v>27</v>
      </c>
      <c r="R712" t="s">
        <v>27</v>
      </c>
      <c r="S712">
        <v>0</v>
      </c>
      <c r="T712">
        <v>0.8</v>
      </c>
      <c r="U712">
        <v>1.5</v>
      </c>
      <c r="V712" t="s">
        <v>27</v>
      </c>
      <c r="W712">
        <v>0.62</v>
      </c>
      <c r="X712">
        <v>0.04</v>
      </c>
      <c r="Y712" t="s">
        <v>27</v>
      </c>
      <c r="Z712" t="s">
        <v>27</v>
      </c>
      <c r="AA712" t="s">
        <v>27</v>
      </c>
      <c r="AB712" t="s">
        <v>27</v>
      </c>
      <c r="AC712" t="s">
        <v>27</v>
      </c>
      <c r="AD712" t="s">
        <v>27</v>
      </c>
      <c r="AE712" t="s">
        <v>27</v>
      </c>
      <c r="AF712" t="s">
        <v>27</v>
      </c>
      <c r="AG712">
        <v>5.1100000000000003</v>
      </c>
    </row>
    <row r="713" spans="1:33" x14ac:dyDescent="0.25">
      <c r="A713" t="s">
        <v>57</v>
      </c>
      <c r="B713" s="3">
        <v>44174</v>
      </c>
      <c r="C713">
        <v>2020344</v>
      </c>
      <c r="D713">
        <v>0.93</v>
      </c>
      <c r="E713" t="s">
        <v>27</v>
      </c>
      <c r="F713">
        <v>-1.9</v>
      </c>
      <c r="G713">
        <v>0.1</v>
      </c>
      <c r="H713">
        <v>-5.3</v>
      </c>
      <c r="I713">
        <v>92</v>
      </c>
      <c r="J713">
        <v>82.7</v>
      </c>
      <c r="K713">
        <v>0.4</v>
      </c>
      <c r="L713">
        <v>2.7</v>
      </c>
      <c r="M713">
        <v>5</v>
      </c>
      <c r="N713">
        <v>0.496</v>
      </c>
      <c r="O713">
        <v>0</v>
      </c>
      <c r="P713" t="s">
        <v>27</v>
      </c>
      <c r="Q713" t="s">
        <v>27</v>
      </c>
      <c r="R713" t="s">
        <v>27</v>
      </c>
      <c r="S713">
        <v>0</v>
      </c>
      <c r="T713">
        <v>0.7</v>
      </c>
      <c r="U713">
        <v>1.5</v>
      </c>
      <c r="V713" t="s">
        <v>27</v>
      </c>
      <c r="W713">
        <v>0.50800000000000001</v>
      </c>
      <c r="X713">
        <v>0.106</v>
      </c>
      <c r="Y713" t="s">
        <v>27</v>
      </c>
      <c r="Z713" t="s">
        <v>27</v>
      </c>
      <c r="AA713" t="s">
        <v>27</v>
      </c>
      <c r="AB713" t="s">
        <v>27</v>
      </c>
      <c r="AC713" t="s">
        <v>27</v>
      </c>
      <c r="AD713" t="s">
        <v>27</v>
      </c>
      <c r="AE713" t="s">
        <v>27</v>
      </c>
      <c r="AF713" t="s">
        <v>27</v>
      </c>
      <c r="AG713">
        <v>5.08</v>
      </c>
    </row>
    <row r="714" spans="1:33" x14ac:dyDescent="0.25">
      <c r="A714" t="s">
        <v>57</v>
      </c>
      <c r="B714" s="3">
        <v>44175</v>
      </c>
      <c r="C714">
        <v>2020345</v>
      </c>
      <c r="D714">
        <v>0.46</v>
      </c>
      <c r="E714" t="s">
        <v>27</v>
      </c>
      <c r="F714">
        <v>-6.1</v>
      </c>
      <c r="G714">
        <v>-2.7</v>
      </c>
      <c r="H714">
        <v>-10.8</v>
      </c>
      <c r="I714">
        <v>91.3</v>
      </c>
      <c r="J714">
        <v>86.9</v>
      </c>
      <c r="K714">
        <v>0.2</v>
      </c>
      <c r="L714">
        <v>1.3</v>
      </c>
      <c r="M714">
        <v>0</v>
      </c>
      <c r="N714">
        <v>0.4780000000000002</v>
      </c>
      <c r="O714">
        <v>-0.1</v>
      </c>
      <c r="P714" t="s">
        <v>27</v>
      </c>
      <c r="Q714" t="s">
        <v>27</v>
      </c>
      <c r="R714" t="s">
        <v>27</v>
      </c>
      <c r="S714">
        <v>0</v>
      </c>
      <c r="T714">
        <v>0.7</v>
      </c>
      <c r="U714">
        <v>1.4</v>
      </c>
      <c r="V714" t="s">
        <v>27</v>
      </c>
      <c r="W714">
        <v>0.435</v>
      </c>
      <c r="X714">
        <v>6.6000000000000003E-2</v>
      </c>
      <c r="Y714" t="s">
        <v>27</v>
      </c>
      <c r="Z714" t="s">
        <v>27</v>
      </c>
      <c r="AA714" t="s">
        <v>27</v>
      </c>
      <c r="AB714" t="s">
        <v>27</v>
      </c>
      <c r="AC714" t="s">
        <v>27</v>
      </c>
      <c r="AD714" t="s">
        <v>27</v>
      </c>
      <c r="AE714" t="s">
        <v>27</v>
      </c>
      <c r="AF714" t="s">
        <v>27</v>
      </c>
      <c r="AG714">
        <v>5.04</v>
      </c>
    </row>
    <row r="715" spans="1:33" x14ac:dyDescent="0.25">
      <c r="A715" t="s">
        <v>57</v>
      </c>
      <c r="B715" s="3">
        <v>44176</v>
      </c>
      <c r="C715">
        <v>2020346</v>
      </c>
      <c r="D715">
        <v>0.46</v>
      </c>
      <c r="E715" t="s">
        <v>27</v>
      </c>
      <c r="F715">
        <v>-5.3</v>
      </c>
      <c r="G715">
        <v>-3.3</v>
      </c>
      <c r="H715">
        <v>-7.1</v>
      </c>
      <c r="I715">
        <v>90.7</v>
      </c>
      <c r="J715">
        <v>85.5</v>
      </c>
      <c r="K715">
        <v>0.1</v>
      </c>
      <c r="L715">
        <v>0.8</v>
      </c>
      <c r="M715">
        <v>3</v>
      </c>
      <c r="N715">
        <v>0.496</v>
      </c>
      <c r="O715">
        <v>-0.2</v>
      </c>
      <c r="P715" t="s">
        <v>27</v>
      </c>
      <c r="Q715" t="s">
        <v>27</v>
      </c>
      <c r="R715" t="s">
        <v>27</v>
      </c>
      <c r="S715">
        <v>0</v>
      </c>
      <c r="T715">
        <v>0.7</v>
      </c>
      <c r="U715">
        <v>1.5</v>
      </c>
      <c r="V715" t="s">
        <v>27</v>
      </c>
      <c r="W715">
        <v>0.40899999999999997</v>
      </c>
      <c r="X715">
        <v>6.9000000000000006E-2</v>
      </c>
      <c r="Y715" t="s">
        <v>27</v>
      </c>
      <c r="Z715" t="s">
        <v>27</v>
      </c>
      <c r="AA715" t="s">
        <v>27</v>
      </c>
      <c r="AB715" t="s">
        <v>27</v>
      </c>
      <c r="AC715" t="s">
        <v>27</v>
      </c>
      <c r="AD715" t="s">
        <v>27</v>
      </c>
      <c r="AE715" t="s">
        <v>27</v>
      </c>
      <c r="AF715" t="s">
        <v>27</v>
      </c>
      <c r="AG715">
        <v>5.01</v>
      </c>
    </row>
    <row r="716" spans="1:33" x14ac:dyDescent="0.25">
      <c r="A716" t="s">
        <v>57</v>
      </c>
      <c r="B716" s="3">
        <v>44177</v>
      </c>
      <c r="C716">
        <v>2020347</v>
      </c>
      <c r="D716">
        <v>0.72</v>
      </c>
      <c r="E716" t="s">
        <v>27</v>
      </c>
      <c r="F716">
        <v>-6</v>
      </c>
      <c r="G716">
        <v>-2.8</v>
      </c>
      <c r="H716">
        <v>-8.1</v>
      </c>
      <c r="I716">
        <v>87.3</v>
      </c>
      <c r="J716">
        <v>72.5</v>
      </c>
      <c r="K716">
        <v>0.2</v>
      </c>
      <c r="L716">
        <v>1.3</v>
      </c>
      <c r="M716">
        <v>1</v>
      </c>
      <c r="N716">
        <v>0.46600000000000019</v>
      </c>
      <c r="O716">
        <v>-0.3</v>
      </c>
      <c r="P716" t="s">
        <v>27</v>
      </c>
      <c r="Q716" t="s">
        <v>27</v>
      </c>
      <c r="R716" t="s">
        <v>27</v>
      </c>
      <c r="S716">
        <v>0</v>
      </c>
      <c r="T716">
        <v>0.7</v>
      </c>
      <c r="U716">
        <v>1.4</v>
      </c>
      <c r="V716" t="s">
        <v>27</v>
      </c>
      <c r="W716">
        <v>0.36</v>
      </c>
      <c r="X716">
        <v>0.13700000000000001</v>
      </c>
      <c r="Y716" t="s">
        <v>27</v>
      </c>
      <c r="Z716" t="s">
        <v>27</v>
      </c>
      <c r="AA716" t="s">
        <v>27</v>
      </c>
      <c r="AB716" t="s">
        <v>27</v>
      </c>
      <c r="AC716" t="s">
        <v>27</v>
      </c>
      <c r="AD716" t="s">
        <v>27</v>
      </c>
      <c r="AE716" t="s">
        <v>27</v>
      </c>
      <c r="AF716" t="s">
        <v>27</v>
      </c>
      <c r="AG716">
        <v>4.99</v>
      </c>
    </row>
    <row r="717" spans="1:33" x14ac:dyDescent="0.25">
      <c r="A717" t="s">
        <v>57</v>
      </c>
      <c r="B717" s="3">
        <v>44178</v>
      </c>
      <c r="C717">
        <v>2020348</v>
      </c>
      <c r="D717">
        <v>0.33</v>
      </c>
      <c r="E717" t="s">
        <v>27</v>
      </c>
      <c r="F717">
        <v>-7.6</v>
      </c>
      <c r="G717">
        <v>-6.7</v>
      </c>
      <c r="H717">
        <v>-8.9</v>
      </c>
      <c r="I717">
        <v>90.5</v>
      </c>
      <c r="J717">
        <v>88.6</v>
      </c>
      <c r="K717">
        <v>0.3</v>
      </c>
      <c r="L717">
        <v>1.9</v>
      </c>
      <c r="M717">
        <v>2</v>
      </c>
      <c r="N717">
        <v>0.51500000000000012</v>
      </c>
      <c r="O717">
        <v>-0.4</v>
      </c>
      <c r="P717" t="s">
        <v>27</v>
      </c>
      <c r="Q717" t="s">
        <v>27</v>
      </c>
      <c r="R717" t="s">
        <v>27</v>
      </c>
      <c r="S717">
        <v>0</v>
      </c>
      <c r="T717">
        <v>0.7</v>
      </c>
      <c r="U717">
        <v>1.4</v>
      </c>
      <c r="V717" t="s">
        <v>27</v>
      </c>
      <c r="W717">
        <v>0.32900000000000001</v>
      </c>
      <c r="X717">
        <v>4.2000000000000003E-2</v>
      </c>
      <c r="Y717" t="s">
        <v>27</v>
      </c>
      <c r="Z717" t="s">
        <v>27</v>
      </c>
      <c r="AA717" t="s">
        <v>27</v>
      </c>
      <c r="AB717" t="s">
        <v>27</v>
      </c>
      <c r="AC717" t="s">
        <v>27</v>
      </c>
      <c r="AD717" t="s">
        <v>27</v>
      </c>
      <c r="AE717" t="s">
        <v>27</v>
      </c>
      <c r="AF717" t="s">
        <v>27</v>
      </c>
      <c r="AG717">
        <v>4.97</v>
      </c>
    </row>
    <row r="718" spans="1:33" x14ac:dyDescent="0.25">
      <c r="A718" t="s">
        <v>57</v>
      </c>
      <c r="B718" s="3">
        <v>44179</v>
      </c>
      <c r="C718">
        <v>2020349</v>
      </c>
      <c r="D718">
        <v>0.42</v>
      </c>
      <c r="E718" t="s">
        <v>27</v>
      </c>
      <c r="F718">
        <v>-5</v>
      </c>
      <c r="G718">
        <v>-1.7</v>
      </c>
      <c r="H718">
        <v>-7.4</v>
      </c>
      <c r="I718">
        <v>90.9</v>
      </c>
      <c r="J718">
        <v>84.5</v>
      </c>
      <c r="K718">
        <v>0.1</v>
      </c>
      <c r="L718">
        <v>0.9</v>
      </c>
      <c r="M718">
        <v>1</v>
      </c>
      <c r="N718">
        <v>0.498</v>
      </c>
      <c r="O718">
        <v>-0.4</v>
      </c>
      <c r="P718" t="s">
        <v>27</v>
      </c>
      <c r="Q718" t="s">
        <v>27</v>
      </c>
      <c r="R718" t="s">
        <v>27</v>
      </c>
      <c r="S718">
        <v>0</v>
      </c>
      <c r="T718">
        <v>0.7</v>
      </c>
      <c r="U718">
        <v>1.4</v>
      </c>
      <c r="V718" t="s">
        <v>27</v>
      </c>
      <c r="W718">
        <v>0.45400000000000001</v>
      </c>
      <c r="X718">
        <v>8.3000000000000004E-2</v>
      </c>
      <c r="Y718" t="s">
        <v>27</v>
      </c>
      <c r="Z718" t="s">
        <v>27</v>
      </c>
      <c r="AA718" t="s">
        <v>27</v>
      </c>
      <c r="AB718" t="s">
        <v>27</v>
      </c>
      <c r="AC718" t="s">
        <v>27</v>
      </c>
      <c r="AD718" t="s">
        <v>27</v>
      </c>
      <c r="AE718" t="s">
        <v>27</v>
      </c>
      <c r="AF718" t="s">
        <v>27</v>
      </c>
      <c r="AG718">
        <v>4.9400000000000004</v>
      </c>
    </row>
    <row r="719" spans="1:33" x14ac:dyDescent="0.25">
      <c r="A719" t="s">
        <v>57</v>
      </c>
      <c r="B719" s="3">
        <v>44180</v>
      </c>
      <c r="C719">
        <v>2020350</v>
      </c>
      <c r="D719">
        <v>0.35</v>
      </c>
      <c r="E719" t="s">
        <v>27</v>
      </c>
      <c r="F719">
        <v>-5.6</v>
      </c>
      <c r="G719">
        <v>-3.7</v>
      </c>
      <c r="H719">
        <v>-7.4</v>
      </c>
      <c r="I719">
        <v>90.8</v>
      </c>
      <c r="J719">
        <v>86.3</v>
      </c>
      <c r="K719">
        <v>0.1</v>
      </c>
      <c r="L719">
        <v>1.1000000000000001</v>
      </c>
      <c r="M719">
        <v>5</v>
      </c>
      <c r="N719">
        <v>0.56400000000000006</v>
      </c>
      <c r="O719">
        <v>-0.9</v>
      </c>
      <c r="P719" t="s">
        <v>27</v>
      </c>
      <c r="Q719" t="s">
        <v>27</v>
      </c>
      <c r="R719" t="s">
        <v>27</v>
      </c>
      <c r="S719">
        <v>0</v>
      </c>
      <c r="T719">
        <v>0.7</v>
      </c>
      <c r="U719">
        <v>1.4</v>
      </c>
      <c r="V719" t="s">
        <v>27</v>
      </c>
      <c r="W719">
        <v>0.40100000000000002</v>
      </c>
      <c r="X719">
        <v>6.4000000000000001E-2</v>
      </c>
      <c r="Y719" t="s">
        <v>27</v>
      </c>
      <c r="Z719" t="s">
        <v>27</v>
      </c>
      <c r="AA719" t="s">
        <v>27</v>
      </c>
      <c r="AB719" t="s">
        <v>27</v>
      </c>
      <c r="AC719" t="s">
        <v>27</v>
      </c>
      <c r="AD719" t="s">
        <v>27</v>
      </c>
      <c r="AE719" t="s">
        <v>27</v>
      </c>
      <c r="AF719" t="s">
        <v>27</v>
      </c>
      <c r="AG719">
        <v>4.93</v>
      </c>
    </row>
    <row r="720" spans="1:33" x14ac:dyDescent="0.25">
      <c r="A720" t="s">
        <v>57</v>
      </c>
      <c r="B720" s="3">
        <v>44181</v>
      </c>
      <c r="C720">
        <v>2020351</v>
      </c>
      <c r="D720">
        <v>0.33</v>
      </c>
      <c r="E720" t="s">
        <v>27</v>
      </c>
      <c r="F720">
        <v>-3.2</v>
      </c>
      <c r="G720">
        <v>-1.9</v>
      </c>
      <c r="H720">
        <v>-4.5</v>
      </c>
      <c r="I720">
        <v>91.2</v>
      </c>
      <c r="J720">
        <v>86.2</v>
      </c>
      <c r="K720">
        <v>0.5</v>
      </c>
      <c r="L720">
        <v>3.9</v>
      </c>
      <c r="M720">
        <v>3</v>
      </c>
      <c r="N720">
        <v>0.59400000000000008</v>
      </c>
      <c r="O720">
        <v>-0.7</v>
      </c>
      <c r="P720" t="s">
        <v>27</v>
      </c>
      <c r="Q720" t="s">
        <v>27</v>
      </c>
      <c r="R720" t="s">
        <v>27</v>
      </c>
      <c r="S720">
        <v>0</v>
      </c>
      <c r="T720">
        <v>0.8</v>
      </c>
      <c r="U720">
        <v>1.4</v>
      </c>
      <c r="V720" t="s">
        <v>27</v>
      </c>
      <c r="W720">
        <v>0.45700000000000002</v>
      </c>
      <c r="X720">
        <v>7.2999999999999995E-2</v>
      </c>
      <c r="Y720" t="s">
        <v>27</v>
      </c>
      <c r="Z720" t="s">
        <v>27</v>
      </c>
      <c r="AA720" t="s">
        <v>27</v>
      </c>
      <c r="AB720" t="s">
        <v>27</v>
      </c>
      <c r="AC720" t="s">
        <v>27</v>
      </c>
      <c r="AD720" t="s">
        <v>27</v>
      </c>
      <c r="AE720" t="s">
        <v>27</v>
      </c>
      <c r="AF720" t="s">
        <v>27</v>
      </c>
      <c r="AG720">
        <v>4.92</v>
      </c>
    </row>
    <row r="721" spans="1:33" x14ac:dyDescent="0.25">
      <c r="A721" t="s">
        <v>57</v>
      </c>
      <c r="B721" s="3">
        <v>44182</v>
      </c>
      <c r="C721">
        <v>2020352</v>
      </c>
      <c r="D721">
        <v>0.45</v>
      </c>
      <c r="E721" t="s">
        <v>27</v>
      </c>
      <c r="F721">
        <v>-3.5</v>
      </c>
      <c r="G721">
        <v>-1.6</v>
      </c>
      <c r="H721">
        <v>-7.5</v>
      </c>
      <c r="I721">
        <v>89.8</v>
      </c>
      <c r="J721">
        <v>83</v>
      </c>
      <c r="K721">
        <v>0.6</v>
      </c>
      <c r="L721">
        <v>2.9</v>
      </c>
      <c r="M721">
        <v>1</v>
      </c>
      <c r="N721">
        <v>0.58600000000000008</v>
      </c>
      <c r="O721">
        <v>-0.6</v>
      </c>
      <c r="P721" t="s">
        <v>27</v>
      </c>
      <c r="Q721" t="s">
        <v>27</v>
      </c>
      <c r="R721" t="s">
        <v>27</v>
      </c>
      <c r="S721">
        <v>0</v>
      </c>
      <c r="T721">
        <v>0.7</v>
      </c>
      <c r="U721">
        <v>1.4</v>
      </c>
      <c r="V721" t="s">
        <v>27</v>
      </c>
      <c r="W721">
        <v>0.45</v>
      </c>
      <c r="X721">
        <v>9.1999999999999998E-2</v>
      </c>
      <c r="Y721" t="s">
        <v>27</v>
      </c>
      <c r="Z721" t="s">
        <v>27</v>
      </c>
      <c r="AA721" t="s">
        <v>27</v>
      </c>
      <c r="AB721" t="s">
        <v>27</v>
      </c>
      <c r="AC721" t="s">
        <v>27</v>
      </c>
      <c r="AD721" t="s">
        <v>27</v>
      </c>
      <c r="AE721" t="s">
        <v>27</v>
      </c>
      <c r="AF721" t="s">
        <v>27</v>
      </c>
      <c r="AG721">
        <v>4.91</v>
      </c>
    </row>
    <row r="722" spans="1:33" x14ac:dyDescent="0.25">
      <c r="A722" t="s">
        <v>57</v>
      </c>
      <c r="B722" s="3">
        <v>44183</v>
      </c>
      <c r="C722">
        <v>2020353</v>
      </c>
      <c r="D722">
        <v>0.31</v>
      </c>
      <c r="E722" t="s">
        <v>27</v>
      </c>
      <c r="F722">
        <v>-2.9</v>
      </c>
      <c r="G722">
        <v>-1.6</v>
      </c>
      <c r="H722">
        <v>-4.4000000000000004</v>
      </c>
      <c r="I722">
        <v>91.5</v>
      </c>
      <c r="J722">
        <v>86.9</v>
      </c>
      <c r="K722">
        <v>0.3</v>
      </c>
      <c r="L722">
        <v>2.6</v>
      </c>
      <c r="M722">
        <v>1</v>
      </c>
      <c r="N722">
        <v>0.58900000000000019</v>
      </c>
      <c r="O722">
        <v>-0.6</v>
      </c>
      <c r="P722" t="s">
        <v>27</v>
      </c>
      <c r="Q722" t="s">
        <v>27</v>
      </c>
      <c r="R722" t="s">
        <v>27</v>
      </c>
      <c r="S722">
        <v>0</v>
      </c>
      <c r="T722">
        <v>0.8</v>
      </c>
      <c r="U722">
        <v>1.4</v>
      </c>
      <c r="V722" t="s">
        <v>27</v>
      </c>
      <c r="W722">
        <v>0.47299999999999998</v>
      </c>
      <c r="X722">
        <v>7.0999999999999994E-2</v>
      </c>
      <c r="Y722" t="s">
        <v>27</v>
      </c>
      <c r="Z722" t="s">
        <v>27</v>
      </c>
      <c r="AA722" t="s">
        <v>27</v>
      </c>
      <c r="AB722" t="s">
        <v>27</v>
      </c>
      <c r="AC722" t="s">
        <v>27</v>
      </c>
      <c r="AD722" t="s">
        <v>27</v>
      </c>
      <c r="AE722" t="s">
        <v>27</v>
      </c>
      <c r="AF722" t="s">
        <v>27</v>
      </c>
      <c r="AG722">
        <v>4.9000000000000004</v>
      </c>
    </row>
    <row r="723" spans="1:33" x14ac:dyDescent="0.25">
      <c r="A723" t="s">
        <v>57</v>
      </c>
      <c r="B723" s="3">
        <v>44184</v>
      </c>
      <c r="C723">
        <v>2020354</v>
      </c>
      <c r="D723">
        <v>0.52</v>
      </c>
      <c r="E723" t="s">
        <v>27</v>
      </c>
      <c r="F723">
        <v>-2.1</v>
      </c>
      <c r="G723">
        <v>-1</v>
      </c>
      <c r="H723">
        <v>-3.4</v>
      </c>
      <c r="I723">
        <v>85.9</v>
      </c>
      <c r="J723">
        <v>74.400000000000006</v>
      </c>
      <c r="K723">
        <v>1.1000000000000001</v>
      </c>
      <c r="L723">
        <v>3.7</v>
      </c>
      <c r="M723">
        <v>1</v>
      </c>
      <c r="N723">
        <v>0.57600000000000007</v>
      </c>
      <c r="O723">
        <v>-0.5</v>
      </c>
      <c r="P723" t="s">
        <v>27</v>
      </c>
      <c r="Q723" t="s">
        <v>27</v>
      </c>
      <c r="R723" t="s">
        <v>27</v>
      </c>
      <c r="S723">
        <v>0</v>
      </c>
      <c r="T723">
        <v>0.8</v>
      </c>
      <c r="U723">
        <v>1.4</v>
      </c>
      <c r="V723" t="s">
        <v>27</v>
      </c>
      <c r="W723">
        <v>0.42099999999999999</v>
      </c>
      <c r="X723">
        <v>0.14499999999999999</v>
      </c>
      <c r="Y723" t="s">
        <v>27</v>
      </c>
      <c r="Z723" t="s">
        <v>27</v>
      </c>
      <c r="AA723" t="s">
        <v>27</v>
      </c>
      <c r="AB723" t="s">
        <v>27</v>
      </c>
      <c r="AC723" t="s">
        <v>27</v>
      </c>
      <c r="AD723" t="s">
        <v>27</v>
      </c>
      <c r="AE723" t="s">
        <v>27</v>
      </c>
      <c r="AF723" t="s">
        <v>27</v>
      </c>
      <c r="AG723">
        <v>4.9000000000000004</v>
      </c>
    </row>
    <row r="724" spans="1:33" x14ac:dyDescent="0.25">
      <c r="A724" t="s">
        <v>57</v>
      </c>
      <c r="B724" s="3">
        <v>44185</v>
      </c>
      <c r="C724">
        <v>2020355</v>
      </c>
      <c r="D724">
        <v>0.85</v>
      </c>
      <c r="E724" t="s">
        <v>27</v>
      </c>
      <c r="F724">
        <v>-0.8</v>
      </c>
      <c r="G724">
        <v>0.9</v>
      </c>
      <c r="H724">
        <v>-3.6</v>
      </c>
      <c r="I724">
        <v>75</v>
      </c>
      <c r="J724">
        <v>59.2</v>
      </c>
      <c r="K724">
        <v>2</v>
      </c>
      <c r="L724">
        <v>5.2</v>
      </c>
      <c r="M724">
        <v>0</v>
      </c>
      <c r="N724">
        <v>0.56800000000000006</v>
      </c>
      <c r="O724">
        <v>-0.5</v>
      </c>
      <c r="P724" t="s">
        <v>27</v>
      </c>
      <c r="Q724" t="s">
        <v>27</v>
      </c>
      <c r="R724" t="s">
        <v>27</v>
      </c>
      <c r="S724">
        <v>0.1</v>
      </c>
      <c r="T724">
        <v>0.8</v>
      </c>
      <c r="U724">
        <v>1.4</v>
      </c>
      <c r="V724" t="s">
        <v>27</v>
      </c>
      <c r="W724">
        <v>0.38600000000000001</v>
      </c>
      <c r="X724">
        <v>0.26600000000000001</v>
      </c>
      <c r="Y724" t="s">
        <v>27</v>
      </c>
      <c r="Z724" t="s">
        <v>27</v>
      </c>
      <c r="AA724" t="s">
        <v>27</v>
      </c>
      <c r="AB724" t="s">
        <v>27</v>
      </c>
      <c r="AC724" t="s">
        <v>27</v>
      </c>
      <c r="AD724" t="s">
        <v>27</v>
      </c>
      <c r="AE724" t="s">
        <v>27</v>
      </c>
      <c r="AF724" t="s">
        <v>27</v>
      </c>
      <c r="AG724">
        <v>4.9000000000000004</v>
      </c>
    </row>
    <row r="725" spans="1:33" x14ac:dyDescent="0.25">
      <c r="A725" t="s">
        <v>57</v>
      </c>
      <c r="B725" s="3">
        <v>44186</v>
      </c>
      <c r="C725">
        <v>2020356</v>
      </c>
      <c r="D725">
        <v>0.47</v>
      </c>
      <c r="E725" t="s">
        <v>27</v>
      </c>
      <c r="F725">
        <v>-4.4000000000000004</v>
      </c>
      <c r="G725">
        <v>-1.9</v>
      </c>
      <c r="H725">
        <v>-6.9</v>
      </c>
      <c r="I725">
        <v>90.2</v>
      </c>
      <c r="J725">
        <v>77.099999999999994</v>
      </c>
      <c r="K725">
        <v>0.6</v>
      </c>
      <c r="L725">
        <v>3.4</v>
      </c>
      <c r="M725">
        <v>19</v>
      </c>
      <c r="N725">
        <v>0.78500000000000014</v>
      </c>
      <c r="O725">
        <v>-0.6</v>
      </c>
      <c r="P725" t="s">
        <v>27</v>
      </c>
      <c r="Q725" t="s">
        <v>27</v>
      </c>
      <c r="R725" t="s">
        <v>27</v>
      </c>
      <c r="S725">
        <v>0</v>
      </c>
      <c r="T725">
        <v>0.7</v>
      </c>
      <c r="U725">
        <v>1.4</v>
      </c>
      <c r="V725" t="s">
        <v>27</v>
      </c>
      <c r="W725">
        <v>0.40799999999999997</v>
      </c>
      <c r="X725">
        <v>0.121</v>
      </c>
      <c r="Y725" t="s">
        <v>27</v>
      </c>
      <c r="Z725" t="s">
        <v>27</v>
      </c>
      <c r="AA725" t="s">
        <v>27</v>
      </c>
      <c r="AB725" t="s">
        <v>27</v>
      </c>
      <c r="AC725" t="s">
        <v>27</v>
      </c>
      <c r="AD725" t="s">
        <v>27</v>
      </c>
      <c r="AE725" t="s">
        <v>27</v>
      </c>
      <c r="AF725" t="s">
        <v>27</v>
      </c>
      <c r="AG725">
        <v>4.9000000000000004</v>
      </c>
    </row>
    <row r="726" spans="1:33" x14ac:dyDescent="0.25">
      <c r="A726" t="s">
        <v>57</v>
      </c>
      <c r="B726" s="3">
        <v>44187</v>
      </c>
      <c r="C726">
        <v>2020357</v>
      </c>
      <c r="D726">
        <v>1.24</v>
      </c>
      <c r="E726" t="s">
        <v>27</v>
      </c>
      <c r="F726">
        <v>-9.6999999999999993</v>
      </c>
      <c r="G726">
        <v>-6.7</v>
      </c>
      <c r="H726">
        <v>-17.399999999999999</v>
      </c>
      <c r="I726">
        <v>87.1</v>
      </c>
      <c r="J726">
        <v>80.599999999999994</v>
      </c>
      <c r="K726">
        <v>1.4</v>
      </c>
      <c r="L726">
        <v>4.8</v>
      </c>
      <c r="M726">
        <v>7</v>
      </c>
      <c r="N726">
        <v>0.75500000000000012</v>
      </c>
      <c r="O726">
        <v>-0.6</v>
      </c>
      <c r="P726" t="s">
        <v>27</v>
      </c>
      <c r="Q726" t="s">
        <v>27</v>
      </c>
      <c r="R726" t="s">
        <v>27</v>
      </c>
      <c r="S726">
        <v>0</v>
      </c>
      <c r="T726">
        <v>0.7</v>
      </c>
      <c r="U726">
        <v>1.3</v>
      </c>
      <c r="V726" t="s">
        <v>27</v>
      </c>
      <c r="W726">
        <v>0.29799999999999999</v>
      </c>
      <c r="X726">
        <v>7.1999999999999995E-2</v>
      </c>
      <c r="Y726" t="s">
        <v>27</v>
      </c>
      <c r="Z726" t="s">
        <v>27</v>
      </c>
      <c r="AA726" t="s">
        <v>27</v>
      </c>
      <c r="AB726" t="s">
        <v>27</v>
      </c>
      <c r="AC726" t="s">
        <v>27</v>
      </c>
      <c r="AD726" t="s">
        <v>27</v>
      </c>
      <c r="AE726" t="s">
        <v>27</v>
      </c>
      <c r="AF726" t="s">
        <v>27</v>
      </c>
      <c r="AG726">
        <v>4.9000000000000004</v>
      </c>
    </row>
    <row r="727" spans="1:33" x14ac:dyDescent="0.25">
      <c r="A727" t="s">
        <v>57</v>
      </c>
      <c r="B727" s="3">
        <v>44188</v>
      </c>
      <c r="C727">
        <v>2020358</v>
      </c>
      <c r="D727">
        <v>3.13</v>
      </c>
      <c r="E727" t="s">
        <v>27</v>
      </c>
      <c r="F727">
        <v>-12.1</v>
      </c>
      <c r="G727">
        <v>-5</v>
      </c>
      <c r="H727">
        <v>-18.7</v>
      </c>
      <c r="I727">
        <v>83.8</v>
      </c>
      <c r="J727">
        <v>74.3</v>
      </c>
      <c r="K727">
        <v>0.3</v>
      </c>
      <c r="L727">
        <v>2.1</v>
      </c>
      <c r="M727">
        <v>0</v>
      </c>
      <c r="N727">
        <v>0.72700000000000009</v>
      </c>
      <c r="O727">
        <v>-0.6</v>
      </c>
      <c r="P727" t="s">
        <v>27</v>
      </c>
      <c r="Q727" t="s">
        <v>27</v>
      </c>
      <c r="R727" t="s">
        <v>27</v>
      </c>
      <c r="S727">
        <v>0</v>
      </c>
      <c r="T727">
        <v>0.7</v>
      </c>
      <c r="U727">
        <v>1.3</v>
      </c>
      <c r="V727" t="s">
        <v>27</v>
      </c>
      <c r="W727">
        <v>0.312</v>
      </c>
      <c r="X727">
        <v>0.108</v>
      </c>
      <c r="Y727" t="s">
        <v>27</v>
      </c>
      <c r="Z727" t="s">
        <v>27</v>
      </c>
      <c r="AA727" t="s">
        <v>27</v>
      </c>
      <c r="AB727" t="s">
        <v>27</v>
      </c>
      <c r="AC727" t="s">
        <v>27</v>
      </c>
      <c r="AD727" t="s">
        <v>27</v>
      </c>
      <c r="AE727" t="s">
        <v>27</v>
      </c>
      <c r="AF727" t="s">
        <v>27</v>
      </c>
      <c r="AG727">
        <v>4.92</v>
      </c>
    </row>
    <row r="728" spans="1:33" x14ac:dyDescent="0.25">
      <c r="A728" t="s">
        <v>57</v>
      </c>
      <c r="B728" s="3">
        <v>44189</v>
      </c>
      <c r="C728">
        <v>2020359</v>
      </c>
      <c r="D728">
        <v>2.4300000000000002</v>
      </c>
      <c r="E728" t="s">
        <v>27</v>
      </c>
      <c r="F728">
        <v>-8.8000000000000007</v>
      </c>
      <c r="G728">
        <v>-6.2</v>
      </c>
      <c r="H728">
        <v>-11.6</v>
      </c>
      <c r="I728">
        <v>81.5</v>
      </c>
      <c r="J728">
        <v>72.7</v>
      </c>
      <c r="K728">
        <v>0.8</v>
      </c>
      <c r="L728">
        <v>2.1</v>
      </c>
      <c r="M728">
        <v>0</v>
      </c>
      <c r="N728">
        <v>0.70400000000000018</v>
      </c>
      <c r="O728">
        <v>-0.9</v>
      </c>
      <c r="P728" t="s">
        <v>27</v>
      </c>
      <c r="Q728" t="s">
        <v>27</v>
      </c>
      <c r="R728" t="s">
        <v>27</v>
      </c>
      <c r="S728">
        <v>0</v>
      </c>
      <c r="T728">
        <v>0.7</v>
      </c>
      <c r="U728">
        <v>1.3</v>
      </c>
      <c r="V728" t="s">
        <v>27</v>
      </c>
      <c r="W728">
        <v>0.27800000000000002</v>
      </c>
      <c r="X728">
        <v>0.104</v>
      </c>
      <c r="Y728" t="s">
        <v>27</v>
      </c>
      <c r="Z728" t="s">
        <v>27</v>
      </c>
      <c r="AA728" t="s">
        <v>27</v>
      </c>
      <c r="AB728" t="s">
        <v>27</v>
      </c>
      <c r="AC728" t="s">
        <v>27</v>
      </c>
      <c r="AD728" t="s">
        <v>27</v>
      </c>
      <c r="AE728" t="s">
        <v>27</v>
      </c>
      <c r="AF728" t="s">
        <v>27</v>
      </c>
      <c r="AG728">
        <v>4.93</v>
      </c>
    </row>
    <row r="729" spans="1:33" x14ac:dyDescent="0.25">
      <c r="A729" t="s">
        <v>57</v>
      </c>
      <c r="B729" s="3">
        <v>44190</v>
      </c>
      <c r="C729">
        <v>2020360</v>
      </c>
      <c r="D729">
        <v>1.65</v>
      </c>
      <c r="E729" t="s">
        <v>27</v>
      </c>
      <c r="F729">
        <v>-6.4</v>
      </c>
      <c r="G729">
        <v>-4</v>
      </c>
      <c r="H729">
        <v>-9.1</v>
      </c>
      <c r="I729">
        <v>79.8</v>
      </c>
      <c r="J729">
        <v>67.2</v>
      </c>
      <c r="K729">
        <v>1</v>
      </c>
      <c r="L729">
        <v>2.2999999999999998</v>
      </c>
      <c r="M729">
        <v>0</v>
      </c>
      <c r="N729">
        <v>0.71000000000000019</v>
      </c>
      <c r="O729">
        <v>-1</v>
      </c>
      <c r="P729" t="s">
        <v>27</v>
      </c>
      <c r="Q729" t="s">
        <v>27</v>
      </c>
      <c r="R729" t="s">
        <v>27</v>
      </c>
      <c r="S729">
        <v>0</v>
      </c>
      <c r="T729">
        <v>0.7</v>
      </c>
      <c r="U729">
        <v>1.3</v>
      </c>
      <c r="V729" t="s">
        <v>27</v>
      </c>
      <c r="W729">
        <v>0.30499999999999999</v>
      </c>
      <c r="X729">
        <v>0.14899999999999999</v>
      </c>
      <c r="Y729" t="s">
        <v>27</v>
      </c>
      <c r="Z729" t="s">
        <v>27</v>
      </c>
      <c r="AA729" t="s">
        <v>27</v>
      </c>
      <c r="AB729" t="s">
        <v>27</v>
      </c>
      <c r="AC729" t="s">
        <v>27</v>
      </c>
      <c r="AD729" t="s">
        <v>27</v>
      </c>
      <c r="AE729" t="s">
        <v>27</v>
      </c>
      <c r="AF729" t="s">
        <v>27</v>
      </c>
      <c r="AG729">
        <v>4.95</v>
      </c>
    </row>
    <row r="730" spans="1:33" x14ac:dyDescent="0.25">
      <c r="A730" t="s">
        <v>57</v>
      </c>
      <c r="B730" s="3">
        <v>44191</v>
      </c>
      <c r="C730">
        <v>2020361</v>
      </c>
      <c r="D730">
        <v>1.68</v>
      </c>
      <c r="E730" t="s">
        <v>27</v>
      </c>
      <c r="F730">
        <v>-5.5</v>
      </c>
      <c r="G730">
        <v>-2.8</v>
      </c>
      <c r="H730">
        <v>-7.8</v>
      </c>
      <c r="I730">
        <v>91.2</v>
      </c>
      <c r="J730">
        <v>85.2</v>
      </c>
      <c r="K730">
        <v>0.3</v>
      </c>
      <c r="L730">
        <v>1.5</v>
      </c>
      <c r="M730">
        <v>0</v>
      </c>
      <c r="N730">
        <v>0.70100000000000007</v>
      </c>
      <c r="O730">
        <v>-0.9</v>
      </c>
      <c r="P730" t="s">
        <v>27</v>
      </c>
      <c r="Q730" t="s">
        <v>27</v>
      </c>
      <c r="R730" t="s">
        <v>27</v>
      </c>
      <c r="S730">
        <v>0</v>
      </c>
      <c r="T730">
        <v>0.7</v>
      </c>
      <c r="U730">
        <v>1.3</v>
      </c>
      <c r="V730" t="s">
        <v>27</v>
      </c>
      <c r="W730">
        <v>0.42499999999999999</v>
      </c>
      <c r="X730">
        <v>7.3999999999999996E-2</v>
      </c>
      <c r="Y730" t="s">
        <v>27</v>
      </c>
      <c r="Z730" t="s">
        <v>27</v>
      </c>
      <c r="AA730" t="s">
        <v>27</v>
      </c>
      <c r="AB730" t="s">
        <v>27</v>
      </c>
      <c r="AC730" t="s">
        <v>27</v>
      </c>
      <c r="AD730" t="s">
        <v>27</v>
      </c>
      <c r="AE730" t="s">
        <v>27</v>
      </c>
      <c r="AF730" t="s">
        <v>27</v>
      </c>
      <c r="AG730">
        <v>4.97</v>
      </c>
    </row>
    <row r="731" spans="1:33" x14ac:dyDescent="0.25">
      <c r="A731" t="s">
        <v>57</v>
      </c>
      <c r="B731" s="3">
        <v>44192</v>
      </c>
      <c r="C731">
        <v>2020362</v>
      </c>
      <c r="D731">
        <v>2.04</v>
      </c>
      <c r="E731" t="s">
        <v>27</v>
      </c>
      <c r="F731">
        <v>-6.5</v>
      </c>
      <c r="G731">
        <v>-2.8</v>
      </c>
      <c r="H731">
        <v>-10.8</v>
      </c>
      <c r="I731">
        <v>89.3</v>
      </c>
      <c r="J731">
        <v>80.7</v>
      </c>
      <c r="K731">
        <v>0.1</v>
      </c>
      <c r="L731">
        <v>1.4</v>
      </c>
      <c r="M731">
        <v>0</v>
      </c>
      <c r="N731">
        <v>0.69200000000000017</v>
      </c>
      <c r="O731">
        <v>-0.8</v>
      </c>
      <c r="P731" t="s">
        <v>27</v>
      </c>
      <c r="Q731" t="s">
        <v>27</v>
      </c>
      <c r="R731" t="s">
        <v>27</v>
      </c>
      <c r="S731">
        <v>0</v>
      </c>
      <c r="T731">
        <v>0.7</v>
      </c>
      <c r="U731">
        <v>1.3</v>
      </c>
      <c r="V731" t="s">
        <v>27</v>
      </c>
      <c r="W731">
        <v>0.40100000000000002</v>
      </c>
      <c r="X731">
        <v>9.6000000000000002E-2</v>
      </c>
      <c r="Y731" t="s">
        <v>27</v>
      </c>
      <c r="Z731" t="s">
        <v>27</v>
      </c>
      <c r="AA731" t="s">
        <v>27</v>
      </c>
      <c r="AB731" t="s">
        <v>27</v>
      </c>
      <c r="AC731" t="s">
        <v>27</v>
      </c>
      <c r="AD731" t="s">
        <v>27</v>
      </c>
      <c r="AE731" t="s">
        <v>27</v>
      </c>
      <c r="AF731" t="s">
        <v>27</v>
      </c>
      <c r="AG731">
        <v>5</v>
      </c>
    </row>
    <row r="732" spans="1:33" x14ac:dyDescent="0.25">
      <c r="A732" t="s">
        <v>57</v>
      </c>
      <c r="B732" s="3">
        <v>44193</v>
      </c>
      <c r="C732">
        <v>2020363</v>
      </c>
      <c r="D732">
        <v>1.17</v>
      </c>
      <c r="E732" t="s">
        <v>27</v>
      </c>
      <c r="F732">
        <v>-6.6</v>
      </c>
      <c r="G732">
        <v>-3.4</v>
      </c>
      <c r="H732">
        <v>-13.6</v>
      </c>
      <c r="I732">
        <v>90.1</v>
      </c>
      <c r="J732">
        <v>83.9</v>
      </c>
      <c r="K732">
        <v>0.3</v>
      </c>
      <c r="L732">
        <v>1.9</v>
      </c>
      <c r="M732">
        <v>0</v>
      </c>
      <c r="N732">
        <v>0.68700000000000006</v>
      </c>
      <c r="O732">
        <v>-0.8</v>
      </c>
      <c r="P732" t="s">
        <v>27</v>
      </c>
      <c r="Q732" t="s">
        <v>27</v>
      </c>
      <c r="R732" t="s">
        <v>27</v>
      </c>
      <c r="S732">
        <v>0</v>
      </c>
      <c r="T732">
        <v>0.7</v>
      </c>
      <c r="U732">
        <v>1.3</v>
      </c>
      <c r="V732" t="s">
        <v>27</v>
      </c>
      <c r="W732">
        <v>0.39900000000000002</v>
      </c>
      <c r="X732">
        <v>7.6999999999999999E-2</v>
      </c>
      <c r="Y732" t="s">
        <v>27</v>
      </c>
      <c r="Z732" t="s">
        <v>27</v>
      </c>
      <c r="AA732" t="s">
        <v>27</v>
      </c>
      <c r="AB732" t="s">
        <v>27</v>
      </c>
      <c r="AC732" t="s">
        <v>27</v>
      </c>
      <c r="AD732" t="s">
        <v>27</v>
      </c>
      <c r="AE732" t="s">
        <v>27</v>
      </c>
      <c r="AF732" t="s">
        <v>27</v>
      </c>
      <c r="AG732">
        <v>5.0199999999999996</v>
      </c>
    </row>
    <row r="733" spans="1:33" x14ac:dyDescent="0.25">
      <c r="A733" t="s">
        <v>57</v>
      </c>
      <c r="B733" s="3">
        <v>44194</v>
      </c>
      <c r="C733">
        <v>2020364</v>
      </c>
      <c r="D733">
        <v>0.93</v>
      </c>
      <c r="E733" t="s">
        <v>27</v>
      </c>
      <c r="F733">
        <v>-10.6</v>
      </c>
      <c r="G733">
        <v>-5.0999999999999996</v>
      </c>
      <c r="H733">
        <v>-15.8</v>
      </c>
      <c r="I733">
        <v>86.7</v>
      </c>
      <c r="J733">
        <v>81</v>
      </c>
      <c r="K733">
        <v>0.1</v>
      </c>
      <c r="L733">
        <v>1.6</v>
      </c>
      <c r="M733">
        <v>1</v>
      </c>
      <c r="N733">
        <v>0.68900000000000006</v>
      </c>
      <c r="O733">
        <v>-0.9</v>
      </c>
      <c r="P733" t="s">
        <v>27</v>
      </c>
      <c r="Q733" t="s">
        <v>27</v>
      </c>
      <c r="R733" t="s">
        <v>27</v>
      </c>
      <c r="S733">
        <v>0</v>
      </c>
      <c r="T733">
        <v>0.7</v>
      </c>
      <c r="U733">
        <v>1.3</v>
      </c>
      <c r="V733" t="s">
        <v>27</v>
      </c>
      <c r="W733">
        <v>0.33800000000000002</v>
      </c>
      <c r="X733">
        <v>7.9000000000000001E-2</v>
      </c>
      <c r="Y733" t="s">
        <v>27</v>
      </c>
      <c r="Z733" t="s">
        <v>27</v>
      </c>
      <c r="AA733" t="s">
        <v>27</v>
      </c>
      <c r="AB733" t="s">
        <v>27</v>
      </c>
      <c r="AC733" t="s">
        <v>27</v>
      </c>
      <c r="AD733" t="s">
        <v>27</v>
      </c>
      <c r="AE733" t="s">
        <v>27</v>
      </c>
      <c r="AF733" t="s">
        <v>27</v>
      </c>
      <c r="AG733">
        <v>5.05</v>
      </c>
    </row>
    <row r="734" spans="1:33" x14ac:dyDescent="0.25">
      <c r="A734" t="s">
        <v>57</v>
      </c>
      <c r="B734" s="3">
        <v>44195</v>
      </c>
      <c r="C734">
        <v>2020365</v>
      </c>
      <c r="D734">
        <v>0.57999999999999996</v>
      </c>
      <c r="E734" t="s">
        <v>27</v>
      </c>
      <c r="F734">
        <v>-7.9</v>
      </c>
      <c r="G734">
        <v>-6</v>
      </c>
      <c r="H734">
        <v>-9</v>
      </c>
      <c r="I734">
        <v>89.8</v>
      </c>
      <c r="J734">
        <v>87</v>
      </c>
      <c r="K734">
        <v>0.9</v>
      </c>
      <c r="L734">
        <v>2</v>
      </c>
      <c r="M734">
        <v>8</v>
      </c>
      <c r="N734">
        <v>0.76100000000000012</v>
      </c>
      <c r="O734">
        <v>-1</v>
      </c>
      <c r="P734" t="s">
        <v>27</v>
      </c>
      <c r="Q734" t="s">
        <v>27</v>
      </c>
      <c r="R734" t="s">
        <v>27</v>
      </c>
      <c r="S734">
        <v>0</v>
      </c>
      <c r="T734">
        <v>0.7</v>
      </c>
      <c r="U734">
        <v>1.3</v>
      </c>
      <c r="V734" t="s">
        <v>27</v>
      </c>
      <c r="W734">
        <v>0.33900000000000002</v>
      </c>
      <c r="X734">
        <v>5.0999999999999997E-2</v>
      </c>
      <c r="Y734" t="s">
        <v>27</v>
      </c>
      <c r="Z734" t="s">
        <v>27</v>
      </c>
      <c r="AA734" t="s">
        <v>27</v>
      </c>
      <c r="AB734" t="s">
        <v>27</v>
      </c>
      <c r="AC734" t="s">
        <v>27</v>
      </c>
      <c r="AD734" t="s">
        <v>27</v>
      </c>
      <c r="AE734" t="s">
        <v>27</v>
      </c>
      <c r="AF734" t="s">
        <v>27</v>
      </c>
      <c r="AG734">
        <v>5.09</v>
      </c>
    </row>
    <row r="735" spans="1:33" x14ac:dyDescent="0.25">
      <c r="A735" t="s">
        <v>57</v>
      </c>
      <c r="B735" s="3">
        <v>44196</v>
      </c>
      <c r="C735">
        <v>2020366</v>
      </c>
      <c r="D735">
        <v>0.94</v>
      </c>
      <c r="E735" t="s">
        <v>27</v>
      </c>
      <c r="F735">
        <v>-4.2</v>
      </c>
      <c r="G735">
        <v>0</v>
      </c>
      <c r="H735">
        <v>-8</v>
      </c>
      <c r="I735">
        <v>91.9</v>
      </c>
      <c r="J735">
        <v>86.1</v>
      </c>
      <c r="K735">
        <v>0.2</v>
      </c>
      <c r="L735">
        <v>2.6</v>
      </c>
      <c r="M735">
        <v>2</v>
      </c>
      <c r="N735">
        <v>0.75600000000000001</v>
      </c>
      <c r="O735">
        <v>-0.9</v>
      </c>
      <c r="P735" t="s">
        <v>27</v>
      </c>
      <c r="Q735" t="s">
        <v>27</v>
      </c>
      <c r="R735" t="s">
        <v>27</v>
      </c>
      <c r="S735">
        <v>0</v>
      </c>
      <c r="T735">
        <v>0.7</v>
      </c>
      <c r="U735">
        <v>1.3</v>
      </c>
      <c r="V735" t="s">
        <v>27</v>
      </c>
      <c r="W735">
        <v>0.52600000000000002</v>
      </c>
      <c r="X735">
        <v>8.5000000000000006E-2</v>
      </c>
      <c r="Y735" t="s">
        <v>27</v>
      </c>
      <c r="Z735" t="s">
        <v>27</v>
      </c>
      <c r="AA735" t="s">
        <v>27</v>
      </c>
      <c r="AB735" t="s">
        <v>27</v>
      </c>
      <c r="AC735" t="s">
        <v>27</v>
      </c>
      <c r="AD735" t="s">
        <v>27</v>
      </c>
      <c r="AE735" t="s">
        <v>27</v>
      </c>
      <c r="AF735" t="s">
        <v>27</v>
      </c>
      <c r="AG735">
        <v>5.12</v>
      </c>
    </row>
    <row r="736" spans="1:33" x14ac:dyDescent="0.25">
      <c r="A736" t="s">
        <v>57</v>
      </c>
      <c r="B736" s="5">
        <v>44197</v>
      </c>
      <c r="C736">
        <v>2021001</v>
      </c>
      <c r="D736">
        <v>0.42</v>
      </c>
      <c r="E736" t="s">
        <v>27</v>
      </c>
      <c r="F736">
        <v>-2.9</v>
      </c>
      <c r="G736">
        <v>-0.1</v>
      </c>
      <c r="H736">
        <v>-5.2</v>
      </c>
      <c r="I736">
        <v>92.1</v>
      </c>
      <c r="J736">
        <v>88.3</v>
      </c>
      <c r="K736">
        <v>0.5</v>
      </c>
      <c r="L736">
        <v>3</v>
      </c>
      <c r="M736">
        <v>3.7</v>
      </c>
      <c r="N736">
        <v>0.78200000000000003</v>
      </c>
      <c r="O736">
        <v>-0.8</v>
      </c>
      <c r="P736" t="s">
        <v>27</v>
      </c>
      <c r="Q736" t="s">
        <v>27</v>
      </c>
      <c r="R736" t="s">
        <v>27</v>
      </c>
      <c r="S736">
        <v>0.1</v>
      </c>
      <c r="T736">
        <v>0.7</v>
      </c>
      <c r="U736">
        <v>1.3</v>
      </c>
      <c r="V736" t="s">
        <v>27</v>
      </c>
      <c r="W736">
        <v>0.53400000000000003</v>
      </c>
      <c r="X736">
        <v>7.0999999999999994E-2</v>
      </c>
      <c r="Y736" t="s">
        <v>27</v>
      </c>
      <c r="Z736" t="s">
        <v>27</v>
      </c>
      <c r="AA736" t="s">
        <v>27</v>
      </c>
      <c r="AB736" t="s">
        <v>27</v>
      </c>
      <c r="AC736" t="s">
        <v>27</v>
      </c>
      <c r="AD736" t="s">
        <v>27</v>
      </c>
      <c r="AE736" t="s">
        <v>27</v>
      </c>
      <c r="AF736" t="s">
        <v>27</v>
      </c>
      <c r="AG736">
        <v>5.14</v>
      </c>
    </row>
    <row r="737" spans="1:33" x14ac:dyDescent="0.25">
      <c r="A737" t="s">
        <v>57</v>
      </c>
      <c r="B737" s="3">
        <v>44198</v>
      </c>
      <c r="C737">
        <v>2021002</v>
      </c>
      <c r="D737">
        <v>0.36</v>
      </c>
      <c r="E737" t="s">
        <v>27</v>
      </c>
      <c r="F737">
        <v>-1.8</v>
      </c>
      <c r="G737">
        <v>-0.7</v>
      </c>
      <c r="H737">
        <v>-4</v>
      </c>
      <c r="I737">
        <v>93</v>
      </c>
      <c r="J737">
        <v>88.2</v>
      </c>
      <c r="K737">
        <v>1.4</v>
      </c>
      <c r="L737">
        <v>4.4000000000000004</v>
      </c>
      <c r="M737">
        <v>5.5</v>
      </c>
      <c r="N737">
        <v>0.79900000000000015</v>
      </c>
      <c r="O737">
        <v>-0.6</v>
      </c>
      <c r="P737" t="s">
        <v>27</v>
      </c>
      <c r="Q737" t="s">
        <v>27</v>
      </c>
      <c r="R737" t="s">
        <v>27</v>
      </c>
      <c r="S737">
        <v>0.1</v>
      </c>
      <c r="T737">
        <v>0.7</v>
      </c>
      <c r="U737">
        <v>1.3</v>
      </c>
      <c r="V737" t="s">
        <v>27</v>
      </c>
      <c r="W737">
        <v>0.51100000000000001</v>
      </c>
      <c r="X737">
        <v>6.8000000000000005E-2</v>
      </c>
      <c r="Y737" t="s">
        <v>27</v>
      </c>
      <c r="Z737" t="s">
        <v>27</v>
      </c>
      <c r="AA737" t="s">
        <v>27</v>
      </c>
      <c r="AB737" t="s">
        <v>27</v>
      </c>
      <c r="AC737" t="s">
        <v>27</v>
      </c>
      <c r="AD737" t="s">
        <v>27</v>
      </c>
      <c r="AE737" t="s">
        <v>27</v>
      </c>
      <c r="AF737" t="s">
        <v>27</v>
      </c>
      <c r="AG737">
        <v>5.18</v>
      </c>
    </row>
    <row r="738" spans="1:33" x14ac:dyDescent="0.25">
      <c r="A738" t="s">
        <v>57</v>
      </c>
      <c r="B738" s="3">
        <v>44199</v>
      </c>
      <c r="C738">
        <v>2021003</v>
      </c>
      <c r="D738">
        <v>4.2300000000000004</v>
      </c>
      <c r="E738" t="s">
        <v>27</v>
      </c>
      <c r="F738">
        <v>-4.5999999999999996</v>
      </c>
      <c r="G738">
        <v>-1.5</v>
      </c>
      <c r="H738">
        <v>-7.5</v>
      </c>
      <c r="I738">
        <v>86.4</v>
      </c>
      <c r="J738">
        <v>70.7</v>
      </c>
      <c r="K738">
        <v>0.7</v>
      </c>
      <c r="L738">
        <v>3</v>
      </c>
      <c r="M738">
        <v>1.7</v>
      </c>
      <c r="N738">
        <v>0.79200000000000004</v>
      </c>
      <c r="O738">
        <v>-0.5</v>
      </c>
      <c r="P738" t="s">
        <v>27</v>
      </c>
      <c r="Q738" t="s">
        <v>27</v>
      </c>
      <c r="R738" t="s">
        <v>27</v>
      </c>
      <c r="S738">
        <v>0</v>
      </c>
      <c r="T738">
        <v>0.7</v>
      </c>
      <c r="U738">
        <v>1.3</v>
      </c>
      <c r="V738" t="s">
        <v>27</v>
      </c>
      <c r="W738">
        <v>0.38600000000000001</v>
      </c>
      <c r="X738">
        <v>0.16</v>
      </c>
      <c r="Y738" t="s">
        <v>27</v>
      </c>
      <c r="Z738" t="s">
        <v>27</v>
      </c>
      <c r="AA738" t="s">
        <v>27</v>
      </c>
      <c r="AB738" t="s">
        <v>27</v>
      </c>
      <c r="AC738" t="s">
        <v>27</v>
      </c>
      <c r="AD738" t="s">
        <v>27</v>
      </c>
      <c r="AE738" t="s">
        <v>27</v>
      </c>
      <c r="AF738" t="s">
        <v>27</v>
      </c>
      <c r="AG738">
        <v>5.22</v>
      </c>
    </row>
    <row r="739" spans="1:33" x14ac:dyDescent="0.25">
      <c r="A739" t="s">
        <v>57</v>
      </c>
      <c r="B739" s="3">
        <v>44200</v>
      </c>
      <c r="C739">
        <v>2021004</v>
      </c>
      <c r="D739">
        <v>0.73</v>
      </c>
      <c r="E739" t="s">
        <v>27</v>
      </c>
      <c r="F739">
        <v>-3</v>
      </c>
      <c r="G739">
        <v>-0.2</v>
      </c>
      <c r="H739">
        <v>-7.2</v>
      </c>
      <c r="I739">
        <v>88.4</v>
      </c>
      <c r="J739">
        <v>76.2</v>
      </c>
      <c r="K739">
        <v>1.1000000000000001</v>
      </c>
      <c r="L739">
        <v>4.0999999999999996</v>
      </c>
      <c r="M739">
        <v>2.4</v>
      </c>
      <c r="N739">
        <v>0.81100000000000017</v>
      </c>
      <c r="O739">
        <v>-0.5</v>
      </c>
      <c r="P739" t="s">
        <v>27</v>
      </c>
      <c r="Q739" t="s">
        <v>27</v>
      </c>
      <c r="R739" t="s">
        <v>27</v>
      </c>
      <c r="S739">
        <v>0.1</v>
      </c>
      <c r="T739">
        <v>0.7</v>
      </c>
      <c r="U739">
        <v>1.3</v>
      </c>
      <c r="V739" t="s">
        <v>27</v>
      </c>
      <c r="W739">
        <v>0.45800000000000002</v>
      </c>
      <c r="X739">
        <v>0.14299999999999999</v>
      </c>
      <c r="Y739" t="s">
        <v>27</v>
      </c>
      <c r="Z739" t="s">
        <v>27</v>
      </c>
      <c r="AA739" t="s">
        <v>27</v>
      </c>
      <c r="AB739" t="s">
        <v>27</v>
      </c>
      <c r="AC739" t="s">
        <v>27</v>
      </c>
      <c r="AD739" t="s">
        <v>27</v>
      </c>
      <c r="AE739" t="s">
        <v>27</v>
      </c>
      <c r="AF739" t="s">
        <v>27</v>
      </c>
      <c r="AG739">
        <v>5.27</v>
      </c>
    </row>
    <row r="740" spans="1:33" x14ac:dyDescent="0.25">
      <c r="A740" t="s">
        <v>57</v>
      </c>
      <c r="B740" s="3">
        <v>44201</v>
      </c>
      <c r="C740">
        <v>2021005</v>
      </c>
      <c r="D740">
        <v>1.23</v>
      </c>
      <c r="E740" t="s">
        <v>27</v>
      </c>
      <c r="F740">
        <v>-5.4</v>
      </c>
      <c r="G740">
        <v>-2.8</v>
      </c>
      <c r="H740">
        <v>-11.6</v>
      </c>
      <c r="I740">
        <v>87.4</v>
      </c>
      <c r="J740">
        <v>76.400000000000006</v>
      </c>
      <c r="K740">
        <v>1</v>
      </c>
      <c r="L740">
        <v>4</v>
      </c>
      <c r="M740">
        <v>0.3</v>
      </c>
      <c r="N740">
        <v>0.81100000000000017</v>
      </c>
      <c r="O740">
        <v>-0.5</v>
      </c>
      <c r="P740" t="s">
        <v>27</v>
      </c>
      <c r="Q740" t="s">
        <v>27</v>
      </c>
      <c r="R740" t="s">
        <v>27</v>
      </c>
      <c r="S740">
        <v>0.1</v>
      </c>
      <c r="T740">
        <v>0.7</v>
      </c>
      <c r="U740">
        <v>1.3</v>
      </c>
      <c r="V740" t="s">
        <v>27</v>
      </c>
      <c r="W740">
        <v>0.38100000000000001</v>
      </c>
      <c r="X740">
        <v>0.11799999999999999</v>
      </c>
      <c r="Y740" t="s">
        <v>27</v>
      </c>
      <c r="Z740" t="s">
        <v>27</v>
      </c>
      <c r="AA740" t="s">
        <v>27</v>
      </c>
      <c r="AB740" t="s">
        <v>27</v>
      </c>
      <c r="AC740" t="s">
        <v>27</v>
      </c>
      <c r="AD740" t="s">
        <v>27</v>
      </c>
      <c r="AE740" t="s">
        <v>27</v>
      </c>
      <c r="AF740" t="s">
        <v>27</v>
      </c>
      <c r="AG740">
        <v>5.32</v>
      </c>
    </row>
    <row r="741" spans="1:33" x14ac:dyDescent="0.25">
      <c r="A741" t="s">
        <v>57</v>
      </c>
      <c r="B741" s="3">
        <v>44202</v>
      </c>
      <c r="C741">
        <v>2021006</v>
      </c>
      <c r="D741">
        <v>2.21</v>
      </c>
      <c r="E741" t="s">
        <v>27</v>
      </c>
      <c r="F741">
        <v>-3</v>
      </c>
      <c r="G741">
        <v>0.6</v>
      </c>
      <c r="H741">
        <v>-7.8</v>
      </c>
      <c r="I741">
        <v>90.9</v>
      </c>
      <c r="J741">
        <v>80.2</v>
      </c>
      <c r="K741">
        <v>0.8</v>
      </c>
      <c r="L741">
        <v>3.8</v>
      </c>
      <c r="M741">
        <v>2.7</v>
      </c>
      <c r="N741">
        <v>0.80500000000000016</v>
      </c>
      <c r="O741">
        <v>-0.5</v>
      </c>
      <c r="P741" t="s">
        <v>27</v>
      </c>
      <c r="Q741" t="s">
        <v>27</v>
      </c>
      <c r="R741" t="s">
        <v>27</v>
      </c>
      <c r="S741">
        <v>0.1</v>
      </c>
      <c r="T741">
        <v>0.7</v>
      </c>
      <c r="U741">
        <v>1.3</v>
      </c>
      <c r="V741" t="s">
        <v>27</v>
      </c>
      <c r="W741">
        <v>0.51100000000000001</v>
      </c>
      <c r="X741">
        <v>0.126</v>
      </c>
      <c r="Y741" t="s">
        <v>27</v>
      </c>
      <c r="Z741" t="s">
        <v>27</v>
      </c>
      <c r="AA741" t="s">
        <v>27</v>
      </c>
      <c r="AB741" t="s">
        <v>27</v>
      </c>
      <c r="AC741" t="s">
        <v>27</v>
      </c>
      <c r="AD741" t="s">
        <v>27</v>
      </c>
      <c r="AE741" t="s">
        <v>27</v>
      </c>
      <c r="AF741" t="s">
        <v>27</v>
      </c>
      <c r="AG741">
        <v>5.37</v>
      </c>
    </row>
    <row r="742" spans="1:33" x14ac:dyDescent="0.25">
      <c r="A742" t="s">
        <v>57</v>
      </c>
      <c r="B742" s="3">
        <v>44203</v>
      </c>
      <c r="C742">
        <v>2021007</v>
      </c>
      <c r="D742">
        <v>4.0999999999999996</v>
      </c>
      <c r="E742" t="s">
        <v>27</v>
      </c>
      <c r="F742">
        <v>-6.3</v>
      </c>
      <c r="G742">
        <v>-0.8</v>
      </c>
      <c r="H742">
        <v>-13.4</v>
      </c>
      <c r="I742">
        <v>89</v>
      </c>
      <c r="J742">
        <v>75.400000000000006</v>
      </c>
      <c r="K742">
        <v>0.3</v>
      </c>
      <c r="L742">
        <v>2.1</v>
      </c>
      <c r="M742">
        <v>0</v>
      </c>
      <c r="N742">
        <v>0.78800000000000003</v>
      </c>
      <c r="O742">
        <v>-0.5</v>
      </c>
      <c r="P742" t="s">
        <v>27</v>
      </c>
      <c r="Q742" t="s">
        <v>27</v>
      </c>
      <c r="R742" t="s">
        <v>27</v>
      </c>
      <c r="S742">
        <v>0</v>
      </c>
      <c r="T742">
        <v>0.7</v>
      </c>
      <c r="U742">
        <v>1.2</v>
      </c>
      <c r="V742" t="s">
        <v>27</v>
      </c>
      <c r="W742">
        <v>0.434</v>
      </c>
      <c r="X742">
        <v>0.14199999999999999</v>
      </c>
      <c r="Y742" t="s">
        <v>27</v>
      </c>
      <c r="Z742" t="s">
        <v>27</v>
      </c>
      <c r="AA742" t="s">
        <v>27</v>
      </c>
      <c r="AB742" t="s">
        <v>27</v>
      </c>
      <c r="AC742" t="s">
        <v>27</v>
      </c>
      <c r="AD742" t="s">
        <v>27</v>
      </c>
      <c r="AE742" t="s">
        <v>27</v>
      </c>
      <c r="AF742" t="s">
        <v>27</v>
      </c>
      <c r="AG742">
        <v>5.43</v>
      </c>
    </row>
    <row r="743" spans="1:33" x14ac:dyDescent="0.25">
      <c r="A743" t="s">
        <v>57</v>
      </c>
      <c r="B743" s="3">
        <v>44204</v>
      </c>
      <c r="C743">
        <v>2021008</v>
      </c>
      <c r="D743">
        <v>1.47</v>
      </c>
      <c r="E743" t="s">
        <v>27</v>
      </c>
      <c r="F743">
        <v>-4.3</v>
      </c>
      <c r="G743">
        <v>-2.1</v>
      </c>
      <c r="H743">
        <v>-8.4</v>
      </c>
      <c r="I743">
        <v>90.3</v>
      </c>
      <c r="J743">
        <v>83.3</v>
      </c>
      <c r="K743">
        <v>0.4</v>
      </c>
      <c r="L743">
        <v>2.7</v>
      </c>
      <c r="M743">
        <v>0.9</v>
      </c>
      <c r="N743">
        <v>0.79</v>
      </c>
      <c r="O743">
        <v>-0.6</v>
      </c>
      <c r="P743" t="s">
        <v>27</v>
      </c>
      <c r="Q743" t="s">
        <v>27</v>
      </c>
      <c r="R743" t="s">
        <v>27</v>
      </c>
      <c r="S743">
        <v>0.1</v>
      </c>
      <c r="T743">
        <v>0.7</v>
      </c>
      <c r="U743">
        <v>1.3</v>
      </c>
      <c r="V743" t="s">
        <v>27</v>
      </c>
      <c r="W743">
        <v>0.437</v>
      </c>
      <c r="X743">
        <v>8.7999999999999995E-2</v>
      </c>
      <c r="Y743" t="s">
        <v>27</v>
      </c>
      <c r="Z743" t="s">
        <v>27</v>
      </c>
      <c r="AA743" t="s">
        <v>27</v>
      </c>
      <c r="AB743" t="s">
        <v>27</v>
      </c>
      <c r="AC743" t="s">
        <v>27</v>
      </c>
      <c r="AD743" t="s">
        <v>27</v>
      </c>
      <c r="AE743" t="s">
        <v>27</v>
      </c>
      <c r="AF743" t="s">
        <v>27</v>
      </c>
      <c r="AG743">
        <v>5.49</v>
      </c>
    </row>
    <row r="744" spans="1:33" x14ac:dyDescent="0.25">
      <c r="A744" t="s">
        <v>57</v>
      </c>
      <c r="B744" s="3">
        <v>44205</v>
      </c>
      <c r="C744">
        <v>2021009</v>
      </c>
      <c r="D744">
        <v>2.39</v>
      </c>
      <c r="E744" t="s">
        <v>27</v>
      </c>
      <c r="F744">
        <v>-7.9</v>
      </c>
      <c r="G744">
        <v>-4.8</v>
      </c>
      <c r="H744">
        <v>-14.4</v>
      </c>
      <c r="I744">
        <v>90</v>
      </c>
      <c r="J744">
        <v>83.4</v>
      </c>
      <c r="K744">
        <v>0.4</v>
      </c>
      <c r="L744">
        <v>1.9</v>
      </c>
      <c r="M744">
        <v>0.1</v>
      </c>
      <c r="N744">
        <v>0.78200000000000003</v>
      </c>
      <c r="O744">
        <v>-0.7</v>
      </c>
      <c r="P744" t="s">
        <v>27</v>
      </c>
      <c r="Q744" t="s">
        <v>27</v>
      </c>
      <c r="R744" t="s">
        <v>27</v>
      </c>
      <c r="S744">
        <v>0.1</v>
      </c>
      <c r="T744">
        <v>0.7</v>
      </c>
      <c r="U744">
        <v>1.2</v>
      </c>
      <c r="V744" t="s">
        <v>27</v>
      </c>
      <c r="W744">
        <v>0.35699999999999998</v>
      </c>
      <c r="X744">
        <v>7.0999999999999994E-2</v>
      </c>
      <c r="Y744" t="s">
        <v>27</v>
      </c>
      <c r="Z744" t="s">
        <v>27</v>
      </c>
      <c r="AA744" t="s">
        <v>27</v>
      </c>
      <c r="AB744" t="s">
        <v>27</v>
      </c>
      <c r="AC744" t="s">
        <v>27</v>
      </c>
      <c r="AD744" t="s">
        <v>27</v>
      </c>
      <c r="AE744" t="s">
        <v>27</v>
      </c>
      <c r="AF744" t="s">
        <v>27</v>
      </c>
      <c r="AG744">
        <v>5.56</v>
      </c>
    </row>
    <row r="745" spans="1:33" x14ac:dyDescent="0.25">
      <c r="A745" t="s">
        <v>57</v>
      </c>
      <c r="B745" s="3">
        <v>44206</v>
      </c>
      <c r="C745">
        <v>2021010</v>
      </c>
      <c r="D745">
        <v>0.97</v>
      </c>
      <c r="E745" t="s">
        <v>27</v>
      </c>
      <c r="F745">
        <v>-4.3</v>
      </c>
      <c r="G745">
        <v>-3</v>
      </c>
      <c r="H745">
        <v>-5.2</v>
      </c>
      <c r="I745">
        <v>93.3</v>
      </c>
      <c r="J745">
        <v>91.9</v>
      </c>
      <c r="K745">
        <v>0.6</v>
      </c>
      <c r="L745">
        <v>1.9</v>
      </c>
      <c r="M745">
        <v>0.3</v>
      </c>
      <c r="N745">
        <v>0.77100000000000013</v>
      </c>
      <c r="O745">
        <v>-0.7</v>
      </c>
      <c r="P745" t="s">
        <v>27</v>
      </c>
      <c r="Q745" t="s">
        <v>27</v>
      </c>
      <c r="R745" t="s">
        <v>27</v>
      </c>
      <c r="S745">
        <v>0.1</v>
      </c>
      <c r="T745">
        <v>0.7</v>
      </c>
      <c r="U745">
        <v>1.2</v>
      </c>
      <c r="V745" t="s">
        <v>27</v>
      </c>
      <c r="W745">
        <v>0.44900000000000001</v>
      </c>
      <c r="X745">
        <v>0.04</v>
      </c>
      <c r="Y745" t="s">
        <v>27</v>
      </c>
      <c r="Z745" t="s">
        <v>27</v>
      </c>
      <c r="AA745" t="s">
        <v>27</v>
      </c>
      <c r="AB745" t="s">
        <v>27</v>
      </c>
      <c r="AC745" t="s">
        <v>27</v>
      </c>
      <c r="AD745" t="s">
        <v>27</v>
      </c>
      <c r="AE745" t="s">
        <v>27</v>
      </c>
      <c r="AF745" t="s">
        <v>27</v>
      </c>
      <c r="AG745">
        <v>5.63</v>
      </c>
    </row>
    <row r="746" spans="1:33" x14ac:dyDescent="0.25">
      <c r="A746" t="s">
        <v>57</v>
      </c>
      <c r="B746" s="3">
        <v>44207</v>
      </c>
      <c r="C746">
        <v>2021011</v>
      </c>
      <c r="D746">
        <v>0.94</v>
      </c>
      <c r="E746" t="s">
        <v>27</v>
      </c>
      <c r="F746">
        <v>-3.1</v>
      </c>
      <c r="G746">
        <v>-1.4</v>
      </c>
      <c r="H746">
        <v>-4.5</v>
      </c>
      <c r="I746">
        <v>93.7</v>
      </c>
      <c r="J746">
        <v>92.4</v>
      </c>
      <c r="K746">
        <v>0.4</v>
      </c>
      <c r="L746">
        <v>1.6</v>
      </c>
      <c r="M746">
        <v>2.8</v>
      </c>
      <c r="N746">
        <v>0.78800000000000003</v>
      </c>
      <c r="O746">
        <v>-0.6</v>
      </c>
      <c r="P746" t="s">
        <v>27</v>
      </c>
      <c r="Q746" t="s">
        <v>27</v>
      </c>
      <c r="R746" t="s">
        <v>27</v>
      </c>
      <c r="S746">
        <v>0.1</v>
      </c>
      <c r="T746">
        <v>0.7</v>
      </c>
      <c r="U746">
        <v>1.2</v>
      </c>
      <c r="V746" t="s">
        <v>27</v>
      </c>
      <c r="W746">
        <v>0.50800000000000001</v>
      </c>
      <c r="X746">
        <v>4.2000000000000003E-2</v>
      </c>
      <c r="Y746" t="s">
        <v>27</v>
      </c>
      <c r="Z746" t="s">
        <v>27</v>
      </c>
      <c r="AA746" t="s">
        <v>27</v>
      </c>
      <c r="AB746" t="s">
        <v>27</v>
      </c>
      <c r="AC746" t="s">
        <v>27</v>
      </c>
      <c r="AD746" t="s">
        <v>27</v>
      </c>
      <c r="AE746" t="s">
        <v>27</v>
      </c>
      <c r="AF746" t="s">
        <v>27</v>
      </c>
      <c r="AG746">
        <v>5.7</v>
      </c>
    </row>
    <row r="747" spans="1:33" x14ac:dyDescent="0.25">
      <c r="A747" t="s">
        <v>57</v>
      </c>
      <c r="B747" s="3">
        <v>44208</v>
      </c>
      <c r="C747">
        <v>2021012</v>
      </c>
      <c r="D747">
        <v>0.7</v>
      </c>
      <c r="E747" t="s">
        <v>27</v>
      </c>
      <c r="F747">
        <v>-1.1000000000000001</v>
      </c>
      <c r="G747">
        <v>2.2000000000000002</v>
      </c>
      <c r="H747">
        <v>-3.1</v>
      </c>
      <c r="I747">
        <v>94.1</v>
      </c>
      <c r="J747">
        <v>88</v>
      </c>
      <c r="K747">
        <v>0.7</v>
      </c>
      <c r="L747">
        <v>3.6</v>
      </c>
      <c r="M747">
        <v>2.2999999999999998</v>
      </c>
      <c r="N747">
        <v>0.81</v>
      </c>
      <c r="O747">
        <v>-0.5</v>
      </c>
      <c r="P747" t="s">
        <v>27</v>
      </c>
      <c r="Q747" t="s">
        <v>27</v>
      </c>
      <c r="R747" t="s">
        <v>27</v>
      </c>
      <c r="S747">
        <v>0.1</v>
      </c>
      <c r="T747">
        <v>0.7</v>
      </c>
      <c r="U747">
        <v>1.3</v>
      </c>
      <c r="V747" t="s">
        <v>27</v>
      </c>
      <c r="W747">
        <v>0.63</v>
      </c>
      <c r="X747">
        <v>8.5999999999999993E-2</v>
      </c>
      <c r="Y747" t="s">
        <v>27</v>
      </c>
      <c r="Z747" t="s">
        <v>27</v>
      </c>
      <c r="AA747" t="s">
        <v>27</v>
      </c>
      <c r="AB747" t="s">
        <v>27</v>
      </c>
      <c r="AC747" t="s">
        <v>27</v>
      </c>
      <c r="AD747" t="s">
        <v>27</v>
      </c>
      <c r="AE747" t="s">
        <v>27</v>
      </c>
      <c r="AF747" t="s">
        <v>27</v>
      </c>
      <c r="AG747">
        <v>5.77</v>
      </c>
    </row>
    <row r="748" spans="1:33" x14ac:dyDescent="0.25">
      <c r="A748" t="s">
        <v>57</v>
      </c>
      <c r="B748" s="3">
        <v>44209</v>
      </c>
      <c r="C748">
        <v>2021013</v>
      </c>
      <c r="D748">
        <v>1.91</v>
      </c>
      <c r="E748" t="s">
        <v>27</v>
      </c>
      <c r="F748">
        <v>-3</v>
      </c>
      <c r="G748">
        <v>2.7</v>
      </c>
      <c r="H748">
        <v>-9.5</v>
      </c>
      <c r="I748">
        <v>74.400000000000006</v>
      </c>
      <c r="J748">
        <v>60.3</v>
      </c>
      <c r="K748">
        <v>0.6</v>
      </c>
      <c r="L748">
        <v>5.4</v>
      </c>
      <c r="M748">
        <v>4.2</v>
      </c>
      <c r="N748">
        <v>0.78200000000000003</v>
      </c>
      <c r="O748">
        <v>-0.4</v>
      </c>
      <c r="P748" t="s">
        <v>27</v>
      </c>
      <c r="Q748" t="s">
        <v>27</v>
      </c>
      <c r="R748" t="s">
        <v>27</v>
      </c>
      <c r="S748">
        <v>0.1</v>
      </c>
      <c r="T748">
        <v>0.7</v>
      </c>
      <c r="U748">
        <v>1.2</v>
      </c>
      <c r="V748" t="s">
        <v>27</v>
      </c>
      <c r="W748">
        <v>0.44800000000000001</v>
      </c>
      <c r="X748">
        <v>0.29499999999999998</v>
      </c>
      <c r="Y748" t="s">
        <v>27</v>
      </c>
      <c r="Z748" t="s">
        <v>27</v>
      </c>
      <c r="AA748" t="s">
        <v>27</v>
      </c>
      <c r="AB748" t="s">
        <v>27</v>
      </c>
      <c r="AC748" t="s">
        <v>27</v>
      </c>
      <c r="AD748" t="s">
        <v>27</v>
      </c>
      <c r="AE748" t="s">
        <v>27</v>
      </c>
      <c r="AF748" t="s">
        <v>27</v>
      </c>
      <c r="AG748">
        <v>5.85</v>
      </c>
    </row>
    <row r="749" spans="1:33" x14ac:dyDescent="0.25">
      <c r="A749" t="s">
        <v>57</v>
      </c>
      <c r="B749" s="3">
        <v>44210</v>
      </c>
      <c r="C749">
        <v>2021014</v>
      </c>
      <c r="D749">
        <v>3.75</v>
      </c>
      <c r="E749" t="s">
        <v>27</v>
      </c>
      <c r="F749">
        <v>-8.3000000000000007</v>
      </c>
      <c r="G749">
        <v>-1.5</v>
      </c>
      <c r="H749">
        <v>-15.6</v>
      </c>
      <c r="I749">
        <v>74.8</v>
      </c>
      <c r="J749">
        <v>49.6</v>
      </c>
      <c r="K749">
        <v>0.3</v>
      </c>
      <c r="L749">
        <v>1.7</v>
      </c>
      <c r="M749">
        <v>0</v>
      </c>
      <c r="N749">
        <v>0.77600000000000002</v>
      </c>
      <c r="O749">
        <v>-0.3</v>
      </c>
      <c r="P749" t="s">
        <v>27</v>
      </c>
      <c r="Q749" t="s">
        <v>27</v>
      </c>
      <c r="R749" t="s">
        <v>27</v>
      </c>
      <c r="S749">
        <v>0.1</v>
      </c>
      <c r="T749">
        <v>0.7</v>
      </c>
      <c r="U749">
        <v>1.2</v>
      </c>
      <c r="V749" t="s">
        <v>27</v>
      </c>
      <c r="W749">
        <v>0.27100000000000002</v>
      </c>
      <c r="X749">
        <v>0.27500000000000002</v>
      </c>
      <c r="Y749" t="s">
        <v>27</v>
      </c>
      <c r="Z749" t="s">
        <v>27</v>
      </c>
      <c r="AA749" t="s">
        <v>27</v>
      </c>
      <c r="AB749" t="s">
        <v>27</v>
      </c>
      <c r="AC749" t="s">
        <v>27</v>
      </c>
      <c r="AD749" t="s">
        <v>27</v>
      </c>
      <c r="AE749" t="s">
        <v>27</v>
      </c>
      <c r="AF749" t="s">
        <v>27</v>
      </c>
      <c r="AG749">
        <v>5.93</v>
      </c>
    </row>
    <row r="750" spans="1:33" x14ac:dyDescent="0.25">
      <c r="A750" t="s">
        <v>57</v>
      </c>
      <c r="B750" s="3">
        <v>44211</v>
      </c>
      <c r="C750">
        <v>2021015</v>
      </c>
      <c r="D750">
        <v>4.46</v>
      </c>
      <c r="E750" t="s">
        <v>27</v>
      </c>
      <c r="F750">
        <v>-4</v>
      </c>
      <c r="G750">
        <v>2.2000000000000002</v>
      </c>
      <c r="H750">
        <v>-8.1</v>
      </c>
      <c r="I750">
        <v>74.599999999999994</v>
      </c>
      <c r="J750">
        <v>53.2</v>
      </c>
      <c r="K750">
        <v>0</v>
      </c>
      <c r="L750">
        <v>1.4</v>
      </c>
      <c r="M750">
        <v>0</v>
      </c>
      <c r="N750">
        <v>0.76900000000000013</v>
      </c>
      <c r="O750">
        <v>-0.5</v>
      </c>
      <c r="P750" t="s">
        <v>27</v>
      </c>
      <c r="Q750" t="s">
        <v>27</v>
      </c>
      <c r="R750" t="s">
        <v>27</v>
      </c>
      <c r="S750">
        <v>0.1</v>
      </c>
      <c r="T750">
        <v>0.7</v>
      </c>
      <c r="U750">
        <v>1.2</v>
      </c>
      <c r="V750" t="s">
        <v>27</v>
      </c>
      <c r="W750">
        <v>0.38</v>
      </c>
      <c r="X750">
        <v>0.33400000000000002</v>
      </c>
      <c r="Y750" t="s">
        <v>27</v>
      </c>
      <c r="Z750" t="s">
        <v>27</v>
      </c>
      <c r="AA750" t="s">
        <v>27</v>
      </c>
      <c r="AB750" t="s">
        <v>27</v>
      </c>
      <c r="AC750" t="s">
        <v>27</v>
      </c>
      <c r="AD750" t="s">
        <v>27</v>
      </c>
      <c r="AE750" t="s">
        <v>27</v>
      </c>
      <c r="AF750" t="s">
        <v>27</v>
      </c>
      <c r="AG750">
        <v>6.02</v>
      </c>
    </row>
    <row r="751" spans="1:33" x14ac:dyDescent="0.25">
      <c r="A751" t="s">
        <v>57</v>
      </c>
      <c r="B751" s="3">
        <v>44212</v>
      </c>
      <c r="C751">
        <v>2021016</v>
      </c>
      <c r="D751">
        <v>3.32</v>
      </c>
      <c r="E751" t="s">
        <v>27</v>
      </c>
      <c r="F751">
        <v>-4.9000000000000004</v>
      </c>
      <c r="G751">
        <v>-1.7</v>
      </c>
      <c r="H751">
        <v>-10.6</v>
      </c>
      <c r="I751">
        <v>83.3</v>
      </c>
      <c r="J751">
        <v>67.2</v>
      </c>
      <c r="K751">
        <v>0</v>
      </c>
      <c r="L751">
        <v>0.6</v>
      </c>
      <c r="M751">
        <v>0</v>
      </c>
      <c r="N751">
        <v>0.75500000000000012</v>
      </c>
      <c r="O751">
        <v>-0.7</v>
      </c>
      <c r="P751" t="s">
        <v>27</v>
      </c>
      <c r="Q751" t="s">
        <v>27</v>
      </c>
      <c r="R751" t="s">
        <v>27</v>
      </c>
      <c r="S751">
        <v>0.1</v>
      </c>
      <c r="T751">
        <v>0.7</v>
      </c>
      <c r="U751">
        <v>1.2</v>
      </c>
      <c r="V751" t="s">
        <v>27</v>
      </c>
      <c r="W751">
        <v>0.36299999999999999</v>
      </c>
      <c r="X751">
        <v>0.17699999999999999</v>
      </c>
      <c r="Y751" t="s">
        <v>27</v>
      </c>
      <c r="Z751" t="s">
        <v>27</v>
      </c>
      <c r="AA751" t="s">
        <v>27</v>
      </c>
      <c r="AB751" t="s">
        <v>27</v>
      </c>
      <c r="AC751" t="s">
        <v>27</v>
      </c>
      <c r="AD751" t="s">
        <v>27</v>
      </c>
      <c r="AE751" t="s">
        <v>27</v>
      </c>
      <c r="AF751" t="s">
        <v>27</v>
      </c>
      <c r="AG751">
        <v>6.11</v>
      </c>
    </row>
    <row r="752" spans="1:33" x14ac:dyDescent="0.25">
      <c r="A752" t="s">
        <v>57</v>
      </c>
      <c r="B752" s="3">
        <v>44213</v>
      </c>
      <c r="C752">
        <v>2021017</v>
      </c>
      <c r="D752">
        <v>4.25</v>
      </c>
      <c r="E752" t="s">
        <v>27</v>
      </c>
      <c r="F752">
        <v>-1.6</v>
      </c>
      <c r="G752">
        <v>2.2000000000000002</v>
      </c>
      <c r="H752">
        <v>-4</v>
      </c>
      <c r="I752">
        <v>77.400000000000006</v>
      </c>
      <c r="J752">
        <v>55.3</v>
      </c>
      <c r="K752">
        <v>1.6</v>
      </c>
      <c r="L752">
        <v>4</v>
      </c>
      <c r="M752">
        <v>0</v>
      </c>
      <c r="N752">
        <v>0.77800000000000002</v>
      </c>
      <c r="O752">
        <v>-0.8</v>
      </c>
      <c r="P752" t="s">
        <v>27</v>
      </c>
      <c r="Q752" t="s">
        <v>27</v>
      </c>
      <c r="R752" t="s">
        <v>27</v>
      </c>
      <c r="S752">
        <v>0.1</v>
      </c>
      <c r="T752">
        <v>0.7</v>
      </c>
      <c r="U752">
        <v>1.2</v>
      </c>
      <c r="V752" t="s">
        <v>27</v>
      </c>
      <c r="W752">
        <v>0.39700000000000002</v>
      </c>
      <c r="X752">
        <v>0.32100000000000001</v>
      </c>
      <c r="Y752" t="s">
        <v>27</v>
      </c>
      <c r="Z752" t="s">
        <v>27</v>
      </c>
      <c r="AA752" t="s">
        <v>27</v>
      </c>
      <c r="AB752" t="s">
        <v>27</v>
      </c>
      <c r="AC752" t="s">
        <v>27</v>
      </c>
      <c r="AD752" t="s">
        <v>27</v>
      </c>
      <c r="AE752" t="s">
        <v>27</v>
      </c>
      <c r="AF752" t="s">
        <v>27</v>
      </c>
      <c r="AG752">
        <v>6.2</v>
      </c>
    </row>
    <row r="753" spans="1:33" x14ac:dyDescent="0.25">
      <c r="A753" t="s">
        <v>57</v>
      </c>
      <c r="B753" s="3">
        <v>44214</v>
      </c>
      <c r="C753">
        <v>2021018</v>
      </c>
      <c r="D753">
        <v>4.78</v>
      </c>
      <c r="E753" t="s">
        <v>27</v>
      </c>
      <c r="F753">
        <v>-3.9</v>
      </c>
      <c r="G753">
        <v>-0.5</v>
      </c>
      <c r="H753">
        <v>-13.5</v>
      </c>
      <c r="I753">
        <v>74.3</v>
      </c>
      <c r="J753">
        <v>60.1</v>
      </c>
      <c r="K753">
        <v>1.2</v>
      </c>
      <c r="L753">
        <v>3.8</v>
      </c>
      <c r="M753">
        <v>0</v>
      </c>
      <c r="N753">
        <v>0.78200000000000003</v>
      </c>
      <c r="O753">
        <v>-0.7</v>
      </c>
      <c r="P753" t="s">
        <v>27</v>
      </c>
      <c r="Q753" t="s">
        <v>27</v>
      </c>
      <c r="R753" t="s">
        <v>27</v>
      </c>
      <c r="S753">
        <v>0.1</v>
      </c>
      <c r="T753">
        <v>0.7</v>
      </c>
      <c r="U753">
        <v>1.2</v>
      </c>
      <c r="V753" t="s">
        <v>27</v>
      </c>
      <c r="W753">
        <v>0.35399999999999998</v>
      </c>
      <c r="X753">
        <v>0.23499999999999999</v>
      </c>
      <c r="Y753" t="s">
        <v>27</v>
      </c>
      <c r="Z753" t="s">
        <v>27</v>
      </c>
      <c r="AA753" t="s">
        <v>27</v>
      </c>
      <c r="AB753" t="s">
        <v>27</v>
      </c>
      <c r="AC753" t="s">
        <v>27</v>
      </c>
      <c r="AD753" t="s">
        <v>27</v>
      </c>
      <c r="AE753" t="s">
        <v>27</v>
      </c>
      <c r="AF753" t="s">
        <v>27</v>
      </c>
      <c r="AG753">
        <v>6.3</v>
      </c>
    </row>
    <row r="754" spans="1:33" x14ac:dyDescent="0.25">
      <c r="A754" t="s">
        <v>57</v>
      </c>
      <c r="B754" s="3">
        <v>44215</v>
      </c>
      <c r="C754">
        <v>2021019</v>
      </c>
      <c r="D754">
        <v>2.6</v>
      </c>
      <c r="E754" t="s">
        <v>27</v>
      </c>
      <c r="F754">
        <v>-7.1</v>
      </c>
      <c r="G754">
        <v>-2.1</v>
      </c>
      <c r="H754">
        <v>-13.7</v>
      </c>
      <c r="I754">
        <v>79.900000000000006</v>
      </c>
      <c r="J754">
        <v>58</v>
      </c>
      <c r="K754">
        <v>0.5</v>
      </c>
      <c r="L754">
        <v>2.5</v>
      </c>
      <c r="M754">
        <v>0</v>
      </c>
      <c r="N754">
        <v>0.78</v>
      </c>
      <c r="O754">
        <v>-0.7</v>
      </c>
      <c r="P754" t="s">
        <v>27</v>
      </c>
      <c r="Q754" t="s">
        <v>27</v>
      </c>
      <c r="R754" t="s">
        <v>27</v>
      </c>
      <c r="S754">
        <v>0.1</v>
      </c>
      <c r="T754">
        <v>0.7</v>
      </c>
      <c r="U754">
        <v>1.2</v>
      </c>
      <c r="V754" t="s">
        <v>27</v>
      </c>
      <c r="W754">
        <v>0.30399999999999999</v>
      </c>
      <c r="X754">
        <v>0.22</v>
      </c>
      <c r="Y754" t="s">
        <v>27</v>
      </c>
      <c r="Z754" t="s">
        <v>27</v>
      </c>
      <c r="AA754" t="s">
        <v>27</v>
      </c>
      <c r="AB754" t="s">
        <v>27</v>
      </c>
      <c r="AC754" t="s">
        <v>27</v>
      </c>
      <c r="AD754" t="s">
        <v>27</v>
      </c>
      <c r="AE754" t="s">
        <v>27</v>
      </c>
      <c r="AF754" t="s">
        <v>27</v>
      </c>
      <c r="AG754">
        <v>6.4</v>
      </c>
    </row>
    <row r="755" spans="1:33" x14ac:dyDescent="0.25">
      <c r="A755" t="s">
        <v>57</v>
      </c>
      <c r="B755" s="3">
        <v>44216</v>
      </c>
      <c r="C755">
        <v>2021020</v>
      </c>
      <c r="D755">
        <v>3.8</v>
      </c>
      <c r="E755" t="s">
        <v>27</v>
      </c>
      <c r="F755">
        <v>-6.7</v>
      </c>
      <c r="G755">
        <v>-1.2</v>
      </c>
      <c r="H755">
        <v>-13.2</v>
      </c>
      <c r="I755">
        <v>81.599999999999994</v>
      </c>
      <c r="J755">
        <v>59.2</v>
      </c>
      <c r="K755">
        <v>0.4</v>
      </c>
      <c r="L755">
        <v>2.2000000000000002</v>
      </c>
      <c r="M755">
        <v>0</v>
      </c>
      <c r="N755">
        <v>0.78300000000000014</v>
      </c>
      <c r="O755">
        <v>-0.8</v>
      </c>
      <c r="P755" t="s">
        <v>27</v>
      </c>
      <c r="Q755" t="s">
        <v>27</v>
      </c>
      <c r="R755" t="s">
        <v>27</v>
      </c>
      <c r="S755">
        <v>0.1</v>
      </c>
      <c r="T755">
        <v>0.6</v>
      </c>
      <c r="U755">
        <v>1.2</v>
      </c>
      <c r="V755" t="s">
        <v>27</v>
      </c>
      <c r="W755">
        <v>0.33</v>
      </c>
      <c r="X755">
        <v>0.22700000000000001</v>
      </c>
      <c r="Y755" t="s">
        <v>27</v>
      </c>
      <c r="Z755" t="s">
        <v>27</v>
      </c>
      <c r="AA755" t="s">
        <v>27</v>
      </c>
      <c r="AB755" t="s">
        <v>27</v>
      </c>
      <c r="AC755" t="s">
        <v>27</v>
      </c>
      <c r="AD755" t="s">
        <v>27</v>
      </c>
      <c r="AE755" t="s">
        <v>27</v>
      </c>
      <c r="AF755" t="s">
        <v>27</v>
      </c>
      <c r="AG755">
        <v>6.51</v>
      </c>
    </row>
    <row r="756" spans="1:33" x14ac:dyDescent="0.25">
      <c r="A756" t="s">
        <v>57</v>
      </c>
      <c r="B756" s="3">
        <v>44217</v>
      </c>
      <c r="C756">
        <v>2021021</v>
      </c>
      <c r="D756">
        <v>6.14</v>
      </c>
      <c r="E756" t="s">
        <v>27</v>
      </c>
      <c r="F756">
        <v>-10.5</v>
      </c>
      <c r="G756">
        <v>-4.8</v>
      </c>
      <c r="H756">
        <v>-18</v>
      </c>
      <c r="I756">
        <v>78.7</v>
      </c>
      <c r="J756">
        <v>55.5</v>
      </c>
      <c r="K756">
        <v>0.6</v>
      </c>
      <c r="L756">
        <v>2.7</v>
      </c>
      <c r="M756">
        <v>0.1</v>
      </c>
      <c r="N756">
        <v>0.77800000000000002</v>
      </c>
      <c r="O756">
        <v>-0.9</v>
      </c>
      <c r="P756" t="s">
        <v>27</v>
      </c>
      <c r="Q756" t="s">
        <v>27</v>
      </c>
      <c r="R756" t="s">
        <v>27</v>
      </c>
      <c r="S756">
        <v>0</v>
      </c>
      <c r="T756">
        <v>0.6</v>
      </c>
      <c r="U756">
        <v>1.1000000000000001</v>
      </c>
      <c r="V756" t="s">
        <v>27</v>
      </c>
      <c r="W756">
        <v>0.23799999999999999</v>
      </c>
      <c r="X756">
        <v>0.191</v>
      </c>
      <c r="Y756" t="s">
        <v>27</v>
      </c>
      <c r="Z756" t="s">
        <v>27</v>
      </c>
      <c r="AA756" t="s">
        <v>27</v>
      </c>
      <c r="AB756" t="s">
        <v>27</v>
      </c>
      <c r="AC756" t="s">
        <v>27</v>
      </c>
      <c r="AD756" t="s">
        <v>27</v>
      </c>
      <c r="AE756" t="s">
        <v>27</v>
      </c>
      <c r="AF756" t="s">
        <v>27</v>
      </c>
      <c r="AG756">
        <v>6.61</v>
      </c>
    </row>
    <row r="757" spans="1:33" x14ac:dyDescent="0.25">
      <c r="A757" t="s">
        <v>57</v>
      </c>
      <c r="B757" s="3">
        <v>44218</v>
      </c>
      <c r="C757">
        <v>2021022</v>
      </c>
      <c r="D757">
        <v>6.27</v>
      </c>
      <c r="E757" t="s">
        <v>27</v>
      </c>
      <c r="F757">
        <v>-12.4</v>
      </c>
      <c r="G757">
        <v>-5.0999999999999996</v>
      </c>
      <c r="H757">
        <v>-19.3</v>
      </c>
      <c r="I757">
        <v>78.3</v>
      </c>
      <c r="J757">
        <v>55.3</v>
      </c>
      <c r="K757">
        <v>0.7</v>
      </c>
      <c r="L757">
        <v>2.8</v>
      </c>
      <c r="M757">
        <v>0</v>
      </c>
      <c r="N757">
        <v>0.76200000000000001</v>
      </c>
      <c r="O757">
        <v>-1.2</v>
      </c>
      <c r="P757" t="s">
        <v>27</v>
      </c>
      <c r="Q757" t="s">
        <v>27</v>
      </c>
      <c r="R757" t="s">
        <v>27</v>
      </c>
      <c r="S757">
        <v>0</v>
      </c>
      <c r="T757">
        <v>0.6</v>
      </c>
      <c r="U757">
        <v>1.1000000000000001</v>
      </c>
      <c r="V757" t="s">
        <v>27</v>
      </c>
      <c r="W757">
        <v>0.23</v>
      </c>
      <c r="X757">
        <v>0.186</v>
      </c>
      <c r="Y757" t="s">
        <v>27</v>
      </c>
      <c r="Z757" t="s">
        <v>27</v>
      </c>
      <c r="AA757" t="s">
        <v>27</v>
      </c>
      <c r="AB757" t="s">
        <v>27</v>
      </c>
      <c r="AC757" t="s">
        <v>27</v>
      </c>
      <c r="AD757" t="s">
        <v>27</v>
      </c>
      <c r="AE757" t="s">
        <v>27</v>
      </c>
      <c r="AF757" t="s">
        <v>27</v>
      </c>
      <c r="AG757">
        <v>6.73</v>
      </c>
    </row>
    <row r="758" spans="1:33" x14ac:dyDescent="0.25">
      <c r="A758" t="s">
        <v>57</v>
      </c>
      <c r="B758" s="3">
        <v>44219</v>
      </c>
      <c r="C758">
        <v>2021023</v>
      </c>
      <c r="D758">
        <v>6.3</v>
      </c>
      <c r="E758" t="s">
        <v>27</v>
      </c>
      <c r="F758">
        <v>-10.9</v>
      </c>
      <c r="G758">
        <v>0.6</v>
      </c>
      <c r="H758">
        <v>-16.8</v>
      </c>
      <c r="I758">
        <v>68.2</v>
      </c>
      <c r="J758">
        <v>21.2</v>
      </c>
      <c r="K758">
        <v>0.3</v>
      </c>
      <c r="L758">
        <v>2.4</v>
      </c>
      <c r="M758">
        <v>0</v>
      </c>
      <c r="N758">
        <v>0.77100000000000013</v>
      </c>
      <c r="O758">
        <v>-1.5</v>
      </c>
      <c r="P758" t="s">
        <v>27</v>
      </c>
      <c r="Q758" t="s">
        <v>27</v>
      </c>
      <c r="R758" t="s">
        <v>27</v>
      </c>
      <c r="S758">
        <v>0</v>
      </c>
      <c r="T758">
        <v>0.6</v>
      </c>
      <c r="U758">
        <v>1.1000000000000001</v>
      </c>
      <c r="V758" t="s">
        <v>27</v>
      </c>
      <c r="W758">
        <v>0.13500000000000001</v>
      </c>
      <c r="X758">
        <v>0.502</v>
      </c>
      <c r="Y758" t="s">
        <v>27</v>
      </c>
      <c r="Z758" t="s">
        <v>27</v>
      </c>
      <c r="AA758" t="s">
        <v>27</v>
      </c>
      <c r="AB758" t="s">
        <v>27</v>
      </c>
      <c r="AC758" t="s">
        <v>27</v>
      </c>
      <c r="AD758" t="s">
        <v>27</v>
      </c>
      <c r="AE758" t="s">
        <v>27</v>
      </c>
      <c r="AF758" t="s">
        <v>27</v>
      </c>
      <c r="AG758">
        <v>6.84</v>
      </c>
    </row>
    <row r="759" spans="1:33" x14ac:dyDescent="0.25">
      <c r="A759" t="s">
        <v>57</v>
      </c>
      <c r="B759" s="3">
        <v>44220</v>
      </c>
      <c r="C759">
        <v>2021024</v>
      </c>
      <c r="D759">
        <v>1.75</v>
      </c>
      <c r="E759" t="s">
        <v>27</v>
      </c>
      <c r="F759">
        <v>-11.2</v>
      </c>
      <c r="G759">
        <v>-8.6999999999999993</v>
      </c>
      <c r="H759">
        <v>-16.8</v>
      </c>
      <c r="I759">
        <v>85.6</v>
      </c>
      <c r="J759">
        <v>80.900000000000006</v>
      </c>
      <c r="K759">
        <v>0.6</v>
      </c>
      <c r="L759">
        <v>1.8</v>
      </c>
      <c r="M759">
        <v>0.4</v>
      </c>
      <c r="N759">
        <v>0.82700000000000018</v>
      </c>
      <c r="O759">
        <v>-1.8</v>
      </c>
      <c r="P759" t="s">
        <v>27</v>
      </c>
      <c r="Q759" t="s">
        <v>27</v>
      </c>
      <c r="R759" t="s">
        <v>27</v>
      </c>
      <c r="S759">
        <v>0</v>
      </c>
      <c r="T759">
        <v>0.6</v>
      </c>
      <c r="U759">
        <v>1.1000000000000001</v>
      </c>
      <c r="V759" t="s">
        <v>27</v>
      </c>
      <c r="W759">
        <v>0.25700000000000001</v>
      </c>
      <c r="X759">
        <v>6.0999999999999999E-2</v>
      </c>
      <c r="Y759" t="s">
        <v>27</v>
      </c>
      <c r="Z759" t="s">
        <v>27</v>
      </c>
      <c r="AA759" t="s">
        <v>27</v>
      </c>
      <c r="AB759" t="s">
        <v>27</v>
      </c>
      <c r="AC759" t="s">
        <v>27</v>
      </c>
      <c r="AD759" t="s">
        <v>27</v>
      </c>
      <c r="AE759" t="s">
        <v>27</v>
      </c>
      <c r="AF759" t="s">
        <v>27</v>
      </c>
      <c r="AG759">
        <v>6.96</v>
      </c>
    </row>
    <row r="760" spans="1:33" x14ac:dyDescent="0.25">
      <c r="A760" t="s">
        <v>57</v>
      </c>
      <c r="B760" s="3">
        <v>44221</v>
      </c>
      <c r="C760">
        <v>2021025</v>
      </c>
      <c r="D760">
        <v>0.77</v>
      </c>
      <c r="E760" t="s">
        <v>27</v>
      </c>
      <c r="F760">
        <v>-8.6999999999999993</v>
      </c>
      <c r="G760">
        <v>-6</v>
      </c>
      <c r="H760">
        <v>-12.1</v>
      </c>
      <c r="I760">
        <v>87.7</v>
      </c>
      <c r="J760">
        <v>84.4</v>
      </c>
      <c r="K760">
        <v>0.3</v>
      </c>
      <c r="L760">
        <v>1.2</v>
      </c>
      <c r="M760">
        <v>1.5</v>
      </c>
      <c r="N760">
        <v>0.83200000000000007</v>
      </c>
      <c r="O760">
        <v>-1.8</v>
      </c>
      <c r="P760" t="s">
        <v>27</v>
      </c>
      <c r="Q760" t="s">
        <v>27</v>
      </c>
      <c r="R760" t="s">
        <v>27</v>
      </c>
      <c r="S760">
        <v>0</v>
      </c>
      <c r="T760">
        <v>0.6</v>
      </c>
      <c r="U760">
        <v>1.1000000000000001</v>
      </c>
      <c r="V760" t="s">
        <v>27</v>
      </c>
      <c r="W760">
        <v>0.32800000000000001</v>
      </c>
      <c r="X760">
        <v>6.0999999999999999E-2</v>
      </c>
      <c r="Y760" t="s">
        <v>27</v>
      </c>
      <c r="Z760" t="s">
        <v>27</v>
      </c>
      <c r="AA760" t="s">
        <v>27</v>
      </c>
      <c r="AB760" t="s">
        <v>27</v>
      </c>
      <c r="AC760" t="s">
        <v>27</v>
      </c>
      <c r="AD760" t="s">
        <v>27</v>
      </c>
      <c r="AE760" t="s">
        <v>27</v>
      </c>
      <c r="AF760" t="s">
        <v>27</v>
      </c>
      <c r="AG760">
        <v>7.09</v>
      </c>
    </row>
    <row r="761" spans="1:33" x14ac:dyDescent="0.25">
      <c r="A761" t="s">
        <v>57</v>
      </c>
      <c r="B761" s="3">
        <v>44222</v>
      </c>
      <c r="C761">
        <v>2021026</v>
      </c>
      <c r="D761">
        <v>0.87</v>
      </c>
      <c r="E761" t="s">
        <v>27</v>
      </c>
      <c r="F761">
        <v>-9</v>
      </c>
      <c r="G761">
        <v>-6.8</v>
      </c>
      <c r="H761">
        <v>-11.1</v>
      </c>
      <c r="I761">
        <v>84.7</v>
      </c>
      <c r="J761">
        <v>71.8</v>
      </c>
      <c r="K761">
        <v>1</v>
      </c>
      <c r="L761">
        <v>3.4</v>
      </c>
      <c r="M761">
        <v>0.1</v>
      </c>
      <c r="N761">
        <v>0.83400000000000007</v>
      </c>
      <c r="O761">
        <v>-1.5</v>
      </c>
      <c r="P761" t="s">
        <v>27</v>
      </c>
      <c r="Q761" t="s">
        <v>27</v>
      </c>
      <c r="R761" t="s">
        <v>27</v>
      </c>
      <c r="S761">
        <v>0</v>
      </c>
      <c r="T761">
        <v>0.6</v>
      </c>
      <c r="U761">
        <v>1.1000000000000001</v>
      </c>
      <c r="V761" t="s">
        <v>27</v>
      </c>
      <c r="W761">
        <v>0.26300000000000001</v>
      </c>
      <c r="X761">
        <v>0.10299999999999999</v>
      </c>
      <c r="Y761" t="s">
        <v>27</v>
      </c>
      <c r="Z761" t="s">
        <v>27</v>
      </c>
      <c r="AA761" t="s">
        <v>27</v>
      </c>
      <c r="AB761" t="s">
        <v>27</v>
      </c>
      <c r="AC761" t="s">
        <v>27</v>
      </c>
      <c r="AD761" t="s">
        <v>27</v>
      </c>
      <c r="AE761" t="s">
        <v>27</v>
      </c>
      <c r="AF761" t="s">
        <v>27</v>
      </c>
      <c r="AG761">
        <v>7.21</v>
      </c>
    </row>
    <row r="762" spans="1:33" x14ac:dyDescent="0.25">
      <c r="A762" t="s">
        <v>57</v>
      </c>
      <c r="B762" s="3">
        <v>44223</v>
      </c>
      <c r="C762">
        <v>2021027</v>
      </c>
      <c r="D762">
        <v>1.18</v>
      </c>
      <c r="E762" t="s">
        <v>27</v>
      </c>
      <c r="F762">
        <v>-6.5</v>
      </c>
      <c r="G762">
        <v>-3.5</v>
      </c>
      <c r="H762">
        <v>-8.6999999999999993</v>
      </c>
      <c r="I762">
        <v>90.2</v>
      </c>
      <c r="J762">
        <v>84.7</v>
      </c>
      <c r="K762">
        <v>1.4</v>
      </c>
      <c r="L762">
        <v>3.3</v>
      </c>
      <c r="M762">
        <v>2.2999999999999998</v>
      </c>
      <c r="N762">
        <v>0.89900000000000002</v>
      </c>
      <c r="O762">
        <v>-1.3</v>
      </c>
      <c r="P762" t="s">
        <v>27</v>
      </c>
      <c r="Q762" t="s">
        <v>27</v>
      </c>
      <c r="R762" t="s">
        <v>27</v>
      </c>
      <c r="S762">
        <v>0</v>
      </c>
      <c r="T762">
        <v>0.6</v>
      </c>
      <c r="U762">
        <v>1.1000000000000001</v>
      </c>
      <c r="V762" t="s">
        <v>27</v>
      </c>
      <c r="W762">
        <v>0.39800000000000002</v>
      </c>
      <c r="X762">
        <v>7.1999999999999995E-2</v>
      </c>
      <c r="Y762" t="s">
        <v>27</v>
      </c>
      <c r="Z762" t="s">
        <v>27</v>
      </c>
      <c r="AA762" t="s">
        <v>27</v>
      </c>
      <c r="AB762" t="s">
        <v>27</v>
      </c>
      <c r="AC762" t="s">
        <v>27</v>
      </c>
      <c r="AD762" t="s">
        <v>27</v>
      </c>
      <c r="AE762" t="s">
        <v>27</v>
      </c>
      <c r="AF762" t="s">
        <v>27</v>
      </c>
      <c r="AG762">
        <v>7.34</v>
      </c>
    </row>
    <row r="763" spans="1:33" x14ac:dyDescent="0.25">
      <c r="A763" t="s">
        <v>57</v>
      </c>
      <c r="B763" s="3">
        <v>44224</v>
      </c>
      <c r="C763">
        <v>2021028</v>
      </c>
      <c r="D763">
        <v>0.68</v>
      </c>
      <c r="E763" t="s">
        <v>27</v>
      </c>
      <c r="F763">
        <v>-3.9</v>
      </c>
      <c r="G763">
        <v>-1.9</v>
      </c>
      <c r="H763">
        <v>-5.9</v>
      </c>
      <c r="I763">
        <v>93.2</v>
      </c>
      <c r="J763">
        <v>91.8</v>
      </c>
      <c r="K763">
        <v>0.1</v>
      </c>
      <c r="L763">
        <v>1.3</v>
      </c>
      <c r="M763">
        <v>3</v>
      </c>
      <c r="N763">
        <v>0.90700000000000003</v>
      </c>
      <c r="O763">
        <v>-1.1000000000000001</v>
      </c>
      <c r="P763" t="s">
        <v>27</v>
      </c>
      <c r="Q763" t="s">
        <v>27</v>
      </c>
      <c r="R763" t="s">
        <v>27</v>
      </c>
      <c r="S763">
        <v>0</v>
      </c>
      <c r="T763">
        <v>0.6</v>
      </c>
      <c r="U763">
        <v>1.1000000000000001</v>
      </c>
      <c r="V763" t="s">
        <v>27</v>
      </c>
      <c r="W763">
        <v>0.48599999999999999</v>
      </c>
      <c r="X763">
        <v>4.2999999999999997E-2</v>
      </c>
      <c r="Y763" t="s">
        <v>27</v>
      </c>
      <c r="Z763" t="s">
        <v>27</v>
      </c>
      <c r="AA763" t="s">
        <v>27</v>
      </c>
      <c r="AB763" t="s">
        <v>27</v>
      </c>
      <c r="AC763" t="s">
        <v>27</v>
      </c>
      <c r="AD763" t="s">
        <v>27</v>
      </c>
      <c r="AE763" t="s">
        <v>27</v>
      </c>
      <c r="AF763" t="s">
        <v>27</v>
      </c>
      <c r="AG763">
        <v>7.47</v>
      </c>
    </row>
    <row r="764" spans="1:33" x14ac:dyDescent="0.25">
      <c r="A764" t="s">
        <v>57</v>
      </c>
      <c r="B764" s="3">
        <v>44225</v>
      </c>
      <c r="C764">
        <v>2021029</v>
      </c>
      <c r="D764">
        <v>5.24</v>
      </c>
      <c r="E764" t="s">
        <v>27</v>
      </c>
      <c r="F764">
        <v>-6.2</v>
      </c>
      <c r="G764">
        <v>-1.6</v>
      </c>
      <c r="H764">
        <v>-12.2</v>
      </c>
      <c r="I764">
        <v>90.2</v>
      </c>
      <c r="J764">
        <v>81.099999999999994</v>
      </c>
      <c r="K764">
        <v>0.3</v>
      </c>
      <c r="L764">
        <v>2.1</v>
      </c>
      <c r="M764">
        <v>0.4</v>
      </c>
      <c r="N764">
        <v>0.88000000000000012</v>
      </c>
      <c r="O764">
        <v>-1</v>
      </c>
      <c r="P764" t="s">
        <v>27</v>
      </c>
      <c r="Q764" t="s">
        <v>27</v>
      </c>
      <c r="R764" t="s">
        <v>27</v>
      </c>
      <c r="S764">
        <v>-0.1</v>
      </c>
      <c r="T764">
        <v>0.5</v>
      </c>
      <c r="U764">
        <v>1</v>
      </c>
      <c r="V764" t="s">
        <v>27</v>
      </c>
      <c r="W764">
        <v>0.44</v>
      </c>
      <c r="X764">
        <v>0.10299999999999999</v>
      </c>
      <c r="Y764" t="s">
        <v>27</v>
      </c>
      <c r="Z764" t="s">
        <v>27</v>
      </c>
      <c r="AA764" t="s">
        <v>27</v>
      </c>
      <c r="AB764" t="s">
        <v>27</v>
      </c>
      <c r="AC764" t="s">
        <v>27</v>
      </c>
      <c r="AD764" t="s">
        <v>27</v>
      </c>
      <c r="AE764" t="s">
        <v>27</v>
      </c>
      <c r="AF764" t="s">
        <v>27</v>
      </c>
      <c r="AG764">
        <v>7.61</v>
      </c>
    </row>
    <row r="765" spans="1:33" x14ac:dyDescent="0.25">
      <c r="A765" t="s">
        <v>57</v>
      </c>
      <c r="B765" s="3">
        <v>44226</v>
      </c>
      <c r="C765">
        <v>2021030</v>
      </c>
      <c r="D765">
        <v>2.06</v>
      </c>
      <c r="E765" t="s">
        <v>27</v>
      </c>
      <c r="F765">
        <v>-6.2</v>
      </c>
      <c r="G765">
        <v>-1.4</v>
      </c>
      <c r="H765">
        <v>-12.5</v>
      </c>
      <c r="I765">
        <v>88.5</v>
      </c>
      <c r="J765">
        <v>82.8</v>
      </c>
      <c r="K765">
        <v>0.8</v>
      </c>
      <c r="L765">
        <v>3.1</v>
      </c>
      <c r="M765">
        <v>0</v>
      </c>
      <c r="N765">
        <v>0.84400000000000008</v>
      </c>
      <c r="O765">
        <v>-0.8</v>
      </c>
      <c r="P765" t="s">
        <v>27</v>
      </c>
      <c r="Q765" t="s">
        <v>27</v>
      </c>
      <c r="R765" t="s">
        <v>27</v>
      </c>
      <c r="S765">
        <v>0</v>
      </c>
      <c r="T765">
        <v>0.6</v>
      </c>
      <c r="U765">
        <v>1.1000000000000001</v>
      </c>
      <c r="V765" t="s">
        <v>27</v>
      </c>
      <c r="W765">
        <v>0.45700000000000002</v>
      </c>
      <c r="X765">
        <v>9.5000000000000001E-2</v>
      </c>
      <c r="Y765" t="s">
        <v>27</v>
      </c>
      <c r="Z765" t="s">
        <v>27</v>
      </c>
      <c r="AA765" t="s">
        <v>27</v>
      </c>
      <c r="AB765" t="s">
        <v>27</v>
      </c>
      <c r="AC765" t="s">
        <v>27</v>
      </c>
      <c r="AD765" t="s">
        <v>27</v>
      </c>
      <c r="AE765" t="s">
        <v>27</v>
      </c>
      <c r="AF765" t="s">
        <v>27</v>
      </c>
      <c r="AG765">
        <v>7.75</v>
      </c>
    </row>
    <row r="766" spans="1:33" x14ac:dyDescent="0.25">
      <c r="A766" t="s">
        <v>57</v>
      </c>
      <c r="B766" s="3">
        <v>44227</v>
      </c>
      <c r="C766">
        <v>2021031</v>
      </c>
      <c r="D766">
        <v>2.08</v>
      </c>
      <c r="E766" t="s">
        <v>27</v>
      </c>
      <c r="F766">
        <v>-0.4</v>
      </c>
      <c r="G766">
        <v>1</v>
      </c>
      <c r="H766">
        <v>-1.7</v>
      </c>
      <c r="I766">
        <v>85.5</v>
      </c>
      <c r="J766">
        <v>77.2</v>
      </c>
      <c r="K766">
        <v>1.9</v>
      </c>
      <c r="L766">
        <v>4.2</v>
      </c>
      <c r="M766">
        <v>0</v>
      </c>
      <c r="N766">
        <v>0.873</v>
      </c>
      <c r="O766">
        <v>-0.7</v>
      </c>
      <c r="P766" t="s">
        <v>27</v>
      </c>
      <c r="Q766" t="s">
        <v>27</v>
      </c>
      <c r="R766" t="s">
        <v>27</v>
      </c>
      <c r="S766">
        <v>0</v>
      </c>
      <c r="T766">
        <v>0.6</v>
      </c>
      <c r="U766">
        <v>1.1000000000000001</v>
      </c>
      <c r="V766" t="s">
        <v>27</v>
      </c>
      <c r="W766">
        <v>0.50600000000000001</v>
      </c>
      <c r="X766">
        <v>0.14899999999999999</v>
      </c>
      <c r="Y766" t="s">
        <v>27</v>
      </c>
      <c r="Z766" t="s">
        <v>27</v>
      </c>
      <c r="AA766" t="s">
        <v>27</v>
      </c>
      <c r="AB766" t="s">
        <v>27</v>
      </c>
      <c r="AC766" t="s">
        <v>27</v>
      </c>
      <c r="AD766" t="s">
        <v>27</v>
      </c>
      <c r="AE766" t="s">
        <v>27</v>
      </c>
      <c r="AF766" t="s">
        <v>27</v>
      </c>
      <c r="AG766">
        <v>7.9</v>
      </c>
    </row>
    <row r="767" spans="1:33" x14ac:dyDescent="0.25">
      <c r="A767" t="s">
        <v>57</v>
      </c>
      <c r="B767" s="3">
        <v>44228</v>
      </c>
      <c r="C767">
        <v>2021032</v>
      </c>
      <c r="D767">
        <v>1.43</v>
      </c>
      <c r="E767" t="s">
        <v>27</v>
      </c>
      <c r="F767">
        <v>0.8</v>
      </c>
      <c r="G767">
        <v>2</v>
      </c>
      <c r="H767">
        <v>-0.4</v>
      </c>
      <c r="I767">
        <v>86.7</v>
      </c>
      <c r="J767">
        <v>76.900000000000006</v>
      </c>
      <c r="K767">
        <v>1.4</v>
      </c>
      <c r="L767">
        <v>4</v>
      </c>
      <c r="M767">
        <v>1.1000000000000001</v>
      </c>
      <c r="N767">
        <v>0.84800000000000009</v>
      </c>
      <c r="O767">
        <v>-0.6</v>
      </c>
      <c r="P767" t="s">
        <v>27</v>
      </c>
      <c r="Q767" t="s">
        <v>27</v>
      </c>
      <c r="R767" t="s">
        <v>27</v>
      </c>
      <c r="S767">
        <v>0</v>
      </c>
      <c r="T767">
        <v>0.6</v>
      </c>
      <c r="U767">
        <v>1.1000000000000001</v>
      </c>
      <c r="V767" t="s">
        <v>27</v>
      </c>
      <c r="W767">
        <v>0.54400000000000004</v>
      </c>
      <c r="X767">
        <v>0.16300000000000001</v>
      </c>
      <c r="Y767" t="s">
        <v>27</v>
      </c>
      <c r="Z767" t="s">
        <v>27</v>
      </c>
      <c r="AA767" t="s">
        <v>27</v>
      </c>
      <c r="AB767" t="s">
        <v>27</v>
      </c>
      <c r="AC767" t="s">
        <v>27</v>
      </c>
      <c r="AD767" t="s">
        <v>27</v>
      </c>
      <c r="AE767" t="s">
        <v>27</v>
      </c>
      <c r="AF767" t="s">
        <v>27</v>
      </c>
      <c r="AG767">
        <v>8.0399999999999991</v>
      </c>
    </row>
    <row r="768" spans="1:33" x14ac:dyDescent="0.25">
      <c r="A768" t="s">
        <v>57</v>
      </c>
      <c r="B768" s="3">
        <v>44229</v>
      </c>
      <c r="C768">
        <v>2021033</v>
      </c>
      <c r="D768">
        <v>2.79</v>
      </c>
      <c r="E768" t="s">
        <v>27</v>
      </c>
      <c r="F768">
        <v>-2.4</v>
      </c>
      <c r="G768">
        <v>1.2</v>
      </c>
      <c r="H768">
        <v>-5.8</v>
      </c>
      <c r="I768">
        <v>91.1</v>
      </c>
      <c r="J768">
        <v>81.2</v>
      </c>
      <c r="K768">
        <v>1.1000000000000001</v>
      </c>
      <c r="L768">
        <v>3.9</v>
      </c>
      <c r="M768">
        <v>9.9</v>
      </c>
      <c r="N768">
        <v>0.92400000000000015</v>
      </c>
      <c r="O768">
        <v>-0.4</v>
      </c>
      <c r="P768" t="s">
        <v>27</v>
      </c>
      <c r="Q768" t="s">
        <v>27</v>
      </c>
      <c r="R768" t="s">
        <v>27</v>
      </c>
      <c r="S768">
        <v>0</v>
      </c>
      <c r="T768">
        <v>0.6</v>
      </c>
      <c r="U768">
        <v>1.1000000000000001</v>
      </c>
      <c r="V768" t="s">
        <v>27</v>
      </c>
      <c r="W768">
        <v>0.53900000000000003</v>
      </c>
      <c r="X768">
        <v>0.125</v>
      </c>
      <c r="Y768" t="s">
        <v>27</v>
      </c>
      <c r="Z768" t="s">
        <v>27</v>
      </c>
      <c r="AA768" t="s">
        <v>27</v>
      </c>
      <c r="AB768" t="s">
        <v>27</v>
      </c>
      <c r="AC768" t="s">
        <v>27</v>
      </c>
      <c r="AD768" t="s">
        <v>27</v>
      </c>
      <c r="AE768" t="s">
        <v>27</v>
      </c>
      <c r="AF768" t="s">
        <v>27</v>
      </c>
      <c r="AG768">
        <v>8.1999999999999993</v>
      </c>
    </row>
    <row r="769" spans="1:33" x14ac:dyDescent="0.25">
      <c r="A769" t="s">
        <v>57</v>
      </c>
      <c r="B769" s="3">
        <v>44230</v>
      </c>
      <c r="C769">
        <v>2021034</v>
      </c>
      <c r="D769">
        <v>2.78</v>
      </c>
      <c r="E769" t="s">
        <v>27</v>
      </c>
      <c r="F769">
        <v>-7.5</v>
      </c>
      <c r="G769">
        <v>-3.2</v>
      </c>
      <c r="H769">
        <v>-13.1</v>
      </c>
      <c r="I769">
        <v>88.3</v>
      </c>
      <c r="J769">
        <v>78.3</v>
      </c>
      <c r="K769">
        <v>0.4</v>
      </c>
      <c r="L769">
        <v>2.4</v>
      </c>
      <c r="M769">
        <v>0.1</v>
      </c>
      <c r="N769">
        <v>0.90600000000000014</v>
      </c>
      <c r="O769">
        <v>-0.4</v>
      </c>
      <c r="P769" t="s">
        <v>27</v>
      </c>
      <c r="Q769" t="s">
        <v>27</v>
      </c>
      <c r="R769" t="s">
        <v>27</v>
      </c>
      <c r="S769">
        <v>0</v>
      </c>
      <c r="T769">
        <v>0.5</v>
      </c>
      <c r="U769">
        <v>1</v>
      </c>
      <c r="V769" t="s">
        <v>27</v>
      </c>
      <c r="W769">
        <v>0.379</v>
      </c>
      <c r="X769">
        <v>0.105</v>
      </c>
      <c r="Y769" t="s">
        <v>27</v>
      </c>
      <c r="Z769" t="s">
        <v>27</v>
      </c>
      <c r="AA769" t="s">
        <v>27</v>
      </c>
      <c r="AB769" t="s">
        <v>27</v>
      </c>
      <c r="AC769" t="s">
        <v>27</v>
      </c>
      <c r="AD769" t="s">
        <v>27</v>
      </c>
      <c r="AE769" t="s">
        <v>27</v>
      </c>
      <c r="AF769" t="s">
        <v>27</v>
      </c>
      <c r="AG769">
        <v>8.35</v>
      </c>
    </row>
    <row r="770" spans="1:33" x14ac:dyDescent="0.25">
      <c r="A770" t="s">
        <v>57</v>
      </c>
      <c r="B770" s="3">
        <v>44231</v>
      </c>
      <c r="C770">
        <v>2021035</v>
      </c>
      <c r="D770">
        <v>2.62</v>
      </c>
      <c r="E770" t="s">
        <v>27</v>
      </c>
      <c r="F770">
        <v>-4.0999999999999996</v>
      </c>
      <c r="G770">
        <v>-2.8</v>
      </c>
      <c r="H770">
        <v>-8</v>
      </c>
      <c r="I770">
        <v>89.4</v>
      </c>
      <c r="J770">
        <v>83.8</v>
      </c>
      <c r="K770">
        <v>1.6</v>
      </c>
      <c r="L770">
        <v>4</v>
      </c>
      <c r="M770">
        <v>8</v>
      </c>
      <c r="N770">
        <v>1.0250000000000001</v>
      </c>
      <c r="O770">
        <v>-0.4</v>
      </c>
      <c r="P770" t="s">
        <v>27</v>
      </c>
      <c r="Q770" t="s">
        <v>27</v>
      </c>
      <c r="R770" t="s">
        <v>27</v>
      </c>
      <c r="S770">
        <v>0</v>
      </c>
      <c r="T770">
        <v>0.6</v>
      </c>
      <c r="U770">
        <v>1</v>
      </c>
      <c r="V770" t="s">
        <v>27</v>
      </c>
      <c r="W770">
        <v>0.41699999999999998</v>
      </c>
      <c r="X770">
        <v>8.1000000000000003E-2</v>
      </c>
      <c r="Y770" t="s">
        <v>27</v>
      </c>
      <c r="Z770" t="s">
        <v>27</v>
      </c>
      <c r="AA770" t="s">
        <v>27</v>
      </c>
      <c r="AB770" t="s">
        <v>27</v>
      </c>
      <c r="AC770" t="s">
        <v>27</v>
      </c>
      <c r="AD770" t="s">
        <v>27</v>
      </c>
      <c r="AE770" t="s">
        <v>27</v>
      </c>
      <c r="AF770" t="s">
        <v>27</v>
      </c>
      <c r="AG770">
        <v>8.52</v>
      </c>
    </row>
    <row r="771" spans="1:33" x14ac:dyDescent="0.25">
      <c r="A771" t="s">
        <v>57</v>
      </c>
      <c r="B771" s="3">
        <v>44232</v>
      </c>
      <c r="C771">
        <v>2021036</v>
      </c>
      <c r="D771">
        <v>5.19</v>
      </c>
      <c r="E771" t="s">
        <v>27</v>
      </c>
      <c r="F771">
        <v>-3</v>
      </c>
      <c r="G771">
        <v>-1.3</v>
      </c>
      <c r="H771">
        <v>-4.4000000000000004</v>
      </c>
      <c r="I771">
        <v>94</v>
      </c>
      <c r="J771">
        <v>92.6</v>
      </c>
      <c r="K771">
        <v>1.5</v>
      </c>
      <c r="L771">
        <v>3.8</v>
      </c>
      <c r="M771">
        <v>3.8</v>
      </c>
      <c r="N771">
        <v>1.022</v>
      </c>
      <c r="O771">
        <v>-0.4</v>
      </c>
      <c r="P771" t="s">
        <v>27</v>
      </c>
      <c r="Q771" t="s">
        <v>27</v>
      </c>
      <c r="R771" t="s">
        <v>27</v>
      </c>
      <c r="S771">
        <v>0</v>
      </c>
      <c r="T771">
        <v>0.6</v>
      </c>
      <c r="U771">
        <v>1</v>
      </c>
      <c r="V771" t="s">
        <v>27</v>
      </c>
      <c r="W771">
        <v>0.51300000000000001</v>
      </c>
      <c r="X771">
        <v>4.1000000000000002E-2</v>
      </c>
      <c r="Y771" t="s">
        <v>27</v>
      </c>
      <c r="Z771" t="s">
        <v>27</v>
      </c>
      <c r="AA771" t="s">
        <v>27</v>
      </c>
      <c r="AB771" t="s">
        <v>27</v>
      </c>
      <c r="AC771" t="s">
        <v>27</v>
      </c>
      <c r="AD771" t="s">
        <v>27</v>
      </c>
      <c r="AE771" t="s">
        <v>27</v>
      </c>
      <c r="AF771" t="s">
        <v>27</v>
      </c>
      <c r="AG771">
        <v>8.68</v>
      </c>
    </row>
    <row r="772" spans="1:33" x14ac:dyDescent="0.25">
      <c r="A772" t="s">
        <v>57</v>
      </c>
      <c r="B772" s="3">
        <v>44233</v>
      </c>
      <c r="C772">
        <v>2021037</v>
      </c>
      <c r="D772">
        <v>2.41</v>
      </c>
      <c r="E772" t="s">
        <v>27</v>
      </c>
      <c r="F772">
        <v>-5</v>
      </c>
      <c r="G772">
        <v>-2.7</v>
      </c>
      <c r="H772">
        <v>-9.5</v>
      </c>
      <c r="I772">
        <v>92.4</v>
      </c>
      <c r="J772">
        <v>88.5</v>
      </c>
      <c r="K772">
        <v>1.5</v>
      </c>
      <c r="L772">
        <v>3.9</v>
      </c>
      <c r="M772">
        <v>9.6999999999999993</v>
      </c>
      <c r="N772">
        <v>1.0870000000000002</v>
      </c>
      <c r="O772">
        <v>-0.4</v>
      </c>
      <c r="P772" t="s">
        <v>27</v>
      </c>
      <c r="Q772" t="s">
        <v>27</v>
      </c>
      <c r="R772" t="s">
        <v>27</v>
      </c>
      <c r="S772">
        <v>0</v>
      </c>
      <c r="T772">
        <v>0.6</v>
      </c>
      <c r="U772">
        <v>1</v>
      </c>
      <c r="V772" t="s">
        <v>27</v>
      </c>
      <c r="W772">
        <v>0.443</v>
      </c>
      <c r="X772">
        <v>5.8000000000000003E-2</v>
      </c>
      <c r="Y772" t="s">
        <v>27</v>
      </c>
      <c r="Z772" t="s">
        <v>27</v>
      </c>
      <c r="AA772" t="s">
        <v>27</v>
      </c>
      <c r="AB772" t="s">
        <v>27</v>
      </c>
      <c r="AC772" t="s">
        <v>27</v>
      </c>
      <c r="AD772" t="s">
        <v>27</v>
      </c>
      <c r="AE772" t="s">
        <v>27</v>
      </c>
      <c r="AF772" t="s">
        <v>27</v>
      </c>
      <c r="AG772">
        <v>8.85</v>
      </c>
    </row>
    <row r="773" spans="1:33" x14ac:dyDescent="0.25">
      <c r="A773" t="s">
        <v>57</v>
      </c>
      <c r="B773" s="3">
        <v>44234</v>
      </c>
      <c r="C773">
        <v>2021038</v>
      </c>
      <c r="D773">
        <v>4.45</v>
      </c>
      <c r="E773" t="s">
        <v>27</v>
      </c>
      <c r="F773">
        <v>-10.199999999999999</v>
      </c>
      <c r="G773">
        <v>-7.3</v>
      </c>
      <c r="H773">
        <v>-13</v>
      </c>
      <c r="I773">
        <v>87.4</v>
      </c>
      <c r="J773">
        <v>83.1</v>
      </c>
      <c r="K773">
        <v>0.6</v>
      </c>
      <c r="L773">
        <v>2.2000000000000002</v>
      </c>
      <c r="M773">
        <v>2.2999999999999998</v>
      </c>
      <c r="N773">
        <v>1.0880000000000001</v>
      </c>
      <c r="O773">
        <v>-0.4</v>
      </c>
      <c r="P773" t="s">
        <v>27</v>
      </c>
      <c r="Q773" t="s">
        <v>27</v>
      </c>
      <c r="R773" t="s">
        <v>27</v>
      </c>
      <c r="S773">
        <v>0</v>
      </c>
      <c r="T773">
        <v>0.5</v>
      </c>
      <c r="U773">
        <v>1</v>
      </c>
      <c r="V773" t="s">
        <v>27</v>
      </c>
      <c r="W773">
        <v>0.29299999999999998</v>
      </c>
      <c r="X773">
        <v>0.06</v>
      </c>
      <c r="Y773" t="s">
        <v>27</v>
      </c>
      <c r="Z773" t="s">
        <v>27</v>
      </c>
      <c r="AA773" t="s">
        <v>27</v>
      </c>
      <c r="AB773" t="s">
        <v>27</v>
      </c>
      <c r="AC773" t="s">
        <v>27</v>
      </c>
      <c r="AD773" t="s">
        <v>27</v>
      </c>
      <c r="AE773" t="s">
        <v>27</v>
      </c>
      <c r="AF773" t="s">
        <v>27</v>
      </c>
      <c r="AG773">
        <v>9.02</v>
      </c>
    </row>
    <row r="774" spans="1:33" x14ac:dyDescent="0.25">
      <c r="A774" t="s">
        <v>57</v>
      </c>
      <c r="B774" s="3">
        <v>44235</v>
      </c>
      <c r="C774">
        <v>2021039</v>
      </c>
      <c r="D774">
        <v>5.16</v>
      </c>
      <c r="E774" t="s">
        <v>27</v>
      </c>
      <c r="F774">
        <v>-17.2</v>
      </c>
      <c r="G774">
        <v>-11.2</v>
      </c>
      <c r="H774">
        <v>-26.5</v>
      </c>
      <c r="I774">
        <v>80.099999999999994</v>
      </c>
      <c r="J774">
        <v>72.599999999999994</v>
      </c>
      <c r="K774">
        <v>0.8</v>
      </c>
      <c r="L774">
        <v>2.1</v>
      </c>
      <c r="M774">
        <v>9.9</v>
      </c>
      <c r="N774">
        <v>1.1000000000000001</v>
      </c>
      <c r="O774">
        <v>-0.5</v>
      </c>
      <c r="P774" t="s">
        <v>27</v>
      </c>
      <c r="Q774" t="s">
        <v>27</v>
      </c>
      <c r="R774" t="s">
        <v>27</v>
      </c>
      <c r="S774">
        <v>-0.1</v>
      </c>
      <c r="T774">
        <v>0.5</v>
      </c>
      <c r="U774">
        <v>0.9</v>
      </c>
      <c r="V774" t="s">
        <v>27</v>
      </c>
      <c r="W774">
        <v>0.189</v>
      </c>
      <c r="X774">
        <v>7.0999999999999994E-2</v>
      </c>
      <c r="Y774" t="s">
        <v>27</v>
      </c>
      <c r="Z774" t="s">
        <v>27</v>
      </c>
      <c r="AA774" t="s">
        <v>27</v>
      </c>
      <c r="AB774" t="s">
        <v>27</v>
      </c>
      <c r="AC774" t="s">
        <v>27</v>
      </c>
      <c r="AD774" t="s">
        <v>27</v>
      </c>
      <c r="AE774" t="s">
        <v>27</v>
      </c>
      <c r="AF774" t="s">
        <v>27</v>
      </c>
      <c r="AG774">
        <v>9.19</v>
      </c>
    </row>
    <row r="775" spans="1:33" x14ac:dyDescent="0.25">
      <c r="A775" t="s">
        <v>57</v>
      </c>
      <c r="B775" s="3">
        <v>44236</v>
      </c>
      <c r="C775">
        <v>2021040</v>
      </c>
      <c r="D775">
        <v>9.07</v>
      </c>
      <c r="E775" t="s">
        <v>27</v>
      </c>
      <c r="F775">
        <v>-19.600000000000001</v>
      </c>
      <c r="G775">
        <v>-8.9</v>
      </c>
      <c r="H775">
        <v>-30.6</v>
      </c>
      <c r="I775">
        <v>75.400000000000006</v>
      </c>
      <c r="J775">
        <v>56.7</v>
      </c>
      <c r="K775">
        <v>0.2</v>
      </c>
      <c r="L775">
        <v>1.5</v>
      </c>
      <c r="M775">
        <v>0</v>
      </c>
      <c r="N775">
        <v>1.0720000000000001</v>
      </c>
      <c r="O775">
        <v>-0.5</v>
      </c>
      <c r="P775" t="s">
        <v>27</v>
      </c>
      <c r="Q775" t="s">
        <v>27</v>
      </c>
      <c r="R775" t="s">
        <v>27</v>
      </c>
      <c r="S775">
        <v>-0.1</v>
      </c>
      <c r="T775">
        <v>0.4</v>
      </c>
      <c r="U775">
        <v>0.9</v>
      </c>
      <c r="V775" t="s">
        <v>27</v>
      </c>
      <c r="W775">
        <v>0.17699999999999999</v>
      </c>
      <c r="X775">
        <v>0.13500000000000001</v>
      </c>
      <c r="Y775" t="s">
        <v>27</v>
      </c>
      <c r="Z775" t="s">
        <v>27</v>
      </c>
      <c r="AA775" t="s">
        <v>27</v>
      </c>
      <c r="AB775" t="s">
        <v>27</v>
      </c>
      <c r="AC775" t="s">
        <v>27</v>
      </c>
      <c r="AD775" t="s">
        <v>27</v>
      </c>
      <c r="AE775" t="s">
        <v>27</v>
      </c>
      <c r="AF775" t="s">
        <v>27</v>
      </c>
      <c r="AG775">
        <v>9.3699999999999992</v>
      </c>
    </row>
    <row r="776" spans="1:33" x14ac:dyDescent="0.25">
      <c r="A776" t="s">
        <v>57</v>
      </c>
      <c r="B776" s="3">
        <v>44237</v>
      </c>
      <c r="C776">
        <v>2021041</v>
      </c>
      <c r="D776">
        <v>4.68</v>
      </c>
      <c r="E776" t="s">
        <v>27</v>
      </c>
      <c r="F776">
        <v>-19.3</v>
      </c>
      <c r="G776">
        <v>-13.5</v>
      </c>
      <c r="H776">
        <v>-27.6</v>
      </c>
      <c r="I776">
        <v>76.099999999999994</v>
      </c>
      <c r="J776">
        <v>65.7</v>
      </c>
      <c r="K776">
        <v>1.2</v>
      </c>
      <c r="L776">
        <v>2.7</v>
      </c>
      <c r="M776">
        <v>3.7</v>
      </c>
      <c r="N776">
        <v>1.0620000000000001</v>
      </c>
      <c r="O776">
        <v>-0.6</v>
      </c>
      <c r="P776" t="s">
        <v>27</v>
      </c>
      <c r="Q776" t="s">
        <v>27</v>
      </c>
      <c r="R776" t="s">
        <v>27</v>
      </c>
      <c r="S776">
        <v>-0.1</v>
      </c>
      <c r="T776">
        <v>0.4</v>
      </c>
      <c r="U776">
        <v>0.9</v>
      </c>
      <c r="V776" t="s">
        <v>27</v>
      </c>
      <c r="W776">
        <v>0.14199999999999999</v>
      </c>
      <c r="X776">
        <v>7.3999999999999996E-2</v>
      </c>
      <c r="Y776" t="s">
        <v>27</v>
      </c>
      <c r="Z776" t="s">
        <v>27</v>
      </c>
      <c r="AA776" t="s">
        <v>27</v>
      </c>
      <c r="AB776" t="s">
        <v>27</v>
      </c>
      <c r="AC776" t="s">
        <v>27</v>
      </c>
      <c r="AD776" t="s">
        <v>27</v>
      </c>
      <c r="AE776" t="s">
        <v>27</v>
      </c>
      <c r="AF776" t="s">
        <v>27</v>
      </c>
      <c r="AG776">
        <v>9.5500000000000007</v>
      </c>
    </row>
    <row r="777" spans="1:33" x14ac:dyDescent="0.25">
      <c r="A777" t="s">
        <v>57</v>
      </c>
      <c r="B777" s="3">
        <v>44238</v>
      </c>
      <c r="C777">
        <v>2021042</v>
      </c>
      <c r="D777">
        <v>6.54</v>
      </c>
      <c r="E777" t="s">
        <v>27</v>
      </c>
      <c r="F777">
        <v>-23.4</v>
      </c>
      <c r="G777">
        <v>-14.5</v>
      </c>
      <c r="H777">
        <v>-29.4</v>
      </c>
      <c r="I777">
        <v>73.400000000000006</v>
      </c>
      <c r="J777">
        <v>59.6</v>
      </c>
      <c r="K777">
        <v>1.2</v>
      </c>
      <c r="L777">
        <v>2.9</v>
      </c>
      <c r="M777">
        <v>6.2</v>
      </c>
      <c r="N777">
        <v>1.048</v>
      </c>
      <c r="O777">
        <v>-0.7</v>
      </c>
      <c r="P777" t="s">
        <v>27</v>
      </c>
      <c r="Q777" t="s">
        <v>27</v>
      </c>
      <c r="R777" t="s">
        <v>27</v>
      </c>
      <c r="S777">
        <v>-0.1</v>
      </c>
      <c r="T777">
        <v>0.4</v>
      </c>
      <c r="U777">
        <v>0.8</v>
      </c>
      <c r="V777" t="s">
        <v>27</v>
      </c>
      <c r="W777">
        <v>0.11799999999999999</v>
      </c>
      <c r="X777">
        <v>0.08</v>
      </c>
      <c r="Y777" t="s">
        <v>27</v>
      </c>
      <c r="Z777" t="s">
        <v>27</v>
      </c>
      <c r="AA777" t="s">
        <v>27</v>
      </c>
      <c r="AB777" t="s">
        <v>27</v>
      </c>
      <c r="AC777" t="s">
        <v>27</v>
      </c>
      <c r="AD777" t="s">
        <v>27</v>
      </c>
      <c r="AE777" t="s">
        <v>27</v>
      </c>
      <c r="AF777" t="s">
        <v>27</v>
      </c>
      <c r="AG777">
        <v>9.74</v>
      </c>
    </row>
    <row r="778" spans="1:33" x14ac:dyDescent="0.25">
      <c r="A778" t="s">
        <v>57</v>
      </c>
      <c r="B778" s="3">
        <v>44239</v>
      </c>
      <c r="C778">
        <v>2021043</v>
      </c>
      <c r="D778">
        <v>9.1999999999999993</v>
      </c>
      <c r="E778" t="s">
        <v>27</v>
      </c>
      <c r="F778">
        <v>-20.6</v>
      </c>
      <c r="G778">
        <v>-12.1</v>
      </c>
      <c r="H778">
        <v>-30.6</v>
      </c>
      <c r="I778">
        <v>68.7</v>
      </c>
      <c r="J778">
        <v>49.2</v>
      </c>
      <c r="K778">
        <v>0.8</v>
      </c>
      <c r="L778">
        <v>2.2999999999999998</v>
      </c>
      <c r="M778">
        <v>0</v>
      </c>
      <c r="N778">
        <v>1.0410000000000001</v>
      </c>
      <c r="O778">
        <v>-0.8</v>
      </c>
      <c r="P778" t="s">
        <v>27</v>
      </c>
      <c r="Q778" t="s">
        <v>27</v>
      </c>
      <c r="R778" t="s">
        <v>27</v>
      </c>
      <c r="S778">
        <v>-0.1</v>
      </c>
      <c r="T778">
        <v>0.4</v>
      </c>
      <c r="U778">
        <v>0.9</v>
      </c>
      <c r="V778" t="s">
        <v>27</v>
      </c>
      <c r="W778">
        <v>0.11899999999999999</v>
      </c>
      <c r="X778">
        <v>0.123</v>
      </c>
      <c r="Y778" t="s">
        <v>27</v>
      </c>
      <c r="Z778" t="s">
        <v>27</v>
      </c>
      <c r="AA778" t="s">
        <v>27</v>
      </c>
      <c r="AB778" t="s">
        <v>27</v>
      </c>
      <c r="AC778" t="s">
        <v>27</v>
      </c>
      <c r="AD778" t="s">
        <v>27</v>
      </c>
      <c r="AE778" t="s">
        <v>27</v>
      </c>
      <c r="AF778" t="s">
        <v>27</v>
      </c>
      <c r="AG778">
        <v>9.92</v>
      </c>
    </row>
    <row r="779" spans="1:33" x14ac:dyDescent="0.25">
      <c r="A779" t="s">
        <v>57</v>
      </c>
      <c r="B779" s="3">
        <v>44240</v>
      </c>
      <c r="C779">
        <v>2021044</v>
      </c>
      <c r="D779">
        <v>4.83</v>
      </c>
      <c r="E779" t="s">
        <v>27</v>
      </c>
      <c r="F779">
        <v>-13.8</v>
      </c>
      <c r="G779">
        <v>-10.3</v>
      </c>
      <c r="H779">
        <v>-16.600000000000001</v>
      </c>
      <c r="I779">
        <v>71.7</v>
      </c>
      <c r="J779">
        <v>58.1</v>
      </c>
      <c r="K779">
        <v>1.1000000000000001</v>
      </c>
      <c r="L779">
        <v>2.9</v>
      </c>
      <c r="M779">
        <v>0</v>
      </c>
      <c r="N779">
        <v>1.0290000000000001</v>
      </c>
      <c r="O779">
        <v>-0.9</v>
      </c>
      <c r="P779" t="s">
        <v>27</v>
      </c>
      <c r="Q779" t="s">
        <v>27</v>
      </c>
      <c r="R779" t="s">
        <v>27</v>
      </c>
      <c r="S779">
        <v>0</v>
      </c>
      <c r="T779">
        <v>0.5</v>
      </c>
      <c r="U779">
        <v>1</v>
      </c>
      <c r="V779" t="s">
        <v>27</v>
      </c>
      <c r="W779">
        <v>0.16200000000000001</v>
      </c>
      <c r="X779">
        <v>0.11700000000000001</v>
      </c>
      <c r="Y779" t="s">
        <v>27</v>
      </c>
      <c r="Z779" t="s">
        <v>27</v>
      </c>
      <c r="AA779" t="s">
        <v>27</v>
      </c>
      <c r="AB779" t="s">
        <v>27</v>
      </c>
      <c r="AC779" t="s">
        <v>27</v>
      </c>
      <c r="AD779" t="s">
        <v>27</v>
      </c>
      <c r="AE779" t="s">
        <v>27</v>
      </c>
      <c r="AF779" t="s">
        <v>27</v>
      </c>
      <c r="AG779">
        <v>10.119999999999999</v>
      </c>
    </row>
    <row r="780" spans="1:33" x14ac:dyDescent="0.25">
      <c r="A780" t="s">
        <v>57</v>
      </c>
      <c r="B780" s="3">
        <v>44241</v>
      </c>
      <c r="C780">
        <v>2021045</v>
      </c>
      <c r="D780">
        <v>5.95</v>
      </c>
      <c r="E780" t="s">
        <v>27</v>
      </c>
      <c r="F780">
        <v>-12.9</v>
      </c>
      <c r="G780">
        <v>-9.6999999999999993</v>
      </c>
      <c r="H780">
        <v>-14.9</v>
      </c>
      <c r="I780">
        <v>79.8</v>
      </c>
      <c r="J780">
        <v>70</v>
      </c>
      <c r="K780">
        <v>0.7</v>
      </c>
      <c r="L780">
        <v>2.8</v>
      </c>
      <c r="M780">
        <v>0</v>
      </c>
      <c r="N780">
        <v>1.026</v>
      </c>
      <c r="O780">
        <v>-1</v>
      </c>
      <c r="P780" t="s">
        <v>27</v>
      </c>
      <c r="Q780" t="s">
        <v>27</v>
      </c>
      <c r="R780" t="s">
        <v>27</v>
      </c>
      <c r="S780">
        <v>0</v>
      </c>
      <c r="T780">
        <v>0.5</v>
      </c>
      <c r="U780">
        <v>0.9</v>
      </c>
      <c r="V780" t="s">
        <v>27</v>
      </c>
      <c r="W780">
        <v>0.20499999999999999</v>
      </c>
      <c r="X780">
        <v>8.7999999999999995E-2</v>
      </c>
      <c r="Y780" t="s">
        <v>27</v>
      </c>
      <c r="Z780" t="s">
        <v>27</v>
      </c>
      <c r="AA780" t="s">
        <v>27</v>
      </c>
      <c r="AB780" t="s">
        <v>27</v>
      </c>
      <c r="AC780" t="s">
        <v>27</v>
      </c>
      <c r="AD780" t="s">
        <v>27</v>
      </c>
      <c r="AE780" t="s">
        <v>27</v>
      </c>
      <c r="AF780" t="s">
        <v>27</v>
      </c>
      <c r="AG780">
        <v>10.31</v>
      </c>
    </row>
    <row r="781" spans="1:33" x14ac:dyDescent="0.25">
      <c r="A781" t="s">
        <v>57</v>
      </c>
      <c r="B781" s="3">
        <v>44242</v>
      </c>
      <c r="C781">
        <v>2021046</v>
      </c>
      <c r="D781">
        <v>4.4800000000000004</v>
      </c>
      <c r="E781" t="s">
        <v>27</v>
      </c>
      <c r="F781">
        <v>-9.6999999999999993</v>
      </c>
      <c r="G781">
        <v>-5.0999999999999996</v>
      </c>
      <c r="H781">
        <v>-13.8</v>
      </c>
      <c r="I781">
        <v>83</v>
      </c>
      <c r="J781">
        <v>69.7</v>
      </c>
      <c r="K781">
        <v>0.5</v>
      </c>
      <c r="L781">
        <v>1.9</v>
      </c>
      <c r="M781">
        <v>0</v>
      </c>
      <c r="N781">
        <v>1.0410000000000001</v>
      </c>
      <c r="O781">
        <v>-1.1000000000000001</v>
      </c>
      <c r="P781" t="s">
        <v>27</v>
      </c>
      <c r="Q781" t="s">
        <v>27</v>
      </c>
      <c r="R781" t="s">
        <v>27</v>
      </c>
      <c r="S781">
        <v>0</v>
      </c>
      <c r="T781">
        <v>0.5</v>
      </c>
      <c r="U781">
        <v>1</v>
      </c>
      <c r="V781" t="s">
        <v>27</v>
      </c>
      <c r="W781">
        <v>0.29199999999999998</v>
      </c>
      <c r="X781">
        <v>0.127</v>
      </c>
      <c r="Y781" t="s">
        <v>27</v>
      </c>
      <c r="Z781" t="s">
        <v>27</v>
      </c>
      <c r="AA781" t="s">
        <v>27</v>
      </c>
      <c r="AB781" t="s">
        <v>27</v>
      </c>
      <c r="AC781" t="s">
        <v>27</v>
      </c>
      <c r="AD781" t="s">
        <v>27</v>
      </c>
      <c r="AE781" t="s">
        <v>27</v>
      </c>
      <c r="AF781" t="s">
        <v>27</v>
      </c>
      <c r="AG781">
        <v>10.51</v>
      </c>
    </row>
    <row r="782" spans="1:33" x14ac:dyDescent="0.25">
      <c r="A782" t="s">
        <v>57</v>
      </c>
      <c r="B782" s="3">
        <v>44243</v>
      </c>
      <c r="C782">
        <v>2021047</v>
      </c>
      <c r="D782">
        <v>2.5099999999999998</v>
      </c>
      <c r="E782" t="s">
        <v>27</v>
      </c>
      <c r="F782">
        <v>-5.7</v>
      </c>
      <c r="G782">
        <v>-3.3</v>
      </c>
      <c r="H782">
        <v>-9.5</v>
      </c>
      <c r="I782">
        <v>88.4</v>
      </c>
      <c r="J782">
        <v>82.4</v>
      </c>
      <c r="K782">
        <v>1.2</v>
      </c>
      <c r="L782">
        <v>3.3</v>
      </c>
      <c r="M782">
        <v>8.6</v>
      </c>
      <c r="N782">
        <v>1.1820000000000002</v>
      </c>
      <c r="O782">
        <v>-1</v>
      </c>
      <c r="P782" t="s">
        <v>27</v>
      </c>
      <c r="Q782" t="s">
        <v>27</v>
      </c>
      <c r="R782" t="s">
        <v>27</v>
      </c>
      <c r="S782">
        <v>0</v>
      </c>
      <c r="T782">
        <v>0.5</v>
      </c>
      <c r="U782">
        <v>1</v>
      </c>
      <c r="V782" t="s">
        <v>27</v>
      </c>
      <c r="W782">
        <v>0.39500000000000002</v>
      </c>
      <c r="X782">
        <v>8.4000000000000005E-2</v>
      </c>
      <c r="Y782" t="s">
        <v>27</v>
      </c>
      <c r="Z782" t="s">
        <v>27</v>
      </c>
      <c r="AA782" t="s">
        <v>27</v>
      </c>
      <c r="AB782" t="s">
        <v>27</v>
      </c>
      <c r="AC782" t="s">
        <v>27</v>
      </c>
      <c r="AD782" t="s">
        <v>27</v>
      </c>
      <c r="AE782" t="s">
        <v>27</v>
      </c>
      <c r="AF782" t="s">
        <v>27</v>
      </c>
      <c r="AG782">
        <v>10.71</v>
      </c>
    </row>
    <row r="783" spans="1:33" x14ac:dyDescent="0.25">
      <c r="A783" t="s">
        <v>57</v>
      </c>
      <c r="B783" s="3">
        <v>44244</v>
      </c>
      <c r="C783">
        <v>2021048</v>
      </c>
      <c r="D783">
        <v>5</v>
      </c>
      <c r="E783" t="s">
        <v>27</v>
      </c>
      <c r="F783">
        <v>-9.5</v>
      </c>
      <c r="G783">
        <v>-6.2</v>
      </c>
      <c r="H783">
        <v>-18.7</v>
      </c>
      <c r="I783">
        <v>78.099999999999994</v>
      </c>
      <c r="J783">
        <v>65.400000000000006</v>
      </c>
      <c r="K783">
        <v>1.3</v>
      </c>
      <c r="L783">
        <v>4.3</v>
      </c>
      <c r="M783">
        <v>1.5</v>
      </c>
      <c r="N783">
        <v>1.147</v>
      </c>
      <c r="O783">
        <v>-1</v>
      </c>
      <c r="P783" t="s">
        <v>27</v>
      </c>
      <c r="Q783" t="s">
        <v>27</v>
      </c>
      <c r="R783" t="s">
        <v>27</v>
      </c>
      <c r="S783">
        <v>0</v>
      </c>
      <c r="T783">
        <v>0.5</v>
      </c>
      <c r="U783">
        <v>1</v>
      </c>
      <c r="V783" t="s">
        <v>27</v>
      </c>
      <c r="W783">
        <v>0.25</v>
      </c>
      <c r="X783">
        <v>0.13200000000000001</v>
      </c>
      <c r="Y783" t="s">
        <v>27</v>
      </c>
      <c r="Z783" t="s">
        <v>27</v>
      </c>
      <c r="AA783" t="s">
        <v>27</v>
      </c>
      <c r="AB783" t="s">
        <v>27</v>
      </c>
      <c r="AC783" t="s">
        <v>27</v>
      </c>
      <c r="AD783" t="s">
        <v>27</v>
      </c>
      <c r="AE783" t="s">
        <v>27</v>
      </c>
      <c r="AF783" t="s">
        <v>27</v>
      </c>
      <c r="AG783">
        <v>10.91</v>
      </c>
    </row>
    <row r="784" spans="1:33" x14ac:dyDescent="0.25">
      <c r="A784" t="s">
        <v>57</v>
      </c>
      <c r="B784" s="3">
        <v>44245</v>
      </c>
      <c r="C784">
        <v>2021049</v>
      </c>
      <c r="D784">
        <v>2.96</v>
      </c>
      <c r="E784" t="s">
        <v>27</v>
      </c>
      <c r="F784">
        <v>-11.5</v>
      </c>
      <c r="G784">
        <v>-7.8</v>
      </c>
      <c r="H784">
        <v>-19.5</v>
      </c>
      <c r="I784">
        <v>83.9</v>
      </c>
      <c r="J784">
        <v>72.599999999999994</v>
      </c>
      <c r="K784">
        <v>0.7</v>
      </c>
      <c r="L784">
        <v>2.4</v>
      </c>
      <c r="M784">
        <v>3.7</v>
      </c>
      <c r="N784">
        <v>1.2100000000000002</v>
      </c>
      <c r="O784">
        <v>-0.9</v>
      </c>
      <c r="P784" t="s">
        <v>27</v>
      </c>
      <c r="Q784" t="s">
        <v>27</v>
      </c>
      <c r="R784" t="s">
        <v>27</v>
      </c>
      <c r="S784">
        <v>0</v>
      </c>
      <c r="T784">
        <v>0.5</v>
      </c>
      <c r="U784">
        <v>0.9</v>
      </c>
      <c r="V784" t="s">
        <v>27</v>
      </c>
      <c r="W784">
        <v>0.246</v>
      </c>
      <c r="X784">
        <v>9.2999999999999999E-2</v>
      </c>
      <c r="Y784" t="s">
        <v>27</v>
      </c>
      <c r="Z784" t="s">
        <v>27</v>
      </c>
      <c r="AA784" t="s">
        <v>27</v>
      </c>
      <c r="AB784" t="s">
        <v>27</v>
      </c>
      <c r="AC784" t="s">
        <v>27</v>
      </c>
      <c r="AD784" t="s">
        <v>27</v>
      </c>
      <c r="AE784" t="s">
        <v>27</v>
      </c>
      <c r="AF784" t="s">
        <v>27</v>
      </c>
      <c r="AG784">
        <v>11.13</v>
      </c>
    </row>
    <row r="785" spans="1:33" x14ac:dyDescent="0.25">
      <c r="A785" t="s">
        <v>57</v>
      </c>
      <c r="B785" s="3">
        <v>44246</v>
      </c>
      <c r="C785">
        <v>2021050</v>
      </c>
      <c r="D785">
        <v>2.65</v>
      </c>
      <c r="E785" t="s">
        <v>27</v>
      </c>
      <c r="F785">
        <v>-8</v>
      </c>
      <c r="G785">
        <v>-0.6</v>
      </c>
      <c r="H785">
        <v>-15.6</v>
      </c>
      <c r="I785">
        <v>83.9</v>
      </c>
      <c r="J785">
        <v>64.7</v>
      </c>
      <c r="K785">
        <v>0.2</v>
      </c>
      <c r="L785">
        <v>2.2000000000000002</v>
      </c>
      <c r="M785">
        <v>0</v>
      </c>
      <c r="N785">
        <v>1.157</v>
      </c>
      <c r="O785">
        <v>-0.8</v>
      </c>
      <c r="P785" t="s">
        <v>27</v>
      </c>
      <c r="Q785" t="s">
        <v>27</v>
      </c>
      <c r="R785" t="s">
        <v>27</v>
      </c>
      <c r="S785">
        <v>0</v>
      </c>
      <c r="T785">
        <v>0.5</v>
      </c>
      <c r="U785">
        <v>0.9</v>
      </c>
      <c r="V785" t="s">
        <v>27</v>
      </c>
      <c r="W785">
        <v>0.377</v>
      </c>
      <c r="X785">
        <v>0.20599999999999999</v>
      </c>
      <c r="Y785" t="s">
        <v>27</v>
      </c>
      <c r="Z785" t="s">
        <v>27</v>
      </c>
      <c r="AA785" t="s">
        <v>27</v>
      </c>
      <c r="AB785" t="s">
        <v>27</v>
      </c>
      <c r="AC785" t="s">
        <v>27</v>
      </c>
      <c r="AD785" t="s">
        <v>27</v>
      </c>
      <c r="AE785" t="s">
        <v>27</v>
      </c>
      <c r="AF785" t="s">
        <v>27</v>
      </c>
      <c r="AG785">
        <v>11.33</v>
      </c>
    </row>
    <row r="786" spans="1:33" x14ac:dyDescent="0.25">
      <c r="A786" t="s">
        <v>57</v>
      </c>
      <c r="B786" s="3">
        <v>44247</v>
      </c>
      <c r="C786">
        <v>2021051</v>
      </c>
      <c r="D786">
        <v>6.85</v>
      </c>
      <c r="E786" t="s">
        <v>27</v>
      </c>
      <c r="F786">
        <v>-5.9</v>
      </c>
      <c r="G786">
        <v>-2.8</v>
      </c>
      <c r="H786">
        <v>-9.4</v>
      </c>
      <c r="I786">
        <v>80</v>
      </c>
      <c r="J786">
        <v>64.3</v>
      </c>
      <c r="K786">
        <v>1.6</v>
      </c>
      <c r="L786">
        <v>5.2</v>
      </c>
      <c r="M786">
        <v>0</v>
      </c>
      <c r="N786">
        <v>1.1400000000000001</v>
      </c>
      <c r="O786">
        <v>-0.8</v>
      </c>
      <c r="P786" t="s">
        <v>27</v>
      </c>
      <c r="Q786" t="s">
        <v>27</v>
      </c>
      <c r="R786" t="s">
        <v>27</v>
      </c>
      <c r="S786">
        <v>0</v>
      </c>
      <c r="T786">
        <v>0.5</v>
      </c>
      <c r="U786">
        <v>0.9</v>
      </c>
      <c r="V786" t="s">
        <v>27</v>
      </c>
      <c r="W786">
        <v>0.32</v>
      </c>
      <c r="X786">
        <v>0.17799999999999999</v>
      </c>
      <c r="Y786" t="s">
        <v>27</v>
      </c>
      <c r="Z786" t="s">
        <v>27</v>
      </c>
      <c r="AA786" t="s">
        <v>27</v>
      </c>
      <c r="AB786" t="s">
        <v>27</v>
      </c>
      <c r="AC786" t="s">
        <v>27</v>
      </c>
      <c r="AD786" t="s">
        <v>27</v>
      </c>
      <c r="AE786" t="s">
        <v>27</v>
      </c>
      <c r="AF786" t="s">
        <v>27</v>
      </c>
      <c r="AG786">
        <v>11.55</v>
      </c>
    </row>
    <row r="787" spans="1:33" x14ac:dyDescent="0.25">
      <c r="A787" t="s">
        <v>57</v>
      </c>
      <c r="B787" s="3">
        <v>44248</v>
      </c>
      <c r="C787">
        <v>2021052</v>
      </c>
      <c r="D787">
        <v>3.85</v>
      </c>
      <c r="E787" t="s">
        <v>27</v>
      </c>
      <c r="F787">
        <v>-1.6</v>
      </c>
      <c r="G787">
        <v>1.8</v>
      </c>
      <c r="H787">
        <v>-5.9</v>
      </c>
      <c r="I787">
        <v>80</v>
      </c>
      <c r="J787">
        <v>66.900000000000006</v>
      </c>
      <c r="K787">
        <v>1.4</v>
      </c>
      <c r="L787">
        <v>4.3</v>
      </c>
      <c r="M787">
        <v>0</v>
      </c>
      <c r="N787">
        <v>1.1180000000000001</v>
      </c>
      <c r="O787">
        <v>-0.7</v>
      </c>
      <c r="P787" t="s">
        <v>27</v>
      </c>
      <c r="Q787" t="s">
        <v>27</v>
      </c>
      <c r="R787" t="s">
        <v>27</v>
      </c>
      <c r="S787">
        <v>0</v>
      </c>
      <c r="T787">
        <v>0.5</v>
      </c>
      <c r="U787">
        <v>1</v>
      </c>
      <c r="V787" t="s">
        <v>27</v>
      </c>
      <c r="W787">
        <v>0.46600000000000003</v>
      </c>
      <c r="X787">
        <v>0.23100000000000001</v>
      </c>
      <c r="Y787" t="s">
        <v>27</v>
      </c>
      <c r="Z787" t="s">
        <v>27</v>
      </c>
      <c r="AA787" t="s">
        <v>27</v>
      </c>
      <c r="AB787" t="s">
        <v>27</v>
      </c>
      <c r="AC787" t="s">
        <v>27</v>
      </c>
      <c r="AD787" t="s">
        <v>27</v>
      </c>
      <c r="AE787" t="s">
        <v>27</v>
      </c>
      <c r="AF787" t="s">
        <v>27</v>
      </c>
      <c r="AG787">
        <v>11.76</v>
      </c>
    </row>
    <row r="788" spans="1:33" x14ac:dyDescent="0.25">
      <c r="A788" t="s">
        <v>57</v>
      </c>
      <c r="B788" s="3">
        <v>44249</v>
      </c>
      <c r="C788">
        <v>2021053</v>
      </c>
      <c r="D788">
        <v>3.74</v>
      </c>
      <c r="E788" t="s">
        <v>27</v>
      </c>
      <c r="F788">
        <v>-0.4</v>
      </c>
      <c r="G788">
        <v>2.1</v>
      </c>
      <c r="H788">
        <v>-4.3</v>
      </c>
      <c r="I788">
        <v>72</v>
      </c>
      <c r="J788">
        <v>53.5</v>
      </c>
      <c r="K788">
        <v>0.5</v>
      </c>
      <c r="L788">
        <v>4.2</v>
      </c>
      <c r="M788">
        <v>0</v>
      </c>
      <c r="N788">
        <v>1.1070000000000002</v>
      </c>
      <c r="O788">
        <v>-0.6</v>
      </c>
      <c r="P788" t="s">
        <v>27</v>
      </c>
      <c r="Q788" t="s">
        <v>27</v>
      </c>
      <c r="R788" t="s">
        <v>27</v>
      </c>
      <c r="S788">
        <v>0</v>
      </c>
      <c r="T788">
        <v>0.5</v>
      </c>
      <c r="U788">
        <v>1</v>
      </c>
      <c r="V788" t="s">
        <v>27</v>
      </c>
      <c r="W788">
        <v>0.38100000000000001</v>
      </c>
      <c r="X788">
        <v>0.33100000000000002</v>
      </c>
      <c r="Y788" t="s">
        <v>27</v>
      </c>
      <c r="Z788" t="s">
        <v>27</v>
      </c>
      <c r="AA788" t="s">
        <v>27</v>
      </c>
      <c r="AB788" t="s">
        <v>27</v>
      </c>
      <c r="AC788" t="s">
        <v>27</v>
      </c>
      <c r="AD788" t="s">
        <v>27</v>
      </c>
      <c r="AE788" t="s">
        <v>27</v>
      </c>
      <c r="AF788" t="s">
        <v>27</v>
      </c>
      <c r="AG788">
        <v>11.98</v>
      </c>
    </row>
    <row r="789" spans="1:33" x14ac:dyDescent="0.25">
      <c r="A789" t="s">
        <v>57</v>
      </c>
      <c r="B789" s="3">
        <v>44250</v>
      </c>
      <c r="C789">
        <v>2021054</v>
      </c>
      <c r="D789">
        <v>6.11</v>
      </c>
      <c r="E789" t="s">
        <v>27</v>
      </c>
      <c r="F789">
        <v>-6.7</v>
      </c>
      <c r="G789">
        <v>-3.5</v>
      </c>
      <c r="H789">
        <v>-12.7</v>
      </c>
      <c r="I789">
        <v>71.099999999999994</v>
      </c>
      <c r="J789">
        <v>51.7</v>
      </c>
      <c r="K789">
        <v>0.9</v>
      </c>
      <c r="L789">
        <v>4.2</v>
      </c>
      <c r="M789">
        <v>0.4</v>
      </c>
      <c r="N789">
        <v>1.0990000000000002</v>
      </c>
      <c r="O789">
        <v>-0.6</v>
      </c>
      <c r="P789" t="s">
        <v>27</v>
      </c>
      <c r="Q789" t="s">
        <v>27</v>
      </c>
      <c r="R789" t="s">
        <v>27</v>
      </c>
      <c r="S789">
        <v>0</v>
      </c>
      <c r="T789">
        <v>0.5</v>
      </c>
      <c r="U789">
        <v>0.9</v>
      </c>
      <c r="V789" t="s">
        <v>27</v>
      </c>
      <c r="W789">
        <v>0.24299999999999999</v>
      </c>
      <c r="X789">
        <v>0.22700000000000001</v>
      </c>
      <c r="Y789" t="s">
        <v>27</v>
      </c>
      <c r="Z789" t="s">
        <v>27</v>
      </c>
      <c r="AA789" t="s">
        <v>27</v>
      </c>
      <c r="AB789" t="s">
        <v>27</v>
      </c>
      <c r="AC789" t="s">
        <v>27</v>
      </c>
      <c r="AD789" t="s">
        <v>27</v>
      </c>
      <c r="AE789" t="s">
        <v>27</v>
      </c>
      <c r="AF789" t="s">
        <v>27</v>
      </c>
      <c r="AG789">
        <v>12.21</v>
      </c>
    </row>
    <row r="790" spans="1:33" x14ac:dyDescent="0.25">
      <c r="A790" t="s">
        <v>57</v>
      </c>
      <c r="B790" s="3">
        <v>44251</v>
      </c>
      <c r="C790">
        <v>2021055</v>
      </c>
      <c r="D790">
        <v>11.62</v>
      </c>
      <c r="E790" t="s">
        <v>27</v>
      </c>
      <c r="F790">
        <v>-6.9</v>
      </c>
      <c r="G790">
        <v>-0.6</v>
      </c>
      <c r="H790">
        <v>-15</v>
      </c>
      <c r="I790">
        <v>67.2</v>
      </c>
      <c r="J790">
        <v>29.2</v>
      </c>
      <c r="K790">
        <v>0.9</v>
      </c>
      <c r="L790">
        <v>2.9</v>
      </c>
      <c r="M790">
        <v>0</v>
      </c>
      <c r="N790">
        <v>1.1060000000000001</v>
      </c>
      <c r="O790">
        <v>-0.5</v>
      </c>
      <c r="P790" t="s">
        <v>27</v>
      </c>
      <c r="Q790" t="s">
        <v>27</v>
      </c>
      <c r="R790" t="s">
        <v>27</v>
      </c>
      <c r="S790">
        <v>0</v>
      </c>
      <c r="T790">
        <v>0.5</v>
      </c>
      <c r="U790">
        <v>0.9</v>
      </c>
      <c r="V790" t="s">
        <v>27</v>
      </c>
      <c r="W790">
        <v>0.17100000000000001</v>
      </c>
      <c r="X790">
        <v>0.41499999999999998</v>
      </c>
      <c r="Y790" t="s">
        <v>27</v>
      </c>
      <c r="Z790" t="s">
        <v>27</v>
      </c>
      <c r="AA790" t="s">
        <v>27</v>
      </c>
      <c r="AB790" t="s">
        <v>27</v>
      </c>
      <c r="AC790" t="s">
        <v>27</v>
      </c>
      <c r="AD790" t="s">
        <v>27</v>
      </c>
      <c r="AE790" t="s">
        <v>27</v>
      </c>
      <c r="AF790" t="s">
        <v>27</v>
      </c>
      <c r="AG790">
        <v>12.42</v>
      </c>
    </row>
    <row r="791" spans="1:33" x14ac:dyDescent="0.25">
      <c r="A791" t="s">
        <v>57</v>
      </c>
      <c r="B791" s="3">
        <v>44252</v>
      </c>
      <c r="C791">
        <v>2021056</v>
      </c>
      <c r="D791">
        <v>2.2000000000000002</v>
      </c>
      <c r="E791" t="s">
        <v>27</v>
      </c>
      <c r="F791">
        <v>-5.3</v>
      </c>
      <c r="G791">
        <v>-2.5</v>
      </c>
      <c r="H791">
        <v>-7.3</v>
      </c>
      <c r="I791">
        <v>81.400000000000006</v>
      </c>
      <c r="J791">
        <v>65.900000000000006</v>
      </c>
      <c r="K791">
        <v>1.5</v>
      </c>
      <c r="L791">
        <v>4.4000000000000004</v>
      </c>
      <c r="M791">
        <v>2.5</v>
      </c>
      <c r="N791">
        <v>1.1580000000000001</v>
      </c>
      <c r="O791">
        <v>-0.5</v>
      </c>
      <c r="P791" t="s">
        <v>27</v>
      </c>
      <c r="Q791" t="s">
        <v>27</v>
      </c>
      <c r="R791" t="s">
        <v>27</v>
      </c>
      <c r="S791">
        <v>0</v>
      </c>
      <c r="T791">
        <v>0.5</v>
      </c>
      <c r="U791">
        <v>0.9</v>
      </c>
      <c r="V791" t="s">
        <v>27</v>
      </c>
      <c r="W791">
        <v>0.33400000000000002</v>
      </c>
      <c r="X791">
        <v>0.17299999999999999</v>
      </c>
      <c r="Y791" t="s">
        <v>27</v>
      </c>
      <c r="Z791" t="s">
        <v>27</v>
      </c>
      <c r="AA791" t="s">
        <v>27</v>
      </c>
      <c r="AB791" t="s">
        <v>27</v>
      </c>
      <c r="AC791" t="s">
        <v>27</v>
      </c>
      <c r="AD791" t="s">
        <v>27</v>
      </c>
      <c r="AE791" t="s">
        <v>27</v>
      </c>
      <c r="AF791" t="s">
        <v>27</v>
      </c>
      <c r="AG791">
        <v>12.65</v>
      </c>
    </row>
    <row r="792" spans="1:33" x14ac:dyDescent="0.25">
      <c r="A792" t="s">
        <v>57</v>
      </c>
      <c r="B792" s="3">
        <v>44253</v>
      </c>
      <c r="C792">
        <v>2021057</v>
      </c>
      <c r="D792">
        <v>7.25</v>
      </c>
      <c r="E792" t="s">
        <v>27</v>
      </c>
      <c r="F792">
        <v>-5.5</v>
      </c>
      <c r="G792">
        <v>-1.7</v>
      </c>
      <c r="H792">
        <v>-8.1999999999999993</v>
      </c>
      <c r="I792">
        <v>76.900000000000006</v>
      </c>
      <c r="J792">
        <v>50.8</v>
      </c>
      <c r="K792">
        <v>1.4</v>
      </c>
      <c r="L792">
        <v>4</v>
      </c>
      <c r="M792">
        <v>6.4</v>
      </c>
      <c r="N792">
        <v>1.2140000000000002</v>
      </c>
      <c r="O792">
        <v>-0.5</v>
      </c>
      <c r="P792" t="s">
        <v>27</v>
      </c>
      <c r="Q792" t="s">
        <v>27</v>
      </c>
      <c r="R792" t="s">
        <v>27</v>
      </c>
      <c r="S792">
        <v>0</v>
      </c>
      <c r="T792">
        <v>0.5</v>
      </c>
      <c r="U792">
        <v>0.9</v>
      </c>
      <c r="V792" t="s">
        <v>27</v>
      </c>
      <c r="W792">
        <v>0.27400000000000002</v>
      </c>
      <c r="X792">
        <v>0.26500000000000001</v>
      </c>
      <c r="Y792" t="s">
        <v>27</v>
      </c>
      <c r="Z792" t="s">
        <v>27</v>
      </c>
      <c r="AA792" t="s">
        <v>27</v>
      </c>
      <c r="AB792" t="s">
        <v>27</v>
      </c>
      <c r="AC792" t="s">
        <v>27</v>
      </c>
      <c r="AD792" t="s">
        <v>27</v>
      </c>
      <c r="AE792" t="s">
        <v>27</v>
      </c>
      <c r="AF792" t="s">
        <v>27</v>
      </c>
      <c r="AG792">
        <v>12.88</v>
      </c>
    </row>
    <row r="793" spans="1:33" x14ac:dyDescent="0.25">
      <c r="A793" t="s">
        <v>57</v>
      </c>
      <c r="B793" s="3">
        <v>44254</v>
      </c>
      <c r="C793">
        <v>2021058</v>
      </c>
      <c r="D793">
        <v>11.75</v>
      </c>
      <c r="E793" t="s">
        <v>27</v>
      </c>
      <c r="F793">
        <v>-6.8</v>
      </c>
      <c r="G793">
        <v>-2.7</v>
      </c>
      <c r="H793">
        <v>-10.6</v>
      </c>
      <c r="I793">
        <v>62.7</v>
      </c>
      <c r="J793">
        <v>34</v>
      </c>
      <c r="K793">
        <v>1.5</v>
      </c>
      <c r="L793">
        <v>3.7</v>
      </c>
      <c r="M793">
        <v>0</v>
      </c>
      <c r="N793">
        <v>1.167</v>
      </c>
      <c r="O793">
        <v>-0.5</v>
      </c>
      <c r="P793" t="s">
        <v>27</v>
      </c>
      <c r="Q793" t="s">
        <v>27</v>
      </c>
      <c r="R793" t="s">
        <v>27</v>
      </c>
      <c r="S793">
        <v>0</v>
      </c>
      <c r="T793">
        <v>0.5</v>
      </c>
      <c r="U793">
        <v>0.9</v>
      </c>
      <c r="V793" t="s">
        <v>27</v>
      </c>
      <c r="W793">
        <v>0.17100000000000001</v>
      </c>
      <c r="X793">
        <v>0.33200000000000002</v>
      </c>
      <c r="Y793" t="s">
        <v>27</v>
      </c>
      <c r="Z793" t="s">
        <v>27</v>
      </c>
      <c r="AA793" t="s">
        <v>27</v>
      </c>
      <c r="AB793" t="s">
        <v>27</v>
      </c>
      <c r="AC793" t="s">
        <v>27</v>
      </c>
      <c r="AD793" t="s">
        <v>27</v>
      </c>
      <c r="AE793" t="s">
        <v>27</v>
      </c>
      <c r="AF793" t="s">
        <v>27</v>
      </c>
      <c r="AG793">
        <v>13.12</v>
      </c>
    </row>
    <row r="794" spans="1:33" x14ac:dyDescent="0.25">
      <c r="A794" t="s">
        <v>57</v>
      </c>
      <c r="B794" s="3">
        <v>44255</v>
      </c>
      <c r="C794">
        <v>2021059</v>
      </c>
      <c r="D794">
        <v>7.42</v>
      </c>
      <c r="E794" t="s">
        <v>27</v>
      </c>
      <c r="F794">
        <v>-2.2999999999999998</v>
      </c>
      <c r="G794">
        <v>3</v>
      </c>
      <c r="H794">
        <v>-6.9</v>
      </c>
      <c r="I794">
        <v>81.2</v>
      </c>
      <c r="J794">
        <v>61.7</v>
      </c>
      <c r="K794">
        <v>1</v>
      </c>
      <c r="L794">
        <v>2.7</v>
      </c>
      <c r="M794">
        <v>0.2</v>
      </c>
      <c r="N794">
        <v>1.151</v>
      </c>
      <c r="O794">
        <v>-0.5</v>
      </c>
      <c r="P794" t="s">
        <v>27</v>
      </c>
      <c r="Q794" t="s">
        <v>27</v>
      </c>
      <c r="R794" t="s">
        <v>27</v>
      </c>
      <c r="S794">
        <v>0</v>
      </c>
      <c r="T794">
        <v>0.5</v>
      </c>
      <c r="U794">
        <v>0.9</v>
      </c>
      <c r="V794" t="s">
        <v>27</v>
      </c>
      <c r="W794">
        <v>0.46700000000000003</v>
      </c>
      <c r="X794">
        <v>0.28999999999999998</v>
      </c>
      <c r="Y794" t="s">
        <v>27</v>
      </c>
      <c r="Z794" t="s">
        <v>27</v>
      </c>
      <c r="AA794" t="s">
        <v>27</v>
      </c>
      <c r="AB794" t="s">
        <v>27</v>
      </c>
      <c r="AC794" t="s">
        <v>27</v>
      </c>
      <c r="AD794" t="s">
        <v>27</v>
      </c>
      <c r="AE794" t="s">
        <v>27</v>
      </c>
      <c r="AF794" t="s">
        <v>27</v>
      </c>
      <c r="AG794">
        <v>13.35</v>
      </c>
    </row>
    <row r="795" spans="1:33" x14ac:dyDescent="0.25">
      <c r="A795" t="s">
        <v>57</v>
      </c>
      <c r="B795" s="3">
        <v>44256</v>
      </c>
      <c r="C795">
        <v>2021060</v>
      </c>
      <c r="D795">
        <v>10.09</v>
      </c>
      <c r="E795" t="s">
        <v>27</v>
      </c>
      <c r="F795">
        <v>-0.3</v>
      </c>
      <c r="G795">
        <v>6.2</v>
      </c>
      <c r="H795">
        <v>-3.5</v>
      </c>
      <c r="I795">
        <v>81.400000000000006</v>
      </c>
      <c r="J795">
        <v>47.4</v>
      </c>
      <c r="K795">
        <v>0.8</v>
      </c>
      <c r="L795">
        <v>2.5</v>
      </c>
      <c r="M795">
        <v>0</v>
      </c>
      <c r="N795">
        <v>1.1110000000000002</v>
      </c>
      <c r="O795">
        <v>-0.4</v>
      </c>
      <c r="P795" t="s">
        <v>27</v>
      </c>
      <c r="Q795" t="s">
        <v>27</v>
      </c>
      <c r="R795" t="s">
        <v>27</v>
      </c>
      <c r="S795">
        <v>0</v>
      </c>
      <c r="T795">
        <v>0.5</v>
      </c>
      <c r="U795">
        <v>0.9</v>
      </c>
      <c r="V795" t="s">
        <v>27</v>
      </c>
      <c r="W795">
        <v>0.44900000000000001</v>
      </c>
      <c r="X795">
        <v>0.498</v>
      </c>
      <c r="Y795" t="s">
        <v>27</v>
      </c>
      <c r="Z795" t="s">
        <v>27</v>
      </c>
      <c r="AA795" t="s">
        <v>27</v>
      </c>
      <c r="AB795" t="s">
        <v>27</v>
      </c>
      <c r="AC795" t="s">
        <v>27</v>
      </c>
      <c r="AD795" t="s">
        <v>27</v>
      </c>
      <c r="AE795" t="s">
        <v>27</v>
      </c>
      <c r="AF795" t="s">
        <v>27</v>
      </c>
      <c r="AG795">
        <v>13.59</v>
      </c>
    </row>
    <row r="796" spans="1:33" x14ac:dyDescent="0.25">
      <c r="A796" t="s">
        <v>57</v>
      </c>
      <c r="B796" s="3">
        <v>44257</v>
      </c>
      <c r="C796">
        <v>2021061</v>
      </c>
      <c r="D796">
        <v>7.99</v>
      </c>
      <c r="E796" t="s">
        <v>27</v>
      </c>
      <c r="F796">
        <v>-2.2999999999999998</v>
      </c>
      <c r="G796">
        <v>2</v>
      </c>
      <c r="H796">
        <v>-7.1</v>
      </c>
      <c r="I796">
        <v>72.400000000000006</v>
      </c>
      <c r="J796">
        <v>45</v>
      </c>
      <c r="K796">
        <v>0.8</v>
      </c>
      <c r="L796">
        <v>3.4</v>
      </c>
      <c r="M796">
        <v>0</v>
      </c>
      <c r="N796">
        <v>1.0930000000000002</v>
      </c>
      <c r="O796">
        <v>-0.4</v>
      </c>
      <c r="P796" t="s">
        <v>27</v>
      </c>
      <c r="Q796" t="s">
        <v>27</v>
      </c>
      <c r="R796" t="s">
        <v>27</v>
      </c>
      <c r="S796">
        <v>0</v>
      </c>
      <c r="T796">
        <v>0.5</v>
      </c>
      <c r="U796">
        <v>0.9</v>
      </c>
      <c r="V796" t="s">
        <v>27</v>
      </c>
      <c r="W796">
        <v>0.317</v>
      </c>
      <c r="X796">
        <v>0.38700000000000001</v>
      </c>
      <c r="Y796" t="s">
        <v>27</v>
      </c>
      <c r="Z796" t="s">
        <v>27</v>
      </c>
      <c r="AA796" t="s">
        <v>27</v>
      </c>
      <c r="AB796" t="s">
        <v>27</v>
      </c>
      <c r="AC796" t="s">
        <v>27</v>
      </c>
      <c r="AD796" t="s">
        <v>27</v>
      </c>
      <c r="AE796" t="s">
        <v>27</v>
      </c>
      <c r="AF796" t="s">
        <v>27</v>
      </c>
      <c r="AG796">
        <v>13.82</v>
      </c>
    </row>
    <row r="797" spans="1:33" x14ac:dyDescent="0.25">
      <c r="A797" t="s">
        <v>57</v>
      </c>
      <c r="B797" s="3">
        <v>44258</v>
      </c>
      <c r="C797">
        <v>2021062</v>
      </c>
      <c r="D797">
        <v>12.01</v>
      </c>
      <c r="E797" t="s">
        <v>27</v>
      </c>
      <c r="F797">
        <v>-2.1</v>
      </c>
      <c r="G797">
        <v>7.5</v>
      </c>
      <c r="H797">
        <v>-9.4</v>
      </c>
      <c r="I797">
        <v>67.3</v>
      </c>
      <c r="J797">
        <v>25.6</v>
      </c>
      <c r="K797">
        <v>0.7</v>
      </c>
      <c r="L797">
        <v>3.2</v>
      </c>
      <c r="M797">
        <v>0</v>
      </c>
      <c r="N797">
        <v>1.0860000000000001</v>
      </c>
      <c r="O797">
        <v>-0.4</v>
      </c>
      <c r="P797" t="s">
        <v>27</v>
      </c>
      <c r="Q797" t="s">
        <v>27</v>
      </c>
      <c r="R797" t="s">
        <v>27</v>
      </c>
      <c r="S797">
        <v>0</v>
      </c>
      <c r="T797">
        <v>0.5</v>
      </c>
      <c r="U797">
        <v>0.9</v>
      </c>
      <c r="V797" t="s">
        <v>27</v>
      </c>
      <c r="W797">
        <v>0.26600000000000001</v>
      </c>
      <c r="X797">
        <v>0.77300000000000002</v>
      </c>
      <c r="Y797" t="s">
        <v>27</v>
      </c>
      <c r="Z797" t="s">
        <v>27</v>
      </c>
      <c r="AA797" t="s">
        <v>27</v>
      </c>
      <c r="AB797" t="s">
        <v>27</v>
      </c>
      <c r="AC797" t="s">
        <v>27</v>
      </c>
      <c r="AD797" t="s">
        <v>27</v>
      </c>
      <c r="AE797" t="s">
        <v>27</v>
      </c>
      <c r="AF797" t="s">
        <v>27</v>
      </c>
      <c r="AG797">
        <v>14.07</v>
      </c>
    </row>
    <row r="798" spans="1:33" x14ac:dyDescent="0.25">
      <c r="A798" t="s">
        <v>57</v>
      </c>
      <c r="B798" s="3">
        <v>44259</v>
      </c>
      <c r="C798">
        <v>2021063</v>
      </c>
      <c r="D798">
        <v>10.16</v>
      </c>
      <c r="E798" t="s">
        <v>27</v>
      </c>
      <c r="F798">
        <v>1</v>
      </c>
      <c r="G798">
        <v>9</v>
      </c>
      <c r="H798">
        <v>-7.4</v>
      </c>
      <c r="I798">
        <v>62.9</v>
      </c>
      <c r="J798">
        <v>27.3</v>
      </c>
      <c r="K798">
        <v>1.2</v>
      </c>
      <c r="L798">
        <v>4</v>
      </c>
      <c r="M798">
        <v>0</v>
      </c>
      <c r="N798">
        <v>1.0690000000000002</v>
      </c>
      <c r="O798">
        <v>-0.3</v>
      </c>
      <c r="P798" t="s">
        <v>27</v>
      </c>
      <c r="Q798" t="s">
        <v>27</v>
      </c>
      <c r="R798" t="s">
        <v>27</v>
      </c>
      <c r="S798">
        <v>0.1</v>
      </c>
      <c r="T798">
        <v>0.5</v>
      </c>
      <c r="U798">
        <v>1</v>
      </c>
      <c r="V798" t="s">
        <v>27</v>
      </c>
      <c r="W798">
        <v>0.312</v>
      </c>
      <c r="X798">
        <v>0.83099999999999996</v>
      </c>
      <c r="Y798" t="s">
        <v>27</v>
      </c>
      <c r="Z798" t="s">
        <v>27</v>
      </c>
      <c r="AA798" t="s">
        <v>27</v>
      </c>
      <c r="AB798" t="s">
        <v>27</v>
      </c>
      <c r="AC798" t="s">
        <v>27</v>
      </c>
      <c r="AD798" t="s">
        <v>27</v>
      </c>
      <c r="AE798" t="s">
        <v>27</v>
      </c>
      <c r="AF798" t="s">
        <v>27</v>
      </c>
      <c r="AG798">
        <v>14.31</v>
      </c>
    </row>
    <row r="799" spans="1:33" x14ac:dyDescent="0.25">
      <c r="A799" t="s">
        <v>57</v>
      </c>
      <c r="B799" s="3">
        <v>44260</v>
      </c>
      <c r="C799">
        <v>2021064</v>
      </c>
      <c r="D799">
        <v>6.47</v>
      </c>
      <c r="E799" t="s">
        <v>27</v>
      </c>
      <c r="F799">
        <v>2.8</v>
      </c>
      <c r="G799">
        <v>8.6</v>
      </c>
      <c r="H799">
        <v>-1</v>
      </c>
      <c r="I799">
        <v>59.3</v>
      </c>
      <c r="J799">
        <v>28.9</v>
      </c>
      <c r="K799">
        <v>1.7</v>
      </c>
      <c r="L799">
        <v>5</v>
      </c>
      <c r="M799">
        <v>0</v>
      </c>
      <c r="N799">
        <v>1.042</v>
      </c>
      <c r="O799">
        <v>-0.3</v>
      </c>
      <c r="P799" t="s">
        <v>27</v>
      </c>
      <c r="Q799" t="s">
        <v>27</v>
      </c>
      <c r="R799" t="s">
        <v>27</v>
      </c>
      <c r="S799">
        <v>0.1</v>
      </c>
      <c r="T799">
        <v>0.6</v>
      </c>
      <c r="U799">
        <v>1</v>
      </c>
      <c r="V799" t="s">
        <v>27</v>
      </c>
      <c r="W799">
        <v>0.32300000000000001</v>
      </c>
      <c r="X799">
        <v>0.79500000000000004</v>
      </c>
      <c r="Y799" t="s">
        <v>27</v>
      </c>
      <c r="Z799" t="s">
        <v>27</v>
      </c>
      <c r="AA799" t="s">
        <v>27</v>
      </c>
      <c r="AB799" t="s">
        <v>27</v>
      </c>
      <c r="AC799" t="s">
        <v>27</v>
      </c>
      <c r="AD799" t="s">
        <v>27</v>
      </c>
      <c r="AE799" t="s">
        <v>27</v>
      </c>
      <c r="AF799" t="s">
        <v>27</v>
      </c>
      <c r="AG799">
        <v>14.55</v>
      </c>
    </row>
    <row r="800" spans="1:33" x14ac:dyDescent="0.25">
      <c r="A800" t="s">
        <v>57</v>
      </c>
      <c r="B800" s="3">
        <v>44261</v>
      </c>
      <c r="C800">
        <v>2021065</v>
      </c>
      <c r="D800">
        <v>8.0500000000000007</v>
      </c>
      <c r="E800" t="s">
        <v>27</v>
      </c>
      <c r="F800">
        <v>-2.2000000000000002</v>
      </c>
      <c r="G800">
        <v>3.2</v>
      </c>
      <c r="H800">
        <v>-6.5</v>
      </c>
      <c r="I800">
        <v>71.900000000000006</v>
      </c>
      <c r="J800">
        <v>37.200000000000003</v>
      </c>
      <c r="K800">
        <v>0.7</v>
      </c>
      <c r="L800">
        <v>3.8</v>
      </c>
      <c r="M800">
        <v>0</v>
      </c>
      <c r="N800">
        <v>1.0660000000000001</v>
      </c>
      <c r="O800">
        <v>-0.3</v>
      </c>
      <c r="P800" t="s">
        <v>27</v>
      </c>
      <c r="Q800" t="s">
        <v>27</v>
      </c>
      <c r="R800" t="s">
        <v>27</v>
      </c>
      <c r="S800">
        <v>0</v>
      </c>
      <c r="T800">
        <v>0.5</v>
      </c>
      <c r="U800">
        <v>0.9</v>
      </c>
      <c r="V800" t="s">
        <v>27</v>
      </c>
      <c r="W800">
        <v>0.28599999999999998</v>
      </c>
      <c r="X800">
        <v>0.48299999999999998</v>
      </c>
      <c r="Y800" t="s">
        <v>27</v>
      </c>
      <c r="Z800" t="s">
        <v>27</v>
      </c>
      <c r="AA800" t="s">
        <v>27</v>
      </c>
      <c r="AB800" t="s">
        <v>27</v>
      </c>
      <c r="AC800" t="s">
        <v>27</v>
      </c>
      <c r="AD800" t="s">
        <v>27</v>
      </c>
      <c r="AE800" t="s">
        <v>27</v>
      </c>
      <c r="AF800" t="s">
        <v>27</v>
      </c>
      <c r="AG800">
        <v>14.8</v>
      </c>
    </row>
    <row r="801" spans="1:33" x14ac:dyDescent="0.25">
      <c r="A801" t="s">
        <v>57</v>
      </c>
      <c r="B801" s="3">
        <v>44262</v>
      </c>
      <c r="C801">
        <v>2021066</v>
      </c>
      <c r="D801">
        <v>6</v>
      </c>
      <c r="E801" t="s">
        <v>27</v>
      </c>
      <c r="F801">
        <v>-4.5999999999999996</v>
      </c>
      <c r="G801">
        <v>-0.5</v>
      </c>
      <c r="H801">
        <v>-13.1</v>
      </c>
      <c r="I801">
        <v>79.5</v>
      </c>
      <c r="J801">
        <v>64.400000000000006</v>
      </c>
      <c r="K801">
        <v>1.2</v>
      </c>
      <c r="L801">
        <v>3.5</v>
      </c>
      <c r="M801">
        <v>3.4</v>
      </c>
      <c r="N801">
        <v>1.0860000000000001</v>
      </c>
      <c r="O801">
        <v>-0.3</v>
      </c>
      <c r="P801" t="s">
        <v>27</v>
      </c>
      <c r="Q801" t="s">
        <v>27</v>
      </c>
      <c r="R801" t="s">
        <v>27</v>
      </c>
      <c r="S801">
        <v>0</v>
      </c>
      <c r="T801">
        <v>0.5</v>
      </c>
      <c r="U801">
        <v>0.9</v>
      </c>
      <c r="V801" t="s">
        <v>27</v>
      </c>
      <c r="W801">
        <v>0.378</v>
      </c>
      <c r="X801">
        <v>0.20899999999999999</v>
      </c>
      <c r="Y801" t="s">
        <v>27</v>
      </c>
      <c r="Z801" t="s">
        <v>27</v>
      </c>
      <c r="AA801" t="s">
        <v>27</v>
      </c>
      <c r="AB801" t="s">
        <v>27</v>
      </c>
      <c r="AC801" t="s">
        <v>27</v>
      </c>
      <c r="AD801" t="s">
        <v>27</v>
      </c>
      <c r="AE801" t="s">
        <v>27</v>
      </c>
      <c r="AF801" t="s">
        <v>27</v>
      </c>
      <c r="AG801">
        <v>15.04</v>
      </c>
    </row>
    <row r="802" spans="1:33" x14ac:dyDescent="0.25">
      <c r="A802" t="s">
        <v>57</v>
      </c>
      <c r="B802" s="3">
        <v>44263</v>
      </c>
      <c r="C802">
        <v>2021067</v>
      </c>
      <c r="D802">
        <v>14.63</v>
      </c>
      <c r="E802" t="s">
        <v>27</v>
      </c>
      <c r="F802">
        <v>-7.4</v>
      </c>
      <c r="G802">
        <v>3.6</v>
      </c>
      <c r="H802">
        <v>-16.600000000000001</v>
      </c>
      <c r="I802">
        <v>64.2</v>
      </c>
      <c r="J802">
        <v>20.9</v>
      </c>
      <c r="K802">
        <v>0.5</v>
      </c>
      <c r="L802">
        <v>2.4</v>
      </c>
      <c r="M802">
        <v>0</v>
      </c>
      <c r="N802">
        <v>1.0680000000000001</v>
      </c>
      <c r="O802">
        <v>-0.3</v>
      </c>
      <c r="P802" t="s">
        <v>27</v>
      </c>
      <c r="Q802" t="s">
        <v>27</v>
      </c>
      <c r="R802" t="s">
        <v>27</v>
      </c>
      <c r="S802">
        <v>0</v>
      </c>
      <c r="T802">
        <v>0.5</v>
      </c>
      <c r="U802">
        <v>0.9</v>
      </c>
      <c r="V802" t="s">
        <v>27</v>
      </c>
      <c r="W802">
        <v>0.16500000000000001</v>
      </c>
      <c r="X802">
        <v>0.624</v>
      </c>
      <c r="Y802" t="s">
        <v>27</v>
      </c>
      <c r="Z802" t="s">
        <v>27</v>
      </c>
      <c r="AA802" t="s">
        <v>27</v>
      </c>
      <c r="AB802" t="s">
        <v>27</v>
      </c>
      <c r="AC802" t="s">
        <v>27</v>
      </c>
      <c r="AD802" t="s">
        <v>27</v>
      </c>
      <c r="AE802" t="s">
        <v>27</v>
      </c>
      <c r="AF802" t="s">
        <v>27</v>
      </c>
      <c r="AG802">
        <v>15.29</v>
      </c>
    </row>
    <row r="803" spans="1:33" x14ac:dyDescent="0.25">
      <c r="A803" t="s">
        <v>57</v>
      </c>
      <c r="B803" s="3">
        <v>44264</v>
      </c>
      <c r="C803">
        <v>2021068</v>
      </c>
      <c r="D803">
        <v>13.84</v>
      </c>
      <c r="E803" t="s">
        <v>27</v>
      </c>
      <c r="F803">
        <v>-5.9</v>
      </c>
      <c r="G803">
        <v>2.5</v>
      </c>
      <c r="H803">
        <v>-13.7</v>
      </c>
      <c r="I803">
        <v>67.400000000000006</v>
      </c>
      <c r="J803">
        <v>36.799999999999997</v>
      </c>
      <c r="K803">
        <v>0.8</v>
      </c>
      <c r="L803">
        <v>3.3</v>
      </c>
      <c r="M803">
        <v>0</v>
      </c>
      <c r="N803">
        <v>1.0790000000000002</v>
      </c>
      <c r="O803">
        <v>-0.3</v>
      </c>
      <c r="P803" t="s">
        <v>27</v>
      </c>
      <c r="Q803" t="s">
        <v>27</v>
      </c>
      <c r="R803" t="s">
        <v>27</v>
      </c>
      <c r="S803">
        <v>0</v>
      </c>
      <c r="T803">
        <v>0.5</v>
      </c>
      <c r="U803">
        <v>0.9</v>
      </c>
      <c r="V803" t="s">
        <v>27</v>
      </c>
      <c r="W803">
        <v>0.27</v>
      </c>
      <c r="X803">
        <v>0.46400000000000002</v>
      </c>
      <c r="Y803" t="s">
        <v>27</v>
      </c>
      <c r="Z803" t="s">
        <v>27</v>
      </c>
      <c r="AA803" t="s">
        <v>27</v>
      </c>
      <c r="AB803" t="s">
        <v>27</v>
      </c>
      <c r="AC803" t="s">
        <v>27</v>
      </c>
      <c r="AD803" t="s">
        <v>27</v>
      </c>
      <c r="AE803" t="s">
        <v>27</v>
      </c>
      <c r="AF803" t="s">
        <v>27</v>
      </c>
      <c r="AG803">
        <v>15.55</v>
      </c>
    </row>
    <row r="804" spans="1:33" x14ac:dyDescent="0.25">
      <c r="A804" t="s">
        <v>57</v>
      </c>
      <c r="B804" s="3">
        <v>44265</v>
      </c>
      <c r="C804">
        <v>2021069</v>
      </c>
      <c r="D804">
        <v>8.7899999999999991</v>
      </c>
      <c r="E804" t="s">
        <v>27</v>
      </c>
      <c r="F804">
        <v>-7.1</v>
      </c>
      <c r="G804">
        <v>0.5</v>
      </c>
      <c r="H804">
        <v>-13.6</v>
      </c>
      <c r="I804">
        <v>75.8</v>
      </c>
      <c r="J804">
        <v>48.2</v>
      </c>
      <c r="K804">
        <v>0.7</v>
      </c>
      <c r="L804">
        <v>2.7</v>
      </c>
      <c r="M804">
        <v>0</v>
      </c>
      <c r="N804">
        <v>1.0760000000000001</v>
      </c>
      <c r="O804">
        <v>-0.4</v>
      </c>
      <c r="P804" t="s">
        <v>27</v>
      </c>
      <c r="Q804" t="s">
        <v>27</v>
      </c>
      <c r="R804" t="s">
        <v>27</v>
      </c>
      <c r="S804">
        <v>0</v>
      </c>
      <c r="T804">
        <v>0.5</v>
      </c>
      <c r="U804">
        <v>0.9</v>
      </c>
      <c r="V804" t="s">
        <v>27</v>
      </c>
      <c r="W804">
        <v>0.30599999999999999</v>
      </c>
      <c r="X804">
        <v>0.32900000000000001</v>
      </c>
      <c r="Y804" t="s">
        <v>27</v>
      </c>
      <c r="Z804" t="s">
        <v>27</v>
      </c>
      <c r="AA804" t="s">
        <v>27</v>
      </c>
      <c r="AB804" t="s">
        <v>27</v>
      </c>
      <c r="AC804" t="s">
        <v>27</v>
      </c>
      <c r="AD804" t="s">
        <v>27</v>
      </c>
      <c r="AE804" t="s">
        <v>27</v>
      </c>
      <c r="AF804" t="s">
        <v>27</v>
      </c>
      <c r="AG804">
        <v>15.8</v>
      </c>
    </row>
    <row r="805" spans="1:33" x14ac:dyDescent="0.25">
      <c r="A805" t="s">
        <v>57</v>
      </c>
      <c r="B805" s="3">
        <v>44266</v>
      </c>
      <c r="C805">
        <v>2021070</v>
      </c>
      <c r="D805">
        <v>15.21</v>
      </c>
      <c r="E805" t="s">
        <v>27</v>
      </c>
      <c r="F805">
        <v>-6.8</v>
      </c>
      <c r="G805">
        <v>3.1</v>
      </c>
      <c r="H805">
        <v>-17.5</v>
      </c>
      <c r="I805">
        <v>59.8</v>
      </c>
      <c r="J805">
        <v>26.9</v>
      </c>
      <c r="K805">
        <v>0.5</v>
      </c>
      <c r="L805">
        <v>3.2</v>
      </c>
      <c r="M805">
        <v>0</v>
      </c>
      <c r="N805">
        <v>1.0730000000000002</v>
      </c>
      <c r="O805">
        <v>-0.5</v>
      </c>
      <c r="P805" t="s">
        <v>27</v>
      </c>
      <c r="Q805" t="s">
        <v>27</v>
      </c>
      <c r="R805" t="s">
        <v>27</v>
      </c>
      <c r="S805">
        <v>0</v>
      </c>
      <c r="T805">
        <v>0.5</v>
      </c>
      <c r="U805">
        <v>0.9</v>
      </c>
      <c r="V805" t="s">
        <v>27</v>
      </c>
      <c r="W805">
        <v>0.20499999999999999</v>
      </c>
      <c r="X805">
        <v>0.55700000000000005</v>
      </c>
      <c r="Y805" t="s">
        <v>27</v>
      </c>
      <c r="Z805" t="s">
        <v>27</v>
      </c>
      <c r="AA805" t="s">
        <v>27</v>
      </c>
      <c r="AB805" t="s">
        <v>27</v>
      </c>
      <c r="AC805" t="s">
        <v>27</v>
      </c>
      <c r="AD805" t="s">
        <v>27</v>
      </c>
      <c r="AE805" t="s">
        <v>27</v>
      </c>
      <c r="AF805" t="s">
        <v>27</v>
      </c>
      <c r="AG805">
        <v>16.05</v>
      </c>
    </row>
    <row r="806" spans="1:33" x14ac:dyDescent="0.25">
      <c r="A806" t="s">
        <v>57</v>
      </c>
      <c r="B806" s="3">
        <v>44267</v>
      </c>
      <c r="C806">
        <v>2021071</v>
      </c>
      <c r="D806">
        <v>13.86</v>
      </c>
      <c r="E806" t="s">
        <v>27</v>
      </c>
      <c r="F806">
        <v>-2</v>
      </c>
      <c r="G806">
        <v>8.1999999999999993</v>
      </c>
      <c r="H806">
        <v>-11.8</v>
      </c>
      <c r="I806">
        <v>60</v>
      </c>
      <c r="J806">
        <v>23.4</v>
      </c>
      <c r="K806">
        <v>0.2</v>
      </c>
      <c r="L806">
        <v>2.7</v>
      </c>
      <c r="M806">
        <v>0</v>
      </c>
      <c r="N806">
        <v>1.0510000000000002</v>
      </c>
      <c r="O806">
        <v>-0.6</v>
      </c>
      <c r="P806" t="s">
        <v>27</v>
      </c>
      <c r="Q806" t="s">
        <v>27</v>
      </c>
      <c r="R806" t="s">
        <v>27</v>
      </c>
      <c r="S806">
        <v>0</v>
      </c>
      <c r="T806">
        <v>0.5</v>
      </c>
      <c r="U806">
        <v>0.9</v>
      </c>
      <c r="V806" t="s">
        <v>27</v>
      </c>
      <c r="W806">
        <v>0.255</v>
      </c>
      <c r="X806">
        <v>0.83499999999999996</v>
      </c>
      <c r="Y806" t="s">
        <v>27</v>
      </c>
      <c r="Z806" t="s">
        <v>27</v>
      </c>
      <c r="AA806" t="s">
        <v>27</v>
      </c>
      <c r="AB806" t="s">
        <v>27</v>
      </c>
      <c r="AC806" t="s">
        <v>27</v>
      </c>
      <c r="AD806" t="s">
        <v>27</v>
      </c>
      <c r="AE806" t="s">
        <v>27</v>
      </c>
      <c r="AF806" t="s">
        <v>27</v>
      </c>
      <c r="AG806">
        <v>16.309999999999999</v>
      </c>
    </row>
    <row r="807" spans="1:33" x14ac:dyDescent="0.25">
      <c r="A807" t="s">
        <v>57</v>
      </c>
      <c r="B807" s="3">
        <v>44268</v>
      </c>
      <c r="C807">
        <v>2021072</v>
      </c>
      <c r="D807">
        <v>13.63</v>
      </c>
      <c r="E807" t="s">
        <v>27</v>
      </c>
      <c r="F807">
        <v>0.7</v>
      </c>
      <c r="G807">
        <v>11.5</v>
      </c>
      <c r="H807">
        <v>-7.7</v>
      </c>
      <c r="I807">
        <v>62</v>
      </c>
      <c r="J807">
        <v>27.6</v>
      </c>
      <c r="K807">
        <v>0.3</v>
      </c>
      <c r="L807">
        <v>2.6</v>
      </c>
      <c r="M807">
        <v>0</v>
      </c>
      <c r="N807">
        <v>1.034</v>
      </c>
      <c r="O807">
        <v>-0.6</v>
      </c>
      <c r="P807" t="s">
        <v>27</v>
      </c>
      <c r="Q807" t="s">
        <v>27</v>
      </c>
      <c r="R807" t="s">
        <v>27</v>
      </c>
      <c r="S807">
        <v>0</v>
      </c>
      <c r="T807">
        <v>0.5</v>
      </c>
      <c r="U807">
        <v>0.9</v>
      </c>
      <c r="V807" t="s">
        <v>27</v>
      </c>
      <c r="W807">
        <v>0.374</v>
      </c>
      <c r="X807">
        <v>0.98099999999999998</v>
      </c>
      <c r="Y807" t="s">
        <v>27</v>
      </c>
      <c r="Z807" t="s">
        <v>27</v>
      </c>
      <c r="AA807" t="s">
        <v>27</v>
      </c>
      <c r="AB807" t="s">
        <v>27</v>
      </c>
      <c r="AC807" t="s">
        <v>27</v>
      </c>
      <c r="AD807" t="s">
        <v>27</v>
      </c>
      <c r="AE807" t="s">
        <v>27</v>
      </c>
      <c r="AF807" t="s">
        <v>27</v>
      </c>
      <c r="AG807">
        <v>16.559999999999999</v>
      </c>
    </row>
    <row r="808" spans="1:33" x14ac:dyDescent="0.25">
      <c r="A808" t="s">
        <v>57</v>
      </c>
      <c r="B808" s="3">
        <v>44269</v>
      </c>
      <c r="C808">
        <v>2021073</v>
      </c>
      <c r="D808">
        <v>6.15</v>
      </c>
      <c r="E808" t="s">
        <v>27</v>
      </c>
      <c r="F808">
        <v>1.2</v>
      </c>
      <c r="G808">
        <v>6</v>
      </c>
      <c r="H808">
        <v>-2.2999999999999998</v>
      </c>
      <c r="I808">
        <v>66.900000000000006</v>
      </c>
      <c r="J808">
        <v>32.700000000000003</v>
      </c>
      <c r="K808">
        <v>1.4</v>
      </c>
      <c r="L808">
        <v>3.9</v>
      </c>
      <c r="M808">
        <v>0</v>
      </c>
      <c r="N808">
        <v>1.03</v>
      </c>
      <c r="O808">
        <v>-0.6</v>
      </c>
      <c r="P808" t="s">
        <v>27</v>
      </c>
      <c r="Q808" t="s">
        <v>27</v>
      </c>
      <c r="R808" t="s">
        <v>27</v>
      </c>
      <c r="S808">
        <v>0.1</v>
      </c>
      <c r="T808">
        <v>0.5</v>
      </c>
      <c r="U808">
        <v>0.9</v>
      </c>
      <c r="V808" t="s">
        <v>27</v>
      </c>
      <c r="W808">
        <v>0.30599999999999999</v>
      </c>
      <c r="X808">
        <v>0.63</v>
      </c>
      <c r="Y808" t="s">
        <v>27</v>
      </c>
      <c r="Z808" t="s">
        <v>27</v>
      </c>
      <c r="AA808" t="s">
        <v>27</v>
      </c>
      <c r="AB808" t="s">
        <v>27</v>
      </c>
      <c r="AC808" t="s">
        <v>27</v>
      </c>
      <c r="AD808" t="s">
        <v>27</v>
      </c>
      <c r="AE808" t="s">
        <v>27</v>
      </c>
      <c r="AF808" t="s">
        <v>27</v>
      </c>
      <c r="AG808">
        <v>16.82</v>
      </c>
    </row>
    <row r="809" spans="1:33" x14ac:dyDescent="0.25">
      <c r="A809" t="s">
        <v>57</v>
      </c>
      <c r="B809" s="3">
        <v>44270</v>
      </c>
      <c r="C809">
        <v>2021074</v>
      </c>
      <c r="D809">
        <v>12.07</v>
      </c>
      <c r="E809" t="s">
        <v>27</v>
      </c>
      <c r="F809">
        <v>-3.7</v>
      </c>
      <c r="G809">
        <v>1.4</v>
      </c>
      <c r="H809">
        <v>-10.8</v>
      </c>
      <c r="I809">
        <v>69.8</v>
      </c>
      <c r="J809">
        <v>42.2</v>
      </c>
      <c r="K809">
        <v>1.1000000000000001</v>
      </c>
      <c r="L809">
        <v>3.1</v>
      </c>
      <c r="M809">
        <v>0</v>
      </c>
      <c r="N809">
        <v>1.044</v>
      </c>
      <c r="O809">
        <v>-0.6</v>
      </c>
      <c r="P809" t="s">
        <v>27</v>
      </c>
      <c r="Q809" t="s">
        <v>27</v>
      </c>
      <c r="R809" t="s">
        <v>27</v>
      </c>
      <c r="S809">
        <v>0</v>
      </c>
      <c r="T809">
        <v>0.5</v>
      </c>
      <c r="U809">
        <v>0.9</v>
      </c>
      <c r="V809" t="s">
        <v>27</v>
      </c>
      <c r="W809">
        <v>0.28499999999999998</v>
      </c>
      <c r="X809">
        <v>0.39</v>
      </c>
      <c r="Y809" t="s">
        <v>27</v>
      </c>
      <c r="Z809" t="s">
        <v>27</v>
      </c>
      <c r="AA809" t="s">
        <v>27</v>
      </c>
      <c r="AB809" t="s">
        <v>27</v>
      </c>
      <c r="AC809" t="s">
        <v>27</v>
      </c>
      <c r="AD809" t="s">
        <v>27</v>
      </c>
      <c r="AE809" t="s">
        <v>27</v>
      </c>
      <c r="AF809" t="s">
        <v>27</v>
      </c>
      <c r="AG809">
        <v>17.079999999999998</v>
      </c>
    </row>
    <row r="810" spans="1:33" x14ac:dyDescent="0.25">
      <c r="A810" t="s">
        <v>57</v>
      </c>
      <c r="B810" s="3">
        <v>44271</v>
      </c>
      <c r="C810">
        <v>2021075</v>
      </c>
      <c r="D810">
        <v>15.99</v>
      </c>
      <c r="E810" t="s">
        <v>27</v>
      </c>
      <c r="F810">
        <v>-4.2</v>
      </c>
      <c r="G810">
        <v>6.6</v>
      </c>
      <c r="H810">
        <v>-13.9</v>
      </c>
      <c r="I810">
        <v>61.1</v>
      </c>
      <c r="J810">
        <v>26.6</v>
      </c>
      <c r="K810">
        <v>0.5</v>
      </c>
      <c r="L810">
        <v>2.2999999999999998</v>
      </c>
      <c r="M810">
        <v>0</v>
      </c>
      <c r="N810">
        <v>1.0410000000000001</v>
      </c>
      <c r="O810">
        <v>-0.5</v>
      </c>
      <c r="P810" t="s">
        <v>27</v>
      </c>
      <c r="Q810" t="s">
        <v>27</v>
      </c>
      <c r="R810" t="s">
        <v>27</v>
      </c>
      <c r="S810">
        <v>0</v>
      </c>
      <c r="T810">
        <v>0.5</v>
      </c>
      <c r="U810">
        <v>0.9</v>
      </c>
      <c r="V810" t="s">
        <v>27</v>
      </c>
      <c r="W810">
        <v>0.25900000000000001</v>
      </c>
      <c r="X810">
        <v>0.71499999999999997</v>
      </c>
      <c r="Y810" t="s">
        <v>27</v>
      </c>
      <c r="Z810" t="s">
        <v>27</v>
      </c>
      <c r="AA810" t="s">
        <v>27</v>
      </c>
      <c r="AB810" t="s">
        <v>27</v>
      </c>
      <c r="AC810" t="s">
        <v>27</v>
      </c>
      <c r="AD810" t="s">
        <v>27</v>
      </c>
      <c r="AE810" t="s">
        <v>27</v>
      </c>
      <c r="AF810" t="s">
        <v>27</v>
      </c>
      <c r="AG810">
        <v>17.34</v>
      </c>
    </row>
    <row r="811" spans="1:33" x14ac:dyDescent="0.25">
      <c r="A811" t="s">
        <v>57</v>
      </c>
      <c r="B811" s="3">
        <v>44272</v>
      </c>
      <c r="C811">
        <v>2021076</v>
      </c>
      <c r="D811">
        <v>15.66</v>
      </c>
      <c r="E811" t="s">
        <v>27</v>
      </c>
      <c r="F811">
        <v>-1.3</v>
      </c>
      <c r="G811">
        <v>8.3000000000000007</v>
      </c>
      <c r="H811">
        <v>-11.2</v>
      </c>
      <c r="I811">
        <v>62.6</v>
      </c>
      <c r="J811">
        <v>31.5</v>
      </c>
      <c r="K811">
        <v>0.2</v>
      </c>
      <c r="L811">
        <v>2.8</v>
      </c>
      <c r="M811">
        <v>0</v>
      </c>
      <c r="N811">
        <v>1.028</v>
      </c>
      <c r="O811">
        <v>-0.5</v>
      </c>
      <c r="P811" t="s">
        <v>27</v>
      </c>
      <c r="Q811" t="s">
        <v>27</v>
      </c>
      <c r="R811" t="s">
        <v>27</v>
      </c>
      <c r="S811">
        <v>0</v>
      </c>
      <c r="T811">
        <v>0.5</v>
      </c>
      <c r="U811">
        <v>0.9</v>
      </c>
      <c r="V811" t="s">
        <v>27</v>
      </c>
      <c r="W811">
        <v>0.34599999999999997</v>
      </c>
      <c r="X811">
        <v>0.752</v>
      </c>
      <c r="Y811" t="s">
        <v>27</v>
      </c>
      <c r="Z811" t="s">
        <v>27</v>
      </c>
      <c r="AA811" t="s">
        <v>27</v>
      </c>
      <c r="AB811" t="s">
        <v>27</v>
      </c>
      <c r="AC811" t="s">
        <v>27</v>
      </c>
      <c r="AD811" t="s">
        <v>27</v>
      </c>
      <c r="AE811" t="s">
        <v>27</v>
      </c>
      <c r="AF811" t="s">
        <v>27</v>
      </c>
      <c r="AG811">
        <v>17.600000000000001</v>
      </c>
    </row>
    <row r="812" spans="1:33" x14ac:dyDescent="0.25">
      <c r="A812" t="s">
        <v>57</v>
      </c>
      <c r="B812" s="3">
        <v>44273</v>
      </c>
      <c r="C812">
        <v>2021077</v>
      </c>
      <c r="D812">
        <v>11.07</v>
      </c>
      <c r="E812" t="s">
        <v>27</v>
      </c>
      <c r="F812">
        <v>3.1</v>
      </c>
      <c r="G812">
        <v>11.3</v>
      </c>
      <c r="H812">
        <v>-3.2</v>
      </c>
      <c r="I812">
        <v>65.3</v>
      </c>
      <c r="J812">
        <v>35.299999999999997</v>
      </c>
      <c r="K812">
        <v>1.2</v>
      </c>
      <c r="L812">
        <v>3.9</v>
      </c>
      <c r="M812">
        <v>8.3000000000000007</v>
      </c>
      <c r="N812">
        <v>1.0990000000000002</v>
      </c>
      <c r="O812">
        <v>-0.4</v>
      </c>
      <c r="P812" t="s">
        <v>27</v>
      </c>
      <c r="Q812" t="s">
        <v>27</v>
      </c>
      <c r="R812" t="s">
        <v>27</v>
      </c>
      <c r="S812">
        <v>0.1</v>
      </c>
      <c r="T812">
        <v>0.5</v>
      </c>
      <c r="U812">
        <v>0.9</v>
      </c>
      <c r="V812" t="s">
        <v>27</v>
      </c>
      <c r="W812">
        <v>0.47199999999999998</v>
      </c>
      <c r="X812">
        <v>0.86499999999999999</v>
      </c>
      <c r="Y812" t="s">
        <v>27</v>
      </c>
      <c r="Z812" t="s">
        <v>27</v>
      </c>
      <c r="AA812" t="s">
        <v>27</v>
      </c>
      <c r="AB812" t="s">
        <v>27</v>
      </c>
      <c r="AC812" t="s">
        <v>27</v>
      </c>
      <c r="AD812" t="s">
        <v>27</v>
      </c>
      <c r="AE812" t="s">
        <v>27</v>
      </c>
      <c r="AF812" t="s">
        <v>27</v>
      </c>
      <c r="AG812">
        <v>17.850000000000001</v>
      </c>
    </row>
    <row r="813" spans="1:33" x14ac:dyDescent="0.25">
      <c r="A813" t="s">
        <v>57</v>
      </c>
      <c r="B813" s="3">
        <v>44274</v>
      </c>
      <c r="C813">
        <v>2021078</v>
      </c>
      <c r="D813">
        <v>12.49</v>
      </c>
      <c r="E813" t="s">
        <v>27</v>
      </c>
      <c r="F813">
        <v>-0.7</v>
      </c>
      <c r="G813">
        <v>4.2</v>
      </c>
      <c r="H813">
        <v>-4.2</v>
      </c>
      <c r="I813">
        <v>81.900000000000006</v>
      </c>
      <c r="J813">
        <v>58</v>
      </c>
      <c r="K813">
        <v>0.7</v>
      </c>
      <c r="L813">
        <v>3.4</v>
      </c>
      <c r="M813">
        <v>1.5</v>
      </c>
      <c r="N813">
        <v>1.0350000000000001</v>
      </c>
      <c r="O813">
        <v>-0.2</v>
      </c>
      <c r="P813" t="s">
        <v>27</v>
      </c>
      <c r="Q813" t="s">
        <v>27</v>
      </c>
      <c r="R813" t="s">
        <v>27</v>
      </c>
      <c r="S813">
        <v>0.1</v>
      </c>
      <c r="T813">
        <v>0.5</v>
      </c>
      <c r="U813">
        <v>0.9</v>
      </c>
      <c r="V813" t="s">
        <v>27</v>
      </c>
      <c r="W813">
        <v>0.47799999999999998</v>
      </c>
      <c r="X813">
        <v>0.34599999999999997</v>
      </c>
      <c r="Y813" t="s">
        <v>27</v>
      </c>
      <c r="Z813" t="s">
        <v>27</v>
      </c>
      <c r="AA813" t="s">
        <v>27</v>
      </c>
      <c r="AB813" t="s">
        <v>27</v>
      </c>
      <c r="AC813" t="s">
        <v>27</v>
      </c>
      <c r="AD813" t="s">
        <v>27</v>
      </c>
      <c r="AE813" t="s">
        <v>27</v>
      </c>
      <c r="AF813" t="s">
        <v>27</v>
      </c>
      <c r="AG813">
        <v>18.12</v>
      </c>
    </row>
    <row r="814" spans="1:33" x14ac:dyDescent="0.25">
      <c r="A814" t="s">
        <v>57</v>
      </c>
      <c r="B814" s="3">
        <v>44275</v>
      </c>
      <c r="C814">
        <v>2021079</v>
      </c>
      <c r="D814">
        <v>8.26</v>
      </c>
      <c r="E814" t="s">
        <v>27</v>
      </c>
      <c r="F814">
        <v>-2</v>
      </c>
      <c r="G814">
        <v>2.7</v>
      </c>
      <c r="H814">
        <v>-5.2</v>
      </c>
      <c r="I814">
        <v>74.400000000000006</v>
      </c>
      <c r="J814">
        <v>51.5</v>
      </c>
      <c r="K814">
        <v>0.7</v>
      </c>
      <c r="L814">
        <v>3.3</v>
      </c>
      <c r="M814">
        <v>1.8</v>
      </c>
      <c r="N814">
        <v>1.04</v>
      </c>
      <c r="O814">
        <v>-0.1</v>
      </c>
      <c r="P814" t="s">
        <v>27</v>
      </c>
      <c r="Q814" t="s">
        <v>27</v>
      </c>
      <c r="R814" t="s">
        <v>27</v>
      </c>
      <c r="S814">
        <v>0.1</v>
      </c>
      <c r="T814">
        <v>0.5</v>
      </c>
      <c r="U814">
        <v>0.9</v>
      </c>
      <c r="V814" t="s">
        <v>27</v>
      </c>
      <c r="W814">
        <v>0.38200000000000001</v>
      </c>
      <c r="X814">
        <v>0.36</v>
      </c>
      <c r="Y814" t="s">
        <v>27</v>
      </c>
      <c r="Z814" t="s">
        <v>27</v>
      </c>
      <c r="AA814" t="s">
        <v>27</v>
      </c>
      <c r="AB814" t="s">
        <v>27</v>
      </c>
      <c r="AC814" t="s">
        <v>27</v>
      </c>
      <c r="AD814" t="s">
        <v>27</v>
      </c>
      <c r="AE814" t="s">
        <v>27</v>
      </c>
      <c r="AF814" t="s">
        <v>27</v>
      </c>
      <c r="AG814">
        <v>18.38</v>
      </c>
    </row>
    <row r="815" spans="1:33" x14ac:dyDescent="0.25">
      <c r="A815" t="s">
        <v>57</v>
      </c>
      <c r="B815" s="3">
        <v>44276</v>
      </c>
      <c r="C815">
        <v>2021080</v>
      </c>
      <c r="D815">
        <v>2.48</v>
      </c>
      <c r="E815" t="s">
        <v>27</v>
      </c>
      <c r="F815">
        <v>-3.6</v>
      </c>
      <c r="G815">
        <v>-2.2000000000000002</v>
      </c>
      <c r="H815">
        <v>-4.7</v>
      </c>
      <c r="I815">
        <v>83.5</v>
      </c>
      <c r="J815">
        <v>65.5</v>
      </c>
      <c r="K815">
        <v>0</v>
      </c>
      <c r="L815">
        <v>0.5</v>
      </c>
      <c r="M815">
        <v>4.5</v>
      </c>
      <c r="N815">
        <v>1.0900000000000001</v>
      </c>
      <c r="O815">
        <v>0</v>
      </c>
      <c r="P815" t="s">
        <v>27</v>
      </c>
      <c r="Q815" t="s">
        <v>27</v>
      </c>
      <c r="R815" t="s">
        <v>27</v>
      </c>
      <c r="S815">
        <v>0</v>
      </c>
      <c r="T815">
        <v>0.5</v>
      </c>
      <c r="U815">
        <v>0.9</v>
      </c>
      <c r="V815" t="s">
        <v>27</v>
      </c>
      <c r="W815">
        <v>0.34100000000000003</v>
      </c>
      <c r="X815">
        <v>0.18</v>
      </c>
      <c r="Y815" t="s">
        <v>27</v>
      </c>
      <c r="Z815" t="s">
        <v>27</v>
      </c>
      <c r="AA815" t="s">
        <v>27</v>
      </c>
      <c r="AB815" t="s">
        <v>27</v>
      </c>
      <c r="AC815" t="s">
        <v>27</v>
      </c>
      <c r="AD815" t="s">
        <v>27</v>
      </c>
      <c r="AE815" t="s">
        <v>27</v>
      </c>
      <c r="AF815" t="s">
        <v>27</v>
      </c>
      <c r="AG815">
        <v>18.649999999999999</v>
      </c>
    </row>
    <row r="816" spans="1:33" x14ac:dyDescent="0.25">
      <c r="A816" t="s">
        <v>57</v>
      </c>
      <c r="B816" s="3">
        <v>44277</v>
      </c>
      <c r="C816">
        <v>2021081</v>
      </c>
      <c r="D816">
        <v>4.97</v>
      </c>
      <c r="E816" t="s">
        <v>27</v>
      </c>
      <c r="F816">
        <v>-4</v>
      </c>
      <c r="G816">
        <v>0.2</v>
      </c>
      <c r="H816">
        <v>-10.5</v>
      </c>
      <c r="I816">
        <v>83.9</v>
      </c>
      <c r="J816">
        <v>62.2</v>
      </c>
      <c r="K816">
        <v>0.6</v>
      </c>
      <c r="L816">
        <v>2.9</v>
      </c>
      <c r="M816">
        <v>5.9</v>
      </c>
      <c r="N816">
        <v>1.1280000000000001</v>
      </c>
      <c r="O816">
        <v>-0.1</v>
      </c>
      <c r="P816" t="s">
        <v>27</v>
      </c>
      <c r="Q816" t="s">
        <v>27</v>
      </c>
      <c r="R816" t="s">
        <v>27</v>
      </c>
      <c r="S816">
        <v>0</v>
      </c>
      <c r="T816">
        <v>0.5</v>
      </c>
      <c r="U816">
        <v>0.9</v>
      </c>
      <c r="V816" t="s">
        <v>27</v>
      </c>
      <c r="W816">
        <v>0.38600000000000001</v>
      </c>
      <c r="X816">
        <v>0.23499999999999999</v>
      </c>
      <c r="Y816" t="s">
        <v>27</v>
      </c>
      <c r="Z816" t="s">
        <v>27</v>
      </c>
      <c r="AA816" t="s">
        <v>27</v>
      </c>
      <c r="AB816" t="s">
        <v>27</v>
      </c>
      <c r="AC816" t="s">
        <v>27</v>
      </c>
      <c r="AD816" t="s">
        <v>27</v>
      </c>
      <c r="AE816" t="s">
        <v>27</v>
      </c>
      <c r="AF816" t="s">
        <v>27</v>
      </c>
      <c r="AG816">
        <v>18.91</v>
      </c>
    </row>
    <row r="817" spans="1:33" x14ac:dyDescent="0.25">
      <c r="A817" t="s">
        <v>57</v>
      </c>
      <c r="B817" s="3">
        <v>44278</v>
      </c>
      <c r="C817">
        <v>2021082</v>
      </c>
      <c r="D817">
        <v>15.68</v>
      </c>
      <c r="E817" t="s">
        <v>27</v>
      </c>
      <c r="F817">
        <v>-4.0999999999999996</v>
      </c>
      <c r="G817">
        <v>3.6</v>
      </c>
      <c r="H817">
        <v>-14.2</v>
      </c>
      <c r="I817">
        <v>68.2</v>
      </c>
      <c r="J817">
        <v>36.799999999999997</v>
      </c>
      <c r="K817">
        <v>0.9</v>
      </c>
      <c r="L817">
        <v>3.2</v>
      </c>
      <c r="M817">
        <v>0</v>
      </c>
      <c r="N817">
        <v>1.1080000000000001</v>
      </c>
      <c r="O817">
        <v>-0.1</v>
      </c>
      <c r="P817" t="s">
        <v>27</v>
      </c>
      <c r="Q817" t="s">
        <v>27</v>
      </c>
      <c r="R817" t="s">
        <v>27</v>
      </c>
      <c r="S817">
        <v>0</v>
      </c>
      <c r="T817">
        <v>0.5</v>
      </c>
      <c r="U817">
        <v>0.9</v>
      </c>
      <c r="V817" t="s">
        <v>27</v>
      </c>
      <c r="W817">
        <v>0.28999999999999998</v>
      </c>
      <c r="X817">
        <v>0.498</v>
      </c>
      <c r="Y817" t="s">
        <v>27</v>
      </c>
      <c r="Z817" t="s">
        <v>27</v>
      </c>
      <c r="AA817" t="s">
        <v>27</v>
      </c>
      <c r="AB817" t="s">
        <v>27</v>
      </c>
      <c r="AC817" t="s">
        <v>27</v>
      </c>
      <c r="AD817" t="s">
        <v>27</v>
      </c>
      <c r="AE817" t="s">
        <v>27</v>
      </c>
      <c r="AF817" t="s">
        <v>27</v>
      </c>
      <c r="AG817">
        <v>19.170000000000002</v>
      </c>
    </row>
    <row r="818" spans="1:33" x14ac:dyDescent="0.25">
      <c r="A818" t="s">
        <v>57</v>
      </c>
      <c r="B818" s="3">
        <v>44279</v>
      </c>
      <c r="C818">
        <v>2021083</v>
      </c>
      <c r="D818">
        <v>6.77</v>
      </c>
      <c r="E818" t="s">
        <v>27</v>
      </c>
      <c r="F818">
        <v>-1.8</v>
      </c>
      <c r="G818">
        <v>2.4</v>
      </c>
      <c r="H818">
        <v>-4.4000000000000004</v>
      </c>
      <c r="I818">
        <v>87</v>
      </c>
      <c r="J818">
        <v>69.7</v>
      </c>
      <c r="K818">
        <v>0.7</v>
      </c>
      <c r="L818">
        <v>2.9</v>
      </c>
      <c r="M818">
        <v>3.3</v>
      </c>
      <c r="N818">
        <v>1.1500000000000001</v>
      </c>
      <c r="O818">
        <v>-0.2</v>
      </c>
      <c r="P818" t="s">
        <v>27</v>
      </c>
      <c r="Q818" t="s">
        <v>27</v>
      </c>
      <c r="R818" t="s">
        <v>27</v>
      </c>
      <c r="S818">
        <v>0.1</v>
      </c>
      <c r="T818">
        <v>0.5</v>
      </c>
      <c r="U818">
        <v>0.9</v>
      </c>
      <c r="V818" t="s">
        <v>27</v>
      </c>
      <c r="W818">
        <v>0.50700000000000001</v>
      </c>
      <c r="X818">
        <v>0.22</v>
      </c>
      <c r="Y818" t="s">
        <v>27</v>
      </c>
      <c r="Z818" t="s">
        <v>27</v>
      </c>
      <c r="AA818" t="s">
        <v>27</v>
      </c>
      <c r="AB818" t="s">
        <v>27</v>
      </c>
      <c r="AC818" t="s">
        <v>27</v>
      </c>
      <c r="AD818" t="s">
        <v>27</v>
      </c>
      <c r="AE818" t="s">
        <v>27</v>
      </c>
      <c r="AF818" t="s">
        <v>27</v>
      </c>
      <c r="AG818">
        <v>19.43</v>
      </c>
    </row>
    <row r="819" spans="1:33" x14ac:dyDescent="0.25">
      <c r="A819" t="s">
        <v>57</v>
      </c>
      <c r="B819" s="3">
        <v>44280</v>
      </c>
      <c r="C819">
        <v>2021084</v>
      </c>
      <c r="D819">
        <v>10.47</v>
      </c>
      <c r="E819" t="s">
        <v>27</v>
      </c>
      <c r="F819">
        <v>-1.9</v>
      </c>
      <c r="G819">
        <v>3.1</v>
      </c>
      <c r="H819">
        <v>-5.4</v>
      </c>
      <c r="I819">
        <v>76.599999999999994</v>
      </c>
      <c r="J819">
        <v>55.8</v>
      </c>
      <c r="K819">
        <v>1</v>
      </c>
      <c r="L819">
        <v>3.9</v>
      </c>
      <c r="M819">
        <v>2.2000000000000002</v>
      </c>
      <c r="N819">
        <v>1.1620000000000001</v>
      </c>
      <c r="O819">
        <v>-0.2</v>
      </c>
      <c r="P819" t="s">
        <v>27</v>
      </c>
      <c r="Q819" t="s">
        <v>27</v>
      </c>
      <c r="R819" t="s">
        <v>27</v>
      </c>
      <c r="S819">
        <v>0.1</v>
      </c>
      <c r="T819">
        <v>0.5</v>
      </c>
      <c r="U819">
        <v>0.9</v>
      </c>
      <c r="V819" t="s">
        <v>27</v>
      </c>
      <c r="W819">
        <v>0.42499999999999999</v>
      </c>
      <c r="X819">
        <v>0.33700000000000002</v>
      </c>
      <c r="Y819" t="s">
        <v>27</v>
      </c>
      <c r="Z819" t="s">
        <v>27</v>
      </c>
      <c r="AA819" t="s">
        <v>27</v>
      </c>
      <c r="AB819" t="s">
        <v>27</v>
      </c>
      <c r="AC819" t="s">
        <v>27</v>
      </c>
      <c r="AD819" t="s">
        <v>27</v>
      </c>
      <c r="AE819" t="s">
        <v>27</v>
      </c>
      <c r="AF819" t="s">
        <v>27</v>
      </c>
      <c r="AG819">
        <v>19.7</v>
      </c>
    </row>
    <row r="820" spans="1:33" x14ac:dyDescent="0.25">
      <c r="A820" t="s">
        <v>57</v>
      </c>
      <c r="B820" s="3">
        <v>44281</v>
      </c>
      <c r="C820">
        <v>2021085</v>
      </c>
      <c r="D820">
        <v>10.74</v>
      </c>
      <c r="E820" t="s">
        <v>27</v>
      </c>
      <c r="F820">
        <v>-0.7</v>
      </c>
      <c r="G820">
        <v>3.7</v>
      </c>
      <c r="H820">
        <v>-5.3</v>
      </c>
      <c r="I820">
        <v>73.900000000000006</v>
      </c>
      <c r="J820">
        <v>52.3</v>
      </c>
      <c r="K820">
        <v>1.5</v>
      </c>
      <c r="L820">
        <v>3.8</v>
      </c>
      <c r="M820">
        <v>0</v>
      </c>
      <c r="N820">
        <v>1.1090000000000002</v>
      </c>
      <c r="O820">
        <v>-0.2</v>
      </c>
      <c r="P820" t="s">
        <v>27</v>
      </c>
      <c r="Q820" t="s">
        <v>27</v>
      </c>
      <c r="R820" t="s">
        <v>27</v>
      </c>
      <c r="S820">
        <v>0.1</v>
      </c>
      <c r="T820">
        <v>0.5</v>
      </c>
      <c r="U820">
        <v>0.9</v>
      </c>
      <c r="V820" t="s">
        <v>27</v>
      </c>
      <c r="W820">
        <v>0.41599999999999998</v>
      </c>
      <c r="X820">
        <v>0.379</v>
      </c>
      <c r="Y820" t="s">
        <v>27</v>
      </c>
      <c r="Z820" t="s">
        <v>27</v>
      </c>
      <c r="AA820" t="s">
        <v>27</v>
      </c>
      <c r="AB820" t="s">
        <v>27</v>
      </c>
      <c r="AC820" t="s">
        <v>27</v>
      </c>
      <c r="AD820" t="s">
        <v>27</v>
      </c>
      <c r="AE820" t="s">
        <v>27</v>
      </c>
      <c r="AF820" t="s">
        <v>27</v>
      </c>
      <c r="AG820">
        <v>19.96</v>
      </c>
    </row>
    <row r="821" spans="1:33" x14ac:dyDescent="0.25">
      <c r="A821" t="s">
        <v>57</v>
      </c>
      <c r="B821" s="3">
        <v>44282</v>
      </c>
      <c r="C821">
        <v>2021086</v>
      </c>
      <c r="D821">
        <v>12.99</v>
      </c>
      <c r="E821" t="s">
        <v>27</v>
      </c>
      <c r="F821">
        <v>2.1</v>
      </c>
      <c r="G821">
        <v>7.1</v>
      </c>
      <c r="H821">
        <v>-3.1</v>
      </c>
      <c r="I821">
        <v>63.8</v>
      </c>
      <c r="J821">
        <v>42.5</v>
      </c>
      <c r="K821">
        <v>1.5</v>
      </c>
      <c r="L821">
        <v>3.4</v>
      </c>
      <c r="M821">
        <v>0</v>
      </c>
      <c r="N821">
        <v>1.0950000000000002</v>
      </c>
      <c r="O821">
        <v>-0.2</v>
      </c>
      <c r="P821" t="s">
        <v>27</v>
      </c>
      <c r="Q821" t="s">
        <v>27</v>
      </c>
      <c r="R821" t="s">
        <v>27</v>
      </c>
      <c r="S821">
        <v>0.1</v>
      </c>
      <c r="T821">
        <v>0.5</v>
      </c>
      <c r="U821">
        <v>0.9</v>
      </c>
      <c r="V821" t="s">
        <v>27</v>
      </c>
      <c r="W821">
        <v>0.43</v>
      </c>
      <c r="X821">
        <v>0.58199999999999996</v>
      </c>
      <c r="Y821" t="s">
        <v>27</v>
      </c>
      <c r="Z821" t="s">
        <v>27</v>
      </c>
      <c r="AA821" t="s">
        <v>27</v>
      </c>
      <c r="AB821" t="s">
        <v>27</v>
      </c>
      <c r="AC821" t="s">
        <v>27</v>
      </c>
      <c r="AD821" t="s">
        <v>27</v>
      </c>
      <c r="AE821" t="s">
        <v>27</v>
      </c>
      <c r="AF821" t="s">
        <v>27</v>
      </c>
      <c r="AG821">
        <v>20.22</v>
      </c>
    </row>
    <row r="822" spans="1:33" x14ac:dyDescent="0.25">
      <c r="A822" t="s">
        <v>57</v>
      </c>
      <c r="B822" s="3">
        <v>44283</v>
      </c>
      <c r="C822">
        <v>2021087</v>
      </c>
      <c r="D822">
        <v>8.99</v>
      </c>
      <c r="E822" t="s">
        <v>27</v>
      </c>
      <c r="F822">
        <v>0.2</v>
      </c>
      <c r="G822">
        <v>6</v>
      </c>
      <c r="H822">
        <v>-7.9</v>
      </c>
      <c r="I822">
        <v>62.9</v>
      </c>
      <c r="J822">
        <v>44</v>
      </c>
      <c r="K822">
        <v>2.2999999999999998</v>
      </c>
      <c r="L822">
        <v>5.7</v>
      </c>
      <c r="M822">
        <v>2.6</v>
      </c>
      <c r="N822">
        <v>1.1030000000000002</v>
      </c>
      <c r="O822">
        <v>-0.1</v>
      </c>
      <c r="P822" t="s">
        <v>27</v>
      </c>
      <c r="Q822" t="s">
        <v>27</v>
      </c>
      <c r="R822" t="s">
        <v>27</v>
      </c>
      <c r="S822">
        <v>0.1</v>
      </c>
      <c r="T822">
        <v>0.5</v>
      </c>
      <c r="U822">
        <v>0.9</v>
      </c>
      <c r="V822" t="s">
        <v>27</v>
      </c>
      <c r="W822">
        <v>0.41099999999999998</v>
      </c>
      <c r="X822">
        <v>0.52300000000000002</v>
      </c>
      <c r="Y822" t="s">
        <v>27</v>
      </c>
      <c r="Z822" t="s">
        <v>27</v>
      </c>
      <c r="AA822" t="s">
        <v>27</v>
      </c>
      <c r="AB822" t="s">
        <v>27</v>
      </c>
      <c r="AC822" t="s">
        <v>27</v>
      </c>
      <c r="AD822" t="s">
        <v>27</v>
      </c>
      <c r="AE822" t="s">
        <v>27</v>
      </c>
      <c r="AF822" t="s">
        <v>27</v>
      </c>
      <c r="AG822">
        <v>20.48</v>
      </c>
    </row>
    <row r="823" spans="1:33" x14ac:dyDescent="0.25">
      <c r="A823" t="s">
        <v>57</v>
      </c>
      <c r="B823" s="3">
        <v>44284</v>
      </c>
      <c r="C823">
        <v>2021088</v>
      </c>
      <c r="D823">
        <v>15.02</v>
      </c>
      <c r="E823" t="s">
        <v>27</v>
      </c>
      <c r="F823">
        <v>-7.2</v>
      </c>
      <c r="G823">
        <v>-3.4</v>
      </c>
      <c r="H823">
        <v>-11.5</v>
      </c>
      <c r="I823">
        <v>58.3</v>
      </c>
      <c r="J823">
        <v>36</v>
      </c>
      <c r="K823">
        <v>2</v>
      </c>
      <c r="L823">
        <v>4.9000000000000004</v>
      </c>
      <c r="M823">
        <v>0</v>
      </c>
      <c r="N823">
        <v>1.0980000000000001</v>
      </c>
      <c r="O823">
        <v>-0.1</v>
      </c>
      <c r="P823" t="s">
        <v>27</v>
      </c>
      <c r="Q823" t="s">
        <v>27</v>
      </c>
      <c r="R823" t="s">
        <v>27</v>
      </c>
      <c r="S823">
        <v>0.1</v>
      </c>
      <c r="T823">
        <v>0.5</v>
      </c>
      <c r="U823">
        <v>0.9</v>
      </c>
      <c r="V823" t="s">
        <v>27</v>
      </c>
      <c r="W823">
        <v>0.17100000000000001</v>
      </c>
      <c r="X823">
        <v>0.30399999999999999</v>
      </c>
      <c r="Y823" t="s">
        <v>27</v>
      </c>
      <c r="Z823" t="s">
        <v>27</v>
      </c>
      <c r="AA823" t="s">
        <v>27</v>
      </c>
      <c r="AB823" t="s">
        <v>27</v>
      </c>
      <c r="AC823" t="s">
        <v>27</v>
      </c>
      <c r="AD823" t="s">
        <v>27</v>
      </c>
      <c r="AE823" t="s">
        <v>27</v>
      </c>
      <c r="AF823" t="s">
        <v>27</v>
      </c>
      <c r="AG823">
        <v>20.74</v>
      </c>
    </row>
    <row r="824" spans="1:33" x14ac:dyDescent="0.25">
      <c r="A824" t="s">
        <v>57</v>
      </c>
      <c r="B824" s="3">
        <v>44285</v>
      </c>
      <c r="C824">
        <v>2021089</v>
      </c>
      <c r="D824">
        <v>15.92</v>
      </c>
      <c r="E824" t="s">
        <v>27</v>
      </c>
      <c r="F824">
        <v>-4.2</v>
      </c>
      <c r="G824">
        <v>1.9</v>
      </c>
      <c r="H824">
        <v>-9.8000000000000007</v>
      </c>
      <c r="I824">
        <v>67.099999999999994</v>
      </c>
      <c r="J824">
        <v>40.799999999999997</v>
      </c>
      <c r="K824">
        <v>1.2</v>
      </c>
      <c r="L824">
        <v>3.6</v>
      </c>
      <c r="M824">
        <v>0.1</v>
      </c>
      <c r="N824">
        <v>1.0890000000000002</v>
      </c>
      <c r="O824">
        <v>-0.1</v>
      </c>
      <c r="P824" t="s">
        <v>27</v>
      </c>
      <c r="Q824" t="s">
        <v>27</v>
      </c>
      <c r="R824" t="s">
        <v>27</v>
      </c>
      <c r="S824">
        <v>0.1</v>
      </c>
      <c r="T824">
        <v>0.5</v>
      </c>
      <c r="U824">
        <v>0.9</v>
      </c>
      <c r="V824" t="s">
        <v>27</v>
      </c>
      <c r="W824">
        <v>0.28499999999999998</v>
      </c>
      <c r="X824">
        <v>0.41399999999999998</v>
      </c>
      <c r="Y824" t="s">
        <v>27</v>
      </c>
      <c r="Z824" t="s">
        <v>27</v>
      </c>
      <c r="AA824" t="s">
        <v>27</v>
      </c>
      <c r="AB824" t="s">
        <v>27</v>
      </c>
      <c r="AC824" t="s">
        <v>27</v>
      </c>
      <c r="AD824" t="s">
        <v>27</v>
      </c>
      <c r="AE824" t="s">
        <v>27</v>
      </c>
      <c r="AF824" t="s">
        <v>27</v>
      </c>
      <c r="AG824">
        <v>21</v>
      </c>
    </row>
    <row r="825" spans="1:33" x14ac:dyDescent="0.25">
      <c r="A825" t="s">
        <v>57</v>
      </c>
      <c r="B825" s="3">
        <v>44286</v>
      </c>
      <c r="C825">
        <v>2021090</v>
      </c>
      <c r="D825">
        <v>19.64</v>
      </c>
      <c r="E825" t="s">
        <v>27</v>
      </c>
      <c r="F825">
        <v>-0.9</v>
      </c>
      <c r="G825">
        <v>9</v>
      </c>
      <c r="H825">
        <v>-11.5</v>
      </c>
      <c r="I825">
        <v>62.9</v>
      </c>
      <c r="J825">
        <v>28</v>
      </c>
      <c r="K825">
        <v>0.2</v>
      </c>
      <c r="L825">
        <v>2.9</v>
      </c>
      <c r="M825">
        <v>0</v>
      </c>
      <c r="N825">
        <v>1.0690000000000002</v>
      </c>
      <c r="O825">
        <v>-0.1</v>
      </c>
      <c r="P825" t="s">
        <v>27</v>
      </c>
      <c r="Q825" t="s">
        <v>27</v>
      </c>
      <c r="R825" t="s">
        <v>27</v>
      </c>
      <c r="S825">
        <v>0.1</v>
      </c>
      <c r="T825">
        <v>0.5</v>
      </c>
      <c r="U825">
        <v>0.8</v>
      </c>
      <c r="V825" t="s">
        <v>27</v>
      </c>
      <c r="W825">
        <v>0.32200000000000001</v>
      </c>
      <c r="X825">
        <v>0.82799999999999996</v>
      </c>
      <c r="Y825" t="s">
        <v>27</v>
      </c>
      <c r="Z825" t="s">
        <v>27</v>
      </c>
      <c r="AA825" t="s">
        <v>27</v>
      </c>
      <c r="AB825" t="s">
        <v>27</v>
      </c>
      <c r="AC825" t="s">
        <v>27</v>
      </c>
      <c r="AD825" t="s">
        <v>27</v>
      </c>
      <c r="AE825" t="s">
        <v>27</v>
      </c>
      <c r="AF825" t="s">
        <v>27</v>
      </c>
      <c r="AG825">
        <v>21.27</v>
      </c>
    </row>
    <row r="826" spans="1:33" x14ac:dyDescent="0.25">
      <c r="A826" t="s">
        <v>57</v>
      </c>
      <c r="B826" s="3">
        <v>44287</v>
      </c>
      <c r="C826">
        <v>2021091</v>
      </c>
      <c r="D826">
        <v>14.91</v>
      </c>
      <c r="E826" t="s">
        <v>27</v>
      </c>
      <c r="F826">
        <v>1.9</v>
      </c>
      <c r="G826">
        <v>10</v>
      </c>
      <c r="H826">
        <v>-4.0999999999999996</v>
      </c>
      <c r="I826">
        <v>53.6</v>
      </c>
      <c r="J826">
        <v>26.2</v>
      </c>
      <c r="K826">
        <v>0.2</v>
      </c>
      <c r="L826">
        <v>2.7</v>
      </c>
      <c r="M826">
        <v>0</v>
      </c>
      <c r="N826">
        <v>1.044</v>
      </c>
      <c r="O826">
        <v>-0.1</v>
      </c>
      <c r="P826" t="s">
        <v>27</v>
      </c>
      <c r="Q826" t="s">
        <v>27</v>
      </c>
      <c r="R826" t="s">
        <v>27</v>
      </c>
      <c r="S826">
        <v>0.1</v>
      </c>
      <c r="T826">
        <v>0.5</v>
      </c>
      <c r="U826">
        <v>0.9</v>
      </c>
      <c r="V826" t="s">
        <v>27</v>
      </c>
      <c r="W826">
        <v>0.32200000000000001</v>
      </c>
      <c r="X826">
        <v>0.90700000000000003</v>
      </c>
      <c r="Y826" t="s">
        <v>27</v>
      </c>
      <c r="Z826" t="s">
        <v>27</v>
      </c>
      <c r="AA826" t="s">
        <v>27</v>
      </c>
      <c r="AB826" t="s">
        <v>27</v>
      </c>
      <c r="AC826" t="s">
        <v>27</v>
      </c>
      <c r="AD826" t="s">
        <v>27</v>
      </c>
      <c r="AE826" t="s">
        <v>27</v>
      </c>
      <c r="AF826" t="s">
        <v>27</v>
      </c>
      <c r="AG826">
        <v>21.52</v>
      </c>
    </row>
    <row r="827" spans="1:33" x14ac:dyDescent="0.25">
      <c r="A827" t="s">
        <v>57</v>
      </c>
      <c r="B827" s="3">
        <v>44288</v>
      </c>
      <c r="C827">
        <v>2021092</v>
      </c>
      <c r="D827">
        <v>19.77</v>
      </c>
      <c r="E827" t="s">
        <v>27</v>
      </c>
      <c r="F827">
        <v>1.1000000000000001</v>
      </c>
      <c r="G827">
        <v>9.8000000000000007</v>
      </c>
      <c r="H827">
        <v>-8</v>
      </c>
      <c r="I827">
        <v>58.9</v>
      </c>
      <c r="J827">
        <v>24.4</v>
      </c>
      <c r="K827">
        <v>0.6</v>
      </c>
      <c r="L827">
        <v>3.3</v>
      </c>
      <c r="M827">
        <v>0</v>
      </c>
      <c r="N827">
        <v>1.0190000000000001</v>
      </c>
      <c r="O827">
        <v>0</v>
      </c>
      <c r="P827" t="s">
        <v>27</v>
      </c>
      <c r="Q827" t="s">
        <v>27</v>
      </c>
      <c r="R827" t="s">
        <v>27</v>
      </c>
      <c r="S827">
        <v>0.1</v>
      </c>
      <c r="T827">
        <v>0.5</v>
      </c>
      <c r="U827">
        <v>0.9</v>
      </c>
      <c r="V827" t="s">
        <v>27</v>
      </c>
      <c r="W827">
        <v>0.29499999999999998</v>
      </c>
      <c r="X827">
        <v>0.91400000000000003</v>
      </c>
      <c r="Y827" t="s">
        <v>27</v>
      </c>
      <c r="Z827" t="s">
        <v>27</v>
      </c>
      <c r="AA827" t="s">
        <v>27</v>
      </c>
      <c r="AB827" t="s">
        <v>27</v>
      </c>
      <c r="AC827" t="s">
        <v>27</v>
      </c>
      <c r="AD827" t="s">
        <v>27</v>
      </c>
      <c r="AE827" t="s">
        <v>27</v>
      </c>
      <c r="AF827" t="s">
        <v>27</v>
      </c>
      <c r="AG827">
        <v>21.78</v>
      </c>
    </row>
    <row r="828" spans="1:33" x14ac:dyDescent="0.25">
      <c r="A828" t="s">
        <v>57</v>
      </c>
      <c r="B828" s="3">
        <v>44289</v>
      </c>
      <c r="C828">
        <v>2021093</v>
      </c>
      <c r="D828">
        <v>14.91</v>
      </c>
      <c r="E828" t="s">
        <v>27</v>
      </c>
      <c r="F828">
        <v>3.1</v>
      </c>
      <c r="G828">
        <v>10.1</v>
      </c>
      <c r="H828">
        <v>-3.1</v>
      </c>
      <c r="I828">
        <v>54.4</v>
      </c>
      <c r="J828">
        <v>32.299999999999997</v>
      </c>
      <c r="K828">
        <v>0.9</v>
      </c>
      <c r="L828">
        <v>3.7</v>
      </c>
      <c r="M828">
        <v>0</v>
      </c>
      <c r="N828">
        <v>0.99700000000000011</v>
      </c>
      <c r="O828">
        <v>0.1</v>
      </c>
      <c r="P828" t="s">
        <v>27</v>
      </c>
      <c r="Q828" t="s">
        <v>27</v>
      </c>
      <c r="R828" t="s">
        <v>27</v>
      </c>
      <c r="S828">
        <v>0.1</v>
      </c>
      <c r="T828">
        <v>0.5</v>
      </c>
      <c r="U828">
        <v>0.9</v>
      </c>
      <c r="V828" t="s">
        <v>27</v>
      </c>
      <c r="W828">
        <v>0.39900000000000002</v>
      </c>
      <c r="X828">
        <v>0.83599999999999997</v>
      </c>
      <c r="Y828" t="s">
        <v>27</v>
      </c>
      <c r="Z828" t="s">
        <v>27</v>
      </c>
      <c r="AA828" t="s">
        <v>27</v>
      </c>
      <c r="AB828" t="s">
        <v>27</v>
      </c>
      <c r="AC828" t="s">
        <v>27</v>
      </c>
      <c r="AD828" t="s">
        <v>27</v>
      </c>
      <c r="AE828" t="s">
        <v>27</v>
      </c>
      <c r="AF828" t="s">
        <v>27</v>
      </c>
      <c r="AG828">
        <v>22.03</v>
      </c>
    </row>
    <row r="829" spans="1:33" x14ac:dyDescent="0.25">
      <c r="A829" t="s">
        <v>57</v>
      </c>
      <c r="B829" s="3">
        <v>44290</v>
      </c>
      <c r="C829">
        <v>2021094</v>
      </c>
      <c r="D829">
        <v>16.170000000000002</v>
      </c>
      <c r="E829" t="s">
        <v>27</v>
      </c>
      <c r="F829">
        <v>-1.1000000000000001</v>
      </c>
      <c r="G829">
        <v>3.3</v>
      </c>
      <c r="H829">
        <v>-8.5</v>
      </c>
      <c r="I829">
        <v>57.9</v>
      </c>
      <c r="J829">
        <v>27.1</v>
      </c>
      <c r="K829">
        <v>0.9</v>
      </c>
      <c r="L829">
        <v>4.3</v>
      </c>
      <c r="M829">
        <v>0</v>
      </c>
      <c r="N829">
        <v>0.98799999999999999</v>
      </c>
      <c r="O829">
        <v>0.1</v>
      </c>
      <c r="P829" t="s">
        <v>27</v>
      </c>
      <c r="Q829" t="s">
        <v>27</v>
      </c>
      <c r="R829" t="s">
        <v>27</v>
      </c>
      <c r="S829">
        <v>0.1</v>
      </c>
      <c r="T829">
        <v>0.5</v>
      </c>
      <c r="U829">
        <v>0.9</v>
      </c>
      <c r="V829" t="s">
        <v>27</v>
      </c>
      <c r="W829">
        <v>0.20899999999999999</v>
      </c>
      <c r="X829">
        <v>0.56200000000000006</v>
      </c>
      <c r="Y829" t="s">
        <v>27</v>
      </c>
      <c r="Z829" t="s">
        <v>27</v>
      </c>
      <c r="AA829" t="s">
        <v>27</v>
      </c>
      <c r="AB829" t="s">
        <v>27</v>
      </c>
      <c r="AC829" t="s">
        <v>27</v>
      </c>
      <c r="AD829" t="s">
        <v>27</v>
      </c>
      <c r="AE829" t="s">
        <v>27</v>
      </c>
      <c r="AF829" t="s">
        <v>27</v>
      </c>
      <c r="AG829">
        <v>22.29</v>
      </c>
    </row>
    <row r="830" spans="1:33" x14ac:dyDescent="0.25">
      <c r="A830" t="s">
        <v>57</v>
      </c>
      <c r="B830" s="3">
        <v>44291</v>
      </c>
      <c r="C830">
        <v>2021095</v>
      </c>
      <c r="D830">
        <v>21.2</v>
      </c>
      <c r="E830" t="s">
        <v>27</v>
      </c>
      <c r="F830">
        <v>-1.6</v>
      </c>
      <c r="G830">
        <v>6.9</v>
      </c>
      <c r="H830">
        <v>-9.6999999999999993</v>
      </c>
      <c r="I830">
        <v>61.9</v>
      </c>
      <c r="J830">
        <v>28</v>
      </c>
      <c r="K830">
        <v>0.7</v>
      </c>
      <c r="L830">
        <v>3.7</v>
      </c>
      <c r="M830">
        <v>0</v>
      </c>
      <c r="N830">
        <v>0.97100000000000009</v>
      </c>
      <c r="O830">
        <v>0</v>
      </c>
      <c r="P830" t="s">
        <v>27</v>
      </c>
      <c r="Q830" t="s">
        <v>27</v>
      </c>
      <c r="R830" t="s">
        <v>27</v>
      </c>
      <c r="S830">
        <v>0.1</v>
      </c>
      <c r="T830">
        <v>0.5</v>
      </c>
      <c r="U830">
        <v>0.8</v>
      </c>
      <c r="V830" t="s">
        <v>27</v>
      </c>
      <c r="W830">
        <v>0.27900000000000003</v>
      </c>
      <c r="X830">
        <v>0.71699999999999997</v>
      </c>
      <c r="Y830" t="s">
        <v>27</v>
      </c>
      <c r="Z830" t="s">
        <v>27</v>
      </c>
      <c r="AA830" t="s">
        <v>27</v>
      </c>
      <c r="AB830" t="s">
        <v>27</v>
      </c>
      <c r="AC830" t="s">
        <v>27</v>
      </c>
      <c r="AD830" t="s">
        <v>27</v>
      </c>
      <c r="AE830" t="s">
        <v>27</v>
      </c>
      <c r="AF830" t="s">
        <v>27</v>
      </c>
      <c r="AG830">
        <v>22.55</v>
      </c>
    </row>
    <row r="831" spans="1:33" x14ac:dyDescent="0.25">
      <c r="A831" t="s">
        <v>57</v>
      </c>
      <c r="B831" s="3">
        <v>44292</v>
      </c>
      <c r="C831">
        <v>2021096</v>
      </c>
      <c r="D831">
        <v>16.059999999999999</v>
      </c>
      <c r="E831" t="s">
        <v>27</v>
      </c>
      <c r="F831">
        <v>1.2</v>
      </c>
      <c r="G831">
        <v>9.3000000000000007</v>
      </c>
      <c r="H831">
        <v>-8.1</v>
      </c>
      <c r="I831">
        <v>56.8</v>
      </c>
      <c r="J831">
        <v>20.7</v>
      </c>
      <c r="K831">
        <v>0.3</v>
      </c>
      <c r="L831">
        <v>3.2</v>
      </c>
      <c r="M831">
        <v>0</v>
      </c>
      <c r="N831">
        <v>0.94300000000000006</v>
      </c>
      <c r="O831">
        <v>0.1</v>
      </c>
      <c r="P831" t="s">
        <v>27</v>
      </c>
      <c r="Q831" t="s">
        <v>27</v>
      </c>
      <c r="R831" t="s">
        <v>27</v>
      </c>
      <c r="S831">
        <v>0.1</v>
      </c>
      <c r="T831">
        <v>0.5</v>
      </c>
      <c r="U831">
        <v>0.8</v>
      </c>
      <c r="V831" t="s">
        <v>27</v>
      </c>
      <c r="W831">
        <v>0.24299999999999999</v>
      </c>
      <c r="X831">
        <v>0.93100000000000005</v>
      </c>
      <c r="Y831" t="s">
        <v>27</v>
      </c>
      <c r="Z831" t="s">
        <v>27</v>
      </c>
      <c r="AA831" t="s">
        <v>27</v>
      </c>
      <c r="AB831" t="s">
        <v>27</v>
      </c>
      <c r="AC831" t="s">
        <v>27</v>
      </c>
      <c r="AD831" t="s">
        <v>27</v>
      </c>
      <c r="AE831" t="s">
        <v>27</v>
      </c>
      <c r="AF831" t="s">
        <v>27</v>
      </c>
      <c r="AG831">
        <v>22.8</v>
      </c>
    </row>
    <row r="832" spans="1:33" x14ac:dyDescent="0.25">
      <c r="A832" t="s">
        <v>57</v>
      </c>
      <c r="B832" s="3">
        <v>44293</v>
      </c>
      <c r="C832">
        <v>2021097</v>
      </c>
      <c r="D832">
        <v>7.92</v>
      </c>
      <c r="E832" t="s">
        <v>27</v>
      </c>
      <c r="F832">
        <v>0.1</v>
      </c>
      <c r="G832">
        <v>4.3</v>
      </c>
      <c r="H832">
        <v>-3</v>
      </c>
      <c r="I832">
        <v>65.2</v>
      </c>
      <c r="J832">
        <v>43.8</v>
      </c>
      <c r="K832">
        <v>0.6</v>
      </c>
      <c r="L832">
        <v>3.7</v>
      </c>
      <c r="M832">
        <v>0</v>
      </c>
      <c r="N832">
        <v>0.94000000000000017</v>
      </c>
      <c r="O832">
        <v>0.1</v>
      </c>
      <c r="P832" t="s">
        <v>27</v>
      </c>
      <c r="Q832" t="s">
        <v>27</v>
      </c>
      <c r="R832" t="s">
        <v>27</v>
      </c>
      <c r="S832">
        <v>0.1</v>
      </c>
      <c r="T832">
        <v>0.5</v>
      </c>
      <c r="U832">
        <v>0.9</v>
      </c>
      <c r="V832" t="s">
        <v>27</v>
      </c>
      <c r="W832">
        <v>0.36199999999999999</v>
      </c>
      <c r="X832">
        <v>0.46400000000000002</v>
      </c>
      <c r="Y832" t="s">
        <v>27</v>
      </c>
      <c r="Z832" t="s">
        <v>27</v>
      </c>
      <c r="AA832" t="s">
        <v>27</v>
      </c>
      <c r="AB832" t="s">
        <v>27</v>
      </c>
      <c r="AC832" t="s">
        <v>27</v>
      </c>
      <c r="AD832" t="s">
        <v>27</v>
      </c>
      <c r="AE832" t="s">
        <v>27</v>
      </c>
      <c r="AF832" t="s">
        <v>27</v>
      </c>
      <c r="AG832">
        <v>23.06</v>
      </c>
    </row>
    <row r="833" spans="1:33" x14ac:dyDescent="0.25">
      <c r="A833" t="s">
        <v>57</v>
      </c>
      <c r="B833" s="3">
        <v>44294</v>
      </c>
      <c r="C833">
        <v>2021098</v>
      </c>
      <c r="D833">
        <v>12.34</v>
      </c>
      <c r="E833" t="s">
        <v>27</v>
      </c>
      <c r="F833">
        <v>-3.1</v>
      </c>
      <c r="G833">
        <v>2</v>
      </c>
      <c r="H833">
        <v>-8</v>
      </c>
      <c r="I833">
        <v>68.5</v>
      </c>
      <c r="J833">
        <v>41.6</v>
      </c>
      <c r="K833">
        <v>1.1000000000000001</v>
      </c>
      <c r="L833">
        <v>3.2</v>
      </c>
      <c r="M833">
        <v>4.3</v>
      </c>
      <c r="N833">
        <v>0.96000000000000019</v>
      </c>
      <c r="O833">
        <v>0.1</v>
      </c>
      <c r="P833" t="s">
        <v>27</v>
      </c>
      <c r="Q833" t="s">
        <v>27</v>
      </c>
      <c r="R833" t="s">
        <v>27</v>
      </c>
      <c r="S833">
        <v>0.1</v>
      </c>
      <c r="T833">
        <v>0.5</v>
      </c>
      <c r="U833">
        <v>0.8</v>
      </c>
      <c r="V833" t="s">
        <v>27</v>
      </c>
      <c r="W833">
        <v>0.29299999999999998</v>
      </c>
      <c r="X833">
        <v>0.41099999999999998</v>
      </c>
      <c r="Y833" t="s">
        <v>27</v>
      </c>
      <c r="Z833" t="s">
        <v>27</v>
      </c>
      <c r="AA833" t="s">
        <v>27</v>
      </c>
      <c r="AB833" t="s">
        <v>27</v>
      </c>
      <c r="AC833" t="s">
        <v>27</v>
      </c>
      <c r="AD833" t="s">
        <v>27</v>
      </c>
      <c r="AE833" t="s">
        <v>27</v>
      </c>
      <c r="AF833" t="s">
        <v>27</v>
      </c>
      <c r="AG833">
        <v>23.31</v>
      </c>
    </row>
    <row r="834" spans="1:33" x14ac:dyDescent="0.25">
      <c r="A834" t="s">
        <v>57</v>
      </c>
      <c r="B834" s="3">
        <v>44295</v>
      </c>
      <c r="C834">
        <v>2021099</v>
      </c>
      <c r="D834">
        <v>9.2899999999999991</v>
      </c>
      <c r="E834" t="s">
        <v>27</v>
      </c>
      <c r="F834">
        <v>-3</v>
      </c>
      <c r="G834">
        <v>2.2999999999999998</v>
      </c>
      <c r="H834">
        <v>-8.1999999999999993</v>
      </c>
      <c r="I834">
        <v>71.099999999999994</v>
      </c>
      <c r="J834">
        <v>40.4</v>
      </c>
      <c r="K834">
        <v>0.7</v>
      </c>
      <c r="L834">
        <v>3.7</v>
      </c>
      <c r="M834">
        <v>0</v>
      </c>
      <c r="N834">
        <v>0.96600000000000019</v>
      </c>
      <c r="O834">
        <v>0.1</v>
      </c>
      <c r="P834" t="s">
        <v>27</v>
      </c>
      <c r="Q834" t="s">
        <v>27</v>
      </c>
      <c r="R834" t="s">
        <v>27</v>
      </c>
      <c r="S834">
        <v>0.1</v>
      </c>
      <c r="T834">
        <v>0.5</v>
      </c>
      <c r="U834">
        <v>0.8</v>
      </c>
      <c r="V834" t="s">
        <v>27</v>
      </c>
      <c r="W834">
        <v>0.29199999999999998</v>
      </c>
      <c r="X834">
        <v>0.43099999999999999</v>
      </c>
      <c r="Y834" t="s">
        <v>27</v>
      </c>
      <c r="Z834" t="s">
        <v>27</v>
      </c>
      <c r="AA834" t="s">
        <v>27</v>
      </c>
      <c r="AB834" t="s">
        <v>27</v>
      </c>
      <c r="AC834" t="s">
        <v>27</v>
      </c>
      <c r="AD834" t="s">
        <v>27</v>
      </c>
      <c r="AE834" t="s">
        <v>27</v>
      </c>
      <c r="AF834" t="s">
        <v>27</v>
      </c>
      <c r="AG834">
        <v>23.56</v>
      </c>
    </row>
    <row r="835" spans="1:33" x14ac:dyDescent="0.25">
      <c r="A835" t="s">
        <v>57</v>
      </c>
      <c r="B835" s="3">
        <v>44296</v>
      </c>
      <c r="C835">
        <v>2021100</v>
      </c>
      <c r="D835">
        <v>13.62</v>
      </c>
      <c r="E835" t="s">
        <v>27</v>
      </c>
      <c r="F835">
        <v>-6.4</v>
      </c>
      <c r="G835">
        <v>-1.6</v>
      </c>
      <c r="H835">
        <v>-16.7</v>
      </c>
      <c r="I835">
        <v>69.5</v>
      </c>
      <c r="J835">
        <v>37.6</v>
      </c>
      <c r="K835">
        <v>1.6</v>
      </c>
      <c r="L835">
        <v>4.5999999999999996</v>
      </c>
      <c r="M835">
        <v>8.6999999999999993</v>
      </c>
      <c r="N835">
        <v>1.018</v>
      </c>
      <c r="O835">
        <v>0</v>
      </c>
      <c r="P835" t="s">
        <v>27</v>
      </c>
      <c r="Q835" t="s">
        <v>27</v>
      </c>
      <c r="R835" t="s">
        <v>27</v>
      </c>
      <c r="S835">
        <v>0.1</v>
      </c>
      <c r="T835">
        <v>0.4</v>
      </c>
      <c r="U835">
        <v>0.8</v>
      </c>
      <c r="V835" t="s">
        <v>27</v>
      </c>
      <c r="W835">
        <v>0.20399999999999999</v>
      </c>
      <c r="X835">
        <v>0.33900000000000002</v>
      </c>
      <c r="Y835" t="s">
        <v>27</v>
      </c>
      <c r="Z835" t="s">
        <v>27</v>
      </c>
      <c r="AA835" t="s">
        <v>27</v>
      </c>
      <c r="AB835" t="s">
        <v>27</v>
      </c>
      <c r="AC835" t="s">
        <v>27</v>
      </c>
      <c r="AD835" t="s">
        <v>27</v>
      </c>
      <c r="AE835" t="s">
        <v>27</v>
      </c>
      <c r="AF835" t="s">
        <v>27</v>
      </c>
      <c r="AG835">
        <v>23.81</v>
      </c>
    </row>
    <row r="836" spans="1:33" x14ac:dyDescent="0.25">
      <c r="A836" t="s">
        <v>57</v>
      </c>
      <c r="B836" s="3">
        <v>44297</v>
      </c>
      <c r="C836">
        <v>2021101</v>
      </c>
      <c r="D836">
        <v>23.69</v>
      </c>
      <c r="E836" t="s">
        <v>27</v>
      </c>
      <c r="F836">
        <v>-6</v>
      </c>
      <c r="G836">
        <v>3</v>
      </c>
      <c r="H836">
        <v>-17.2</v>
      </c>
      <c r="I836">
        <v>56.4</v>
      </c>
      <c r="J836">
        <v>24.9</v>
      </c>
      <c r="K836">
        <v>0.1</v>
      </c>
      <c r="L836">
        <v>2.5</v>
      </c>
      <c r="M836">
        <v>0</v>
      </c>
      <c r="N836">
        <v>0.9720000000000002</v>
      </c>
      <c r="O836">
        <v>0</v>
      </c>
      <c r="P836" t="s">
        <v>27</v>
      </c>
      <c r="Q836" t="s">
        <v>27</v>
      </c>
      <c r="R836" t="s">
        <v>27</v>
      </c>
      <c r="S836">
        <v>0.1</v>
      </c>
      <c r="T836">
        <v>0.4</v>
      </c>
      <c r="U836">
        <v>0.8</v>
      </c>
      <c r="V836" t="s">
        <v>27</v>
      </c>
      <c r="W836">
        <v>0.188</v>
      </c>
      <c r="X836">
        <v>0.56699999999999995</v>
      </c>
      <c r="Y836" t="s">
        <v>27</v>
      </c>
      <c r="Z836" t="s">
        <v>27</v>
      </c>
      <c r="AA836" t="s">
        <v>27</v>
      </c>
      <c r="AB836" t="s">
        <v>27</v>
      </c>
      <c r="AC836" t="s">
        <v>27</v>
      </c>
      <c r="AD836" t="s">
        <v>27</v>
      </c>
      <c r="AE836" t="s">
        <v>27</v>
      </c>
      <c r="AF836" t="s">
        <v>27</v>
      </c>
      <c r="AG836">
        <v>24.05</v>
      </c>
    </row>
    <row r="837" spans="1:33" x14ac:dyDescent="0.25">
      <c r="A837" t="s">
        <v>57</v>
      </c>
      <c r="B837" s="3">
        <v>44298</v>
      </c>
      <c r="C837">
        <v>2021102</v>
      </c>
      <c r="D837">
        <v>13.73</v>
      </c>
      <c r="E837" t="s">
        <v>27</v>
      </c>
      <c r="F837">
        <v>-3.4</v>
      </c>
      <c r="G837">
        <v>4.9000000000000004</v>
      </c>
      <c r="H837">
        <v>-12.1</v>
      </c>
      <c r="I837">
        <v>57.4</v>
      </c>
      <c r="J837">
        <v>27.7</v>
      </c>
      <c r="K837">
        <v>0.1</v>
      </c>
      <c r="L837">
        <v>2.4</v>
      </c>
      <c r="M837">
        <v>0</v>
      </c>
      <c r="N837">
        <v>0.96900000000000008</v>
      </c>
      <c r="O837">
        <v>0</v>
      </c>
      <c r="P837" t="s">
        <v>27</v>
      </c>
      <c r="Q837" t="s">
        <v>27</v>
      </c>
      <c r="R837" t="s">
        <v>27</v>
      </c>
      <c r="S837">
        <v>0.1</v>
      </c>
      <c r="T837">
        <v>0.5</v>
      </c>
      <c r="U837">
        <v>0.8</v>
      </c>
      <c r="V837" t="s">
        <v>27</v>
      </c>
      <c r="W837">
        <v>0.24</v>
      </c>
      <c r="X837">
        <v>0.626</v>
      </c>
      <c r="Y837" t="s">
        <v>27</v>
      </c>
      <c r="Z837" t="s">
        <v>27</v>
      </c>
      <c r="AA837" t="s">
        <v>27</v>
      </c>
      <c r="AB837" t="s">
        <v>27</v>
      </c>
      <c r="AC837" t="s">
        <v>27</v>
      </c>
      <c r="AD837" t="s">
        <v>27</v>
      </c>
      <c r="AE837" t="s">
        <v>27</v>
      </c>
      <c r="AF837" t="s">
        <v>27</v>
      </c>
      <c r="AG837">
        <v>24.3</v>
      </c>
    </row>
    <row r="838" spans="1:33" x14ac:dyDescent="0.25">
      <c r="A838" t="s">
        <v>57</v>
      </c>
      <c r="B838" s="3">
        <v>44299</v>
      </c>
      <c r="C838">
        <v>2021103</v>
      </c>
      <c r="D838">
        <v>24.03</v>
      </c>
      <c r="E838" t="s">
        <v>27</v>
      </c>
      <c r="F838">
        <v>-0.8</v>
      </c>
      <c r="G838">
        <v>6.9</v>
      </c>
      <c r="H838">
        <v>-11.6</v>
      </c>
      <c r="I838">
        <v>45.8</v>
      </c>
      <c r="J838">
        <v>20.9</v>
      </c>
      <c r="K838">
        <v>0.7</v>
      </c>
      <c r="L838">
        <v>3.2</v>
      </c>
      <c r="M838">
        <v>0</v>
      </c>
      <c r="N838">
        <v>0.93300000000000005</v>
      </c>
      <c r="O838">
        <v>0</v>
      </c>
      <c r="P838" t="s">
        <v>27</v>
      </c>
      <c r="Q838" t="s">
        <v>27</v>
      </c>
      <c r="R838" t="s">
        <v>27</v>
      </c>
      <c r="S838">
        <v>0.1</v>
      </c>
      <c r="T838">
        <v>0.5</v>
      </c>
      <c r="U838">
        <v>0.8</v>
      </c>
      <c r="V838" t="s">
        <v>27</v>
      </c>
      <c r="W838">
        <v>0.20799999999999999</v>
      </c>
      <c r="X838">
        <v>0.78700000000000003</v>
      </c>
      <c r="Y838" t="s">
        <v>27</v>
      </c>
      <c r="Z838" t="s">
        <v>27</v>
      </c>
      <c r="AA838" t="s">
        <v>27</v>
      </c>
      <c r="AB838" t="s">
        <v>27</v>
      </c>
      <c r="AC838" t="s">
        <v>27</v>
      </c>
      <c r="AD838" t="s">
        <v>27</v>
      </c>
      <c r="AE838" t="s">
        <v>27</v>
      </c>
      <c r="AF838" t="s">
        <v>27</v>
      </c>
      <c r="AG838">
        <v>24.53</v>
      </c>
    </row>
    <row r="839" spans="1:33" x14ac:dyDescent="0.25">
      <c r="A839" t="s">
        <v>57</v>
      </c>
      <c r="B839" s="3">
        <v>44300</v>
      </c>
      <c r="C839">
        <v>2021104</v>
      </c>
      <c r="D839">
        <v>24.13</v>
      </c>
      <c r="E839" t="s">
        <v>27</v>
      </c>
      <c r="F839">
        <v>3.9</v>
      </c>
      <c r="G839">
        <v>11.6</v>
      </c>
      <c r="H839">
        <v>-4.5</v>
      </c>
      <c r="I839">
        <v>35</v>
      </c>
      <c r="J839">
        <v>15.8</v>
      </c>
      <c r="K839">
        <v>1.1000000000000001</v>
      </c>
      <c r="L839">
        <v>3</v>
      </c>
      <c r="M839">
        <v>0</v>
      </c>
      <c r="N839">
        <v>0.88800000000000012</v>
      </c>
      <c r="O839">
        <v>0.1</v>
      </c>
      <c r="P839" t="s">
        <v>27</v>
      </c>
      <c r="Q839" t="s">
        <v>27</v>
      </c>
      <c r="R839" t="s">
        <v>27</v>
      </c>
      <c r="S839">
        <v>0.1</v>
      </c>
      <c r="T839">
        <v>0.5</v>
      </c>
      <c r="U839">
        <v>0.8</v>
      </c>
      <c r="V839" t="s">
        <v>27</v>
      </c>
      <c r="W839">
        <v>0.216</v>
      </c>
      <c r="X839">
        <v>1.151</v>
      </c>
      <c r="Y839" t="s">
        <v>27</v>
      </c>
      <c r="Z839" t="s">
        <v>27</v>
      </c>
      <c r="AA839" t="s">
        <v>27</v>
      </c>
      <c r="AB839" t="s">
        <v>27</v>
      </c>
      <c r="AC839" t="s">
        <v>27</v>
      </c>
      <c r="AD839" t="s">
        <v>27</v>
      </c>
      <c r="AE839" t="s">
        <v>27</v>
      </c>
      <c r="AF839" t="s">
        <v>27</v>
      </c>
      <c r="AG839">
        <v>24.78</v>
      </c>
    </row>
    <row r="840" spans="1:33" x14ac:dyDescent="0.25">
      <c r="A840" t="s">
        <v>57</v>
      </c>
      <c r="B840" s="3">
        <v>44301</v>
      </c>
      <c r="C840">
        <v>2021105</v>
      </c>
      <c r="D840">
        <v>24.4</v>
      </c>
      <c r="E840" t="s">
        <v>27</v>
      </c>
      <c r="F840">
        <v>5.0999999999999996</v>
      </c>
      <c r="G840">
        <v>14.4</v>
      </c>
      <c r="H840">
        <v>-4.7</v>
      </c>
      <c r="I840">
        <v>47.8</v>
      </c>
      <c r="J840">
        <v>16.100000000000001</v>
      </c>
      <c r="K840">
        <v>0.8</v>
      </c>
      <c r="L840">
        <v>3.5</v>
      </c>
      <c r="M840">
        <v>0</v>
      </c>
      <c r="N840">
        <v>0.83600000000000008</v>
      </c>
      <c r="O840">
        <v>0.1</v>
      </c>
      <c r="P840" t="s">
        <v>27</v>
      </c>
      <c r="Q840" t="s">
        <v>27</v>
      </c>
      <c r="R840" t="s">
        <v>27</v>
      </c>
      <c r="S840">
        <v>0.1</v>
      </c>
      <c r="T840">
        <v>0.5</v>
      </c>
      <c r="U840">
        <v>0.8</v>
      </c>
      <c r="V840" t="s">
        <v>27</v>
      </c>
      <c r="W840">
        <v>0.26300000000000001</v>
      </c>
      <c r="X840">
        <v>1.371</v>
      </c>
      <c r="Y840" t="s">
        <v>27</v>
      </c>
      <c r="Z840" t="s">
        <v>27</v>
      </c>
      <c r="AA840" t="s">
        <v>27</v>
      </c>
      <c r="AB840" t="s">
        <v>27</v>
      </c>
      <c r="AC840" t="s">
        <v>27</v>
      </c>
      <c r="AD840" t="s">
        <v>27</v>
      </c>
      <c r="AE840" t="s">
        <v>27</v>
      </c>
      <c r="AF840" t="s">
        <v>27</v>
      </c>
      <c r="AG840">
        <v>25.02</v>
      </c>
    </row>
    <row r="841" spans="1:33" x14ac:dyDescent="0.25">
      <c r="A841" t="s">
        <v>57</v>
      </c>
      <c r="B841" s="3">
        <v>44302</v>
      </c>
      <c r="C841">
        <v>2021106</v>
      </c>
      <c r="D841">
        <v>24.47</v>
      </c>
      <c r="E841" t="s">
        <v>27</v>
      </c>
      <c r="F841">
        <v>5.8</v>
      </c>
      <c r="G841">
        <v>16.600000000000001</v>
      </c>
      <c r="H841">
        <v>-3.9</v>
      </c>
      <c r="I841">
        <v>49.1</v>
      </c>
      <c r="J841">
        <v>16.2</v>
      </c>
      <c r="K841">
        <v>0.2</v>
      </c>
      <c r="L841">
        <v>2.2999999999999998</v>
      </c>
      <c r="M841">
        <v>0</v>
      </c>
      <c r="N841">
        <v>0.78900000000000015</v>
      </c>
      <c r="O841">
        <v>0.1</v>
      </c>
      <c r="P841" t="s">
        <v>27</v>
      </c>
      <c r="Q841" t="s">
        <v>27</v>
      </c>
      <c r="R841" t="s">
        <v>27</v>
      </c>
      <c r="S841">
        <v>0.1</v>
      </c>
      <c r="T841">
        <v>0.4</v>
      </c>
      <c r="U841">
        <v>0.8</v>
      </c>
      <c r="V841" t="s">
        <v>27</v>
      </c>
      <c r="W841">
        <v>0.30499999999999999</v>
      </c>
      <c r="X841">
        <v>1.5780000000000001</v>
      </c>
      <c r="Y841" t="s">
        <v>27</v>
      </c>
      <c r="Z841" t="s">
        <v>27</v>
      </c>
      <c r="AA841" t="s">
        <v>27</v>
      </c>
      <c r="AB841" t="s">
        <v>27</v>
      </c>
      <c r="AC841" t="s">
        <v>27</v>
      </c>
      <c r="AD841" t="s">
        <v>27</v>
      </c>
      <c r="AE841" t="s">
        <v>27</v>
      </c>
      <c r="AF841" t="s">
        <v>27</v>
      </c>
      <c r="AG841">
        <v>25.26</v>
      </c>
    </row>
    <row r="842" spans="1:33" x14ac:dyDescent="0.25">
      <c r="A842" t="s">
        <v>57</v>
      </c>
      <c r="B842" s="3">
        <v>44303</v>
      </c>
      <c r="C842">
        <v>2021107</v>
      </c>
      <c r="D842">
        <v>24.77</v>
      </c>
      <c r="E842" t="s">
        <v>27</v>
      </c>
      <c r="F842">
        <v>7.2</v>
      </c>
      <c r="G842">
        <v>18.100000000000001</v>
      </c>
      <c r="H842">
        <v>-3.1</v>
      </c>
      <c r="I842">
        <v>49.8</v>
      </c>
      <c r="J842">
        <v>16.399999999999999</v>
      </c>
      <c r="K842">
        <v>0.5</v>
      </c>
      <c r="L842">
        <v>3</v>
      </c>
      <c r="M842">
        <v>0</v>
      </c>
      <c r="N842">
        <v>0.73799999999999999</v>
      </c>
      <c r="O842">
        <v>0.1</v>
      </c>
      <c r="P842" t="s">
        <v>27</v>
      </c>
      <c r="Q842" t="s">
        <v>27</v>
      </c>
      <c r="R842" t="s">
        <v>27</v>
      </c>
      <c r="S842">
        <v>0.1</v>
      </c>
      <c r="T842">
        <v>0.4</v>
      </c>
      <c r="U842">
        <v>0.7</v>
      </c>
      <c r="V842" t="s">
        <v>27</v>
      </c>
      <c r="W842">
        <v>0.34100000000000003</v>
      </c>
      <c r="X842">
        <v>1.738</v>
      </c>
      <c r="Y842" t="s">
        <v>27</v>
      </c>
      <c r="Z842" t="s">
        <v>27</v>
      </c>
      <c r="AA842" t="s">
        <v>27</v>
      </c>
      <c r="AB842" t="s">
        <v>27</v>
      </c>
      <c r="AC842" t="s">
        <v>27</v>
      </c>
      <c r="AD842" t="s">
        <v>27</v>
      </c>
      <c r="AE842" t="s">
        <v>27</v>
      </c>
      <c r="AF842" t="s">
        <v>27</v>
      </c>
      <c r="AG842">
        <v>25.49</v>
      </c>
    </row>
    <row r="843" spans="1:33" x14ac:dyDescent="0.25">
      <c r="A843" t="s">
        <v>57</v>
      </c>
      <c r="B843" s="3">
        <v>44304</v>
      </c>
      <c r="C843">
        <v>2021108</v>
      </c>
      <c r="D843">
        <v>18.440000000000001</v>
      </c>
      <c r="E843" t="s">
        <v>27</v>
      </c>
      <c r="F843">
        <v>5.9</v>
      </c>
      <c r="G843">
        <v>16.100000000000001</v>
      </c>
      <c r="H843">
        <v>-2.9</v>
      </c>
      <c r="I843">
        <v>56.1</v>
      </c>
      <c r="J843">
        <v>25.3</v>
      </c>
      <c r="K843">
        <v>0.6</v>
      </c>
      <c r="L843">
        <v>3.3</v>
      </c>
      <c r="M843">
        <v>0</v>
      </c>
      <c r="N843">
        <v>0.69800000000000018</v>
      </c>
      <c r="O843">
        <v>0.1</v>
      </c>
      <c r="P843" t="s">
        <v>27</v>
      </c>
      <c r="Q843" t="s">
        <v>27</v>
      </c>
      <c r="R843" t="s">
        <v>27</v>
      </c>
      <c r="S843">
        <v>0.1</v>
      </c>
      <c r="T843">
        <v>0.4</v>
      </c>
      <c r="U843">
        <v>0.7</v>
      </c>
      <c r="V843" t="s">
        <v>27</v>
      </c>
      <c r="W843">
        <v>0.46200000000000002</v>
      </c>
      <c r="X843">
        <v>1.3640000000000001</v>
      </c>
      <c r="Y843" t="s">
        <v>27</v>
      </c>
      <c r="Z843" t="s">
        <v>27</v>
      </c>
      <c r="AA843" t="s">
        <v>27</v>
      </c>
      <c r="AB843" t="s">
        <v>27</v>
      </c>
      <c r="AC843" t="s">
        <v>27</v>
      </c>
      <c r="AD843" t="s">
        <v>27</v>
      </c>
      <c r="AE843" t="s">
        <v>27</v>
      </c>
      <c r="AF843" t="s">
        <v>27</v>
      </c>
      <c r="AG843">
        <v>25.73</v>
      </c>
    </row>
    <row r="844" spans="1:33" x14ac:dyDescent="0.25">
      <c r="A844" t="s">
        <v>57</v>
      </c>
      <c r="B844" s="3">
        <v>44305</v>
      </c>
      <c r="C844">
        <v>2021109</v>
      </c>
      <c r="D844">
        <v>25.28</v>
      </c>
      <c r="E844" t="s">
        <v>27</v>
      </c>
      <c r="F844">
        <v>1.9</v>
      </c>
      <c r="G844">
        <v>9.9</v>
      </c>
      <c r="H844">
        <v>-6.2</v>
      </c>
      <c r="I844">
        <v>50.7</v>
      </c>
      <c r="J844">
        <v>20.399999999999999</v>
      </c>
      <c r="K844">
        <v>0.6</v>
      </c>
      <c r="L844">
        <v>2.8</v>
      </c>
      <c r="M844">
        <v>0</v>
      </c>
      <c r="N844">
        <v>0.66200000000000014</v>
      </c>
      <c r="O844">
        <v>0.1</v>
      </c>
      <c r="P844" t="s">
        <v>27</v>
      </c>
      <c r="Q844" t="s">
        <v>27</v>
      </c>
      <c r="R844" t="s">
        <v>27</v>
      </c>
      <c r="S844">
        <v>0.1</v>
      </c>
      <c r="T844">
        <v>0.4</v>
      </c>
      <c r="U844">
        <v>0.7</v>
      </c>
      <c r="V844" t="s">
        <v>27</v>
      </c>
      <c r="W844">
        <v>0.248</v>
      </c>
      <c r="X844">
        <v>0.96799999999999997</v>
      </c>
      <c r="Y844" t="s">
        <v>27</v>
      </c>
      <c r="Z844" t="s">
        <v>27</v>
      </c>
      <c r="AA844" t="s">
        <v>27</v>
      </c>
      <c r="AB844" t="s">
        <v>27</v>
      </c>
      <c r="AC844" t="s">
        <v>27</v>
      </c>
      <c r="AD844" t="s">
        <v>27</v>
      </c>
      <c r="AE844" t="s">
        <v>27</v>
      </c>
      <c r="AF844" t="s">
        <v>27</v>
      </c>
      <c r="AG844">
        <v>25.96</v>
      </c>
    </row>
    <row r="845" spans="1:33" x14ac:dyDescent="0.25">
      <c r="A845" t="s">
        <v>57</v>
      </c>
      <c r="B845" s="3">
        <v>44306</v>
      </c>
      <c r="C845">
        <v>2021110</v>
      </c>
      <c r="D845">
        <v>25.36</v>
      </c>
      <c r="E845" t="s">
        <v>27</v>
      </c>
      <c r="F845">
        <v>2.9</v>
      </c>
      <c r="G845">
        <v>12.2</v>
      </c>
      <c r="H845">
        <v>-6.5</v>
      </c>
      <c r="I845">
        <v>53.1</v>
      </c>
      <c r="J845">
        <v>21</v>
      </c>
      <c r="K845">
        <v>0.5</v>
      </c>
      <c r="L845">
        <v>2.2000000000000002</v>
      </c>
      <c r="M845">
        <v>0</v>
      </c>
      <c r="N845">
        <v>0.627</v>
      </c>
      <c r="O845">
        <v>0.1</v>
      </c>
      <c r="P845" t="s">
        <v>27</v>
      </c>
      <c r="Q845" t="s">
        <v>27</v>
      </c>
      <c r="R845" t="s">
        <v>27</v>
      </c>
      <c r="S845">
        <v>0.1</v>
      </c>
      <c r="T845">
        <v>0.4</v>
      </c>
      <c r="U845">
        <v>0.7</v>
      </c>
      <c r="V845" t="s">
        <v>27</v>
      </c>
      <c r="W845">
        <v>0.29699999999999999</v>
      </c>
      <c r="X845">
        <v>1.117</v>
      </c>
      <c r="Y845" t="s">
        <v>27</v>
      </c>
      <c r="Z845" t="s">
        <v>27</v>
      </c>
      <c r="AA845" t="s">
        <v>27</v>
      </c>
      <c r="AB845" t="s">
        <v>27</v>
      </c>
      <c r="AC845" t="s">
        <v>27</v>
      </c>
      <c r="AD845" t="s">
        <v>27</v>
      </c>
      <c r="AE845" t="s">
        <v>27</v>
      </c>
      <c r="AF845" t="s">
        <v>27</v>
      </c>
      <c r="AG845">
        <v>26.18</v>
      </c>
    </row>
    <row r="846" spans="1:33" x14ac:dyDescent="0.25">
      <c r="A846" t="s">
        <v>57</v>
      </c>
      <c r="B846" s="3">
        <v>44307</v>
      </c>
      <c r="C846">
        <v>2021111</v>
      </c>
      <c r="D846">
        <v>21.94</v>
      </c>
      <c r="E846" t="s">
        <v>27</v>
      </c>
      <c r="F846">
        <v>4.9000000000000004</v>
      </c>
      <c r="G846">
        <v>14.3</v>
      </c>
      <c r="H846">
        <v>-5.2</v>
      </c>
      <c r="I846">
        <v>55.7</v>
      </c>
      <c r="J846">
        <v>22.7</v>
      </c>
      <c r="K846">
        <v>0.7</v>
      </c>
      <c r="L846">
        <v>3.5</v>
      </c>
      <c r="M846">
        <v>0</v>
      </c>
      <c r="N846">
        <v>0.58700000000000019</v>
      </c>
      <c r="O846">
        <v>0.1</v>
      </c>
      <c r="P846" t="s">
        <v>27</v>
      </c>
      <c r="Q846" t="s">
        <v>27</v>
      </c>
      <c r="R846" t="s">
        <v>27</v>
      </c>
      <c r="S846">
        <v>0.1</v>
      </c>
      <c r="T846">
        <v>0.4</v>
      </c>
      <c r="U846">
        <v>0.7</v>
      </c>
      <c r="V846" t="s">
        <v>27</v>
      </c>
      <c r="W846">
        <v>0.36899999999999999</v>
      </c>
      <c r="X846">
        <v>1.2569999999999999</v>
      </c>
      <c r="Y846" t="s">
        <v>27</v>
      </c>
      <c r="Z846" t="s">
        <v>27</v>
      </c>
      <c r="AA846" t="s">
        <v>27</v>
      </c>
      <c r="AB846" t="s">
        <v>27</v>
      </c>
      <c r="AC846" t="s">
        <v>27</v>
      </c>
      <c r="AD846" t="s">
        <v>27</v>
      </c>
      <c r="AE846" t="s">
        <v>27</v>
      </c>
      <c r="AF846" t="s">
        <v>27</v>
      </c>
      <c r="AG846">
        <v>26.41</v>
      </c>
    </row>
    <row r="847" spans="1:33" x14ac:dyDescent="0.25">
      <c r="A847" t="s">
        <v>57</v>
      </c>
      <c r="B847" s="3">
        <v>44308</v>
      </c>
      <c r="C847">
        <v>2021112</v>
      </c>
      <c r="D847">
        <v>24.03</v>
      </c>
      <c r="E847" t="s">
        <v>27</v>
      </c>
      <c r="F847">
        <v>2</v>
      </c>
      <c r="G847">
        <v>7.2</v>
      </c>
      <c r="H847">
        <v>-4.7</v>
      </c>
      <c r="I847">
        <v>59.3</v>
      </c>
      <c r="J847">
        <v>30.5</v>
      </c>
      <c r="K847">
        <v>0.9</v>
      </c>
      <c r="L847">
        <v>3.8</v>
      </c>
      <c r="M847">
        <v>0</v>
      </c>
      <c r="N847">
        <v>0.55600000000000005</v>
      </c>
      <c r="O847">
        <v>0.1</v>
      </c>
      <c r="P847" t="s">
        <v>27</v>
      </c>
      <c r="Q847" t="s">
        <v>27</v>
      </c>
      <c r="R847" t="s">
        <v>27</v>
      </c>
      <c r="S847">
        <v>0.1</v>
      </c>
      <c r="T847">
        <v>0.4</v>
      </c>
      <c r="U847">
        <v>0.7</v>
      </c>
      <c r="V847" t="s">
        <v>27</v>
      </c>
      <c r="W847">
        <v>0.31</v>
      </c>
      <c r="X847">
        <v>0.70599999999999996</v>
      </c>
      <c r="Y847" t="s">
        <v>27</v>
      </c>
      <c r="Z847" t="s">
        <v>27</v>
      </c>
      <c r="AA847" t="s">
        <v>27</v>
      </c>
      <c r="AB847" t="s">
        <v>27</v>
      </c>
      <c r="AC847" t="s">
        <v>27</v>
      </c>
      <c r="AD847" t="s">
        <v>27</v>
      </c>
      <c r="AE847" t="s">
        <v>27</v>
      </c>
      <c r="AF847" t="s">
        <v>27</v>
      </c>
      <c r="AG847">
        <v>26.63</v>
      </c>
    </row>
    <row r="848" spans="1:33" x14ac:dyDescent="0.25">
      <c r="A848" t="s">
        <v>57</v>
      </c>
      <c r="B848" s="3">
        <v>44309</v>
      </c>
      <c r="C848">
        <v>2021113</v>
      </c>
      <c r="D848">
        <v>19.170000000000002</v>
      </c>
      <c r="E848" t="s">
        <v>27</v>
      </c>
      <c r="F848">
        <v>0.6</v>
      </c>
      <c r="G848">
        <v>7.4</v>
      </c>
      <c r="H848">
        <v>-8.6</v>
      </c>
      <c r="I848">
        <v>66.7</v>
      </c>
      <c r="J848">
        <v>22.8</v>
      </c>
      <c r="K848">
        <v>0.8</v>
      </c>
      <c r="L848">
        <v>3.8</v>
      </c>
      <c r="M848">
        <v>0</v>
      </c>
      <c r="N848">
        <v>0.54900000000000015</v>
      </c>
      <c r="O848">
        <v>0.1</v>
      </c>
      <c r="P848" t="s">
        <v>27</v>
      </c>
      <c r="Q848" t="s">
        <v>27</v>
      </c>
      <c r="R848" t="s">
        <v>27</v>
      </c>
      <c r="S848">
        <v>0.1</v>
      </c>
      <c r="T848">
        <v>0.4</v>
      </c>
      <c r="U848">
        <v>0.6</v>
      </c>
      <c r="V848" t="s">
        <v>27</v>
      </c>
      <c r="W848">
        <v>0.23400000000000001</v>
      </c>
      <c r="X848">
        <v>0.79200000000000004</v>
      </c>
      <c r="Y848" t="s">
        <v>27</v>
      </c>
      <c r="Z848" t="s">
        <v>27</v>
      </c>
      <c r="AA848" t="s">
        <v>27</v>
      </c>
      <c r="AB848" t="s">
        <v>27</v>
      </c>
      <c r="AC848" t="s">
        <v>27</v>
      </c>
      <c r="AD848" t="s">
        <v>27</v>
      </c>
      <c r="AE848" t="s">
        <v>27</v>
      </c>
      <c r="AF848" t="s">
        <v>27</v>
      </c>
      <c r="AG848">
        <v>26.85</v>
      </c>
    </row>
    <row r="849" spans="1:33" x14ac:dyDescent="0.25">
      <c r="A849" t="s">
        <v>57</v>
      </c>
      <c r="B849" s="3">
        <v>44310</v>
      </c>
      <c r="C849">
        <v>2021114</v>
      </c>
      <c r="D849">
        <v>11.71</v>
      </c>
      <c r="E849" t="s">
        <v>27</v>
      </c>
      <c r="F849">
        <v>2.1</v>
      </c>
      <c r="G849">
        <v>5.0999999999999996</v>
      </c>
      <c r="H849">
        <v>0</v>
      </c>
      <c r="I849">
        <v>90.4</v>
      </c>
      <c r="J849">
        <v>73.099999999999994</v>
      </c>
      <c r="K849">
        <v>0.4</v>
      </c>
      <c r="L849">
        <v>1.6</v>
      </c>
      <c r="M849">
        <v>8.5</v>
      </c>
      <c r="N849">
        <v>0.55300000000000016</v>
      </c>
      <c r="O849">
        <v>0.1</v>
      </c>
      <c r="P849" t="s">
        <v>27</v>
      </c>
      <c r="Q849" t="s">
        <v>27</v>
      </c>
      <c r="R849" t="s">
        <v>27</v>
      </c>
      <c r="S849">
        <v>0.1</v>
      </c>
      <c r="T849">
        <v>0.4</v>
      </c>
      <c r="U849">
        <v>0.7</v>
      </c>
      <c r="V849" t="s">
        <v>27</v>
      </c>
      <c r="W849">
        <v>0.64</v>
      </c>
      <c r="X849">
        <v>0.23599999999999999</v>
      </c>
      <c r="Y849" t="s">
        <v>27</v>
      </c>
      <c r="Z849" t="s">
        <v>27</v>
      </c>
      <c r="AA849" t="s">
        <v>27</v>
      </c>
      <c r="AB849" t="s">
        <v>27</v>
      </c>
      <c r="AC849" t="s">
        <v>27</v>
      </c>
      <c r="AD849" t="s">
        <v>27</v>
      </c>
      <c r="AE849" t="s">
        <v>27</v>
      </c>
      <c r="AF849" t="s">
        <v>27</v>
      </c>
      <c r="AG849">
        <v>27.07</v>
      </c>
    </row>
    <row r="850" spans="1:33" x14ac:dyDescent="0.25">
      <c r="A850" t="s">
        <v>57</v>
      </c>
      <c r="B850" s="3">
        <v>44311</v>
      </c>
      <c r="C850">
        <v>2021115</v>
      </c>
      <c r="D850">
        <v>9.57</v>
      </c>
      <c r="E850" t="s">
        <v>27</v>
      </c>
      <c r="F850">
        <v>1</v>
      </c>
      <c r="G850">
        <v>5.0999999999999996</v>
      </c>
      <c r="H850">
        <v>-0.8</v>
      </c>
      <c r="I850">
        <v>91</v>
      </c>
      <c r="J850">
        <v>70.099999999999994</v>
      </c>
      <c r="K850">
        <v>0.7</v>
      </c>
      <c r="L850">
        <v>2.6</v>
      </c>
      <c r="M850">
        <v>8.6999999999999993</v>
      </c>
      <c r="N850">
        <v>0.55000000000000004</v>
      </c>
      <c r="O850">
        <v>0.1</v>
      </c>
      <c r="P850" t="s">
        <v>27</v>
      </c>
      <c r="Q850" t="s">
        <v>27</v>
      </c>
      <c r="R850" t="s">
        <v>27</v>
      </c>
      <c r="S850">
        <v>0.1</v>
      </c>
      <c r="T850">
        <v>0.4</v>
      </c>
      <c r="U850">
        <v>0.7</v>
      </c>
      <c r="V850" t="s">
        <v>27</v>
      </c>
      <c r="W850">
        <v>0.61499999999999999</v>
      </c>
      <c r="X850">
        <v>0.26200000000000001</v>
      </c>
      <c r="Y850" t="s">
        <v>27</v>
      </c>
      <c r="Z850" t="s">
        <v>27</v>
      </c>
      <c r="AA850" t="s">
        <v>27</v>
      </c>
      <c r="AB850" t="s">
        <v>27</v>
      </c>
      <c r="AC850" t="s">
        <v>27</v>
      </c>
      <c r="AD850" t="s">
        <v>27</v>
      </c>
      <c r="AE850" t="s">
        <v>27</v>
      </c>
      <c r="AF850" t="s">
        <v>27</v>
      </c>
      <c r="AG850">
        <v>27.29</v>
      </c>
    </row>
    <row r="851" spans="1:33" x14ac:dyDescent="0.25">
      <c r="A851" t="s">
        <v>57</v>
      </c>
      <c r="B851" s="3">
        <v>44312</v>
      </c>
      <c r="C851">
        <v>2021116</v>
      </c>
      <c r="D851">
        <v>22.7</v>
      </c>
      <c r="E851" t="s">
        <v>27</v>
      </c>
      <c r="F851">
        <v>1.8</v>
      </c>
      <c r="G851">
        <v>8.8000000000000007</v>
      </c>
      <c r="H851">
        <v>-4.4000000000000004</v>
      </c>
      <c r="I851">
        <v>70</v>
      </c>
      <c r="J851">
        <v>36.700000000000003</v>
      </c>
      <c r="K851">
        <v>0.8</v>
      </c>
      <c r="L851">
        <v>3.9</v>
      </c>
      <c r="M851">
        <v>1.4</v>
      </c>
      <c r="N851">
        <v>0.51200000000000001</v>
      </c>
      <c r="O851">
        <v>0.1</v>
      </c>
      <c r="P851" t="s">
        <v>27</v>
      </c>
      <c r="Q851" t="s">
        <v>27</v>
      </c>
      <c r="R851" t="s">
        <v>27</v>
      </c>
      <c r="S851">
        <v>0.1</v>
      </c>
      <c r="T851">
        <v>0.4</v>
      </c>
      <c r="U851">
        <v>0.7</v>
      </c>
      <c r="V851" t="s">
        <v>27</v>
      </c>
      <c r="W851">
        <v>0.41599999999999998</v>
      </c>
      <c r="X851">
        <v>0.71799999999999997</v>
      </c>
      <c r="Y851" t="s">
        <v>27</v>
      </c>
      <c r="Z851" t="s">
        <v>27</v>
      </c>
      <c r="AA851" t="s">
        <v>27</v>
      </c>
      <c r="AB851" t="s">
        <v>27</v>
      </c>
      <c r="AC851" t="s">
        <v>27</v>
      </c>
      <c r="AD851" t="s">
        <v>27</v>
      </c>
      <c r="AE851" t="s">
        <v>27</v>
      </c>
      <c r="AF851" t="s">
        <v>27</v>
      </c>
      <c r="AG851">
        <v>27.5</v>
      </c>
    </row>
    <row r="852" spans="1:33" x14ac:dyDescent="0.25">
      <c r="A852" t="s">
        <v>57</v>
      </c>
      <c r="B852" s="3">
        <v>44313</v>
      </c>
      <c r="C852">
        <v>2021117</v>
      </c>
      <c r="D852">
        <v>14.61</v>
      </c>
      <c r="E852" t="s">
        <v>27</v>
      </c>
      <c r="F852">
        <v>2</v>
      </c>
      <c r="G852">
        <v>6.8</v>
      </c>
      <c r="H852">
        <v>-4.2</v>
      </c>
      <c r="I852">
        <v>67.099999999999994</v>
      </c>
      <c r="J852">
        <v>49.1</v>
      </c>
      <c r="K852">
        <v>1.4</v>
      </c>
      <c r="L852">
        <v>3.9</v>
      </c>
      <c r="M852">
        <v>0</v>
      </c>
      <c r="N852">
        <v>0.48799999999999999</v>
      </c>
      <c r="O852">
        <v>0.1</v>
      </c>
      <c r="P852" t="s">
        <v>27</v>
      </c>
      <c r="Q852" t="s">
        <v>27</v>
      </c>
      <c r="R852" t="s">
        <v>27</v>
      </c>
      <c r="S852">
        <v>0.1</v>
      </c>
      <c r="T852">
        <v>0.4</v>
      </c>
      <c r="U852">
        <v>0.7</v>
      </c>
      <c r="V852" t="s">
        <v>27</v>
      </c>
      <c r="W852">
        <v>0.48399999999999999</v>
      </c>
      <c r="X852">
        <v>0.502</v>
      </c>
      <c r="Y852" t="s">
        <v>27</v>
      </c>
      <c r="Z852" t="s">
        <v>27</v>
      </c>
      <c r="AA852" t="s">
        <v>27</v>
      </c>
      <c r="AB852" t="s">
        <v>27</v>
      </c>
      <c r="AC852" t="s">
        <v>27</v>
      </c>
      <c r="AD852" t="s">
        <v>27</v>
      </c>
      <c r="AE852" t="s">
        <v>27</v>
      </c>
      <c r="AF852" t="s">
        <v>27</v>
      </c>
      <c r="AG852">
        <v>27.71</v>
      </c>
    </row>
    <row r="853" spans="1:33" x14ac:dyDescent="0.25">
      <c r="A853" t="s">
        <v>57</v>
      </c>
      <c r="B853" s="3">
        <v>44314</v>
      </c>
      <c r="C853">
        <v>2021118</v>
      </c>
      <c r="D853">
        <v>19.940000000000001</v>
      </c>
      <c r="E853" t="s">
        <v>27</v>
      </c>
      <c r="F853">
        <v>4.9000000000000004</v>
      </c>
      <c r="G853">
        <v>11.4</v>
      </c>
      <c r="H853">
        <v>-0.8</v>
      </c>
      <c r="I853">
        <v>77.7</v>
      </c>
      <c r="J853">
        <v>50.4</v>
      </c>
      <c r="K853">
        <v>1</v>
      </c>
      <c r="L853">
        <v>4.5999999999999996</v>
      </c>
      <c r="M853">
        <v>11.3</v>
      </c>
      <c r="N853">
        <v>0.43100000000000005</v>
      </c>
      <c r="O853">
        <v>0.1</v>
      </c>
      <c r="P853" t="s">
        <v>27</v>
      </c>
      <c r="Q853" t="s">
        <v>27</v>
      </c>
      <c r="R853" t="s">
        <v>27</v>
      </c>
      <c r="S853">
        <v>0.1</v>
      </c>
      <c r="T853">
        <v>0.4</v>
      </c>
      <c r="U853">
        <v>0.6</v>
      </c>
      <c r="V853" t="s">
        <v>27</v>
      </c>
      <c r="W853">
        <v>0.68</v>
      </c>
      <c r="X853">
        <v>0.66900000000000004</v>
      </c>
      <c r="Y853" t="s">
        <v>27</v>
      </c>
      <c r="Z853" t="s">
        <v>27</v>
      </c>
      <c r="AA853" t="s">
        <v>27</v>
      </c>
      <c r="AB853" t="s">
        <v>27</v>
      </c>
      <c r="AC853" t="s">
        <v>27</v>
      </c>
      <c r="AD853" t="s">
        <v>27</v>
      </c>
      <c r="AE853" t="s">
        <v>27</v>
      </c>
      <c r="AF853" t="s">
        <v>27</v>
      </c>
      <c r="AG853">
        <v>27.92</v>
      </c>
    </row>
    <row r="854" spans="1:33" x14ac:dyDescent="0.25">
      <c r="A854" t="s">
        <v>57</v>
      </c>
      <c r="B854" s="3">
        <v>44315</v>
      </c>
      <c r="C854">
        <v>2021119</v>
      </c>
      <c r="D854">
        <v>18.489999999999998</v>
      </c>
      <c r="E854" t="s">
        <v>27</v>
      </c>
      <c r="F854">
        <v>7.3</v>
      </c>
      <c r="G854">
        <v>15.9</v>
      </c>
      <c r="H854">
        <v>1.2</v>
      </c>
      <c r="I854">
        <v>79.3</v>
      </c>
      <c r="J854">
        <v>46.2</v>
      </c>
      <c r="K854">
        <v>0</v>
      </c>
      <c r="L854">
        <v>1.6</v>
      </c>
      <c r="M854">
        <v>3.7</v>
      </c>
      <c r="N854">
        <v>0.379</v>
      </c>
      <c r="O854">
        <v>0.1</v>
      </c>
      <c r="P854" t="s">
        <v>27</v>
      </c>
      <c r="Q854" t="s">
        <v>27</v>
      </c>
      <c r="R854" t="s">
        <v>27</v>
      </c>
      <c r="S854">
        <v>0.1</v>
      </c>
      <c r="T854">
        <v>0.3</v>
      </c>
      <c r="U854">
        <v>0.6</v>
      </c>
      <c r="V854" t="s">
        <v>27</v>
      </c>
      <c r="W854">
        <v>0.83699999999999997</v>
      </c>
      <c r="X854">
        <v>0.97499999999999998</v>
      </c>
      <c r="Y854" t="s">
        <v>27</v>
      </c>
      <c r="Z854" t="s">
        <v>27</v>
      </c>
      <c r="AA854" t="s">
        <v>27</v>
      </c>
      <c r="AB854" t="s">
        <v>27</v>
      </c>
      <c r="AC854" t="s">
        <v>27</v>
      </c>
      <c r="AD854" t="s">
        <v>27</v>
      </c>
      <c r="AE854" t="s">
        <v>27</v>
      </c>
      <c r="AF854" t="s">
        <v>27</v>
      </c>
      <c r="AG854">
        <v>28.12</v>
      </c>
    </row>
    <row r="855" spans="1:33" x14ac:dyDescent="0.25">
      <c r="A855" t="s">
        <v>57</v>
      </c>
      <c r="B855" s="3">
        <v>44316</v>
      </c>
      <c r="C855">
        <v>2021120</v>
      </c>
      <c r="D855">
        <v>17.309999999999999</v>
      </c>
      <c r="E855" t="s">
        <v>27</v>
      </c>
      <c r="F855">
        <v>6.2</v>
      </c>
      <c r="G855">
        <v>13</v>
      </c>
      <c r="H855">
        <v>-0.9</v>
      </c>
      <c r="I855">
        <v>63</v>
      </c>
      <c r="J855">
        <v>34.4</v>
      </c>
      <c r="K855">
        <v>0.2</v>
      </c>
      <c r="L855">
        <v>3</v>
      </c>
      <c r="M855">
        <v>0</v>
      </c>
      <c r="N855">
        <v>0.32600000000000007</v>
      </c>
      <c r="O855">
        <v>0.1</v>
      </c>
      <c r="P855" t="s">
        <v>27</v>
      </c>
      <c r="Q855" t="s">
        <v>27</v>
      </c>
      <c r="R855" t="s">
        <v>27</v>
      </c>
      <c r="S855">
        <v>0.1</v>
      </c>
      <c r="T855">
        <v>0.3</v>
      </c>
      <c r="U855">
        <v>0.6</v>
      </c>
      <c r="V855" t="s">
        <v>27</v>
      </c>
      <c r="W855">
        <v>0.51500000000000001</v>
      </c>
      <c r="X855">
        <v>0.98199999999999998</v>
      </c>
      <c r="Y855" t="s">
        <v>27</v>
      </c>
      <c r="Z855" t="s">
        <v>27</v>
      </c>
      <c r="AA855" t="s">
        <v>27</v>
      </c>
      <c r="AB855" t="s">
        <v>27</v>
      </c>
      <c r="AC855" t="s">
        <v>27</v>
      </c>
      <c r="AD855" t="s">
        <v>27</v>
      </c>
      <c r="AE855" t="s">
        <v>27</v>
      </c>
      <c r="AF855" t="s">
        <v>27</v>
      </c>
      <c r="AG855">
        <v>28.32</v>
      </c>
    </row>
    <row r="856" spans="1:33" x14ac:dyDescent="0.25">
      <c r="A856" t="s">
        <v>57</v>
      </c>
      <c r="B856" s="3">
        <v>44317</v>
      </c>
      <c r="C856">
        <v>2021121</v>
      </c>
      <c r="D856">
        <v>13.16</v>
      </c>
      <c r="E856" t="s">
        <v>27</v>
      </c>
      <c r="F856">
        <v>2.5</v>
      </c>
      <c r="G856">
        <v>6.8</v>
      </c>
      <c r="H856">
        <v>-2.5</v>
      </c>
      <c r="I856">
        <v>73.3</v>
      </c>
      <c r="J856">
        <v>41.9</v>
      </c>
      <c r="K856">
        <v>0.1</v>
      </c>
      <c r="L856">
        <v>2.4</v>
      </c>
      <c r="M856">
        <v>2.6</v>
      </c>
      <c r="N856">
        <v>0.28000000000000025</v>
      </c>
      <c r="O856">
        <v>0.1</v>
      </c>
      <c r="P856" t="s">
        <v>27</v>
      </c>
      <c r="Q856" t="s">
        <v>27</v>
      </c>
      <c r="R856" t="s">
        <v>27</v>
      </c>
      <c r="S856">
        <v>0.1</v>
      </c>
      <c r="T856">
        <v>0.3</v>
      </c>
      <c r="U856">
        <v>0.6</v>
      </c>
      <c r="V856" t="s">
        <v>27</v>
      </c>
      <c r="W856">
        <v>0.41399999999999998</v>
      </c>
      <c r="X856">
        <v>0.57399999999999995</v>
      </c>
      <c r="Y856" t="s">
        <v>27</v>
      </c>
      <c r="Z856" t="s">
        <v>27</v>
      </c>
      <c r="AA856" t="s">
        <v>27</v>
      </c>
      <c r="AB856" t="s">
        <v>27</v>
      </c>
      <c r="AC856" t="s">
        <v>27</v>
      </c>
      <c r="AD856" t="s">
        <v>27</v>
      </c>
      <c r="AE856" t="s">
        <v>27</v>
      </c>
      <c r="AF856" t="s">
        <v>27</v>
      </c>
      <c r="AG856">
        <v>28.52</v>
      </c>
    </row>
    <row r="857" spans="1:33" x14ac:dyDescent="0.25">
      <c r="A857" t="s">
        <v>57</v>
      </c>
      <c r="B857" s="3">
        <v>44318</v>
      </c>
      <c r="C857">
        <v>2021122</v>
      </c>
      <c r="D857">
        <v>23.05</v>
      </c>
      <c r="E857" t="s">
        <v>27</v>
      </c>
      <c r="F857">
        <v>2</v>
      </c>
      <c r="G857">
        <v>10.3</v>
      </c>
      <c r="H857">
        <v>-5.4</v>
      </c>
      <c r="I857">
        <v>66.7</v>
      </c>
      <c r="J857">
        <v>28.8</v>
      </c>
      <c r="K857">
        <v>0.2</v>
      </c>
      <c r="L857">
        <v>2.8</v>
      </c>
      <c r="M857">
        <v>0</v>
      </c>
      <c r="N857">
        <v>0.27600000000000025</v>
      </c>
      <c r="O857">
        <v>0.1</v>
      </c>
      <c r="P857" t="s">
        <v>27</v>
      </c>
      <c r="Q857" t="s">
        <v>27</v>
      </c>
      <c r="R857" t="s">
        <v>27</v>
      </c>
      <c r="S857">
        <v>0.1</v>
      </c>
      <c r="T857">
        <v>0.3</v>
      </c>
      <c r="U857">
        <v>0.5</v>
      </c>
      <c r="V857" t="s">
        <v>27</v>
      </c>
      <c r="W857">
        <v>0.36099999999999999</v>
      </c>
      <c r="X857">
        <v>0.89200000000000002</v>
      </c>
      <c r="Y857" t="s">
        <v>27</v>
      </c>
      <c r="Z857" t="s">
        <v>27</v>
      </c>
      <c r="AA857" t="s">
        <v>27</v>
      </c>
      <c r="AB857" t="s">
        <v>27</v>
      </c>
      <c r="AC857" t="s">
        <v>27</v>
      </c>
      <c r="AD857" t="s">
        <v>27</v>
      </c>
      <c r="AE857" t="s">
        <v>27</v>
      </c>
      <c r="AF857" t="s">
        <v>27</v>
      </c>
      <c r="AG857">
        <v>28.7</v>
      </c>
    </row>
    <row r="858" spans="1:33" x14ac:dyDescent="0.25">
      <c r="A858" t="s">
        <v>57</v>
      </c>
      <c r="B858" s="3">
        <v>44319</v>
      </c>
      <c r="C858">
        <v>2021123</v>
      </c>
      <c r="D858">
        <v>14.16</v>
      </c>
      <c r="E858" t="s">
        <v>27</v>
      </c>
      <c r="F858">
        <v>1.8</v>
      </c>
      <c r="G858">
        <v>7.3</v>
      </c>
      <c r="H858">
        <v>-4.0999999999999996</v>
      </c>
      <c r="I858">
        <v>73.3</v>
      </c>
      <c r="J858">
        <v>40.5</v>
      </c>
      <c r="K858">
        <v>0.6</v>
      </c>
      <c r="L858">
        <v>3.4</v>
      </c>
      <c r="M858">
        <v>0</v>
      </c>
      <c r="N858">
        <v>0.25499999999999989</v>
      </c>
      <c r="O858">
        <v>0.2</v>
      </c>
      <c r="P858" t="s">
        <v>27</v>
      </c>
      <c r="Q858" t="s">
        <v>27</v>
      </c>
      <c r="R858" t="s">
        <v>27</v>
      </c>
      <c r="S858">
        <v>0.1</v>
      </c>
      <c r="T858">
        <v>0.3</v>
      </c>
      <c r="U858">
        <v>0.6</v>
      </c>
      <c r="V858" t="s">
        <v>27</v>
      </c>
      <c r="W858">
        <v>0.41299999999999998</v>
      </c>
      <c r="X858">
        <v>0.60699999999999998</v>
      </c>
      <c r="Y858" t="s">
        <v>27</v>
      </c>
      <c r="Z858" t="s">
        <v>27</v>
      </c>
      <c r="AA858" t="s">
        <v>27</v>
      </c>
      <c r="AB858" t="s">
        <v>27</v>
      </c>
      <c r="AC858" t="s">
        <v>27</v>
      </c>
      <c r="AD858" t="s">
        <v>27</v>
      </c>
      <c r="AE858" t="s">
        <v>27</v>
      </c>
      <c r="AF858" t="s">
        <v>27</v>
      </c>
      <c r="AG858">
        <v>28.89</v>
      </c>
    </row>
    <row r="859" spans="1:33" x14ac:dyDescent="0.25">
      <c r="A859" t="s">
        <v>57</v>
      </c>
      <c r="B859" s="3">
        <v>44320</v>
      </c>
      <c r="C859">
        <v>2021124</v>
      </c>
      <c r="D859">
        <v>17.53</v>
      </c>
      <c r="E859" t="s">
        <v>27</v>
      </c>
      <c r="F859">
        <v>3.1</v>
      </c>
      <c r="G859">
        <v>9.6999999999999993</v>
      </c>
      <c r="H859">
        <v>-2.4</v>
      </c>
      <c r="I859">
        <v>67.400000000000006</v>
      </c>
      <c r="J859">
        <v>34.200000000000003</v>
      </c>
      <c r="K859">
        <v>0.3</v>
      </c>
      <c r="L859">
        <v>2.9</v>
      </c>
      <c r="M859">
        <v>0</v>
      </c>
      <c r="N859">
        <v>0.22999999999999998</v>
      </c>
      <c r="O859">
        <v>0.1</v>
      </c>
      <c r="P859" t="s">
        <v>27</v>
      </c>
      <c r="Q859" t="s">
        <v>27</v>
      </c>
      <c r="R859" t="s">
        <v>27</v>
      </c>
      <c r="S859">
        <v>0.1</v>
      </c>
      <c r="T859">
        <v>0.3</v>
      </c>
      <c r="U859">
        <v>0.6</v>
      </c>
      <c r="V859" t="s">
        <v>27</v>
      </c>
      <c r="W859">
        <v>0.41</v>
      </c>
      <c r="X859">
        <v>0.78900000000000003</v>
      </c>
      <c r="Y859" t="s">
        <v>27</v>
      </c>
      <c r="Z859" t="s">
        <v>27</v>
      </c>
      <c r="AA859" t="s">
        <v>27</v>
      </c>
      <c r="AB859" t="s">
        <v>27</v>
      </c>
      <c r="AC859" t="s">
        <v>27</v>
      </c>
      <c r="AD859" t="s">
        <v>27</v>
      </c>
      <c r="AE859" t="s">
        <v>27</v>
      </c>
      <c r="AF859" t="s">
        <v>27</v>
      </c>
      <c r="AG859">
        <v>29.07</v>
      </c>
    </row>
    <row r="860" spans="1:33" x14ac:dyDescent="0.25">
      <c r="A860" t="s">
        <v>57</v>
      </c>
      <c r="B860" s="3">
        <v>44321</v>
      </c>
      <c r="C860">
        <v>2021125</v>
      </c>
      <c r="D860">
        <v>22.27</v>
      </c>
      <c r="E860" t="s">
        <v>27</v>
      </c>
      <c r="F860">
        <v>6.1</v>
      </c>
      <c r="G860">
        <v>13.6</v>
      </c>
      <c r="H860">
        <v>-4.0999999999999996</v>
      </c>
      <c r="I860">
        <v>56.3</v>
      </c>
      <c r="J860">
        <v>31.2</v>
      </c>
      <c r="K860">
        <v>0.6</v>
      </c>
      <c r="L860">
        <v>3</v>
      </c>
      <c r="M860">
        <v>0</v>
      </c>
      <c r="N860">
        <v>0.18300000000000027</v>
      </c>
      <c r="O860">
        <v>0.2</v>
      </c>
      <c r="P860" t="s">
        <v>27</v>
      </c>
      <c r="Q860" t="s">
        <v>27</v>
      </c>
      <c r="R860" t="s">
        <v>27</v>
      </c>
      <c r="S860">
        <v>0.1</v>
      </c>
      <c r="T860">
        <v>0.3</v>
      </c>
      <c r="U860">
        <v>0.5</v>
      </c>
      <c r="V860" t="s">
        <v>27</v>
      </c>
      <c r="W860">
        <v>0.48699999999999999</v>
      </c>
      <c r="X860">
        <v>1.0740000000000001</v>
      </c>
      <c r="Y860" t="s">
        <v>27</v>
      </c>
      <c r="Z860" t="s">
        <v>27</v>
      </c>
      <c r="AA860" t="s">
        <v>27</v>
      </c>
      <c r="AB860" t="s">
        <v>27</v>
      </c>
      <c r="AC860" t="s">
        <v>27</v>
      </c>
      <c r="AD860" t="s">
        <v>27</v>
      </c>
      <c r="AE860" t="s">
        <v>27</v>
      </c>
      <c r="AF860" t="s">
        <v>27</v>
      </c>
      <c r="AG860">
        <v>29.25</v>
      </c>
    </row>
    <row r="861" spans="1:33" x14ac:dyDescent="0.25">
      <c r="A861" t="s">
        <v>57</v>
      </c>
      <c r="B861" s="3">
        <v>44322</v>
      </c>
      <c r="C861">
        <v>2021126</v>
      </c>
      <c r="D861">
        <v>15.56</v>
      </c>
      <c r="E861" t="s">
        <v>27</v>
      </c>
      <c r="F861">
        <v>9.6</v>
      </c>
      <c r="G861">
        <v>18.3</v>
      </c>
      <c r="H861">
        <v>3.5</v>
      </c>
      <c r="I861">
        <v>48.9</v>
      </c>
      <c r="J861">
        <v>22.9</v>
      </c>
      <c r="K861">
        <v>0.7</v>
      </c>
      <c r="L861">
        <v>3.5</v>
      </c>
      <c r="M861">
        <v>0</v>
      </c>
      <c r="N861">
        <v>0.13200000000000012</v>
      </c>
      <c r="O861">
        <v>0.1</v>
      </c>
      <c r="P861" t="s">
        <v>27</v>
      </c>
      <c r="Q861" t="s">
        <v>27</v>
      </c>
      <c r="R861" t="s">
        <v>27</v>
      </c>
      <c r="S861">
        <v>0.1</v>
      </c>
      <c r="T861">
        <v>0.4</v>
      </c>
      <c r="U861">
        <v>0.6</v>
      </c>
      <c r="V861" t="s">
        <v>27</v>
      </c>
      <c r="W861">
        <v>0.48199999999999998</v>
      </c>
      <c r="X861">
        <v>1.623</v>
      </c>
      <c r="Y861" t="s">
        <v>27</v>
      </c>
      <c r="Z861" t="s">
        <v>27</v>
      </c>
      <c r="AA861" t="s">
        <v>27</v>
      </c>
      <c r="AB861" t="s">
        <v>27</v>
      </c>
      <c r="AC861" t="s">
        <v>27</v>
      </c>
      <c r="AD861" t="s">
        <v>27</v>
      </c>
      <c r="AE861" t="s">
        <v>27</v>
      </c>
      <c r="AF861" t="s">
        <v>27</v>
      </c>
      <c r="AG861">
        <v>29.43</v>
      </c>
    </row>
    <row r="862" spans="1:33" x14ac:dyDescent="0.25">
      <c r="A862" t="s">
        <v>57</v>
      </c>
      <c r="B862" s="3">
        <v>44323</v>
      </c>
      <c r="C862">
        <v>2021127</v>
      </c>
      <c r="D862">
        <v>18.2</v>
      </c>
      <c r="E862" t="s">
        <v>27</v>
      </c>
      <c r="F862">
        <v>1.4</v>
      </c>
      <c r="G862">
        <v>6.3</v>
      </c>
      <c r="H862">
        <v>-1.6</v>
      </c>
      <c r="I862">
        <v>61.5</v>
      </c>
      <c r="J862">
        <v>33.1</v>
      </c>
      <c r="K862">
        <v>1.8</v>
      </c>
      <c r="L862">
        <v>4.2</v>
      </c>
      <c r="M862">
        <v>0</v>
      </c>
      <c r="N862">
        <v>9.1000000000000192E-2</v>
      </c>
      <c r="O862">
        <v>0.1</v>
      </c>
      <c r="P862" t="s">
        <v>27</v>
      </c>
      <c r="Q862" t="s">
        <v>27</v>
      </c>
      <c r="R862" t="s">
        <v>27</v>
      </c>
      <c r="S862">
        <v>0.1</v>
      </c>
      <c r="T862">
        <v>0.4</v>
      </c>
      <c r="U862">
        <v>0.6</v>
      </c>
      <c r="V862" t="s">
        <v>27</v>
      </c>
      <c r="W862">
        <v>0.316</v>
      </c>
      <c r="X862">
        <v>0.63900000000000001</v>
      </c>
      <c r="Y862" t="s">
        <v>27</v>
      </c>
      <c r="Z862" t="s">
        <v>27</v>
      </c>
      <c r="AA862" t="s">
        <v>27</v>
      </c>
      <c r="AB862" t="s">
        <v>27</v>
      </c>
      <c r="AC862" t="s">
        <v>27</v>
      </c>
      <c r="AD862" t="s">
        <v>27</v>
      </c>
      <c r="AE862" t="s">
        <v>27</v>
      </c>
      <c r="AF862" t="s">
        <v>27</v>
      </c>
      <c r="AG862">
        <v>29.61</v>
      </c>
    </row>
    <row r="863" spans="1:33" x14ac:dyDescent="0.25">
      <c r="A863" t="s">
        <v>57</v>
      </c>
      <c r="B863" s="3">
        <v>44324</v>
      </c>
      <c r="C863">
        <v>2021128</v>
      </c>
      <c r="D863">
        <v>15.91</v>
      </c>
      <c r="E863" t="s">
        <v>27</v>
      </c>
      <c r="F863">
        <v>0.9</v>
      </c>
      <c r="G863">
        <v>6.7</v>
      </c>
      <c r="H863">
        <v>-3.8</v>
      </c>
      <c r="I863">
        <v>66</v>
      </c>
      <c r="J863">
        <v>39.4</v>
      </c>
      <c r="K863">
        <v>1.4</v>
      </c>
      <c r="L863">
        <v>4.0999999999999996</v>
      </c>
      <c r="M863">
        <v>0.9</v>
      </c>
      <c r="N863">
        <v>9.1000000000000192E-2</v>
      </c>
      <c r="O863">
        <v>0.2</v>
      </c>
      <c r="P863" t="s">
        <v>27</v>
      </c>
      <c r="Q863" t="s">
        <v>27</v>
      </c>
      <c r="R863" t="s">
        <v>27</v>
      </c>
      <c r="S863">
        <v>0.2</v>
      </c>
      <c r="T863">
        <v>0.4</v>
      </c>
      <c r="U863">
        <v>0.6</v>
      </c>
      <c r="V863" t="s">
        <v>27</v>
      </c>
      <c r="W863">
        <v>0.38600000000000001</v>
      </c>
      <c r="X863">
        <v>0.59399999999999997</v>
      </c>
      <c r="Y863" t="s">
        <v>27</v>
      </c>
      <c r="Z863" t="s">
        <v>27</v>
      </c>
      <c r="AA863" t="s">
        <v>27</v>
      </c>
      <c r="AB863" t="s">
        <v>27</v>
      </c>
      <c r="AC863" t="s">
        <v>27</v>
      </c>
      <c r="AD863" t="s">
        <v>27</v>
      </c>
      <c r="AE863" t="s">
        <v>27</v>
      </c>
      <c r="AF863" t="s">
        <v>27</v>
      </c>
      <c r="AG863">
        <v>29.77</v>
      </c>
    </row>
    <row r="864" spans="1:33" x14ac:dyDescent="0.25">
      <c r="A864" t="s">
        <v>57</v>
      </c>
      <c r="B864" s="3">
        <v>44325</v>
      </c>
      <c r="C864">
        <v>2021129</v>
      </c>
      <c r="D864">
        <v>24.99</v>
      </c>
      <c r="E864" t="s">
        <v>27</v>
      </c>
      <c r="F864">
        <v>2.2999999999999998</v>
      </c>
      <c r="G864">
        <v>9.8000000000000007</v>
      </c>
      <c r="H864">
        <v>-5.9</v>
      </c>
      <c r="I864">
        <v>64.2</v>
      </c>
      <c r="J864">
        <v>29.1</v>
      </c>
      <c r="K864">
        <v>0.6</v>
      </c>
      <c r="L864">
        <v>2.6</v>
      </c>
      <c r="M864">
        <v>0</v>
      </c>
      <c r="N864">
        <v>3.2000000000000028E-2</v>
      </c>
      <c r="O864">
        <v>0.2</v>
      </c>
      <c r="P864" t="s">
        <v>27</v>
      </c>
      <c r="Q864" t="s">
        <v>27</v>
      </c>
      <c r="R864" t="s">
        <v>27</v>
      </c>
      <c r="S864">
        <v>0.2</v>
      </c>
      <c r="T864">
        <v>0.5</v>
      </c>
      <c r="U864">
        <v>0.6</v>
      </c>
      <c r="V864" t="s">
        <v>27</v>
      </c>
      <c r="W864">
        <v>0.35199999999999998</v>
      </c>
      <c r="X864">
        <v>0.85799999999999998</v>
      </c>
      <c r="Y864" t="s">
        <v>27</v>
      </c>
      <c r="Z864" t="s">
        <v>27</v>
      </c>
      <c r="AA864" t="s">
        <v>27</v>
      </c>
      <c r="AB864" t="s">
        <v>27</v>
      </c>
      <c r="AC864" t="s">
        <v>27</v>
      </c>
      <c r="AD864" t="s">
        <v>27</v>
      </c>
      <c r="AE864" t="s">
        <v>27</v>
      </c>
      <c r="AF864" t="s">
        <v>27</v>
      </c>
      <c r="AG864">
        <v>29.94</v>
      </c>
    </row>
    <row r="865" spans="1:33" x14ac:dyDescent="0.25">
      <c r="A865" t="s">
        <v>57</v>
      </c>
      <c r="B865" s="3">
        <v>44326</v>
      </c>
      <c r="C865">
        <v>2021130</v>
      </c>
      <c r="D865">
        <v>19.52</v>
      </c>
      <c r="E865" t="s">
        <v>27</v>
      </c>
      <c r="F865">
        <v>3.6</v>
      </c>
      <c r="G865">
        <v>12</v>
      </c>
      <c r="H865">
        <v>-4.2</v>
      </c>
      <c r="I865">
        <v>67.900000000000006</v>
      </c>
      <c r="J865">
        <v>26.4</v>
      </c>
      <c r="K865">
        <v>0.7</v>
      </c>
      <c r="L865">
        <v>3.1</v>
      </c>
      <c r="M865">
        <v>0</v>
      </c>
      <c r="N865">
        <v>0</v>
      </c>
      <c r="O865" t="s">
        <v>27</v>
      </c>
      <c r="P865" t="s">
        <v>27</v>
      </c>
      <c r="Q865" t="s">
        <v>27</v>
      </c>
      <c r="R865" t="s">
        <v>27</v>
      </c>
      <c r="S865">
        <v>2.7</v>
      </c>
      <c r="T865">
        <v>1.3</v>
      </c>
      <c r="U865">
        <v>0.8</v>
      </c>
      <c r="V865" t="s">
        <v>27</v>
      </c>
      <c r="W865">
        <v>0.37</v>
      </c>
      <c r="X865">
        <v>1.032</v>
      </c>
      <c r="Y865" t="s">
        <v>27</v>
      </c>
      <c r="Z865" t="s">
        <v>27</v>
      </c>
      <c r="AA865" t="s">
        <v>27</v>
      </c>
      <c r="AB865" t="s">
        <v>27</v>
      </c>
      <c r="AC865" t="s">
        <v>27</v>
      </c>
      <c r="AD865" t="s">
        <v>27</v>
      </c>
      <c r="AE865" t="s">
        <v>27</v>
      </c>
      <c r="AF865" t="s">
        <v>27</v>
      </c>
      <c r="AG865">
        <v>30.1</v>
      </c>
    </row>
    <row r="866" spans="1:33" x14ac:dyDescent="0.25">
      <c r="A866" t="s">
        <v>57</v>
      </c>
      <c r="B866" s="3">
        <v>44327</v>
      </c>
      <c r="C866">
        <v>2021131</v>
      </c>
      <c r="D866">
        <v>26.14</v>
      </c>
      <c r="E866" t="s">
        <v>27</v>
      </c>
      <c r="F866">
        <v>4.0999999999999996</v>
      </c>
      <c r="G866">
        <v>12.5</v>
      </c>
      <c r="H866">
        <v>-3.4</v>
      </c>
      <c r="I866">
        <v>63.8</v>
      </c>
      <c r="J866">
        <v>27.1</v>
      </c>
      <c r="K866">
        <v>0.1</v>
      </c>
      <c r="L866">
        <v>2.5</v>
      </c>
      <c r="M866">
        <v>0</v>
      </c>
      <c r="N866">
        <v>0</v>
      </c>
      <c r="O866" t="s">
        <v>27</v>
      </c>
      <c r="P866" t="s">
        <v>27</v>
      </c>
      <c r="Q866" t="s">
        <v>27</v>
      </c>
      <c r="R866" t="s">
        <v>27</v>
      </c>
      <c r="S866">
        <v>7.4</v>
      </c>
      <c r="T866">
        <v>3.4</v>
      </c>
      <c r="U866">
        <v>1.3</v>
      </c>
      <c r="V866" t="s">
        <v>27</v>
      </c>
      <c r="W866">
        <v>0.39300000000000002</v>
      </c>
      <c r="X866">
        <v>1.0569999999999999</v>
      </c>
      <c r="Y866" t="s">
        <v>27</v>
      </c>
      <c r="Z866" t="s">
        <v>27</v>
      </c>
      <c r="AA866" t="s">
        <v>27</v>
      </c>
      <c r="AB866" t="s">
        <v>27</v>
      </c>
      <c r="AC866" t="s">
        <v>27</v>
      </c>
      <c r="AD866" t="s">
        <v>27</v>
      </c>
      <c r="AE866" t="s">
        <v>27</v>
      </c>
      <c r="AF866" t="s">
        <v>27</v>
      </c>
      <c r="AG866">
        <v>30.26</v>
      </c>
    </row>
    <row r="867" spans="1:33" x14ac:dyDescent="0.25">
      <c r="A867" t="s">
        <v>57</v>
      </c>
      <c r="B867" s="3">
        <v>44328</v>
      </c>
      <c r="C867">
        <v>2021132</v>
      </c>
      <c r="D867">
        <v>8.77</v>
      </c>
      <c r="E867" t="s">
        <v>27</v>
      </c>
      <c r="F867">
        <v>3.9</v>
      </c>
      <c r="G867">
        <v>9.6</v>
      </c>
      <c r="H867">
        <v>-2.1</v>
      </c>
      <c r="I867">
        <v>84.5</v>
      </c>
      <c r="J867">
        <v>41.6</v>
      </c>
      <c r="K867">
        <v>0.4</v>
      </c>
      <c r="L867">
        <v>2.7</v>
      </c>
      <c r="M867">
        <v>2.8</v>
      </c>
      <c r="N867">
        <v>0</v>
      </c>
      <c r="O867" t="s">
        <v>27</v>
      </c>
      <c r="P867" t="s">
        <v>27</v>
      </c>
      <c r="Q867" t="s">
        <v>27</v>
      </c>
      <c r="R867" t="s">
        <v>27</v>
      </c>
      <c r="S867">
        <v>5.5</v>
      </c>
      <c r="T867">
        <v>4</v>
      </c>
      <c r="U867">
        <v>2.2000000000000002</v>
      </c>
      <c r="V867" t="s">
        <v>27</v>
      </c>
      <c r="W867">
        <v>0.497</v>
      </c>
      <c r="X867">
        <v>0.69799999999999995</v>
      </c>
      <c r="Y867" t="s">
        <v>27</v>
      </c>
      <c r="Z867" t="s">
        <v>27</v>
      </c>
      <c r="AA867" t="s">
        <v>27</v>
      </c>
      <c r="AB867" t="s">
        <v>27</v>
      </c>
      <c r="AC867" t="s">
        <v>27</v>
      </c>
      <c r="AD867" t="s">
        <v>27</v>
      </c>
      <c r="AE867" t="s">
        <v>27</v>
      </c>
      <c r="AF867" t="s">
        <v>27</v>
      </c>
      <c r="AG867">
        <v>30.41</v>
      </c>
    </row>
    <row r="868" spans="1:33" x14ac:dyDescent="0.25">
      <c r="A868" t="s">
        <v>57</v>
      </c>
      <c r="B868" s="3">
        <v>44329</v>
      </c>
      <c r="C868">
        <v>2021133</v>
      </c>
      <c r="D868">
        <v>22.96</v>
      </c>
      <c r="E868" t="s">
        <v>27</v>
      </c>
      <c r="F868">
        <v>6</v>
      </c>
      <c r="G868">
        <v>13.8</v>
      </c>
      <c r="H868">
        <v>-1.3</v>
      </c>
      <c r="I868">
        <v>75.400000000000006</v>
      </c>
      <c r="J868">
        <v>35.799999999999997</v>
      </c>
      <c r="K868">
        <v>0.2</v>
      </c>
      <c r="L868">
        <v>2.4</v>
      </c>
      <c r="M868">
        <v>1.8</v>
      </c>
      <c r="N868">
        <v>0</v>
      </c>
      <c r="O868" t="s">
        <v>27</v>
      </c>
      <c r="P868" t="s">
        <v>27</v>
      </c>
      <c r="Q868" t="s">
        <v>27</v>
      </c>
      <c r="R868" t="s">
        <v>27</v>
      </c>
      <c r="S868">
        <v>10.6</v>
      </c>
      <c r="T868">
        <v>5.7</v>
      </c>
      <c r="U868">
        <v>2.6</v>
      </c>
      <c r="V868" t="s">
        <v>27</v>
      </c>
      <c r="W868">
        <v>0.56599999999999995</v>
      </c>
      <c r="X868">
        <v>1.0149999999999999</v>
      </c>
      <c r="Y868" t="s">
        <v>27</v>
      </c>
      <c r="Z868" t="s">
        <v>27</v>
      </c>
      <c r="AA868" t="s">
        <v>27</v>
      </c>
      <c r="AB868" t="s">
        <v>27</v>
      </c>
      <c r="AC868" t="s">
        <v>27</v>
      </c>
      <c r="AD868" t="s">
        <v>27</v>
      </c>
      <c r="AE868" t="s">
        <v>27</v>
      </c>
      <c r="AF868" t="s">
        <v>27</v>
      </c>
      <c r="AG868">
        <v>30.57</v>
      </c>
    </row>
    <row r="869" spans="1:33" x14ac:dyDescent="0.25">
      <c r="A869" t="s">
        <v>57</v>
      </c>
      <c r="B869" s="3">
        <v>44330</v>
      </c>
      <c r="C869">
        <v>2021134</v>
      </c>
      <c r="D869">
        <v>28.2</v>
      </c>
      <c r="E869" t="s">
        <v>27</v>
      </c>
      <c r="F869">
        <v>7.7</v>
      </c>
      <c r="G869">
        <v>16.600000000000001</v>
      </c>
      <c r="H869">
        <v>-1.9</v>
      </c>
      <c r="I869">
        <v>61</v>
      </c>
      <c r="J869">
        <v>22.7</v>
      </c>
      <c r="K869">
        <v>0.2</v>
      </c>
      <c r="L869">
        <v>2.2000000000000002</v>
      </c>
      <c r="M869">
        <v>0</v>
      </c>
      <c r="N869">
        <v>0</v>
      </c>
      <c r="O869" t="s">
        <v>27</v>
      </c>
      <c r="P869" t="s">
        <v>27</v>
      </c>
      <c r="Q869" t="s">
        <v>27</v>
      </c>
      <c r="R869" t="s">
        <v>27</v>
      </c>
      <c r="S869">
        <v>10.9</v>
      </c>
      <c r="T869">
        <v>6.7</v>
      </c>
      <c r="U869">
        <v>3.4</v>
      </c>
      <c r="V869" t="s">
        <v>27</v>
      </c>
      <c r="W869">
        <v>0.42899999999999999</v>
      </c>
      <c r="X869">
        <v>1.4610000000000001</v>
      </c>
      <c r="Y869" t="s">
        <v>27</v>
      </c>
      <c r="Z869" t="s">
        <v>27</v>
      </c>
      <c r="AA869" t="s">
        <v>27</v>
      </c>
      <c r="AB869" t="s">
        <v>27</v>
      </c>
      <c r="AC869" t="s">
        <v>27</v>
      </c>
      <c r="AD869" t="s">
        <v>27</v>
      </c>
      <c r="AE869" t="s">
        <v>27</v>
      </c>
      <c r="AF869" t="s">
        <v>27</v>
      </c>
      <c r="AG869">
        <v>30.71</v>
      </c>
    </row>
    <row r="870" spans="1:33" x14ac:dyDescent="0.25">
      <c r="A870" t="s">
        <v>57</v>
      </c>
      <c r="B870" s="3">
        <v>44331</v>
      </c>
      <c r="C870">
        <v>2021135</v>
      </c>
      <c r="D870">
        <v>29.09</v>
      </c>
      <c r="E870" t="s">
        <v>27</v>
      </c>
      <c r="F870">
        <v>9.3000000000000007</v>
      </c>
      <c r="G870">
        <v>19.399999999999999</v>
      </c>
      <c r="H870">
        <v>-1</v>
      </c>
      <c r="I870">
        <v>60.2</v>
      </c>
      <c r="J870">
        <v>20.7</v>
      </c>
      <c r="K870">
        <v>0.2</v>
      </c>
      <c r="L870">
        <v>2.6</v>
      </c>
      <c r="M870">
        <v>0</v>
      </c>
      <c r="N870">
        <v>0</v>
      </c>
      <c r="O870" t="s">
        <v>27</v>
      </c>
      <c r="P870" t="s">
        <v>27</v>
      </c>
      <c r="Q870" t="s">
        <v>27</v>
      </c>
      <c r="R870" t="s">
        <v>27</v>
      </c>
      <c r="S870">
        <v>12.3</v>
      </c>
      <c r="T870">
        <v>7.8</v>
      </c>
      <c r="U870">
        <v>4.2</v>
      </c>
      <c r="V870" t="s">
        <v>27</v>
      </c>
      <c r="W870">
        <v>0.46600000000000003</v>
      </c>
      <c r="X870">
        <v>1.7849999999999999</v>
      </c>
      <c r="Y870" t="s">
        <v>27</v>
      </c>
      <c r="Z870" t="s">
        <v>27</v>
      </c>
      <c r="AA870" t="s">
        <v>27</v>
      </c>
      <c r="AB870" t="s">
        <v>27</v>
      </c>
      <c r="AC870" t="s">
        <v>27</v>
      </c>
      <c r="AD870" t="s">
        <v>27</v>
      </c>
      <c r="AE870" t="s">
        <v>27</v>
      </c>
      <c r="AF870" t="s">
        <v>27</v>
      </c>
      <c r="AG870">
        <v>30.86</v>
      </c>
    </row>
    <row r="871" spans="1:33" x14ac:dyDescent="0.25">
      <c r="A871" t="s">
        <v>57</v>
      </c>
      <c r="B871" s="3">
        <v>44332</v>
      </c>
      <c r="C871">
        <v>2021136</v>
      </c>
      <c r="D871">
        <v>27.62</v>
      </c>
      <c r="E871" t="s">
        <v>27</v>
      </c>
      <c r="F871">
        <v>11.3</v>
      </c>
      <c r="G871">
        <v>21.4</v>
      </c>
      <c r="H871">
        <v>0.3</v>
      </c>
      <c r="I871">
        <v>56</v>
      </c>
      <c r="J871">
        <v>23.6</v>
      </c>
      <c r="K871">
        <v>0.7</v>
      </c>
      <c r="L871">
        <v>3.3</v>
      </c>
      <c r="M871">
        <v>0</v>
      </c>
      <c r="N871">
        <v>0</v>
      </c>
      <c r="O871" t="s">
        <v>27</v>
      </c>
      <c r="P871" t="s">
        <v>27</v>
      </c>
      <c r="Q871" t="s">
        <v>27</v>
      </c>
      <c r="R871" t="s">
        <v>27</v>
      </c>
      <c r="S871">
        <v>13.5</v>
      </c>
      <c r="T871">
        <v>8.8000000000000007</v>
      </c>
      <c r="U871">
        <v>4.9000000000000004</v>
      </c>
      <c r="V871" t="s">
        <v>27</v>
      </c>
      <c r="W871">
        <v>0.60199999999999998</v>
      </c>
      <c r="X871">
        <v>1.9490000000000001</v>
      </c>
      <c r="Y871" t="s">
        <v>27</v>
      </c>
      <c r="Z871" t="s">
        <v>27</v>
      </c>
      <c r="AA871" t="s">
        <v>27</v>
      </c>
      <c r="AB871" t="s">
        <v>27</v>
      </c>
      <c r="AC871" t="s">
        <v>27</v>
      </c>
      <c r="AD871" t="s">
        <v>27</v>
      </c>
      <c r="AE871" t="s">
        <v>27</v>
      </c>
      <c r="AF871" t="s">
        <v>27</v>
      </c>
      <c r="AG871">
        <v>31</v>
      </c>
    </row>
    <row r="872" spans="1:33" x14ac:dyDescent="0.25">
      <c r="A872" t="s">
        <v>57</v>
      </c>
      <c r="B872" s="3">
        <v>44333</v>
      </c>
      <c r="C872">
        <v>2021137</v>
      </c>
      <c r="D872">
        <v>16.079999999999998</v>
      </c>
      <c r="E872" t="s">
        <v>27</v>
      </c>
      <c r="F872">
        <v>7.5</v>
      </c>
      <c r="G872">
        <v>14.2</v>
      </c>
      <c r="H872">
        <v>1.1000000000000001</v>
      </c>
      <c r="I872">
        <v>73.599999999999994</v>
      </c>
      <c r="J872">
        <v>42.6</v>
      </c>
      <c r="K872">
        <v>0.8</v>
      </c>
      <c r="L872">
        <v>4.3</v>
      </c>
      <c r="M872">
        <v>0</v>
      </c>
      <c r="N872">
        <v>0</v>
      </c>
      <c r="O872" t="s">
        <v>27</v>
      </c>
      <c r="P872" t="s">
        <v>27</v>
      </c>
      <c r="Q872" t="s">
        <v>27</v>
      </c>
      <c r="R872" t="s">
        <v>27</v>
      </c>
      <c r="S872">
        <v>9.8000000000000007</v>
      </c>
      <c r="T872">
        <v>8.4</v>
      </c>
      <c r="U872">
        <v>5.6</v>
      </c>
      <c r="V872" t="s">
        <v>27</v>
      </c>
      <c r="W872">
        <v>0.69099999999999995</v>
      </c>
      <c r="X872">
        <v>0.93100000000000005</v>
      </c>
      <c r="Y872" t="s">
        <v>27</v>
      </c>
      <c r="Z872" t="s">
        <v>27</v>
      </c>
      <c r="AA872" t="s">
        <v>27</v>
      </c>
      <c r="AB872" t="s">
        <v>27</v>
      </c>
      <c r="AC872" t="s">
        <v>27</v>
      </c>
      <c r="AD872" t="s">
        <v>27</v>
      </c>
      <c r="AE872" t="s">
        <v>27</v>
      </c>
      <c r="AF872" t="s">
        <v>27</v>
      </c>
      <c r="AG872">
        <v>31.14</v>
      </c>
    </row>
    <row r="873" spans="1:33" x14ac:dyDescent="0.25">
      <c r="A873" t="s">
        <v>57</v>
      </c>
      <c r="B873" s="3">
        <v>44334</v>
      </c>
      <c r="C873">
        <v>2021138</v>
      </c>
      <c r="D873">
        <v>16.29</v>
      </c>
      <c r="E873" t="s">
        <v>27</v>
      </c>
      <c r="F873">
        <v>1.2</v>
      </c>
      <c r="G873">
        <v>4.7</v>
      </c>
      <c r="H873">
        <v>-3.1</v>
      </c>
      <c r="I873">
        <v>60.9</v>
      </c>
      <c r="J873">
        <v>36.1</v>
      </c>
      <c r="K873">
        <v>1.6</v>
      </c>
      <c r="L873">
        <v>4.7</v>
      </c>
      <c r="M873">
        <v>2</v>
      </c>
      <c r="N873">
        <v>0</v>
      </c>
      <c r="O873" t="s">
        <v>27</v>
      </c>
      <c r="P873" t="s">
        <v>27</v>
      </c>
      <c r="Q873" t="s">
        <v>27</v>
      </c>
      <c r="R873" t="s">
        <v>27</v>
      </c>
      <c r="S873">
        <v>5.5</v>
      </c>
      <c r="T873">
        <v>6.6</v>
      </c>
      <c r="U873">
        <v>5.6</v>
      </c>
      <c r="V873" t="s">
        <v>27</v>
      </c>
      <c r="W873">
        <v>0.309</v>
      </c>
      <c r="X873">
        <v>0.54700000000000004</v>
      </c>
      <c r="Y873" t="s">
        <v>27</v>
      </c>
      <c r="Z873" t="s">
        <v>27</v>
      </c>
      <c r="AA873" t="s">
        <v>27</v>
      </c>
      <c r="AB873" t="s">
        <v>27</v>
      </c>
      <c r="AC873" t="s">
        <v>27</v>
      </c>
      <c r="AD873" t="s">
        <v>27</v>
      </c>
      <c r="AE873" t="s">
        <v>27</v>
      </c>
      <c r="AF873" t="s">
        <v>27</v>
      </c>
      <c r="AG873">
        <v>31.27</v>
      </c>
    </row>
    <row r="874" spans="1:33" x14ac:dyDescent="0.25">
      <c r="A874" t="s">
        <v>57</v>
      </c>
      <c r="B874" s="3">
        <v>44335</v>
      </c>
      <c r="C874">
        <v>2021139</v>
      </c>
      <c r="D874">
        <v>17.88</v>
      </c>
      <c r="E874" t="s">
        <v>27</v>
      </c>
      <c r="F874">
        <v>0.6</v>
      </c>
      <c r="G874">
        <v>6.9</v>
      </c>
      <c r="H874">
        <v>-7.1</v>
      </c>
      <c r="I874">
        <v>68.900000000000006</v>
      </c>
      <c r="J874">
        <v>36</v>
      </c>
      <c r="K874">
        <v>0.8</v>
      </c>
      <c r="L874">
        <v>2.6</v>
      </c>
      <c r="M874">
        <v>0.5</v>
      </c>
      <c r="N874">
        <v>0</v>
      </c>
      <c r="O874" t="s">
        <v>27</v>
      </c>
      <c r="P874" t="s">
        <v>27</v>
      </c>
      <c r="Q874" t="s">
        <v>27</v>
      </c>
      <c r="R874" t="s">
        <v>27</v>
      </c>
      <c r="S874">
        <v>4.0999999999999996</v>
      </c>
      <c r="T874">
        <v>4.8</v>
      </c>
      <c r="U874">
        <v>5</v>
      </c>
      <c r="V874" t="s">
        <v>27</v>
      </c>
      <c r="W874">
        <v>0.35699999999999998</v>
      </c>
      <c r="X874">
        <v>0.63500000000000001</v>
      </c>
      <c r="Y874" t="s">
        <v>27</v>
      </c>
      <c r="Z874" t="s">
        <v>27</v>
      </c>
      <c r="AA874" t="s">
        <v>27</v>
      </c>
      <c r="AB874" t="s">
        <v>27</v>
      </c>
      <c r="AC874" t="s">
        <v>27</v>
      </c>
      <c r="AD874" t="s">
        <v>27</v>
      </c>
      <c r="AE874" t="s">
        <v>27</v>
      </c>
      <c r="AF874" t="s">
        <v>27</v>
      </c>
      <c r="AG874">
        <v>31.4</v>
      </c>
    </row>
    <row r="875" spans="1:33" x14ac:dyDescent="0.25">
      <c r="A875" t="s">
        <v>57</v>
      </c>
      <c r="B875" s="3">
        <v>44336</v>
      </c>
      <c r="C875">
        <v>2021140</v>
      </c>
      <c r="D875">
        <v>16.25</v>
      </c>
      <c r="E875" t="s">
        <v>27</v>
      </c>
      <c r="F875">
        <v>1.9</v>
      </c>
      <c r="G875">
        <v>7.2</v>
      </c>
      <c r="H875">
        <v>-1</v>
      </c>
      <c r="I875">
        <v>84.1</v>
      </c>
      <c r="J875">
        <v>55.4</v>
      </c>
      <c r="K875">
        <v>0.9</v>
      </c>
      <c r="L875">
        <v>3.2</v>
      </c>
      <c r="M875">
        <v>3.8</v>
      </c>
      <c r="N875">
        <v>0</v>
      </c>
      <c r="O875" t="s">
        <v>27</v>
      </c>
      <c r="P875" t="s">
        <v>27</v>
      </c>
      <c r="Q875" t="s">
        <v>27</v>
      </c>
      <c r="R875" t="s">
        <v>27</v>
      </c>
      <c r="S875">
        <v>7.3</v>
      </c>
      <c r="T875">
        <v>5.6</v>
      </c>
      <c r="U875">
        <v>4.5999999999999996</v>
      </c>
      <c r="V875" t="s">
        <v>27</v>
      </c>
      <c r="W875">
        <v>0.56399999999999995</v>
      </c>
      <c r="X875">
        <v>0.45400000000000001</v>
      </c>
      <c r="Y875" t="s">
        <v>27</v>
      </c>
      <c r="Z875" t="s">
        <v>27</v>
      </c>
      <c r="AA875" t="s">
        <v>27</v>
      </c>
      <c r="AB875" t="s">
        <v>27</v>
      </c>
      <c r="AC875" t="s">
        <v>27</v>
      </c>
      <c r="AD875" t="s">
        <v>27</v>
      </c>
      <c r="AE875" t="s">
        <v>27</v>
      </c>
      <c r="AF875" t="s">
        <v>27</v>
      </c>
      <c r="AG875">
        <v>31.52</v>
      </c>
    </row>
    <row r="876" spans="1:33" x14ac:dyDescent="0.25">
      <c r="A876" t="s">
        <v>57</v>
      </c>
      <c r="B876" s="3">
        <v>44337</v>
      </c>
      <c r="C876">
        <v>2021141</v>
      </c>
      <c r="D876">
        <v>27.83</v>
      </c>
      <c r="E876" t="s">
        <v>27</v>
      </c>
      <c r="F876">
        <v>4.7</v>
      </c>
      <c r="G876">
        <v>12.4</v>
      </c>
      <c r="H876">
        <v>-2.6</v>
      </c>
      <c r="I876">
        <v>64.099999999999994</v>
      </c>
      <c r="J876">
        <v>32.5</v>
      </c>
      <c r="K876">
        <v>0.9</v>
      </c>
      <c r="L876">
        <v>3.2</v>
      </c>
      <c r="M876">
        <v>0.7</v>
      </c>
      <c r="N876">
        <v>0</v>
      </c>
      <c r="O876" t="s">
        <v>27</v>
      </c>
      <c r="P876" t="s">
        <v>27</v>
      </c>
      <c r="Q876" t="s">
        <v>27</v>
      </c>
      <c r="R876" t="s">
        <v>27</v>
      </c>
      <c r="S876">
        <v>10</v>
      </c>
      <c r="T876">
        <v>6.7</v>
      </c>
      <c r="U876">
        <v>4.7</v>
      </c>
      <c r="V876" t="s">
        <v>27</v>
      </c>
      <c r="W876">
        <v>0.46800000000000003</v>
      </c>
      <c r="X876">
        <v>0.97199999999999998</v>
      </c>
      <c r="Y876" t="s">
        <v>27</v>
      </c>
      <c r="Z876" t="s">
        <v>27</v>
      </c>
      <c r="AA876" t="s">
        <v>27</v>
      </c>
      <c r="AB876" t="s">
        <v>27</v>
      </c>
      <c r="AC876" t="s">
        <v>27</v>
      </c>
      <c r="AD876" t="s">
        <v>27</v>
      </c>
      <c r="AE876" t="s">
        <v>27</v>
      </c>
      <c r="AF876" t="s">
        <v>27</v>
      </c>
      <c r="AG876">
        <v>31.65</v>
      </c>
    </row>
    <row r="877" spans="1:33" x14ac:dyDescent="0.25">
      <c r="A877" t="s">
        <v>57</v>
      </c>
      <c r="B877" s="3">
        <v>44338</v>
      </c>
      <c r="C877">
        <v>2021142</v>
      </c>
      <c r="D877">
        <v>26.25</v>
      </c>
      <c r="E877" t="s">
        <v>27</v>
      </c>
      <c r="F877">
        <v>7.1</v>
      </c>
      <c r="G877">
        <v>17.3</v>
      </c>
      <c r="H877">
        <v>-3</v>
      </c>
      <c r="I877">
        <v>58</v>
      </c>
      <c r="J877">
        <v>27.3</v>
      </c>
      <c r="K877">
        <v>0.4</v>
      </c>
      <c r="L877">
        <v>2.9</v>
      </c>
      <c r="M877">
        <v>0</v>
      </c>
      <c r="N877">
        <v>0</v>
      </c>
      <c r="O877" t="s">
        <v>27</v>
      </c>
      <c r="P877" t="s">
        <v>27</v>
      </c>
      <c r="Q877" t="s">
        <v>27</v>
      </c>
      <c r="R877" t="s">
        <v>27</v>
      </c>
      <c r="S877">
        <v>10.8</v>
      </c>
      <c r="T877">
        <v>7.5</v>
      </c>
      <c r="U877">
        <v>5.0999999999999996</v>
      </c>
      <c r="V877" t="s">
        <v>27</v>
      </c>
      <c r="W877">
        <v>0.53800000000000003</v>
      </c>
      <c r="X877">
        <v>1.4330000000000001</v>
      </c>
      <c r="Y877" t="s">
        <v>27</v>
      </c>
      <c r="Z877" t="s">
        <v>27</v>
      </c>
      <c r="AA877" t="s">
        <v>27</v>
      </c>
      <c r="AB877" t="s">
        <v>27</v>
      </c>
      <c r="AC877" t="s">
        <v>27</v>
      </c>
      <c r="AD877" t="s">
        <v>27</v>
      </c>
      <c r="AE877" t="s">
        <v>27</v>
      </c>
      <c r="AF877" t="s">
        <v>27</v>
      </c>
      <c r="AG877">
        <v>31.76</v>
      </c>
    </row>
    <row r="878" spans="1:33" x14ac:dyDescent="0.25">
      <c r="A878" t="s">
        <v>57</v>
      </c>
      <c r="B878" s="3">
        <v>44339</v>
      </c>
      <c r="C878">
        <v>2021143</v>
      </c>
      <c r="D878">
        <v>24.71</v>
      </c>
      <c r="E878" t="s">
        <v>27</v>
      </c>
      <c r="F878">
        <v>8.5</v>
      </c>
      <c r="G878">
        <v>16.7</v>
      </c>
      <c r="H878">
        <v>-1.8</v>
      </c>
      <c r="I878">
        <v>65</v>
      </c>
      <c r="J878">
        <v>28.2</v>
      </c>
      <c r="K878">
        <v>1.1000000000000001</v>
      </c>
      <c r="L878">
        <v>3.6</v>
      </c>
      <c r="M878">
        <v>0</v>
      </c>
      <c r="N878">
        <v>0</v>
      </c>
      <c r="O878" t="s">
        <v>27</v>
      </c>
      <c r="P878" t="s">
        <v>27</v>
      </c>
      <c r="Q878" t="s">
        <v>27</v>
      </c>
      <c r="R878" t="s">
        <v>27</v>
      </c>
      <c r="S878">
        <v>12.7</v>
      </c>
      <c r="T878">
        <v>8.5</v>
      </c>
      <c r="U878">
        <v>5.6</v>
      </c>
      <c r="V878" t="s">
        <v>27</v>
      </c>
      <c r="W878">
        <v>0.53600000000000003</v>
      </c>
      <c r="X878">
        <v>1.365</v>
      </c>
      <c r="Y878" t="s">
        <v>27</v>
      </c>
      <c r="Z878" t="s">
        <v>27</v>
      </c>
      <c r="AA878" t="s">
        <v>27</v>
      </c>
      <c r="AB878" t="s">
        <v>27</v>
      </c>
      <c r="AC878" t="s">
        <v>27</v>
      </c>
      <c r="AD878" t="s">
        <v>27</v>
      </c>
      <c r="AE878" t="s">
        <v>27</v>
      </c>
      <c r="AF878" t="s">
        <v>27</v>
      </c>
      <c r="AG878">
        <v>31.88</v>
      </c>
    </row>
    <row r="879" spans="1:33" x14ac:dyDescent="0.25">
      <c r="A879" t="s">
        <v>57</v>
      </c>
      <c r="B879" s="3">
        <v>44340</v>
      </c>
      <c r="C879">
        <v>2021144</v>
      </c>
      <c r="D879">
        <v>20.16</v>
      </c>
      <c r="E879" t="s">
        <v>27</v>
      </c>
      <c r="F879">
        <v>6.5</v>
      </c>
      <c r="G879">
        <v>11.9</v>
      </c>
      <c r="H879">
        <v>1.9</v>
      </c>
      <c r="I879">
        <v>78.2</v>
      </c>
      <c r="J879">
        <v>50.4</v>
      </c>
      <c r="K879">
        <v>1.8</v>
      </c>
      <c r="L879">
        <v>4.5999999999999996</v>
      </c>
      <c r="M879">
        <v>3.5</v>
      </c>
      <c r="N879">
        <v>0</v>
      </c>
      <c r="O879" t="s">
        <v>27</v>
      </c>
      <c r="P879" t="s">
        <v>27</v>
      </c>
      <c r="Q879" t="s">
        <v>27</v>
      </c>
      <c r="R879" t="s">
        <v>27</v>
      </c>
      <c r="S879">
        <v>11.7</v>
      </c>
      <c r="T879">
        <v>8.9</v>
      </c>
      <c r="U879">
        <v>6.2</v>
      </c>
      <c r="V879" t="s">
        <v>27</v>
      </c>
      <c r="W879">
        <v>0.70199999999999996</v>
      </c>
      <c r="X879">
        <v>0.69099999999999995</v>
      </c>
      <c r="Y879" t="s">
        <v>27</v>
      </c>
      <c r="Z879" t="s">
        <v>27</v>
      </c>
      <c r="AA879" t="s">
        <v>27</v>
      </c>
      <c r="AB879" t="s">
        <v>27</v>
      </c>
      <c r="AC879" t="s">
        <v>27</v>
      </c>
      <c r="AD879" t="s">
        <v>27</v>
      </c>
      <c r="AE879" t="s">
        <v>27</v>
      </c>
      <c r="AF879" t="s">
        <v>27</v>
      </c>
      <c r="AG879">
        <v>31.99</v>
      </c>
    </row>
    <row r="880" spans="1:33" x14ac:dyDescent="0.25">
      <c r="A880" t="s">
        <v>57</v>
      </c>
      <c r="B880" s="3">
        <v>44341</v>
      </c>
      <c r="C880">
        <v>2021145</v>
      </c>
      <c r="D880">
        <v>18.670000000000002</v>
      </c>
      <c r="E880" t="s">
        <v>27</v>
      </c>
      <c r="F880">
        <v>6.9</v>
      </c>
      <c r="G880">
        <v>13.8</v>
      </c>
      <c r="H880">
        <v>-0.5</v>
      </c>
      <c r="I880">
        <v>78.8</v>
      </c>
      <c r="J880">
        <v>40.799999999999997</v>
      </c>
      <c r="K880">
        <v>0.6</v>
      </c>
      <c r="L880">
        <v>3.4</v>
      </c>
      <c r="M880">
        <v>2.9</v>
      </c>
      <c r="N880">
        <v>0</v>
      </c>
      <c r="O880" t="s">
        <v>27</v>
      </c>
      <c r="P880" t="s">
        <v>27</v>
      </c>
      <c r="Q880" t="s">
        <v>27</v>
      </c>
      <c r="R880" t="s">
        <v>27</v>
      </c>
      <c r="S880">
        <v>10.7</v>
      </c>
      <c r="T880">
        <v>8.6999999999999993</v>
      </c>
      <c r="U880">
        <v>6.5</v>
      </c>
      <c r="V880" t="s">
        <v>27</v>
      </c>
      <c r="W880">
        <v>0.64500000000000002</v>
      </c>
      <c r="X880">
        <v>0.93600000000000005</v>
      </c>
      <c r="Y880" t="s">
        <v>27</v>
      </c>
      <c r="Z880" t="s">
        <v>27</v>
      </c>
      <c r="AA880" t="s">
        <v>27</v>
      </c>
      <c r="AB880" t="s">
        <v>27</v>
      </c>
      <c r="AC880" t="s">
        <v>27</v>
      </c>
      <c r="AD880" t="s">
        <v>27</v>
      </c>
      <c r="AE880" t="s">
        <v>27</v>
      </c>
      <c r="AF880" t="s">
        <v>27</v>
      </c>
      <c r="AG880">
        <v>32.090000000000003</v>
      </c>
    </row>
    <row r="881" spans="1:33" x14ac:dyDescent="0.25">
      <c r="A881" t="s">
        <v>57</v>
      </c>
      <c r="B881" s="3">
        <v>44342</v>
      </c>
      <c r="C881">
        <v>2021146</v>
      </c>
      <c r="D881">
        <v>23.66</v>
      </c>
      <c r="E881" t="s">
        <v>27</v>
      </c>
      <c r="F881">
        <v>8.6999999999999993</v>
      </c>
      <c r="G881">
        <v>16.2</v>
      </c>
      <c r="H881">
        <v>0</v>
      </c>
      <c r="I881">
        <v>63.7</v>
      </c>
      <c r="J881">
        <v>36.200000000000003</v>
      </c>
      <c r="K881">
        <v>1.3</v>
      </c>
      <c r="L881">
        <v>3.5</v>
      </c>
      <c r="M881">
        <v>0</v>
      </c>
      <c r="N881">
        <v>0</v>
      </c>
      <c r="O881" t="s">
        <v>27</v>
      </c>
      <c r="P881" t="s">
        <v>27</v>
      </c>
      <c r="Q881" t="s">
        <v>27</v>
      </c>
      <c r="R881" t="s">
        <v>27</v>
      </c>
      <c r="S881">
        <v>12.4</v>
      </c>
      <c r="T881">
        <v>9</v>
      </c>
      <c r="U881">
        <v>6.6</v>
      </c>
      <c r="V881" t="s">
        <v>27</v>
      </c>
      <c r="W881">
        <v>0.66400000000000003</v>
      </c>
      <c r="X881">
        <v>1.17</v>
      </c>
      <c r="Y881" t="s">
        <v>27</v>
      </c>
      <c r="Z881" t="s">
        <v>27</v>
      </c>
      <c r="AA881" t="s">
        <v>27</v>
      </c>
      <c r="AB881" t="s">
        <v>27</v>
      </c>
      <c r="AC881" t="s">
        <v>27</v>
      </c>
      <c r="AD881" t="s">
        <v>27</v>
      </c>
      <c r="AE881" t="s">
        <v>27</v>
      </c>
      <c r="AF881" t="s">
        <v>27</v>
      </c>
      <c r="AG881">
        <v>32.200000000000003</v>
      </c>
    </row>
    <row r="882" spans="1:33" x14ac:dyDescent="0.25">
      <c r="A882" t="s">
        <v>57</v>
      </c>
      <c r="B882" s="3">
        <v>44343</v>
      </c>
      <c r="C882">
        <v>2021147</v>
      </c>
      <c r="D882">
        <v>8.2200000000000006</v>
      </c>
      <c r="E882" t="s">
        <v>27</v>
      </c>
      <c r="F882">
        <v>6.4</v>
      </c>
      <c r="G882">
        <v>12</v>
      </c>
      <c r="H882">
        <v>1.9</v>
      </c>
      <c r="I882">
        <v>61</v>
      </c>
      <c r="J882">
        <v>33.5</v>
      </c>
      <c r="K882">
        <v>1.6</v>
      </c>
      <c r="L882">
        <v>5.2</v>
      </c>
      <c r="M882">
        <v>2.2999999999999998</v>
      </c>
      <c r="N882">
        <v>0</v>
      </c>
      <c r="O882" t="s">
        <v>27</v>
      </c>
      <c r="P882" t="s">
        <v>27</v>
      </c>
      <c r="Q882" t="s">
        <v>27</v>
      </c>
      <c r="R882" t="s">
        <v>27</v>
      </c>
      <c r="S882">
        <v>7.3</v>
      </c>
      <c r="T882">
        <v>8.1999999999999993</v>
      </c>
      <c r="U882">
        <v>6.9</v>
      </c>
      <c r="V882" t="s">
        <v>27</v>
      </c>
      <c r="W882">
        <v>0.47</v>
      </c>
      <c r="X882">
        <v>0.93300000000000005</v>
      </c>
      <c r="Y882" t="s">
        <v>27</v>
      </c>
      <c r="Z882" t="s">
        <v>27</v>
      </c>
      <c r="AA882" t="s">
        <v>27</v>
      </c>
      <c r="AB882" t="s">
        <v>27</v>
      </c>
      <c r="AC882" t="s">
        <v>27</v>
      </c>
      <c r="AD882" t="s">
        <v>27</v>
      </c>
      <c r="AE882" t="s">
        <v>27</v>
      </c>
      <c r="AF882" t="s">
        <v>27</v>
      </c>
      <c r="AG882">
        <v>32.29</v>
      </c>
    </row>
    <row r="883" spans="1:33" x14ac:dyDescent="0.25">
      <c r="A883" t="s">
        <v>57</v>
      </c>
      <c r="B883" s="3">
        <v>44344</v>
      </c>
      <c r="C883">
        <v>2021148</v>
      </c>
      <c r="D883">
        <v>19.38</v>
      </c>
      <c r="E883" t="s">
        <v>27</v>
      </c>
      <c r="F883">
        <v>3.5</v>
      </c>
      <c r="G883">
        <v>10.199999999999999</v>
      </c>
      <c r="H883">
        <v>-2.4</v>
      </c>
      <c r="I883">
        <v>71.8</v>
      </c>
      <c r="J883">
        <v>39.700000000000003</v>
      </c>
      <c r="K883">
        <v>1.5</v>
      </c>
      <c r="L883">
        <v>4.3</v>
      </c>
      <c r="M883">
        <v>3.5</v>
      </c>
      <c r="N883">
        <v>0</v>
      </c>
      <c r="O883" t="s">
        <v>27</v>
      </c>
      <c r="P883" t="s">
        <v>27</v>
      </c>
      <c r="Q883" t="s">
        <v>27</v>
      </c>
      <c r="R883" t="s">
        <v>27</v>
      </c>
      <c r="S883">
        <v>7.6</v>
      </c>
      <c r="T883">
        <v>7.1</v>
      </c>
      <c r="U883">
        <v>6.5</v>
      </c>
      <c r="V883" t="s">
        <v>27</v>
      </c>
      <c r="W883">
        <v>0.49399999999999999</v>
      </c>
      <c r="X883">
        <v>0.75</v>
      </c>
      <c r="Y883" t="s">
        <v>27</v>
      </c>
      <c r="Z883" t="s">
        <v>27</v>
      </c>
      <c r="AA883" t="s">
        <v>27</v>
      </c>
      <c r="AB883" t="s">
        <v>27</v>
      </c>
      <c r="AC883" t="s">
        <v>27</v>
      </c>
      <c r="AD883" t="s">
        <v>27</v>
      </c>
      <c r="AE883" t="s">
        <v>27</v>
      </c>
      <c r="AF883" t="s">
        <v>27</v>
      </c>
      <c r="AG883">
        <v>32.39</v>
      </c>
    </row>
    <row r="884" spans="1:33" x14ac:dyDescent="0.25">
      <c r="A884" t="s">
        <v>57</v>
      </c>
      <c r="B884" s="3">
        <v>44345</v>
      </c>
      <c r="C884">
        <v>2021149</v>
      </c>
      <c r="D884">
        <v>28.2</v>
      </c>
      <c r="E884" t="s">
        <v>27</v>
      </c>
      <c r="F884">
        <v>6.8</v>
      </c>
      <c r="G884">
        <v>16.600000000000001</v>
      </c>
      <c r="H884">
        <v>-3.5</v>
      </c>
      <c r="I884">
        <v>60.6</v>
      </c>
      <c r="J884">
        <v>25.6</v>
      </c>
      <c r="K884">
        <v>0.6</v>
      </c>
      <c r="L884">
        <v>3.3</v>
      </c>
      <c r="M884">
        <v>0</v>
      </c>
      <c r="N884">
        <v>0</v>
      </c>
      <c r="O884" t="s">
        <v>27</v>
      </c>
      <c r="P884" t="s">
        <v>27</v>
      </c>
      <c r="Q884" t="s">
        <v>27</v>
      </c>
      <c r="R884" t="s">
        <v>27</v>
      </c>
      <c r="S884">
        <v>10.7</v>
      </c>
      <c r="T884">
        <v>7.9</v>
      </c>
      <c r="U884">
        <v>6.3</v>
      </c>
      <c r="V884" t="s">
        <v>27</v>
      </c>
      <c r="W884">
        <v>0.48399999999999999</v>
      </c>
      <c r="X884">
        <v>1.407</v>
      </c>
      <c r="Y884" t="s">
        <v>27</v>
      </c>
      <c r="Z884" t="s">
        <v>27</v>
      </c>
      <c r="AA884" t="s">
        <v>27</v>
      </c>
      <c r="AB884" t="s">
        <v>27</v>
      </c>
      <c r="AC884" t="s">
        <v>27</v>
      </c>
      <c r="AD884" t="s">
        <v>27</v>
      </c>
      <c r="AE884" t="s">
        <v>27</v>
      </c>
      <c r="AF884" t="s">
        <v>27</v>
      </c>
      <c r="AG884">
        <v>32.479999999999997</v>
      </c>
    </row>
    <row r="885" spans="1:33" x14ac:dyDescent="0.25">
      <c r="A885" t="s">
        <v>57</v>
      </c>
      <c r="B885" s="3">
        <v>44346</v>
      </c>
      <c r="C885">
        <v>2021150</v>
      </c>
      <c r="D885">
        <v>24.16</v>
      </c>
      <c r="E885" t="s">
        <v>27</v>
      </c>
      <c r="F885">
        <v>10</v>
      </c>
      <c r="G885">
        <v>18.8</v>
      </c>
      <c r="H885">
        <v>-1.6</v>
      </c>
      <c r="I885">
        <v>55.1</v>
      </c>
      <c r="J885">
        <v>18.600000000000001</v>
      </c>
      <c r="K885">
        <v>0.9</v>
      </c>
      <c r="L885">
        <v>4.7</v>
      </c>
      <c r="M885">
        <v>0</v>
      </c>
      <c r="N885">
        <v>0</v>
      </c>
      <c r="O885" t="s">
        <v>27</v>
      </c>
      <c r="P885" t="s">
        <v>27</v>
      </c>
      <c r="Q885" t="s">
        <v>27</v>
      </c>
      <c r="R885" t="s">
        <v>27</v>
      </c>
      <c r="S885">
        <v>12.2</v>
      </c>
      <c r="T885">
        <v>9</v>
      </c>
      <c r="U885">
        <v>6.6</v>
      </c>
      <c r="V885" t="s">
        <v>27</v>
      </c>
      <c r="W885">
        <v>0.40500000000000003</v>
      </c>
      <c r="X885">
        <v>1.772</v>
      </c>
      <c r="Y885" t="s">
        <v>27</v>
      </c>
      <c r="Z885" t="s">
        <v>27</v>
      </c>
      <c r="AA885" t="s">
        <v>27</v>
      </c>
      <c r="AB885" t="s">
        <v>27</v>
      </c>
      <c r="AC885" t="s">
        <v>27</v>
      </c>
      <c r="AD885" t="s">
        <v>27</v>
      </c>
      <c r="AE885" t="s">
        <v>27</v>
      </c>
      <c r="AF885" t="s">
        <v>27</v>
      </c>
      <c r="AG885">
        <v>32.56</v>
      </c>
    </row>
    <row r="886" spans="1:33" x14ac:dyDescent="0.25">
      <c r="A886" t="s">
        <v>57</v>
      </c>
      <c r="B886" s="3">
        <v>44347</v>
      </c>
      <c r="C886">
        <v>2021151</v>
      </c>
      <c r="D886">
        <v>24.29</v>
      </c>
      <c r="E886" t="s">
        <v>27</v>
      </c>
      <c r="F886">
        <v>13.3</v>
      </c>
      <c r="G886">
        <v>22.2</v>
      </c>
      <c r="H886">
        <v>1.3</v>
      </c>
      <c r="I886">
        <v>61.3</v>
      </c>
      <c r="J886">
        <v>31.1</v>
      </c>
      <c r="K886">
        <v>0.6</v>
      </c>
      <c r="L886">
        <v>3.3</v>
      </c>
      <c r="M886">
        <v>0</v>
      </c>
      <c r="N886">
        <v>0</v>
      </c>
      <c r="O886" t="s">
        <v>27</v>
      </c>
      <c r="P886" t="s">
        <v>27</v>
      </c>
      <c r="Q886" t="s">
        <v>27</v>
      </c>
      <c r="R886" t="s">
        <v>27</v>
      </c>
      <c r="S886">
        <v>16.100000000000001</v>
      </c>
      <c r="T886">
        <v>10.4</v>
      </c>
      <c r="U886">
        <v>7.1</v>
      </c>
      <c r="V886" t="s">
        <v>27</v>
      </c>
      <c r="W886">
        <v>0.83299999999999996</v>
      </c>
      <c r="X886">
        <v>1.845</v>
      </c>
      <c r="Y886" t="s">
        <v>27</v>
      </c>
      <c r="Z886" t="s">
        <v>27</v>
      </c>
      <c r="AA886" t="s">
        <v>27</v>
      </c>
      <c r="AB886" t="s">
        <v>27</v>
      </c>
      <c r="AC886" t="s">
        <v>27</v>
      </c>
      <c r="AD886" t="s">
        <v>27</v>
      </c>
      <c r="AE886" t="s">
        <v>27</v>
      </c>
      <c r="AF886" t="s">
        <v>27</v>
      </c>
      <c r="AG886">
        <v>32.64</v>
      </c>
    </row>
    <row r="887" spans="1:33" x14ac:dyDescent="0.25">
      <c r="A887" t="s">
        <v>57</v>
      </c>
      <c r="B887" s="3">
        <v>44348</v>
      </c>
      <c r="C887">
        <v>2021152</v>
      </c>
      <c r="D887">
        <v>29.01</v>
      </c>
      <c r="E887" t="s">
        <v>27</v>
      </c>
      <c r="F887">
        <v>15.9</v>
      </c>
      <c r="G887">
        <v>25.3</v>
      </c>
      <c r="H887">
        <v>4.9000000000000004</v>
      </c>
      <c r="I887">
        <v>62.8</v>
      </c>
      <c r="J887">
        <v>29.3</v>
      </c>
      <c r="K887">
        <v>0.6</v>
      </c>
      <c r="L887">
        <v>3.1</v>
      </c>
      <c r="M887">
        <v>0</v>
      </c>
      <c r="N887">
        <v>0</v>
      </c>
      <c r="O887" t="s">
        <v>27</v>
      </c>
      <c r="P887" t="s">
        <v>27</v>
      </c>
      <c r="Q887" t="s">
        <v>27</v>
      </c>
      <c r="R887" t="s">
        <v>27</v>
      </c>
      <c r="S887">
        <v>19.7</v>
      </c>
      <c r="T887">
        <v>12.6</v>
      </c>
      <c r="U887">
        <v>7.9</v>
      </c>
      <c r="V887" t="s">
        <v>27</v>
      </c>
      <c r="W887">
        <v>0.94699999999999995</v>
      </c>
      <c r="X887">
        <v>2.2850000000000001</v>
      </c>
      <c r="Y887" t="s">
        <v>27</v>
      </c>
      <c r="Z887" t="s">
        <v>27</v>
      </c>
      <c r="AA887" t="s">
        <v>27</v>
      </c>
      <c r="AB887" t="s">
        <v>27</v>
      </c>
      <c r="AC887" t="s">
        <v>27</v>
      </c>
      <c r="AD887" t="s">
        <v>27</v>
      </c>
      <c r="AE887" t="s">
        <v>27</v>
      </c>
      <c r="AF887" t="s">
        <v>27</v>
      </c>
      <c r="AG887">
        <v>32.71</v>
      </c>
    </row>
    <row r="888" spans="1:33" x14ac:dyDescent="0.25">
      <c r="A888" t="s">
        <v>57</v>
      </c>
      <c r="B888" s="3">
        <v>44349</v>
      </c>
      <c r="C888">
        <v>2021153</v>
      </c>
      <c r="D888">
        <v>30.77</v>
      </c>
      <c r="E888" t="s">
        <v>27</v>
      </c>
      <c r="F888">
        <v>17.899999999999999</v>
      </c>
      <c r="G888">
        <v>28.2</v>
      </c>
      <c r="H888">
        <v>5.7</v>
      </c>
      <c r="I888">
        <v>53</v>
      </c>
      <c r="J888">
        <v>22.8</v>
      </c>
      <c r="K888">
        <v>0.9</v>
      </c>
      <c r="L888">
        <v>3.8</v>
      </c>
      <c r="M888">
        <v>0</v>
      </c>
      <c r="N888">
        <v>0</v>
      </c>
      <c r="O888" t="s">
        <v>27</v>
      </c>
      <c r="P888" t="s">
        <v>27</v>
      </c>
      <c r="Q888" t="s">
        <v>27</v>
      </c>
      <c r="R888" t="s">
        <v>27</v>
      </c>
      <c r="S888">
        <v>21.2</v>
      </c>
      <c r="T888">
        <v>13.7</v>
      </c>
      <c r="U888">
        <v>8.9</v>
      </c>
      <c r="V888" t="s">
        <v>27</v>
      </c>
      <c r="W888">
        <v>0.874</v>
      </c>
      <c r="X888">
        <v>2.9590000000000001</v>
      </c>
      <c r="Y888" t="s">
        <v>27</v>
      </c>
      <c r="Z888" t="s">
        <v>27</v>
      </c>
      <c r="AA888" t="s">
        <v>27</v>
      </c>
      <c r="AB888" t="s">
        <v>27</v>
      </c>
      <c r="AC888" t="s">
        <v>27</v>
      </c>
      <c r="AD888" t="s">
        <v>27</v>
      </c>
      <c r="AE888" t="s">
        <v>27</v>
      </c>
      <c r="AF888" t="s">
        <v>27</v>
      </c>
      <c r="AG888">
        <v>32.78</v>
      </c>
    </row>
    <row r="889" spans="1:33" x14ac:dyDescent="0.25">
      <c r="A889" t="s">
        <v>57</v>
      </c>
      <c r="B889" s="3">
        <v>44350</v>
      </c>
      <c r="C889">
        <v>2021154</v>
      </c>
      <c r="D889">
        <v>25.51</v>
      </c>
      <c r="E889" t="s">
        <v>27</v>
      </c>
      <c r="F889">
        <v>14.5</v>
      </c>
      <c r="G889">
        <v>23.1</v>
      </c>
      <c r="H889">
        <v>5.7</v>
      </c>
      <c r="I889">
        <v>56.6</v>
      </c>
      <c r="J889">
        <v>30.1</v>
      </c>
      <c r="K889">
        <v>1</v>
      </c>
      <c r="L889">
        <v>3.5</v>
      </c>
      <c r="M889">
        <v>0</v>
      </c>
      <c r="N889">
        <v>0</v>
      </c>
      <c r="O889" t="s">
        <v>27</v>
      </c>
      <c r="P889" t="s">
        <v>27</v>
      </c>
      <c r="Q889" t="s">
        <v>27</v>
      </c>
      <c r="R889" t="s">
        <v>27</v>
      </c>
      <c r="S889">
        <v>19.2</v>
      </c>
      <c r="T889">
        <v>13.9</v>
      </c>
      <c r="U889">
        <v>9.6999999999999993</v>
      </c>
      <c r="V889" t="s">
        <v>27</v>
      </c>
      <c r="W889">
        <v>0.84799999999999998</v>
      </c>
      <c r="X889">
        <v>1.9690000000000001</v>
      </c>
      <c r="Y889" t="s">
        <v>27</v>
      </c>
      <c r="Z889" t="s">
        <v>27</v>
      </c>
      <c r="AA889" t="s">
        <v>27</v>
      </c>
      <c r="AB889" t="s">
        <v>27</v>
      </c>
      <c r="AC889" t="s">
        <v>27</v>
      </c>
      <c r="AD889" t="s">
        <v>27</v>
      </c>
      <c r="AE889" t="s">
        <v>27</v>
      </c>
      <c r="AF889" t="s">
        <v>27</v>
      </c>
      <c r="AG889">
        <v>32.86</v>
      </c>
    </row>
    <row r="890" spans="1:33" x14ac:dyDescent="0.25">
      <c r="A890" t="s">
        <v>57</v>
      </c>
      <c r="B890" s="3">
        <v>44351</v>
      </c>
      <c r="C890">
        <v>2021155</v>
      </c>
      <c r="D890">
        <v>27.54</v>
      </c>
      <c r="E890" t="s">
        <v>27</v>
      </c>
      <c r="F890">
        <v>11.6</v>
      </c>
      <c r="G890">
        <v>18.899999999999999</v>
      </c>
      <c r="H890">
        <v>5</v>
      </c>
      <c r="I890">
        <v>50.7</v>
      </c>
      <c r="J890">
        <v>21.1</v>
      </c>
      <c r="K890">
        <v>1.5</v>
      </c>
      <c r="L890">
        <v>4.0999999999999996</v>
      </c>
      <c r="M890">
        <v>0</v>
      </c>
      <c r="N890">
        <v>0</v>
      </c>
      <c r="O890" t="s">
        <v>27</v>
      </c>
      <c r="P890" t="s">
        <v>27</v>
      </c>
      <c r="Q890" t="s">
        <v>27</v>
      </c>
      <c r="R890" t="s">
        <v>27</v>
      </c>
      <c r="S890">
        <v>17.899999999999999</v>
      </c>
      <c r="T890">
        <v>13.4</v>
      </c>
      <c r="U890">
        <v>10</v>
      </c>
      <c r="V890" t="s">
        <v>27</v>
      </c>
      <c r="W890">
        <v>0.46</v>
      </c>
      <c r="X890">
        <v>1.72</v>
      </c>
      <c r="Y890" t="s">
        <v>27</v>
      </c>
      <c r="Z890" t="s">
        <v>27</v>
      </c>
      <c r="AA890" t="s">
        <v>27</v>
      </c>
      <c r="AB890" t="s">
        <v>27</v>
      </c>
      <c r="AC890" t="s">
        <v>27</v>
      </c>
      <c r="AD890" t="s">
        <v>27</v>
      </c>
      <c r="AE890" t="s">
        <v>27</v>
      </c>
      <c r="AF890" t="s">
        <v>27</v>
      </c>
      <c r="AG890">
        <v>32.909999999999997</v>
      </c>
    </row>
    <row r="891" spans="1:33" x14ac:dyDescent="0.25">
      <c r="A891" t="s">
        <v>57</v>
      </c>
      <c r="B891" s="3">
        <v>44352</v>
      </c>
      <c r="C891">
        <v>2021156</v>
      </c>
      <c r="D891">
        <v>17.41</v>
      </c>
      <c r="E891" t="s">
        <v>27</v>
      </c>
      <c r="F891">
        <v>4.8</v>
      </c>
      <c r="G891">
        <v>8.8000000000000007</v>
      </c>
      <c r="H891">
        <v>0.8</v>
      </c>
      <c r="I891">
        <v>72.599999999999994</v>
      </c>
      <c r="J891">
        <v>51.4</v>
      </c>
      <c r="K891">
        <v>1.6</v>
      </c>
      <c r="L891">
        <v>4.7</v>
      </c>
      <c r="M891">
        <v>10.3</v>
      </c>
      <c r="N891">
        <v>0</v>
      </c>
      <c r="O891" t="s">
        <v>27</v>
      </c>
      <c r="P891" t="s">
        <v>27</v>
      </c>
      <c r="Q891" t="s">
        <v>27</v>
      </c>
      <c r="R891" t="s">
        <v>27</v>
      </c>
      <c r="S891">
        <v>9.5</v>
      </c>
      <c r="T891">
        <v>11.4</v>
      </c>
      <c r="U891">
        <v>10</v>
      </c>
      <c r="V891" t="s">
        <v>27</v>
      </c>
      <c r="W891">
        <v>0.58199999999999996</v>
      </c>
      <c r="X891">
        <v>0.55000000000000004</v>
      </c>
      <c r="Y891" t="s">
        <v>27</v>
      </c>
      <c r="Z891" t="s">
        <v>27</v>
      </c>
      <c r="AA891" t="s">
        <v>27</v>
      </c>
      <c r="AB891" t="s">
        <v>27</v>
      </c>
      <c r="AC891" t="s">
        <v>27</v>
      </c>
      <c r="AD891" t="s">
        <v>27</v>
      </c>
      <c r="AE891" t="s">
        <v>27</v>
      </c>
      <c r="AF891" t="s">
        <v>27</v>
      </c>
      <c r="AG891">
        <v>32.97</v>
      </c>
    </row>
    <row r="892" spans="1:33" x14ac:dyDescent="0.25">
      <c r="A892" t="s">
        <v>57</v>
      </c>
      <c r="B892" s="3">
        <v>44353</v>
      </c>
      <c r="C892">
        <v>2021157</v>
      </c>
      <c r="D892">
        <v>10.37</v>
      </c>
      <c r="E892" t="s">
        <v>27</v>
      </c>
      <c r="F892">
        <v>2</v>
      </c>
      <c r="G892">
        <v>6.2</v>
      </c>
      <c r="H892">
        <v>-2.4</v>
      </c>
      <c r="I892">
        <v>77.7</v>
      </c>
      <c r="J892">
        <v>54.1</v>
      </c>
      <c r="K892">
        <v>0.8</v>
      </c>
      <c r="L892">
        <v>2.9</v>
      </c>
      <c r="M892">
        <v>0.5</v>
      </c>
      <c r="N892">
        <v>0</v>
      </c>
      <c r="O892" t="s">
        <v>27</v>
      </c>
      <c r="P892" t="s">
        <v>27</v>
      </c>
      <c r="Q892" t="s">
        <v>27</v>
      </c>
      <c r="R892" t="s">
        <v>27</v>
      </c>
      <c r="S892">
        <v>5.9</v>
      </c>
      <c r="T892">
        <v>8.6</v>
      </c>
      <c r="U892">
        <v>9.3000000000000007</v>
      </c>
      <c r="V892" t="s">
        <v>27</v>
      </c>
      <c r="W892">
        <v>0.51400000000000001</v>
      </c>
      <c r="X892">
        <v>0.436</v>
      </c>
      <c r="Y892" t="s">
        <v>27</v>
      </c>
      <c r="Z892" t="s">
        <v>27</v>
      </c>
      <c r="AA892" t="s">
        <v>27</v>
      </c>
      <c r="AB892" t="s">
        <v>27</v>
      </c>
      <c r="AC892" t="s">
        <v>27</v>
      </c>
      <c r="AD892" t="s">
        <v>27</v>
      </c>
      <c r="AE892" t="s">
        <v>27</v>
      </c>
      <c r="AF892" t="s">
        <v>27</v>
      </c>
      <c r="AG892">
        <v>33.03</v>
      </c>
    </row>
    <row r="893" spans="1:33" x14ac:dyDescent="0.25">
      <c r="A893" t="s">
        <v>57</v>
      </c>
      <c r="B893" s="3">
        <v>44354</v>
      </c>
      <c r="C893">
        <v>2021158</v>
      </c>
      <c r="D893">
        <v>20</v>
      </c>
      <c r="E893" t="s">
        <v>27</v>
      </c>
      <c r="F893">
        <v>2.5</v>
      </c>
      <c r="G893">
        <v>7.6</v>
      </c>
      <c r="H893">
        <v>-2.1</v>
      </c>
      <c r="I893">
        <v>85.3</v>
      </c>
      <c r="J893">
        <v>57.5</v>
      </c>
      <c r="K893">
        <v>0.7</v>
      </c>
      <c r="L893">
        <v>2.8</v>
      </c>
      <c r="M893">
        <v>1.3</v>
      </c>
      <c r="N893">
        <v>0</v>
      </c>
      <c r="O893" t="s">
        <v>27</v>
      </c>
      <c r="P893" t="s">
        <v>27</v>
      </c>
      <c r="Q893" t="s">
        <v>27</v>
      </c>
      <c r="R893" t="s">
        <v>27</v>
      </c>
      <c r="S893">
        <v>9.5</v>
      </c>
      <c r="T893">
        <v>8.6999999999999993</v>
      </c>
      <c r="U893">
        <v>8.5</v>
      </c>
      <c r="V893" t="s">
        <v>27</v>
      </c>
      <c r="W893">
        <v>0.59799999999999998</v>
      </c>
      <c r="X893">
        <v>0.442</v>
      </c>
      <c r="Y893" t="s">
        <v>27</v>
      </c>
      <c r="Z893" t="s">
        <v>27</v>
      </c>
      <c r="AA893" t="s">
        <v>27</v>
      </c>
      <c r="AB893" t="s">
        <v>27</v>
      </c>
      <c r="AC893" t="s">
        <v>27</v>
      </c>
      <c r="AD893" t="s">
        <v>27</v>
      </c>
      <c r="AE893" t="s">
        <v>27</v>
      </c>
      <c r="AF893" t="s">
        <v>27</v>
      </c>
      <c r="AG893">
        <v>33.08</v>
      </c>
    </row>
    <row r="894" spans="1:33" x14ac:dyDescent="0.25">
      <c r="A894" t="s">
        <v>57</v>
      </c>
      <c r="B894" s="3">
        <v>44355</v>
      </c>
      <c r="C894">
        <v>2021159</v>
      </c>
      <c r="D894">
        <v>16.8</v>
      </c>
      <c r="E894" t="s">
        <v>27</v>
      </c>
      <c r="F894">
        <v>4.9000000000000004</v>
      </c>
      <c r="G894">
        <v>12.4</v>
      </c>
      <c r="H894">
        <v>-2.9</v>
      </c>
      <c r="I894">
        <v>70.2</v>
      </c>
      <c r="J894">
        <v>36.799999999999997</v>
      </c>
      <c r="K894">
        <v>0.6</v>
      </c>
      <c r="L894">
        <v>2.5</v>
      </c>
      <c r="M894">
        <v>0</v>
      </c>
      <c r="N894">
        <v>0</v>
      </c>
      <c r="O894" t="s">
        <v>27</v>
      </c>
      <c r="P894" t="s">
        <v>27</v>
      </c>
      <c r="Q894" t="s">
        <v>27</v>
      </c>
      <c r="R894" t="s">
        <v>27</v>
      </c>
      <c r="S894">
        <v>8.1</v>
      </c>
      <c r="T894">
        <v>8.4</v>
      </c>
      <c r="U894">
        <v>8.1999999999999993</v>
      </c>
      <c r="V894" t="s">
        <v>27</v>
      </c>
      <c r="W894">
        <v>0.52900000000000003</v>
      </c>
      <c r="X894">
        <v>0.90900000000000003</v>
      </c>
      <c r="Y894" t="s">
        <v>27</v>
      </c>
      <c r="Z894" t="s">
        <v>27</v>
      </c>
      <c r="AA894" t="s">
        <v>27</v>
      </c>
      <c r="AB894" t="s">
        <v>27</v>
      </c>
      <c r="AC894" t="s">
        <v>27</v>
      </c>
      <c r="AD894" t="s">
        <v>27</v>
      </c>
      <c r="AE894" t="s">
        <v>27</v>
      </c>
      <c r="AF894" t="s">
        <v>27</v>
      </c>
      <c r="AG894">
        <v>33.130000000000003</v>
      </c>
    </row>
    <row r="895" spans="1:33" x14ac:dyDescent="0.25">
      <c r="A895" t="s">
        <v>57</v>
      </c>
      <c r="B895" s="3">
        <v>44356</v>
      </c>
      <c r="C895">
        <v>2021160</v>
      </c>
      <c r="D895">
        <v>25.28</v>
      </c>
      <c r="E895" t="s">
        <v>27</v>
      </c>
      <c r="F895">
        <v>5.7</v>
      </c>
      <c r="G895">
        <v>12.1</v>
      </c>
      <c r="H895">
        <v>-1.6</v>
      </c>
      <c r="I895">
        <v>71.099999999999994</v>
      </c>
      <c r="J895">
        <v>40.700000000000003</v>
      </c>
      <c r="K895">
        <v>1</v>
      </c>
      <c r="L895">
        <v>3.9</v>
      </c>
      <c r="M895">
        <v>0</v>
      </c>
      <c r="N895">
        <v>0</v>
      </c>
      <c r="O895" t="s">
        <v>27</v>
      </c>
      <c r="P895" t="s">
        <v>27</v>
      </c>
      <c r="Q895" t="s">
        <v>27</v>
      </c>
      <c r="R895" t="s">
        <v>27</v>
      </c>
      <c r="S895">
        <v>11</v>
      </c>
      <c r="T895">
        <v>9</v>
      </c>
      <c r="U895">
        <v>8</v>
      </c>
      <c r="V895" t="s">
        <v>27</v>
      </c>
      <c r="W895">
        <v>0.57299999999999995</v>
      </c>
      <c r="X895">
        <v>0.83499999999999996</v>
      </c>
      <c r="Y895" t="s">
        <v>27</v>
      </c>
      <c r="Z895" t="s">
        <v>27</v>
      </c>
      <c r="AA895" t="s">
        <v>27</v>
      </c>
      <c r="AB895" t="s">
        <v>27</v>
      </c>
      <c r="AC895" t="s">
        <v>27</v>
      </c>
      <c r="AD895" t="s">
        <v>27</v>
      </c>
      <c r="AE895" t="s">
        <v>27</v>
      </c>
      <c r="AF895" t="s">
        <v>27</v>
      </c>
      <c r="AG895">
        <v>33.159999999999997</v>
      </c>
    </row>
    <row r="896" spans="1:33" x14ac:dyDescent="0.25">
      <c r="A896" t="s">
        <v>57</v>
      </c>
      <c r="B896" s="3">
        <v>44357</v>
      </c>
      <c r="C896">
        <v>2021161</v>
      </c>
      <c r="D896">
        <v>26.29</v>
      </c>
      <c r="E896" t="s">
        <v>27</v>
      </c>
      <c r="F896">
        <v>4.8</v>
      </c>
      <c r="G896">
        <v>11.5</v>
      </c>
      <c r="H896">
        <v>-2.6</v>
      </c>
      <c r="I896">
        <v>57.9</v>
      </c>
      <c r="J896">
        <v>29.3</v>
      </c>
      <c r="K896">
        <v>1.2</v>
      </c>
      <c r="L896">
        <v>4.3</v>
      </c>
      <c r="M896">
        <v>0</v>
      </c>
      <c r="N896">
        <v>0</v>
      </c>
      <c r="O896" t="s">
        <v>27</v>
      </c>
      <c r="P896" t="s">
        <v>27</v>
      </c>
      <c r="Q896" t="s">
        <v>27</v>
      </c>
      <c r="R896" t="s">
        <v>27</v>
      </c>
      <c r="S896">
        <v>10.7</v>
      </c>
      <c r="T896">
        <v>9.5</v>
      </c>
      <c r="U896">
        <v>8.1999999999999993</v>
      </c>
      <c r="V896" t="s">
        <v>27</v>
      </c>
      <c r="W896">
        <v>0.39800000000000002</v>
      </c>
      <c r="X896">
        <v>0.96</v>
      </c>
      <c r="Y896" t="s">
        <v>27</v>
      </c>
      <c r="Z896" t="s">
        <v>27</v>
      </c>
      <c r="AA896" t="s">
        <v>27</v>
      </c>
      <c r="AB896" t="s">
        <v>27</v>
      </c>
      <c r="AC896" t="s">
        <v>27</v>
      </c>
      <c r="AD896" t="s">
        <v>27</v>
      </c>
      <c r="AE896" t="s">
        <v>27</v>
      </c>
      <c r="AF896" t="s">
        <v>27</v>
      </c>
      <c r="AG896">
        <v>33.200000000000003</v>
      </c>
    </row>
    <row r="897" spans="1:33" x14ac:dyDescent="0.25">
      <c r="A897" t="s">
        <v>57</v>
      </c>
      <c r="B897" s="3">
        <v>44358</v>
      </c>
      <c r="C897">
        <v>2021162</v>
      </c>
      <c r="D897">
        <v>4.8499999999999996</v>
      </c>
      <c r="E897" t="s">
        <v>27</v>
      </c>
      <c r="F897">
        <v>3.5</v>
      </c>
      <c r="G897">
        <v>8.3000000000000007</v>
      </c>
      <c r="H897">
        <v>-2.2999999999999998</v>
      </c>
      <c r="I897">
        <v>83.5</v>
      </c>
      <c r="J897">
        <v>57.5</v>
      </c>
      <c r="K897">
        <v>0.6</v>
      </c>
      <c r="L897">
        <v>3</v>
      </c>
      <c r="M897">
        <v>1.7</v>
      </c>
      <c r="N897">
        <v>0</v>
      </c>
      <c r="O897" t="s">
        <v>27</v>
      </c>
      <c r="P897" t="s">
        <v>27</v>
      </c>
      <c r="Q897" t="s">
        <v>27</v>
      </c>
      <c r="R897" t="s">
        <v>27</v>
      </c>
      <c r="S897">
        <v>7.1</v>
      </c>
      <c r="T897">
        <v>8.1999999999999993</v>
      </c>
      <c r="U897">
        <v>8.1999999999999993</v>
      </c>
      <c r="V897">
        <v>9.6000000000000002E-2</v>
      </c>
      <c r="W897">
        <v>0.629</v>
      </c>
      <c r="X897">
        <v>0.46500000000000002</v>
      </c>
      <c r="Y897" t="s">
        <v>27</v>
      </c>
      <c r="Z897" t="s">
        <v>27</v>
      </c>
      <c r="AA897" t="s">
        <v>27</v>
      </c>
      <c r="AB897" t="s">
        <v>27</v>
      </c>
      <c r="AC897" t="s">
        <v>27</v>
      </c>
      <c r="AD897" t="s">
        <v>27</v>
      </c>
      <c r="AE897" t="s">
        <v>27</v>
      </c>
      <c r="AF897" t="s">
        <v>27</v>
      </c>
      <c r="AG897">
        <v>33.229999999999997</v>
      </c>
    </row>
    <row r="898" spans="1:33" x14ac:dyDescent="0.25">
      <c r="A898" t="s">
        <v>57</v>
      </c>
      <c r="B898" s="3">
        <v>44359</v>
      </c>
      <c r="C898">
        <v>2021163</v>
      </c>
      <c r="D898" t="s">
        <v>27</v>
      </c>
      <c r="E898" t="s">
        <v>27</v>
      </c>
      <c r="F898">
        <v>9</v>
      </c>
      <c r="G898">
        <v>17</v>
      </c>
      <c r="H898">
        <v>-1</v>
      </c>
      <c r="I898">
        <v>63.2</v>
      </c>
      <c r="J898">
        <v>29.7</v>
      </c>
      <c r="K898">
        <v>1.3</v>
      </c>
      <c r="L898">
        <v>3.9</v>
      </c>
      <c r="M898">
        <v>0.1</v>
      </c>
      <c r="N898">
        <v>0</v>
      </c>
      <c r="O898" t="s">
        <v>27</v>
      </c>
      <c r="P898" t="s">
        <v>27</v>
      </c>
      <c r="Q898" t="s">
        <v>27</v>
      </c>
      <c r="R898" t="s">
        <v>27</v>
      </c>
      <c r="S898">
        <v>13</v>
      </c>
      <c r="T898">
        <v>9.1</v>
      </c>
      <c r="U898">
        <v>7.9</v>
      </c>
      <c r="V898">
        <v>0.1</v>
      </c>
      <c r="W898">
        <v>0.57499999999999996</v>
      </c>
      <c r="X898">
        <v>1.361</v>
      </c>
      <c r="Y898" t="s">
        <v>27</v>
      </c>
      <c r="Z898" t="s">
        <v>27</v>
      </c>
      <c r="AA898" t="s">
        <v>27</v>
      </c>
      <c r="AB898" t="s">
        <v>27</v>
      </c>
      <c r="AC898" t="s">
        <v>27</v>
      </c>
      <c r="AD898" t="s">
        <v>27</v>
      </c>
      <c r="AE898" t="s">
        <v>27</v>
      </c>
      <c r="AF898" t="s">
        <v>27</v>
      </c>
      <c r="AG898">
        <v>33.26</v>
      </c>
    </row>
    <row r="899" spans="1:33" x14ac:dyDescent="0.25">
      <c r="A899" t="s">
        <v>57</v>
      </c>
      <c r="B899" s="3">
        <v>44360</v>
      </c>
      <c r="C899">
        <v>2021164</v>
      </c>
      <c r="D899" t="s">
        <v>27</v>
      </c>
      <c r="E899" t="s">
        <v>27</v>
      </c>
      <c r="F899">
        <v>11.2</v>
      </c>
      <c r="G899">
        <v>14</v>
      </c>
      <c r="H899">
        <v>8.6</v>
      </c>
      <c r="I899">
        <v>79.099999999999994</v>
      </c>
      <c r="J899">
        <v>57.7</v>
      </c>
      <c r="K899">
        <v>1.1000000000000001</v>
      </c>
      <c r="L899">
        <v>3.1</v>
      </c>
      <c r="M899">
        <v>13.2</v>
      </c>
      <c r="N899">
        <v>0</v>
      </c>
      <c r="O899" t="s">
        <v>27</v>
      </c>
      <c r="P899" t="s">
        <v>27</v>
      </c>
      <c r="Q899" t="s">
        <v>27</v>
      </c>
      <c r="R899" t="s">
        <v>27</v>
      </c>
      <c r="S899">
        <v>12</v>
      </c>
      <c r="T899">
        <v>10.199999999999999</v>
      </c>
      <c r="U899">
        <v>8.4</v>
      </c>
      <c r="V899">
        <v>0.11700000000000001</v>
      </c>
      <c r="W899">
        <v>0.92400000000000004</v>
      </c>
      <c r="X899">
        <v>0.67700000000000005</v>
      </c>
      <c r="Y899" t="s">
        <v>27</v>
      </c>
      <c r="Z899" t="s">
        <v>27</v>
      </c>
      <c r="AA899" t="s">
        <v>27</v>
      </c>
      <c r="AB899" t="s">
        <v>27</v>
      </c>
      <c r="AC899" t="s">
        <v>27</v>
      </c>
      <c r="AD899" t="s">
        <v>27</v>
      </c>
      <c r="AE899" t="s">
        <v>27</v>
      </c>
      <c r="AF899" t="s">
        <v>27</v>
      </c>
      <c r="AG899">
        <v>33.29</v>
      </c>
    </row>
    <row r="900" spans="1:33" x14ac:dyDescent="0.25">
      <c r="A900" t="s">
        <v>57</v>
      </c>
      <c r="B900" s="3">
        <v>44361</v>
      </c>
      <c r="C900">
        <v>2021165</v>
      </c>
      <c r="D900" t="s">
        <v>27</v>
      </c>
      <c r="E900" t="s">
        <v>27</v>
      </c>
      <c r="F900">
        <v>11</v>
      </c>
      <c r="G900">
        <v>16.600000000000001</v>
      </c>
      <c r="H900">
        <v>6.6</v>
      </c>
      <c r="I900">
        <v>84.9</v>
      </c>
      <c r="J900">
        <v>55.4</v>
      </c>
      <c r="K900">
        <v>0.6</v>
      </c>
      <c r="L900">
        <v>2.7</v>
      </c>
      <c r="M900">
        <v>2.2000000000000002</v>
      </c>
      <c r="N900">
        <v>0</v>
      </c>
      <c r="O900" t="s">
        <v>27</v>
      </c>
      <c r="P900" t="s">
        <v>27</v>
      </c>
      <c r="Q900" t="s">
        <v>27</v>
      </c>
      <c r="R900" t="s">
        <v>27</v>
      </c>
      <c r="S900">
        <v>13</v>
      </c>
      <c r="T900">
        <v>10.5</v>
      </c>
      <c r="U900">
        <v>8.6</v>
      </c>
      <c r="V900">
        <v>0.17</v>
      </c>
      <c r="W900">
        <v>1.044</v>
      </c>
      <c r="X900">
        <v>0.84</v>
      </c>
      <c r="Y900" t="s">
        <v>27</v>
      </c>
      <c r="Z900" t="s">
        <v>27</v>
      </c>
      <c r="AA900" t="s">
        <v>27</v>
      </c>
      <c r="AB900" t="s">
        <v>27</v>
      </c>
      <c r="AC900" t="s">
        <v>27</v>
      </c>
      <c r="AD900" t="s">
        <v>27</v>
      </c>
      <c r="AE900" t="s">
        <v>27</v>
      </c>
      <c r="AF900" t="s">
        <v>27</v>
      </c>
      <c r="AG900">
        <v>33.31</v>
      </c>
    </row>
    <row r="901" spans="1:33" x14ac:dyDescent="0.25">
      <c r="A901" t="s">
        <v>57</v>
      </c>
      <c r="B901" s="3">
        <v>44362</v>
      </c>
      <c r="C901">
        <v>2021166</v>
      </c>
      <c r="D901" t="s">
        <v>27</v>
      </c>
      <c r="E901" t="s">
        <v>27</v>
      </c>
      <c r="F901">
        <v>7.9</v>
      </c>
      <c r="G901">
        <v>12.1</v>
      </c>
      <c r="H901">
        <v>4.9000000000000004</v>
      </c>
      <c r="I901">
        <v>76.2</v>
      </c>
      <c r="J901">
        <v>55.1</v>
      </c>
      <c r="K901">
        <v>1.3</v>
      </c>
      <c r="L901">
        <v>4.4000000000000004</v>
      </c>
      <c r="M901">
        <v>2</v>
      </c>
      <c r="N901">
        <v>0</v>
      </c>
      <c r="O901" t="s">
        <v>27</v>
      </c>
      <c r="P901" t="s">
        <v>27</v>
      </c>
      <c r="Q901" t="s">
        <v>27</v>
      </c>
      <c r="R901" t="s">
        <v>27</v>
      </c>
      <c r="S901">
        <v>11</v>
      </c>
      <c r="T901">
        <v>10.4</v>
      </c>
      <c r="U901">
        <v>8.9</v>
      </c>
      <c r="V901">
        <v>0.14199999999999999</v>
      </c>
      <c r="W901">
        <v>0.77900000000000003</v>
      </c>
      <c r="X901">
        <v>0.63500000000000001</v>
      </c>
      <c r="Y901" t="s">
        <v>27</v>
      </c>
      <c r="Z901" t="s">
        <v>27</v>
      </c>
      <c r="AA901" t="s">
        <v>27</v>
      </c>
      <c r="AB901" t="s">
        <v>27</v>
      </c>
      <c r="AC901" t="s">
        <v>27</v>
      </c>
      <c r="AD901" t="s">
        <v>27</v>
      </c>
      <c r="AE901" t="s">
        <v>27</v>
      </c>
      <c r="AF901" t="s">
        <v>27</v>
      </c>
      <c r="AG901">
        <v>33.32</v>
      </c>
    </row>
    <row r="902" spans="1:33" x14ac:dyDescent="0.25">
      <c r="A902" t="s">
        <v>57</v>
      </c>
      <c r="B902" s="3">
        <v>44363</v>
      </c>
      <c r="C902">
        <v>2021167</v>
      </c>
      <c r="D902" t="s">
        <v>27</v>
      </c>
      <c r="E902" t="s">
        <v>27</v>
      </c>
      <c r="F902">
        <v>8.6</v>
      </c>
      <c r="G902">
        <v>16</v>
      </c>
      <c r="H902">
        <v>1.2</v>
      </c>
      <c r="I902">
        <v>62.6</v>
      </c>
      <c r="J902">
        <v>30.3</v>
      </c>
      <c r="K902">
        <v>1.3</v>
      </c>
      <c r="L902">
        <v>3.9</v>
      </c>
      <c r="M902">
        <v>0</v>
      </c>
      <c r="N902">
        <v>0</v>
      </c>
      <c r="O902" t="s">
        <v>27</v>
      </c>
      <c r="P902" t="s">
        <v>27</v>
      </c>
      <c r="Q902" t="s">
        <v>27</v>
      </c>
      <c r="R902" t="s">
        <v>27</v>
      </c>
      <c r="S902">
        <v>12.9</v>
      </c>
      <c r="T902">
        <v>10.199999999999999</v>
      </c>
      <c r="U902">
        <v>8.8000000000000007</v>
      </c>
      <c r="V902">
        <v>0.13300000000000001</v>
      </c>
      <c r="W902">
        <v>0.55100000000000005</v>
      </c>
      <c r="X902">
        <v>1.2669999999999999</v>
      </c>
      <c r="Y902" t="s">
        <v>27</v>
      </c>
      <c r="Z902" t="s">
        <v>27</v>
      </c>
      <c r="AA902" t="s">
        <v>27</v>
      </c>
      <c r="AB902" t="s">
        <v>27</v>
      </c>
      <c r="AC902" t="s">
        <v>27</v>
      </c>
      <c r="AD902" t="s">
        <v>27</v>
      </c>
      <c r="AE902" t="s">
        <v>27</v>
      </c>
      <c r="AF902" t="s">
        <v>27</v>
      </c>
      <c r="AG902">
        <v>33.33</v>
      </c>
    </row>
    <row r="903" spans="1:33" x14ac:dyDescent="0.25">
      <c r="A903" t="s">
        <v>57</v>
      </c>
      <c r="B903" s="3">
        <v>44364</v>
      </c>
      <c r="C903">
        <v>2021168</v>
      </c>
      <c r="D903" t="s">
        <v>27</v>
      </c>
      <c r="E903" t="s">
        <v>27</v>
      </c>
      <c r="F903">
        <v>10.1</v>
      </c>
      <c r="G903">
        <v>20.100000000000001</v>
      </c>
      <c r="H903">
        <v>-1.1000000000000001</v>
      </c>
      <c r="I903">
        <v>55.2</v>
      </c>
      <c r="J903">
        <v>14.3</v>
      </c>
      <c r="K903">
        <v>0.8</v>
      </c>
      <c r="L903">
        <v>3.7</v>
      </c>
      <c r="M903">
        <v>0</v>
      </c>
      <c r="N903">
        <v>0</v>
      </c>
      <c r="O903" t="s">
        <v>27</v>
      </c>
      <c r="P903" t="s">
        <v>27</v>
      </c>
      <c r="Q903" t="s">
        <v>27</v>
      </c>
      <c r="R903" t="s">
        <v>27</v>
      </c>
      <c r="S903">
        <v>14.9</v>
      </c>
      <c r="T903">
        <v>11.2</v>
      </c>
      <c r="U903">
        <v>9</v>
      </c>
      <c r="V903">
        <v>0.124</v>
      </c>
      <c r="W903">
        <v>0.33600000000000002</v>
      </c>
      <c r="X903">
        <v>2.0139999999999998</v>
      </c>
      <c r="Y903" t="s">
        <v>27</v>
      </c>
      <c r="Z903" t="s">
        <v>27</v>
      </c>
      <c r="AA903" t="s">
        <v>27</v>
      </c>
      <c r="AB903" t="s">
        <v>27</v>
      </c>
      <c r="AC903" t="s">
        <v>27</v>
      </c>
      <c r="AD903" t="s">
        <v>27</v>
      </c>
      <c r="AE903" t="s">
        <v>27</v>
      </c>
      <c r="AF903" t="s">
        <v>27</v>
      </c>
      <c r="AG903">
        <v>33.340000000000003</v>
      </c>
    </row>
    <row r="904" spans="1:33" x14ac:dyDescent="0.25">
      <c r="A904" t="s">
        <v>57</v>
      </c>
      <c r="B904" s="3">
        <v>44365</v>
      </c>
      <c r="C904">
        <v>2021169</v>
      </c>
      <c r="D904" t="s">
        <v>27</v>
      </c>
      <c r="E904" t="s">
        <v>27</v>
      </c>
      <c r="F904">
        <v>13.5</v>
      </c>
      <c r="G904">
        <v>22.5</v>
      </c>
      <c r="H904">
        <v>1.6</v>
      </c>
      <c r="I904">
        <v>50.8</v>
      </c>
      <c r="J904">
        <v>24.5</v>
      </c>
      <c r="K904">
        <v>0.9</v>
      </c>
      <c r="L904">
        <v>3</v>
      </c>
      <c r="M904">
        <v>0</v>
      </c>
      <c r="N904">
        <v>0</v>
      </c>
      <c r="O904" t="s">
        <v>27</v>
      </c>
      <c r="P904" t="s">
        <v>27</v>
      </c>
      <c r="Q904" t="s">
        <v>27</v>
      </c>
      <c r="R904" t="s">
        <v>27</v>
      </c>
      <c r="S904">
        <v>16.7</v>
      </c>
      <c r="T904">
        <v>12.1</v>
      </c>
      <c r="U904">
        <v>9.4</v>
      </c>
      <c r="V904">
        <v>0.11700000000000001</v>
      </c>
      <c r="W904">
        <v>0.66700000000000004</v>
      </c>
      <c r="X904">
        <v>2.0550000000000002</v>
      </c>
      <c r="Y904" t="s">
        <v>27</v>
      </c>
      <c r="Z904" t="s">
        <v>27</v>
      </c>
      <c r="AA904" t="s">
        <v>27</v>
      </c>
      <c r="AB904" t="s">
        <v>27</v>
      </c>
      <c r="AC904" t="s">
        <v>27</v>
      </c>
      <c r="AD904" t="s">
        <v>27</v>
      </c>
      <c r="AE904" t="s">
        <v>27</v>
      </c>
      <c r="AF904" t="s">
        <v>27</v>
      </c>
      <c r="AG904">
        <v>33.35</v>
      </c>
    </row>
    <row r="905" spans="1:33" x14ac:dyDescent="0.25">
      <c r="A905" t="s">
        <v>57</v>
      </c>
      <c r="B905" s="3">
        <v>44366</v>
      </c>
      <c r="C905">
        <v>2021170</v>
      </c>
      <c r="D905" t="s">
        <v>27</v>
      </c>
      <c r="E905" t="s">
        <v>27</v>
      </c>
      <c r="F905">
        <v>10.6</v>
      </c>
      <c r="G905">
        <v>15.8</v>
      </c>
      <c r="H905">
        <v>3</v>
      </c>
      <c r="I905">
        <v>68.599999999999994</v>
      </c>
      <c r="J905">
        <v>44.8</v>
      </c>
      <c r="K905">
        <v>1.3</v>
      </c>
      <c r="L905">
        <v>4.2</v>
      </c>
      <c r="M905">
        <v>3.9</v>
      </c>
      <c r="N905">
        <v>0</v>
      </c>
      <c r="O905" t="s">
        <v>27</v>
      </c>
      <c r="P905" t="s">
        <v>27</v>
      </c>
      <c r="Q905" t="s">
        <v>27</v>
      </c>
      <c r="R905" t="s">
        <v>27</v>
      </c>
      <c r="S905">
        <v>14.6</v>
      </c>
      <c r="T905">
        <v>12.2</v>
      </c>
      <c r="U905">
        <v>9.9</v>
      </c>
      <c r="V905">
        <v>0.111</v>
      </c>
      <c r="W905">
        <v>0.80500000000000005</v>
      </c>
      <c r="X905">
        <v>0.99199999999999999</v>
      </c>
      <c r="Y905" t="s">
        <v>27</v>
      </c>
      <c r="Z905" t="s">
        <v>27</v>
      </c>
      <c r="AA905" t="s">
        <v>27</v>
      </c>
      <c r="AB905" t="s">
        <v>27</v>
      </c>
      <c r="AC905" t="s">
        <v>27</v>
      </c>
      <c r="AD905" t="s">
        <v>27</v>
      </c>
      <c r="AE905" t="s">
        <v>27</v>
      </c>
      <c r="AF905" t="s">
        <v>27</v>
      </c>
      <c r="AG905">
        <v>33.35</v>
      </c>
    </row>
    <row r="906" spans="1:33" x14ac:dyDescent="0.25">
      <c r="A906" t="s">
        <v>57</v>
      </c>
      <c r="B906" s="3">
        <v>44367</v>
      </c>
      <c r="C906">
        <v>2021171</v>
      </c>
      <c r="D906" t="s">
        <v>27</v>
      </c>
      <c r="E906" t="s">
        <v>27</v>
      </c>
      <c r="F906">
        <v>13.1</v>
      </c>
      <c r="G906">
        <v>22.6</v>
      </c>
      <c r="H906">
        <v>5.9</v>
      </c>
      <c r="I906">
        <v>71.5</v>
      </c>
      <c r="J906">
        <v>34.200000000000003</v>
      </c>
      <c r="K906">
        <v>1</v>
      </c>
      <c r="L906">
        <v>3.2</v>
      </c>
      <c r="M906">
        <v>0.1</v>
      </c>
      <c r="N906">
        <v>0</v>
      </c>
      <c r="O906" t="s">
        <v>27</v>
      </c>
      <c r="P906" t="s">
        <v>27</v>
      </c>
      <c r="Q906" t="s">
        <v>27</v>
      </c>
      <c r="R906" t="s">
        <v>27</v>
      </c>
      <c r="S906">
        <v>17.8</v>
      </c>
      <c r="T906">
        <v>13</v>
      </c>
      <c r="U906">
        <v>10.1</v>
      </c>
      <c r="V906">
        <v>0.11700000000000001</v>
      </c>
      <c r="W906">
        <v>0.93500000000000005</v>
      </c>
      <c r="X906">
        <v>1.7989999999999999</v>
      </c>
      <c r="Y906" t="s">
        <v>27</v>
      </c>
      <c r="Z906" t="s">
        <v>27</v>
      </c>
      <c r="AA906" t="s">
        <v>27</v>
      </c>
      <c r="AB906" t="s">
        <v>27</v>
      </c>
      <c r="AC906" t="s">
        <v>27</v>
      </c>
      <c r="AD906" t="s">
        <v>27</v>
      </c>
      <c r="AE906" t="s">
        <v>27</v>
      </c>
      <c r="AF906" t="s">
        <v>27</v>
      </c>
      <c r="AG906">
        <v>33.340000000000003</v>
      </c>
    </row>
    <row r="907" spans="1:33" x14ac:dyDescent="0.25">
      <c r="A907" t="s">
        <v>57</v>
      </c>
      <c r="B907" s="3">
        <v>44368</v>
      </c>
      <c r="C907">
        <v>2021172</v>
      </c>
      <c r="D907" t="s">
        <v>27</v>
      </c>
      <c r="E907" t="s">
        <v>27</v>
      </c>
      <c r="F907">
        <v>16.2</v>
      </c>
      <c r="G907">
        <v>25.8</v>
      </c>
      <c r="H907">
        <v>5</v>
      </c>
      <c r="I907">
        <v>60.6</v>
      </c>
      <c r="J907">
        <v>26.7</v>
      </c>
      <c r="K907">
        <v>0.8</v>
      </c>
      <c r="L907">
        <v>2.8</v>
      </c>
      <c r="M907">
        <v>0</v>
      </c>
      <c r="N907">
        <v>0</v>
      </c>
      <c r="O907" t="s">
        <v>27</v>
      </c>
      <c r="P907" t="s">
        <v>27</v>
      </c>
      <c r="Q907" t="s">
        <v>27</v>
      </c>
      <c r="R907" t="s">
        <v>27</v>
      </c>
      <c r="S907">
        <v>19.600000000000001</v>
      </c>
      <c r="T907">
        <v>14.2</v>
      </c>
      <c r="U907">
        <v>10.7</v>
      </c>
      <c r="V907">
        <v>0.108</v>
      </c>
      <c r="W907">
        <v>0.88600000000000001</v>
      </c>
      <c r="X907">
        <v>2.4319999999999999</v>
      </c>
      <c r="Y907" t="s">
        <v>27</v>
      </c>
      <c r="Z907" t="s">
        <v>27</v>
      </c>
      <c r="AA907" t="s">
        <v>27</v>
      </c>
      <c r="AB907" t="s">
        <v>27</v>
      </c>
      <c r="AC907" t="s">
        <v>27</v>
      </c>
      <c r="AD907" t="s">
        <v>27</v>
      </c>
      <c r="AE907" t="s">
        <v>27</v>
      </c>
      <c r="AF907" t="s">
        <v>27</v>
      </c>
      <c r="AG907">
        <v>33.33</v>
      </c>
    </row>
    <row r="908" spans="1:33" x14ac:dyDescent="0.25">
      <c r="A908" t="s">
        <v>57</v>
      </c>
      <c r="B908" s="3">
        <v>44369</v>
      </c>
      <c r="C908">
        <v>2021173</v>
      </c>
      <c r="D908" t="s">
        <v>27</v>
      </c>
      <c r="E908" t="s">
        <v>27</v>
      </c>
      <c r="F908">
        <v>16.8</v>
      </c>
      <c r="G908">
        <v>25</v>
      </c>
      <c r="H908">
        <v>6.8</v>
      </c>
      <c r="I908">
        <v>47.8</v>
      </c>
      <c r="J908">
        <v>21.2</v>
      </c>
      <c r="K908">
        <v>1.3</v>
      </c>
      <c r="L908">
        <v>4.3</v>
      </c>
      <c r="M908">
        <v>0</v>
      </c>
      <c r="N908">
        <v>0</v>
      </c>
      <c r="O908" t="s">
        <v>27</v>
      </c>
      <c r="P908" t="s">
        <v>27</v>
      </c>
      <c r="Q908" t="s">
        <v>27</v>
      </c>
      <c r="R908" t="s">
        <v>27</v>
      </c>
      <c r="S908">
        <v>20.9</v>
      </c>
      <c r="T908">
        <v>15</v>
      </c>
      <c r="U908">
        <v>11.3</v>
      </c>
      <c r="V908">
        <v>0.1</v>
      </c>
      <c r="W908">
        <v>0.67300000000000004</v>
      </c>
      <c r="X908">
        <v>2.5019999999999998</v>
      </c>
      <c r="Y908" t="s">
        <v>27</v>
      </c>
      <c r="Z908" t="s">
        <v>27</v>
      </c>
      <c r="AA908" t="s">
        <v>27</v>
      </c>
      <c r="AB908" t="s">
        <v>27</v>
      </c>
      <c r="AC908" t="s">
        <v>27</v>
      </c>
      <c r="AD908" t="s">
        <v>27</v>
      </c>
      <c r="AE908" t="s">
        <v>27</v>
      </c>
      <c r="AF908" t="s">
        <v>27</v>
      </c>
      <c r="AG908">
        <v>33.32</v>
      </c>
    </row>
    <row r="909" spans="1:33" x14ac:dyDescent="0.25">
      <c r="A909" t="s">
        <v>57</v>
      </c>
      <c r="B909" s="3">
        <v>44370</v>
      </c>
      <c r="C909">
        <v>2021174</v>
      </c>
      <c r="D909" t="s">
        <v>27</v>
      </c>
      <c r="E909" t="s">
        <v>27</v>
      </c>
      <c r="F909">
        <v>16.5</v>
      </c>
      <c r="G909">
        <v>26.9</v>
      </c>
      <c r="H909">
        <v>4.2</v>
      </c>
      <c r="I909">
        <v>53.2</v>
      </c>
      <c r="J909">
        <v>24.4</v>
      </c>
      <c r="K909">
        <v>0.9</v>
      </c>
      <c r="L909">
        <v>2.9</v>
      </c>
      <c r="M909">
        <v>0</v>
      </c>
      <c r="N909">
        <v>0</v>
      </c>
      <c r="O909" t="s">
        <v>27</v>
      </c>
      <c r="P909" t="s">
        <v>27</v>
      </c>
      <c r="Q909" t="s">
        <v>27</v>
      </c>
      <c r="R909" t="s">
        <v>27</v>
      </c>
      <c r="S909">
        <v>20.3</v>
      </c>
      <c r="T909">
        <v>15.1</v>
      </c>
      <c r="U909">
        <v>11.7</v>
      </c>
      <c r="V909">
        <v>9.2999999999999999E-2</v>
      </c>
      <c r="W909">
        <v>0.86299999999999999</v>
      </c>
      <c r="X909">
        <v>2.6739999999999999</v>
      </c>
      <c r="Y909" t="s">
        <v>27</v>
      </c>
      <c r="Z909" t="s">
        <v>27</v>
      </c>
      <c r="AA909" t="s">
        <v>27</v>
      </c>
      <c r="AB909" t="s">
        <v>27</v>
      </c>
      <c r="AC909" t="s">
        <v>27</v>
      </c>
      <c r="AD909" t="s">
        <v>27</v>
      </c>
      <c r="AE909" t="s">
        <v>27</v>
      </c>
      <c r="AF909" t="s">
        <v>27</v>
      </c>
      <c r="AG909">
        <v>33.299999999999997</v>
      </c>
    </row>
    <row r="910" spans="1:33" x14ac:dyDescent="0.25">
      <c r="A910" t="s">
        <v>57</v>
      </c>
      <c r="B910" s="3">
        <v>44371</v>
      </c>
      <c r="C910">
        <v>2021175</v>
      </c>
      <c r="D910" t="s">
        <v>27</v>
      </c>
      <c r="E910" t="s">
        <v>27</v>
      </c>
      <c r="F910">
        <v>16.100000000000001</v>
      </c>
      <c r="G910">
        <v>20.9</v>
      </c>
      <c r="H910">
        <v>11.3</v>
      </c>
      <c r="I910">
        <v>59.7</v>
      </c>
      <c r="J910">
        <v>41.9</v>
      </c>
      <c r="K910">
        <v>1.3</v>
      </c>
      <c r="L910">
        <v>3</v>
      </c>
      <c r="M910">
        <v>0</v>
      </c>
      <c r="N910">
        <v>0</v>
      </c>
      <c r="O910" t="s">
        <v>27</v>
      </c>
      <c r="P910" t="s">
        <v>27</v>
      </c>
      <c r="Q910" t="s">
        <v>27</v>
      </c>
      <c r="R910" t="s">
        <v>27</v>
      </c>
      <c r="S910">
        <v>21.3</v>
      </c>
      <c r="T910">
        <v>15.6</v>
      </c>
      <c r="U910">
        <v>12.1</v>
      </c>
      <c r="V910">
        <v>8.6999999999999994E-2</v>
      </c>
      <c r="W910">
        <v>1.0369999999999999</v>
      </c>
      <c r="X910">
        <v>1.4379999999999999</v>
      </c>
      <c r="Y910" t="s">
        <v>27</v>
      </c>
      <c r="Z910" t="s">
        <v>27</v>
      </c>
      <c r="AA910" t="s">
        <v>27</v>
      </c>
      <c r="AB910" t="s">
        <v>27</v>
      </c>
      <c r="AC910" t="s">
        <v>27</v>
      </c>
      <c r="AD910" t="s">
        <v>27</v>
      </c>
      <c r="AE910" t="s">
        <v>27</v>
      </c>
      <c r="AF910" t="s">
        <v>27</v>
      </c>
      <c r="AG910">
        <v>33.270000000000003</v>
      </c>
    </row>
    <row r="911" spans="1:33" x14ac:dyDescent="0.25">
      <c r="A911" t="s">
        <v>57</v>
      </c>
      <c r="B911" s="3">
        <v>44372</v>
      </c>
      <c r="C911">
        <v>2021176</v>
      </c>
      <c r="D911" t="s">
        <v>27</v>
      </c>
      <c r="E911" t="s">
        <v>27</v>
      </c>
      <c r="F911">
        <v>17.600000000000001</v>
      </c>
      <c r="G911">
        <v>25.3</v>
      </c>
      <c r="H911">
        <v>9.6</v>
      </c>
      <c r="I911">
        <v>59.1</v>
      </c>
      <c r="J911">
        <v>36.299999999999997</v>
      </c>
      <c r="K911">
        <v>1.1000000000000001</v>
      </c>
      <c r="L911">
        <v>3.3</v>
      </c>
      <c r="M911">
        <v>0</v>
      </c>
      <c r="N911">
        <v>0</v>
      </c>
      <c r="O911" t="s">
        <v>27</v>
      </c>
      <c r="P911" t="s">
        <v>27</v>
      </c>
      <c r="Q911" t="s">
        <v>27</v>
      </c>
      <c r="R911" t="s">
        <v>27</v>
      </c>
      <c r="S911">
        <v>24</v>
      </c>
      <c r="T911">
        <v>16.2</v>
      </c>
      <c r="U911">
        <v>12.5</v>
      </c>
      <c r="V911">
        <v>8.2000000000000003E-2</v>
      </c>
      <c r="W911">
        <v>1.1679999999999999</v>
      </c>
      <c r="X911">
        <v>2.0499999999999998</v>
      </c>
      <c r="Y911" t="s">
        <v>27</v>
      </c>
      <c r="Z911" t="s">
        <v>27</v>
      </c>
      <c r="AA911" t="s">
        <v>27</v>
      </c>
      <c r="AB911" t="s">
        <v>27</v>
      </c>
      <c r="AC911" t="s">
        <v>27</v>
      </c>
      <c r="AD911" t="s">
        <v>27</v>
      </c>
      <c r="AE911" t="s">
        <v>27</v>
      </c>
      <c r="AF911" t="s">
        <v>27</v>
      </c>
      <c r="AG911">
        <v>33.25</v>
      </c>
    </row>
    <row r="912" spans="1:33" x14ac:dyDescent="0.25">
      <c r="A912" t="s">
        <v>57</v>
      </c>
      <c r="B912" s="3">
        <v>44373</v>
      </c>
      <c r="C912">
        <v>2021177</v>
      </c>
      <c r="D912" t="s">
        <v>27</v>
      </c>
      <c r="E912" t="s">
        <v>27</v>
      </c>
      <c r="F912">
        <v>22.2</v>
      </c>
      <c r="G912">
        <v>31.1</v>
      </c>
      <c r="H912">
        <v>11.9</v>
      </c>
      <c r="I912">
        <v>52.6</v>
      </c>
      <c r="J912">
        <v>29.4</v>
      </c>
      <c r="K912">
        <v>0.7</v>
      </c>
      <c r="L912">
        <v>3</v>
      </c>
      <c r="M912">
        <v>0</v>
      </c>
      <c r="N912">
        <v>0</v>
      </c>
      <c r="O912" t="s">
        <v>27</v>
      </c>
      <c r="P912" t="s">
        <v>27</v>
      </c>
      <c r="Q912" t="s">
        <v>27</v>
      </c>
      <c r="R912" t="s">
        <v>27</v>
      </c>
      <c r="S912">
        <v>26.9</v>
      </c>
      <c r="T912">
        <v>17.5</v>
      </c>
      <c r="U912">
        <v>13</v>
      </c>
      <c r="V912">
        <v>7.5999999999999998E-2</v>
      </c>
      <c r="W912">
        <v>1.3260000000000001</v>
      </c>
      <c r="X912">
        <v>3.1840000000000002</v>
      </c>
      <c r="Y912" t="s">
        <v>27</v>
      </c>
      <c r="Z912" t="s">
        <v>27</v>
      </c>
      <c r="AA912" t="s">
        <v>27</v>
      </c>
      <c r="AB912" t="s">
        <v>27</v>
      </c>
      <c r="AC912" t="s">
        <v>27</v>
      </c>
      <c r="AD912" t="s">
        <v>27</v>
      </c>
      <c r="AE912" t="s">
        <v>27</v>
      </c>
      <c r="AF912" t="s">
        <v>27</v>
      </c>
      <c r="AG912">
        <v>33.22</v>
      </c>
    </row>
    <row r="913" spans="1:33" x14ac:dyDescent="0.25">
      <c r="A913" t="s">
        <v>57</v>
      </c>
      <c r="B913" s="3">
        <v>44374</v>
      </c>
      <c r="C913">
        <v>2021178</v>
      </c>
      <c r="D913" t="s">
        <v>27</v>
      </c>
      <c r="E913" t="s">
        <v>27</v>
      </c>
      <c r="F913">
        <v>23.5</v>
      </c>
      <c r="G913">
        <v>34.1</v>
      </c>
      <c r="H913">
        <v>11.2</v>
      </c>
      <c r="I913">
        <v>47.5</v>
      </c>
      <c r="J913">
        <v>17.3</v>
      </c>
      <c r="K913">
        <v>0.6</v>
      </c>
      <c r="L913">
        <v>2.7</v>
      </c>
      <c r="M913">
        <v>0</v>
      </c>
      <c r="N913">
        <v>0</v>
      </c>
      <c r="O913" t="s">
        <v>27</v>
      </c>
      <c r="P913" t="s">
        <v>27</v>
      </c>
      <c r="Q913" t="s">
        <v>27</v>
      </c>
      <c r="R913" t="s">
        <v>27</v>
      </c>
      <c r="S913">
        <v>28.4</v>
      </c>
      <c r="T913">
        <v>18.5</v>
      </c>
      <c r="U913">
        <v>13.8</v>
      </c>
      <c r="V913">
        <v>7.0999999999999994E-2</v>
      </c>
      <c r="W913">
        <v>0.92500000000000004</v>
      </c>
      <c r="X913">
        <v>4.4219999999999997</v>
      </c>
      <c r="Y913" t="s">
        <v>27</v>
      </c>
      <c r="Z913" t="s">
        <v>27</v>
      </c>
      <c r="AA913" t="s">
        <v>27</v>
      </c>
      <c r="AB913" t="s">
        <v>27</v>
      </c>
      <c r="AC913" t="s">
        <v>27</v>
      </c>
      <c r="AD913" t="s">
        <v>27</v>
      </c>
      <c r="AE913" t="s">
        <v>27</v>
      </c>
      <c r="AF913" t="s">
        <v>27</v>
      </c>
      <c r="AG913">
        <v>33.18</v>
      </c>
    </row>
    <row r="914" spans="1:33" x14ac:dyDescent="0.25">
      <c r="A914" t="s">
        <v>57</v>
      </c>
      <c r="B914" s="3">
        <v>44375</v>
      </c>
      <c r="C914">
        <v>2021179</v>
      </c>
      <c r="D914" t="s">
        <v>27</v>
      </c>
      <c r="E914" t="s">
        <v>27</v>
      </c>
      <c r="F914">
        <v>24.4</v>
      </c>
      <c r="G914">
        <v>35.299999999999997</v>
      </c>
      <c r="H914">
        <v>12.3</v>
      </c>
      <c r="I914">
        <v>48.5</v>
      </c>
      <c r="J914">
        <v>22.1</v>
      </c>
      <c r="K914">
        <v>0.6</v>
      </c>
      <c r="L914">
        <v>2.5</v>
      </c>
      <c r="M914">
        <v>0</v>
      </c>
      <c r="N914">
        <v>0</v>
      </c>
      <c r="O914" t="s">
        <v>27</v>
      </c>
      <c r="P914" t="s">
        <v>27</v>
      </c>
      <c r="Q914" t="s">
        <v>27</v>
      </c>
      <c r="R914" t="s">
        <v>27</v>
      </c>
      <c r="S914">
        <v>29.9</v>
      </c>
      <c r="T914">
        <v>19.399999999999999</v>
      </c>
      <c r="U914">
        <v>14.5</v>
      </c>
      <c r="V914">
        <v>6.6000000000000003E-2</v>
      </c>
      <c r="W914">
        <v>1.264</v>
      </c>
      <c r="X914">
        <v>4.4550000000000001</v>
      </c>
      <c r="Y914" t="s">
        <v>27</v>
      </c>
      <c r="Z914" t="s">
        <v>27</v>
      </c>
      <c r="AA914" t="s">
        <v>27</v>
      </c>
      <c r="AB914" t="s">
        <v>27</v>
      </c>
      <c r="AC914" t="s">
        <v>27</v>
      </c>
      <c r="AD914" t="s">
        <v>27</v>
      </c>
      <c r="AE914" t="s">
        <v>27</v>
      </c>
      <c r="AF914" t="s">
        <v>27</v>
      </c>
      <c r="AG914">
        <v>33.14</v>
      </c>
    </row>
    <row r="915" spans="1:33" x14ac:dyDescent="0.25">
      <c r="A915" t="s">
        <v>57</v>
      </c>
      <c r="B915" s="3">
        <v>44376</v>
      </c>
      <c r="C915">
        <v>2021180</v>
      </c>
      <c r="D915" t="s">
        <v>27</v>
      </c>
      <c r="E915" t="s">
        <v>27</v>
      </c>
      <c r="F915">
        <v>26.4</v>
      </c>
      <c r="G915">
        <v>37.299999999999997</v>
      </c>
      <c r="H915">
        <v>13.2</v>
      </c>
      <c r="I915">
        <v>44.3</v>
      </c>
      <c r="J915">
        <v>15</v>
      </c>
      <c r="K915">
        <v>0.5</v>
      </c>
      <c r="L915">
        <v>2.2999999999999998</v>
      </c>
      <c r="M915">
        <v>0</v>
      </c>
      <c r="N915">
        <v>0</v>
      </c>
      <c r="O915" t="s">
        <v>27</v>
      </c>
      <c r="P915" t="s">
        <v>27</v>
      </c>
      <c r="Q915" t="s">
        <v>27</v>
      </c>
      <c r="R915" t="s">
        <v>27</v>
      </c>
      <c r="S915">
        <v>31.2</v>
      </c>
      <c r="T915">
        <v>20.2</v>
      </c>
      <c r="U915">
        <v>15.1</v>
      </c>
      <c r="V915">
        <v>6.0999999999999999E-2</v>
      </c>
      <c r="W915">
        <v>0.95799999999999996</v>
      </c>
      <c r="X915">
        <v>5.4290000000000003</v>
      </c>
      <c r="Y915" t="s">
        <v>27</v>
      </c>
      <c r="Z915" t="s">
        <v>27</v>
      </c>
      <c r="AA915" t="s">
        <v>27</v>
      </c>
      <c r="AB915" t="s">
        <v>27</v>
      </c>
      <c r="AC915" t="s">
        <v>27</v>
      </c>
      <c r="AD915" t="s">
        <v>27</v>
      </c>
      <c r="AE915" t="s">
        <v>27</v>
      </c>
      <c r="AF915" t="s">
        <v>27</v>
      </c>
      <c r="AG915">
        <v>33.1</v>
      </c>
    </row>
    <row r="916" spans="1:33" x14ac:dyDescent="0.25">
      <c r="A916" t="s">
        <v>57</v>
      </c>
      <c r="B916" s="3">
        <v>44377</v>
      </c>
      <c r="C916">
        <v>2021181</v>
      </c>
      <c r="D916" t="s">
        <v>27</v>
      </c>
      <c r="E916" t="s">
        <v>27</v>
      </c>
      <c r="F916">
        <v>26.4</v>
      </c>
      <c r="G916">
        <v>36</v>
      </c>
      <c r="H916">
        <v>15.5</v>
      </c>
      <c r="I916">
        <v>39.4</v>
      </c>
      <c r="J916">
        <v>12.1</v>
      </c>
      <c r="K916">
        <v>1</v>
      </c>
      <c r="L916">
        <v>2.9</v>
      </c>
      <c r="M916">
        <v>0</v>
      </c>
      <c r="N916">
        <v>0</v>
      </c>
      <c r="O916" t="s">
        <v>27</v>
      </c>
      <c r="P916" t="s">
        <v>27</v>
      </c>
      <c r="Q916" t="s">
        <v>27</v>
      </c>
      <c r="R916" t="s">
        <v>27</v>
      </c>
      <c r="S916">
        <v>31.8</v>
      </c>
      <c r="T916">
        <v>20.8</v>
      </c>
      <c r="U916">
        <v>15.8</v>
      </c>
      <c r="V916">
        <v>5.7000000000000002E-2</v>
      </c>
      <c r="W916">
        <v>0.71799999999999997</v>
      </c>
      <c r="X916">
        <v>5.2160000000000002</v>
      </c>
      <c r="Y916" t="s">
        <v>27</v>
      </c>
      <c r="Z916" t="s">
        <v>27</v>
      </c>
      <c r="AA916" t="s">
        <v>27</v>
      </c>
      <c r="AB916" t="s">
        <v>27</v>
      </c>
      <c r="AC916" t="s">
        <v>27</v>
      </c>
      <c r="AD916" t="s">
        <v>27</v>
      </c>
      <c r="AE916" t="s">
        <v>27</v>
      </c>
      <c r="AF916" t="s">
        <v>27</v>
      </c>
      <c r="AG916">
        <v>33.049999999999997</v>
      </c>
    </row>
    <row r="917" spans="1:33" x14ac:dyDescent="0.25">
      <c r="A917" t="s">
        <v>57</v>
      </c>
      <c r="B917" s="3">
        <v>44378</v>
      </c>
      <c r="C917">
        <v>2021182</v>
      </c>
      <c r="D917" t="s">
        <v>27</v>
      </c>
      <c r="E917" t="s">
        <v>27</v>
      </c>
      <c r="F917">
        <v>22.2</v>
      </c>
      <c r="G917">
        <v>30.4</v>
      </c>
      <c r="H917">
        <v>12.3</v>
      </c>
      <c r="I917">
        <v>50.3</v>
      </c>
      <c r="J917">
        <v>22.4</v>
      </c>
      <c r="K917">
        <v>0.9</v>
      </c>
      <c r="L917">
        <v>3.9</v>
      </c>
      <c r="M917">
        <v>0</v>
      </c>
      <c r="N917">
        <v>0</v>
      </c>
      <c r="O917" t="s">
        <v>27</v>
      </c>
      <c r="P917" t="s">
        <v>27</v>
      </c>
      <c r="Q917" t="s">
        <v>27</v>
      </c>
      <c r="R917" t="s">
        <v>27</v>
      </c>
      <c r="S917">
        <v>27.8</v>
      </c>
      <c r="T917">
        <v>20.399999999999999</v>
      </c>
      <c r="U917">
        <v>16.3</v>
      </c>
      <c r="V917">
        <v>5.2999999999999999E-2</v>
      </c>
      <c r="W917">
        <v>0.97199999999999998</v>
      </c>
      <c r="X917">
        <v>3.367</v>
      </c>
      <c r="Y917" t="s">
        <v>27</v>
      </c>
      <c r="Z917" t="s">
        <v>27</v>
      </c>
      <c r="AA917" t="s">
        <v>27</v>
      </c>
      <c r="AB917" t="s">
        <v>27</v>
      </c>
      <c r="AC917" t="s">
        <v>27</v>
      </c>
      <c r="AD917" t="s">
        <v>27</v>
      </c>
      <c r="AE917" t="s">
        <v>27</v>
      </c>
      <c r="AF917" t="s">
        <v>27</v>
      </c>
      <c r="AG917">
        <v>33</v>
      </c>
    </row>
    <row r="918" spans="1:33" x14ac:dyDescent="0.25">
      <c r="A918" t="s">
        <v>57</v>
      </c>
      <c r="B918" s="3">
        <v>44379</v>
      </c>
      <c r="C918">
        <v>2021183</v>
      </c>
      <c r="D918" t="s">
        <v>27</v>
      </c>
      <c r="E918" t="s">
        <v>27</v>
      </c>
      <c r="F918">
        <v>18.2</v>
      </c>
      <c r="G918">
        <v>25.8</v>
      </c>
      <c r="H918">
        <v>10.3</v>
      </c>
      <c r="I918">
        <v>57.4</v>
      </c>
      <c r="J918">
        <v>32.9</v>
      </c>
      <c r="K918">
        <v>0.9</v>
      </c>
      <c r="L918">
        <v>2.9</v>
      </c>
      <c r="M918">
        <v>0</v>
      </c>
      <c r="N918">
        <v>0</v>
      </c>
      <c r="O918" t="s">
        <v>27</v>
      </c>
      <c r="P918" t="s">
        <v>27</v>
      </c>
      <c r="Q918" t="s">
        <v>27</v>
      </c>
      <c r="R918" t="s">
        <v>27</v>
      </c>
      <c r="S918">
        <v>27.1</v>
      </c>
      <c r="T918">
        <v>19.8</v>
      </c>
      <c r="U918">
        <v>16.399999999999999</v>
      </c>
      <c r="V918">
        <v>0.05</v>
      </c>
      <c r="W918">
        <v>1.089</v>
      </c>
      <c r="X918">
        <v>2.2210000000000001</v>
      </c>
      <c r="Y918" t="s">
        <v>27</v>
      </c>
      <c r="Z918" t="s">
        <v>27</v>
      </c>
      <c r="AA918" t="s">
        <v>27</v>
      </c>
      <c r="AB918" t="s">
        <v>27</v>
      </c>
      <c r="AC918" t="s">
        <v>27</v>
      </c>
      <c r="AD918" t="s">
        <v>27</v>
      </c>
      <c r="AE918" t="s">
        <v>27</v>
      </c>
      <c r="AF918" t="s">
        <v>27</v>
      </c>
      <c r="AG918">
        <v>32.950000000000003</v>
      </c>
    </row>
    <row r="919" spans="1:33" x14ac:dyDescent="0.25">
      <c r="A919" t="s">
        <v>57</v>
      </c>
      <c r="B919" s="3">
        <v>44380</v>
      </c>
      <c r="C919">
        <v>2021184</v>
      </c>
      <c r="D919" t="s">
        <v>27</v>
      </c>
      <c r="E919" t="s">
        <v>27</v>
      </c>
      <c r="F919">
        <v>18</v>
      </c>
      <c r="G919">
        <v>27.9</v>
      </c>
      <c r="H919">
        <v>8.1999999999999993</v>
      </c>
      <c r="I919">
        <v>62.5</v>
      </c>
      <c r="J919">
        <v>28.4</v>
      </c>
      <c r="K919">
        <v>0.7</v>
      </c>
      <c r="L919">
        <v>3.1</v>
      </c>
      <c r="M919">
        <v>0.5</v>
      </c>
      <c r="N919">
        <v>0</v>
      </c>
      <c r="O919" t="s">
        <v>27</v>
      </c>
      <c r="P919" t="s">
        <v>27</v>
      </c>
      <c r="Q919" t="s">
        <v>27</v>
      </c>
      <c r="R919" t="s">
        <v>27</v>
      </c>
      <c r="S919">
        <v>25.1</v>
      </c>
      <c r="T919">
        <v>19.399999999999999</v>
      </c>
      <c r="U919">
        <v>16.399999999999999</v>
      </c>
      <c r="V919">
        <v>4.7E-2</v>
      </c>
      <c r="W919">
        <v>1.0649999999999999</v>
      </c>
      <c r="X919">
        <v>2.6850000000000001</v>
      </c>
      <c r="Y919" t="s">
        <v>27</v>
      </c>
      <c r="Z919" t="s">
        <v>27</v>
      </c>
      <c r="AA919" t="s">
        <v>27</v>
      </c>
      <c r="AB919" t="s">
        <v>27</v>
      </c>
      <c r="AC919" t="s">
        <v>27</v>
      </c>
      <c r="AD919" t="s">
        <v>27</v>
      </c>
      <c r="AE919" t="s">
        <v>27</v>
      </c>
      <c r="AF919" t="s">
        <v>27</v>
      </c>
      <c r="AG919">
        <v>32.9</v>
      </c>
    </row>
    <row r="920" spans="1:33" x14ac:dyDescent="0.25">
      <c r="A920" t="s">
        <v>57</v>
      </c>
      <c r="B920" s="3">
        <v>44381</v>
      </c>
      <c r="C920">
        <v>2021185</v>
      </c>
      <c r="D920" t="s">
        <v>27</v>
      </c>
      <c r="E920" t="s">
        <v>27</v>
      </c>
      <c r="F920">
        <v>16.5</v>
      </c>
      <c r="G920">
        <v>25.1</v>
      </c>
      <c r="H920">
        <v>6.6</v>
      </c>
      <c r="I920">
        <v>53.8</v>
      </c>
      <c r="J920">
        <v>32.299999999999997</v>
      </c>
      <c r="K920">
        <v>0.7</v>
      </c>
      <c r="L920">
        <v>2.5</v>
      </c>
      <c r="M920">
        <v>0</v>
      </c>
      <c r="N920">
        <v>0</v>
      </c>
      <c r="O920" t="s">
        <v>27</v>
      </c>
      <c r="P920" t="s">
        <v>27</v>
      </c>
      <c r="Q920" t="s">
        <v>27</v>
      </c>
      <c r="R920" t="s">
        <v>27</v>
      </c>
      <c r="S920">
        <v>24.7</v>
      </c>
      <c r="T920">
        <v>18.8</v>
      </c>
      <c r="U920">
        <v>16.3</v>
      </c>
      <c r="V920">
        <v>4.4999999999999998E-2</v>
      </c>
      <c r="W920">
        <v>1.03</v>
      </c>
      <c r="X920">
        <v>2.1589999999999998</v>
      </c>
      <c r="Y920" t="s">
        <v>27</v>
      </c>
      <c r="Z920" t="s">
        <v>27</v>
      </c>
      <c r="AA920" t="s">
        <v>27</v>
      </c>
      <c r="AB920" t="s">
        <v>27</v>
      </c>
      <c r="AC920" t="s">
        <v>27</v>
      </c>
      <c r="AD920" t="s">
        <v>27</v>
      </c>
      <c r="AE920" t="s">
        <v>27</v>
      </c>
      <c r="AF920" t="s">
        <v>27</v>
      </c>
      <c r="AG920">
        <v>32.840000000000003</v>
      </c>
    </row>
    <row r="921" spans="1:33" x14ac:dyDescent="0.25">
      <c r="A921" t="s">
        <v>57</v>
      </c>
      <c r="B921" s="3">
        <v>44382</v>
      </c>
      <c r="C921">
        <v>2021186</v>
      </c>
      <c r="D921" t="s">
        <v>27</v>
      </c>
      <c r="E921" t="s">
        <v>27</v>
      </c>
      <c r="F921">
        <v>17.2</v>
      </c>
      <c r="G921">
        <v>23.4</v>
      </c>
      <c r="H921">
        <v>11.6</v>
      </c>
      <c r="I921">
        <v>54.4</v>
      </c>
      <c r="J921">
        <v>34.200000000000003</v>
      </c>
      <c r="K921">
        <v>1.1000000000000001</v>
      </c>
      <c r="L921">
        <v>3.5</v>
      </c>
      <c r="M921">
        <v>0</v>
      </c>
      <c r="N921">
        <v>0</v>
      </c>
      <c r="O921" t="s">
        <v>27</v>
      </c>
      <c r="P921" t="s">
        <v>27</v>
      </c>
      <c r="Q921" t="s">
        <v>27</v>
      </c>
      <c r="R921" t="s">
        <v>27</v>
      </c>
      <c r="S921">
        <v>25</v>
      </c>
      <c r="T921">
        <v>18.8</v>
      </c>
      <c r="U921">
        <v>16.3</v>
      </c>
      <c r="V921">
        <v>4.3999999999999997E-2</v>
      </c>
      <c r="W921">
        <v>0.98099999999999998</v>
      </c>
      <c r="X921">
        <v>1.887</v>
      </c>
      <c r="Y921" t="s">
        <v>27</v>
      </c>
      <c r="Z921" t="s">
        <v>27</v>
      </c>
      <c r="AA921" t="s">
        <v>27</v>
      </c>
      <c r="AB921" t="s">
        <v>27</v>
      </c>
      <c r="AC921" t="s">
        <v>27</v>
      </c>
      <c r="AD921" t="s">
        <v>27</v>
      </c>
      <c r="AE921" t="s">
        <v>27</v>
      </c>
      <c r="AF921" t="s">
        <v>27</v>
      </c>
      <c r="AG921">
        <v>32.78</v>
      </c>
    </row>
    <row r="922" spans="1:33" x14ac:dyDescent="0.25">
      <c r="A922" t="s">
        <v>57</v>
      </c>
      <c r="B922" s="3">
        <v>44383</v>
      </c>
      <c r="C922">
        <v>2021187</v>
      </c>
      <c r="D922" t="s">
        <v>27</v>
      </c>
      <c r="E922" t="s">
        <v>27</v>
      </c>
      <c r="F922">
        <v>19.5</v>
      </c>
      <c r="G922">
        <v>28</v>
      </c>
      <c r="H922">
        <v>8.9</v>
      </c>
      <c r="I922">
        <v>45.1</v>
      </c>
      <c r="J922">
        <v>21.7</v>
      </c>
      <c r="K922">
        <v>0.8</v>
      </c>
      <c r="L922">
        <v>2.2999999999999998</v>
      </c>
      <c r="M922">
        <v>0</v>
      </c>
      <c r="N922">
        <v>0</v>
      </c>
      <c r="O922" t="s">
        <v>27</v>
      </c>
      <c r="P922" t="s">
        <v>27</v>
      </c>
      <c r="Q922" t="s">
        <v>27</v>
      </c>
      <c r="R922" t="s">
        <v>27</v>
      </c>
      <c r="S922">
        <v>26.9</v>
      </c>
      <c r="T922">
        <v>18.8</v>
      </c>
      <c r="U922">
        <v>16.2</v>
      </c>
      <c r="V922">
        <v>4.2000000000000003E-2</v>
      </c>
      <c r="W922">
        <v>0.82</v>
      </c>
      <c r="X922">
        <v>2.9590000000000001</v>
      </c>
      <c r="Y922" t="s">
        <v>27</v>
      </c>
      <c r="Z922" t="s">
        <v>27</v>
      </c>
      <c r="AA922" t="s">
        <v>27</v>
      </c>
      <c r="AB922" t="s">
        <v>27</v>
      </c>
      <c r="AC922" t="s">
        <v>27</v>
      </c>
      <c r="AD922" t="s">
        <v>27</v>
      </c>
      <c r="AE922" t="s">
        <v>27</v>
      </c>
      <c r="AF922" t="s">
        <v>27</v>
      </c>
      <c r="AG922">
        <v>32.71</v>
      </c>
    </row>
    <row r="923" spans="1:33" x14ac:dyDescent="0.25">
      <c r="A923" t="s">
        <v>57</v>
      </c>
      <c r="B923" s="3">
        <v>44384</v>
      </c>
      <c r="C923">
        <v>2021188</v>
      </c>
      <c r="D923" t="s">
        <v>27</v>
      </c>
      <c r="E923" t="s">
        <v>27</v>
      </c>
      <c r="F923">
        <v>13.1</v>
      </c>
      <c r="G923">
        <v>21.9</v>
      </c>
      <c r="H923">
        <v>5.0999999999999996</v>
      </c>
      <c r="I923">
        <v>74</v>
      </c>
      <c r="J923">
        <v>36.700000000000003</v>
      </c>
      <c r="K923">
        <v>0.6</v>
      </c>
      <c r="L923">
        <v>4.4000000000000004</v>
      </c>
      <c r="M923">
        <v>7.1</v>
      </c>
      <c r="N923">
        <v>0</v>
      </c>
      <c r="O923" t="s">
        <v>27</v>
      </c>
      <c r="P923" t="s">
        <v>27</v>
      </c>
      <c r="Q923" t="s">
        <v>27</v>
      </c>
      <c r="R923" t="s">
        <v>27</v>
      </c>
      <c r="S923">
        <v>15.8</v>
      </c>
      <c r="T923">
        <v>17.600000000000001</v>
      </c>
      <c r="U923">
        <v>16.3</v>
      </c>
      <c r="V923">
        <v>4.1000000000000002E-2</v>
      </c>
      <c r="W923">
        <v>0.96499999999999997</v>
      </c>
      <c r="X923">
        <v>1.6639999999999999</v>
      </c>
      <c r="Y923" t="s">
        <v>27</v>
      </c>
      <c r="Z923" t="s">
        <v>27</v>
      </c>
      <c r="AA923" t="s">
        <v>27</v>
      </c>
      <c r="AB923" t="s">
        <v>27</v>
      </c>
      <c r="AC923" t="s">
        <v>27</v>
      </c>
      <c r="AD923" t="s">
        <v>27</v>
      </c>
      <c r="AE923" t="s">
        <v>27</v>
      </c>
      <c r="AF923" t="s">
        <v>27</v>
      </c>
      <c r="AG923">
        <v>32.64</v>
      </c>
    </row>
    <row r="924" spans="1:33" x14ac:dyDescent="0.25">
      <c r="A924" t="s">
        <v>57</v>
      </c>
      <c r="B924" s="3">
        <v>44385</v>
      </c>
      <c r="C924">
        <v>2021189</v>
      </c>
      <c r="D924" t="s">
        <v>27</v>
      </c>
      <c r="E924" t="s">
        <v>27</v>
      </c>
      <c r="F924">
        <v>12.8</v>
      </c>
      <c r="G924">
        <v>23.1</v>
      </c>
      <c r="H924">
        <v>3.4</v>
      </c>
      <c r="I924">
        <v>81.5</v>
      </c>
      <c r="J924">
        <v>45.1</v>
      </c>
      <c r="K924">
        <v>0.5</v>
      </c>
      <c r="L924">
        <v>3</v>
      </c>
      <c r="M924">
        <v>17.100000000000001</v>
      </c>
      <c r="N924">
        <v>0</v>
      </c>
      <c r="O924" t="s">
        <v>27</v>
      </c>
      <c r="P924" t="s">
        <v>27</v>
      </c>
      <c r="Q924" t="s">
        <v>27</v>
      </c>
      <c r="R924" t="s">
        <v>27</v>
      </c>
      <c r="S924">
        <v>16.8</v>
      </c>
      <c r="T924">
        <v>16.100000000000001</v>
      </c>
      <c r="U924">
        <v>15.6</v>
      </c>
      <c r="V924">
        <v>7.4999999999999997E-2</v>
      </c>
      <c r="W924">
        <v>1.274</v>
      </c>
      <c r="X924">
        <v>1.5509999999999999</v>
      </c>
      <c r="Y924" t="s">
        <v>27</v>
      </c>
      <c r="Z924" t="s">
        <v>27</v>
      </c>
      <c r="AA924" t="s">
        <v>27</v>
      </c>
      <c r="AB924" t="s">
        <v>27</v>
      </c>
      <c r="AC924" t="s">
        <v>27</v>
      </c>
      <c r="AD924" t="s">
        <v>27</v>
      </c>
      <c r="AE924" t="s">
        <v>27</v>
      </c>
      <c r="AF924" t="s">
        <v>27</v>
      </c>
      <c r="AG924">
        <v>32.56</v>
      </c>
    </row>
    <row r="925" spans="1:33" x14ac:dyDescent="0.25">
      <c r="A925" t="s">
        <v>57</v>
      </c>
      <c r="B925" s="3">
        <v>44386</v>
      </c>
      <c r="C925">
        <v>2021190</v>
      </c>
      <c r="D925" t="s">
        <v>27</v>
      </c>
      <c r="E925" t="s">
        <v>27</v>
      </c>
      <c r="F925">
        <v>15.8</v>
      </c>
      <c r="G925">
        <v>25.6</v>
      </c>
      <c r="H925">
        <v>5.6</v>
      </c>
      <c r="I925">
        <v>68.2</v>
      </c>
      <c r="J925">
        <v>26.6</v>
      </c>
      <c r="K925">
        <v>0.6</v>
      </c>
      <c r="L925">
        <v>2.6</v>
      </c>
      <c r="M925">
        <v>0.1</v>
      </c>
      <c r="N925">
        <v>0</v>
      </c>
      <c r="O925" t="s">
        <v>27</v>
      </c>
      <c r="P925" t="s">
        <v>27</v>
      </c>
      <c r="Q925" t="s">
        <v>27</v>
      </c>
      <c r="R925" t="s">
        <v>27</v>
      </c>
      <c r="S925">
        <v>18.3</v>
      </c>
      <c r="T925">
        <v>16.399999999999999</v>
      </c>
      <c r="U925">
        <v>15.2</v>
      </c>
      <c r="V925">
        <v>0.112</v>
      </c>
      <c r="W925">
        <v>0.872</v>
      </c>
      <c r="X925">
        <v>2.4060000000000001</v>
      </c>
      <c r="Y925" t="s">
        <v>27</v>
      </c>
      <c r="Z925" t="s">
        <v>27</v>
      </c>
      <c r="AA925" t="s">
        <v>27</v>
      </c>
      <c r="AB925" t="s">
        <v>27</v>
      </c>
      <c r="AC925" t="s">
        <v>27</v>
      </c>
      <c r="AD925" t="s">
        <v>27</v>
      </c>
      <c r="AE925" t="s">
        <v>27</v>
      </c>
      <c r="AF925" t="s">
        <v>27</v>
      </c>
      <c r="AG925">
        <v>32.479999999999997</v>
      </c>
    </row>
    <row r="926" spans="1:33" x14ac:dyDescent="0.25">
      <c r="A926" t="s">
        <v>57</v>
      </c>
      <c r="B926" s="3">
        <v>44387</v>
      </c>
      <c r="C926">
        <v>2021191</v>
      </c>
      <c r="D926" t="s">
        <v>27</v>
      </c>
      <c r="E926" t="s">
        <v>27</v>
      </c>
      <c r="F926">
        <v>16.899999999999999</v>
      </c>
      <c r="G926">
        <v>26.1</v>
      </c>
      <c r="H926">
        <v>6.8</v>
      </c>
      <c r="I926">
        <v>50.7</v>
      </c>
      <c r="J926">
        <v>16.3</v>
      </c>
      <c r="K926">
        <v>1</v>
      </c>
      <c r="L926">
        <v>3.6</v>
      </c>
      <c r="M926">
        <v>0</v>
      </c>
      <c r="N926">
        <v>0</v>
      </c>
      <c r="O926" t="s">
        <v>27</v>
      </c>
      <c r="P926" t="s">
        <v>27</v>
      </c>
      <c r="Q926" t="s">
        <v>27</v>
      </c>
      <c r="R926" t="s">
        <v>27</v>
      </c>
      <c r="S926">
        <v>20.399999999999999</v>
      </c>
      <c r="T926">
        <v>17.100000000000001</v>
      </c>
      <c r="U926">
        <v>15.2</v>
      </c>
      <c r="V926">
        <v>9.1999999999999998E-2</v>
      </c>
      <c r="W926">
        <v>0.55200000000000005</v>
      </c>
      <c r="X926">
        <v>2.835</v>
      </c>
      <c r="Y926" t="s">
        <v>27</v>
      </c>
      <c r="Z926" t="s">
        <v>27</v>
      </c>
      <c r="AA926" t="s">
        <v>27</v>
      </c>
      <c r="AB926" t="s">
        <v>27</v>
      </c>
      <c r="AC926" t="s">
        <v>27</v>
      </c>
      <c r="AD926" t="s">
        <v>27</v>
      </c>
      <c r="AE926" t="s">
        <v>27</v>
      </c>
      <c r="AF926" t="s">
        <v>27</v>
      </c>
      <c r="AG926">
        <v>32.4</v>
      </c>
    </row>
    <row r="927" spans="1:33" x14ac:dyDescent="0.25">
      <c r="A927" t="s">
        <v>57</v>
      </c>
      <c r="B927" s="3">
        <v>44388</v>
      </c>
      <c r="C927">
        <v>2021192</v>
      </c>
      <c r="D927" t="s">
        <v>27</v>
      </c>
      <c r="E927" t="s">
        <v>27</v>
      </c>
      <c r="F927">
        <v>16.100000000000001</v>
      </c>
      <c r="G927">
        <v>25.5</v>
      </c>
      <c r="H927">
        <v>5.4</v>
      </c>
      <c r="I927">
        <v>53.6</v>
      </c>
      <c r="J927">
        <v>25.9</v>
      </c>
      <c r="K927">
        <v>0.7</v>
      </c>
      <c r="L927">
        <v>2.9</v>
      </c>
      <c r="M927">
        <v>0</v>
      </c>
      <c r="N927">
        <v>0</v>
      </c>
      <c r="O927" t="s">
        <v>27</v>
      </c>
      <c r="P927" t="s">
        <v>27</v>
      </c>
      <c r="Q927" t="s">
        <v>27</v>
      </c>
      <c r="R927" t="s">
        <v>27</v>
      </c>
      <c r="S927">
        <v>22.1</v>
      </c>
      <c r="T927">
        <v>17.399999999999999</v>
      </c>
      <c r="U927">
        <v>15.4</v>
      </c>
      <c r="V927">
        <v>0.08</v>
      </c>
      <c r="W927">
        <v>0.84599999999999997</v>
      </c>
      <c r="X927">
        <v>2.42</v>
      </c>
      <c r="Y927" t="s">
        <v>27</v>
      </c>
      <c r="Z927" t="s">
        <v>27</v>
      </c>
      <c r="AA927" t="s">
        <v>27</v>
      </c>
      <c r="AB927" t="s">
        <v>27</v>
      </c>
      <c r="AC927" t="s">
        <v>27</v>
      </c>
      <c r="AD927" t="s">
        <v>27</v>
      </c>
      <c r="AE927" t="s">
        <v>27</v>
      </c>
      <c r="AF927" t="s">
        <v>27</v>
      </c>
      <c r="AG927">
        <v>32.31</v>
      </c>
    </row>
    <row r="928" spans="1:33" x14ac:dyDescent="0.25">
      <c r="A928" t="s">
        <v>57</v>
      </c>
      <c r="B928" s="3">
        <v>44389</v>
      </c>
      <c r="C928">
        <v>2021193</v>
      </c>
      <c r="D928" t="s">
        <v>27</v>
      </c>
      <c r="E928" t="s">
        <v>27</v>
      </c>
      <c r="F928">
        <v>17.100000000000001</v>
      </c>
      <c r="G928">
        <v>26.4</v>
      </c>
      <c r="H928">
        <v>6.7</v>
      </c>
      <c r="I928">
        <v>52.6</v>
      </c>
      <c r="J928">
        <v>22.9</v>
      </c>
      <c r="K928">
        <v>0.7</v>
      </c>
      <c r="L928">
        <v>2.4</v>
      </c>
      <c r="M928">
        <v>0</v>
      </c>
      <c r="N928">
        <v>0</v>
      </c>
      <c r="O928" t="s">
        <v>27</v>
      </c>
      <c r="P928" t="s">
        <v>27</v>
      </c>
      <c r="Q928" t="s">
        <v>27</v>
      </c>
      <c r="R928" t="s">
        <v>27</v>
      </c>
      <c r="S928">
        <v>23.7</v>
      </c>
      <c r="T928">
        <v>18</v>
      </c>
      <c r="U928">
        <v>15.6</v>
      </c>
      <c r="V928">
        <v>7.0000000000000007E-2</v>
      </c>
      <c r="W928">
        <v>0.78600000000000003</v>
      </c>
      <c r="X928">
        <v>2.6459999999999999</v>
      </c>
      <c r="Y928" t="s">
        <v>27</v>
      </c>
      <c r="Z928" t="s">
        <v>27</v>
      </c>
      <c r="AA928" t="s">
        <v>27</v>
      </c>
      <c r="AB928" t="s">
        <v>27</v>
      </c>
      <c r="AC928" t="s">
        <v>27</v>
      </c>
      <c r="AD928" t="s">
        <v>27</v>
      </c>
      <c r="AE928" t="s">
        <v>27</v>
      </c>
      <c r="AF928" t="s">
        <v>27</v>
      </c>
      <c r="AG928">
        <v>32.22</v>
      </c>
    </row>
    <row r="929" spans="1:33" x14ac:dyDescent="0.25">
      <c r="A929" t="s">
        <v>57</v>
      </c>
      <c r="B929" s="3">
        <v>44390</v>
      </c>
      <c r="C929">
        <v>2021194</v>
      </c>
      <c r="D929" t="s">
        <v>27</v>
      </c>
      <c r="E929" t="s">
        <v>27</v>
      </c>
      <c r="F929">
        <v>17.8</v>
      </c>
      <c r="G929">
        <v>28.4</v>
      </c>
      <c r="H929">
        <v>6</v>
      </c>
      <c r="I929">
        <v>48.9</v>
      </c>
      <c r="J929">
        <v>16.8</v>
      </c>
      <c r="K929">
        <v>0.5</v>
      </c>
      <c r="L929">
        <v>2.5</v>
      </c>
      <c r="M929">
        <v>0</v>
      </c>
      <c r="N929">
        <v>0</v>
      </c>
      <c r="O929" t="s">
        <v>27</v>
      </c>
      <c r="P929" t="s">
        <v>27</v>
      </c>
      <c r="Q929" t="s">
        <v>27</v>
      </c>
      <c r="R929" t="s">
        <v>27</v>
      </c>
      <c r="S929">
        <v>23.8</v>
      </c>
      <c r="T929">
        <v>18.100000000000001</v>
      </c>
      <c r="U929">
        <v>15.8</v>
      </c>
      <c r="V929">
        <v>6.0999999999999999E-2</v>
      </c>
      <c r="W929">
        <v>0.64900000000000002</v>
      </c>
      <c r="X929">
        <v>3.214</v>
      </c>
      <c r="Y929" t="s">
        <v>27</v>
      </c>
      <c r="Z929" t="s">
        <v>27</v>
      </c>
      <c r="AA929" t="s">
        <v>27</v>
      </c>
      <c r="AB929" t="s">
        <v>27</v>
      </c>
      <c r="AC929" t="s">
        <v>27</v>
      </c>
      <c r="AD929" t="s">
        <v>27</v>
      </c>
      <c r="AE929" t="s">
        <v>27</v>
      </c>
      <c r="AF929" t="s">
        <v>27</v>
      </c>
      <c r="AG929">
        <v>32.119999999999997</v>
      </c>
    </row>
    <row r="930" spans="1:33" x14ac:dyDescent="0.25">
      <c r="A930" t="s">
        <v>57</v>
      </c>
      <c r="B930" s="3">
        <v>44391</v>
      </c>
      <c r="C930">
        <v>2021195</v>
      </c>
      <c r="D930" t="s">
        <v>27</v>
      </c>
      <c r="E930" t="s">
        <v>27</v>
      </c>
      <c r="F930">
        <v>18.399999999999999</v>
      </c>
      <c r="G930">
        <v>28.5</v>
      </c>
      <c r="H930">
        <v>7.6</v>
      </c>
      <c r="I930">
        <v>42.5</v>
      </c>
      <c r="J930">
        <v>15.9</v>
      </c>
      <c r="K930">
        <v>0.7</v>
      </c>
      <c r="L930">
        <v>3.1</v>
      </c>
      <c r="M930">
        <v>0</v>
      </c>
      <c r="N930">
        <v>0</v>
      </c>
      <c r="O930" t="s">
        <v>27</v>
      </c>
      <c r="P930" t="s">
        <v>27</v>
      </c>
      <c r="Q930" t="s">
        <v>27</v>
      </c>
      <c r="R930" t="s">
        <v>27</v>
      </c>
      <c r="S930">
        <v>25.3</v>
      </c>
      <c r="T930">
        <v>18.5</v>
      </c>
      <c r="U930">
        <v>15.9</v>
      </c>
      <c r="V930">
        <v>5.5E-2</v>
      </c>
      <c r="W930">
        <v>0.61799999999999999</v>
      </c>
      <c r="X930">
        <v>3.2690000000000001</v>
      </c>
      <c r="Y930" t="s">
        <v>27</v>
      </c>
      <c r="Z930" t="s">
        <v>27</v>
      </c>
      <c r="AA930" t="s">
        <v>27</v>
      </c>
      <c r="AB930" t="s">
        <v>27</v>
      </c>
      <c r="AC930" t="s">
        <v>27</v>
      </c>
      <c r="AD930" t="s">
        <v>27</v>
      </c>
      <c r="AE930" t="s">
        <v>27</v>
      </c>
      <c r="AF930" t="s">
        <v>27</v>
      </c>
      <c r="AG930">
        <v>32.020000000000003</v>
      </c>
    </row>
    <row r="931" spans="1:33" x14ac:dyDescent="0.25">
      <c r="A931" t="s">
        <v>57</v>
      </c>
      <c r="B931" s="3">
        <v>44392</v>
      </c>
      <c r="C931">
        <v>2021196</v>
      </c>
      <c r="D931" t="s">
        <v>27</v>
      </c>
      <c r="E931" t="s">
        <v>27</v>
      </c>
      <c r="F931">
        <v>16.100000000000001</v>
      </c>
      <c r="G931">
        <v>24.5</v>
      </c>
      <c r="H931">
        <v>7.2</v>
      </c>
      <c r="I931">
        <v>49.3</v>
      </c>
      <c r="J931">
        <v>24.5</v>
      </c>
      <c r="K931">
        <v>0.9</v>
      </c>
      <c r="L931">
        <v>3.3</v>
      </c>
      <c r="M931">
        <v>0</v>
      </c>
      <c r="N931">
        <v>0</v>
      </c>
      <c r="O931" t="s">
        <v>27</v>
      </c>
      <c r="P931" t="s">
        <v>27</v>
      </c>
      <c r="Q931" t="s">
        <v>27</v>
      </c>
      <c r="R931" t="s">
        <v>27</v>
      </c>
      <c r="S931">
        <v>23.1</v>
      </c>
      <c r="T931">
        <v>18.3</v>
      </c>
      <c r="U931">
        <v>16.100000000000001</v>
      </c>
      <c r="V931">
        <v>4.9000000000000002E-2</v>
      </c>
      <c r="W931">
        <v>0.752</v>
      </c>
      <c r="X931">
        <v>2.3170000000000002</v>
      </c>
      <c r="Y931" t="s">
        <v>27</v>
      </c>
      <c r="Z931" t="s">
        <v>27</v>
      </c>
      <c r="AA931" t="s">
        <v>27</v>
      </c>
      <c r="AB931" t="s">
        <v>27</v>
      </c>
      <c r="AC931" t="s">
        <v>27</v>
      </c>
      <c r="AD931" t="s">
        <v>27</v>
      </c>
      <c r="AE931" t="s">
        <v>27</v>
      </c>
      <c r="AF931" t="s">
        <v>27</v>
      </c>
      <c r="AG931">
        <v>31.92</v>
      </c>
    </row>
    <row r="932" spans="1:33" x14ac:dyDescent="0.25">
      <c r="A932" t="s">
        <v>57</v>
      </c>
      <c r="B932" s="3">
        <v>44393</v>
      </c>
      <c r="C932">
        <v>2021197</v>
      </c>
      <c r="D932" t="s">
        <v>27</v>
      </c>
      <c r="E932" t="s">
        <v>27</v>
      </c>
      <c r="F932">
        <v>14.5</v>
      </c>
      <c r="G932">
        <v>24.5</v>
      </c>
      <c r="H932">
        <v>3.9</v>
      </c>
      <c r="I932">
        <v>57.4</v>
      </c>
      <c r="J932">
        <v>30.3</v>
      </c>
      <c r="K932">
        <v>0.8</v>
      </c>
      <c r="L932">
        <v>3</v>
      </c>
      <c r="M932">
        <v>0</v>
      </c>
      <c r="N932">
        <v>0</v>
      </c>
      <c r="O932" t="s">
        <v>27</v>
      </c>
      <c r="P932" t="s">
        <v>27</v>
      </c>
      <c r="Q932" t="s">
        <v>27</v>
      </c>
      <c r="R932" t="s">
        <v>27</v>
      </c>
      <c r="S932">
        <v>22.9</v>
      </c>
      <c r="T932">
        <v>18</v>
      </c>
      <c r="U932">
        <v>16.100000000000001</v>
      </c>
      <c r="V932">
        <v>4.4999999999999998E-2</v>
      </c>
      <c r="W932">
        <v>0.93300000000000005</v>
      </c>
      <c r="X932">
        <v>2.1459999999999999</v>
      </c>
      <c r="Y932" t="s">
        <v>27</v>
      </c>
      <c r="Z932" t="s">
        <v>27</v>
      </c>
      <c r="AA932" t="s">
        <v>27</v>
      </c>
      <c r="AB932" t="s">
        <v>27</v>
      </c>
      <c r="AC932" t="s">
        <v>27</v>
      </c>
      <c r="AD932" t="s">
        <v>27</v>
      </c>
      <c r="AE932" t="s">
        <v>27</v>
      </c>
      <c r="AF932" t="s">
        <v>27</v>
      </c>
      <c r="AG932">
        <v>31.81</v>
      </c>
    </row>
    <row r="933" spans="1:33" x14ac:dyDescent="0.25">
      <c r="A933" t="s">
        <v>57</v>
      </c>
      <c r="B933" s="3">
        <v>44394</v>
      </c>
      <c r="C933">
        <v>2021198</v>
      </c>
      <c r="D933" t="s">
        <v>27</v>
      </c>
      <c r="E933" t="s">
        <v>27</v>
      </c>
      <c r="F933">
        <v>13.5</v>
      </c>
      <c r="G933">
        <v>23.1</v>
      </c>
      <c r="H933">
        <v>3.3</v>
      </c>
      <c r="I933">
        <v>59.2</v>
      </c>
      <c r="J933">
        <v>28.4</v>
      </c>
      <c r="K933">
        <v>0.8</v>
      </c>
      <c r="L933">
        <v>3</v>
      </c>
      <c r="M933">
        <v>0</v>
      </c>
      <c r="N933">
        <v>0</v>
      </c>
      <c r="O933" t="s">
        <v>27</v>
      </c>
      <c r="P933" t="s">
        <v>27</v>
      </c>
      <c r="Q933" t="s">
        <v>27</v>
      </c>
      <c r="R933" t="s">
        <v>27</v>
      </c>
      <c r="S933">
        <v>23</v>
      </c>
      <c r="T933">
        <v>17.899999999999999</v>
      </c>
      <c r="U933">
        <v>16</v>
      </c>
      <c r="V933">
        <v>4.2000000000000003E-2</v>
      </c>
      <c r="W933">
        <v>0.8</v>
      </c>
      <c r="X933">
        <v>2.0169999999999999</v>
      </c>
      <c r="Y933" t="s">
        <v>27</v>
      </c>
      <c r="Z933" t="s">
        <v>27</v>
      </c>
      <c r="AA933" t="s">
        <v>27</v>
      </c>
      <c r="AB933" t="s">
        <v>27</v>
      </c>
      <c r="AC933" t="s">
        <v>27</v>
      </c>
      <c r="AD933" t="s">
        <v>27</v>
      </c>
      <c r="AE933" t="s">
        <v>27</v>
      </c>
      <c r="AF933" t="s">
        <v>27</v>
      </c>
      <c r="AG933">
        <v>31.7</v>
      </c>
    </row>
    <row r="934" spans="1:33" x14ac:dyDescent="0.25">
      <c r="A934" t="s">
        <v>57</v>
      </c>
      <c r="B934" s="3">
        <v>44395</v>
      </c>
      <c r="C934">
        <v>2021199</v>
      </c>
      <c r="D934" t="s">
        <v>27</v>
      </c>
      <c r="E934" t="s">
        <v>27</v>
      </c>
      <c r="F934">
        <v>15.4</v>
      </c>
      <c r="G934">
        <v>25.7</v>
      </c>
      <c r="H934">
        <v>4.2</v>
      </c>
      <c r="I934">
        <v>53.5</v>
      </c>
      <c r="J934">
        <v>22.4</v>
      </c>
      <c r="K934">
        <v>0.8</v>
      </c>
      <c r="L934">
        <v>3.2</v>
      </c>
      <c r="M934">
        <v>0</v>
      </c>
      <c r="N934">
        <v>0</v>
      </c>
      <c r="O934" t="s">
        <v>27</v>
      </c>
      <c r="P934" t="s">
        <v>27</v>
      </c>
      <c r="Q934" t="s">
        <v>27</v>
      </c>
      <c r="R934" t="s">
        <v>27</v>
      </c>
      <c r="S934">
        <v>23.7</v>
      </c>
      <c r="T934">
        <v>17.899999999999999</v>
      </c>
      <c r="U934">
        <v>16</v>
      </c>
      <c r="V934">
        <v>0.04</v>
      </c>
      <c r="W934">
        <v>0.73699999999999999</v>
      </c>
      <c r="X934">
        <v>2.5529999999999999</v>
      </c>
      <c r="Y934" t="s">
        <v>27</v>
      </c>
      <c r="Z934" t="s">
        <v>27</v>
      </c>
      <c r="AA934" t="s">
        <v>27</v>
      </c>
      <c r="AB934" t="s">
        <v>27</v>
      </c>
      <c r="AC934" t="s">
        <v>27</v>
      </c>
      <c r="AD934" t="s">
        <v>27</v>
      </c>
      <c r="AE934" t="s">
        <v>27</v>
      </c>
      <c r="AF934" t="s">
        <v>27</v>
      </c>
      <c r="AG934">
        <v>31.58</v>
      </c>
    </row>
    <row r="935" spans="1:33" x14ac:dyDescent="0.25">
      <c r="A935" t="s">
        <v>57</v>
      </c>
      <c r="B935" s="3">
        <v>44396</v>
      </c>
      <c r="C935">
        <v>2021200</v>
      </c>
      <c r="D935" t="s">
        <v>27</v>
      </c>
      <c r="E935" t="s">
        <v>27</v>
      </c>
      <c r="F935">
        <v>18.100000000000001</v>
      </c>
      <c r="G935">
        <v>28</v>
      </c>
      <c r="H935">
        <v>5.6</v>
      </c>
      <c r="I935">
        <v>45.5</v>
      </c>
      <c r="J935">
        <v>18.3</v>
      </c>
      <c r="K935">
        <v>0.8</v>
      </c>
      <c r="L935">
        <v>2.9</v>
      </c>
      <c r="M935">
        <v>0</v>
      </c>
      <c r="N935">
        <v>0</v>
      </c>
      <c r="O935" t="s">
        <v>27</v>
      </c>
      <c r="P935" t="s">
        <v>27</v>
      </c>
      <c r="Q935" t="s">
        <v>27</v>
      </c>
      <c r="R935" t="s">
        <v>27</v>
      </c>
      <c r="S935">
        <v>23.6</v>
      </c>
      <c r="T935">
        <v>18</v>
      </c>
      <c r="U935">
        <v>16</v>
      </c>
      <c r="V935">
        <v>3.7999999999999999E-2</v>
      </c>
      <c r="W935">
        <v>0.69299999999999995</v>
      </c>
      <c r="X935">
        <v>3.0939999999999999</v>
      </c>
      <c r="Y935" t="s">
        <v>27</v>
      </c>
      <c r="Z935" t="s">
        <v>27</v>
      </c>
      <c r="AA935" t="s">
        <v>27</v>
      </c>
      <c r="AB935" t="s">
        <v>27</v>
      </c>
      <c r="AC935" t="s">
        <v>27</v>
      </c>
      <c r="AD935" t="s">
        <v>27</v>
      </c>
      <c r="AE935" t="s">
        <v>27</v>
      </c>
      <c r="AF935" t="s">
        <v>27</v>
      </c>
      <c r="AG935">
        <v>31.46</v>
      </c>
    </row>
    <row r="936" spans="1:33" x14ac:dyDescent="0.25">
      <c r="A936" t="s">
        <v>57</v>
      </c>
      <c r="B936" s="3">
        <v>44397</v>
      </c>
      <c r="C936">
        <v>2021201</v>
      </c>
      <c r="D936" t="s">
        <v>27</v>
      </c>
      <c r="E936" t="s">
        <v>27</v>
      </c>
      <c r="F936">
        <v>16</v>
      </c>
      <c r="G936">
        <v>24.2</v>
      </c>
      <c r="H936">
        <v>6.2</v>
      </c>
      <c r="I936">
        <v>48.5</v>
      </c>
      <c r="J936">
        <v>25.8</v>
      </c>
      <c r="K936">
        <v>1</v>
      </c>
      <c r="L936">
        <v>2.9</v>
      </c>
      <c r="M936">
        <v>0</v>
      </c>
      <c r="N936">
        <v>0</v>
      </c>
      <c r="O936" t="s">
        <v>27</v>
      </c>
      <c r="P936" t="s">
        <v>27</v>
      </c>
      <c r="Q936" t="s">
        <v>27</v>
      </c>
      <c r="R936" t="s">
        <v>27</v>
      </c>
      <c r="S936">
        <v>23.1</v>
      </c>
      <c r="T936">
        <v>18.100000000000001</v>
      </c>
      <c r="U936">
        <v>16.100000000000001</v>
      </c>
      <c r="V936">
        <v>3.6999999999999998E-2</v>
      </c>
      <c r="W936">
        <v>0.77700000000000002</v>
      </c>
      <c r="X936">
        <v>2.2349999999999999</v>
      </c>
      <c r="Y936" t="s">
        <v>27</v>
      </c>
      <c r="Z936" t="s">
        <v>27</v>
      </c>
      <c r="AA936" t="s">
        <v>27</v>
      </c>
      <c r="AB936" t="s">
        <v>27</v>
      </c>
      <c r="AC936" t="s">
        <v>27</v>
      </c>
      <c r="AD936" t="s">
        <v>27</v>
      </c>
      <c r="AE936" t="s">
        <v>27</v>
      </c>
      <c r="AF936" t="s">
        <v>27</v>
      </c>
      <c r="AG936">
        <v>31.34</v>
      </c>
    </row>
    <row r="937" spans="1:33" x14ac:dyDescent="0.25">
      <c r="A937" t="s">
        <v>57</v>
      </c>
      <c r="B937" s="3">
        <v>44398</v>
      </c>
      <c r="C937">
        <v>2021202</v>
      </c>
      <c r="D937" t="s">
        <v>27</v>
      </c>
      <c r="E937" t="s">
        <v>27</v>
      </c>
      <c r="F937">
        <v>11.4</v>
      </c>
      <c r="G937">
        <v>19.8</v>
      </c>
      <c r="H937">
        <v>2.6</v>
      </c>
      <c r="I937">
        <v>54</v>
      </c>
      <c r="J937">
        <v>28.4</v>
      </c>
      <c r="K937">
        <v>1.1000000000000001</v>
      </c>
      <c r="L937">
        <v>3.3</v>
      </c>
      <c r="M937">
        <v>0</v>
      </c>
      <c r="N937">
        <v>0</v>
      </c>
      <c r="O937" t="s">
        <v>27</v>
      </c>
      <c r="P937" t="s">
        <v>27</v>
      </c>
      <c r="Q937" t="s">
        <v>27</v>
      </c>
      <c r="R937" t="s">
        <v>27</v>
      </c>
      <c r="S937">
        <v>21.1</v>
      </c>
      <c r="T937">
        <v>17.399999999999999</v>
      </c>
      <c r="U937">
        <v>16.100000000000001</v>
      </c>
      <c r="V937">
        <v>3.5999999999999997E-2</v>
      </c>
      <c r="W937">
        <v>0.65400000000000003</v>
      </c>
      <c r="X937">
        <v>1.649</v>
      </c>
      <c r="Y937" t="s">
        <v>27</v>
      </c>
      <c r="Z937" t="s">
        <v>27</v>
      </c>
      <c r="AA937" t="s">
        <v>27</v>
      </c>
      <c r="AB937" t="s">
        <v>27</v>
      </c>
      <c r="AC937" t="s">
        <v>27</v>
      </c>
      <c r="AD937" t="s">
        <v>27</v>
      </c>
      <c r="AE937" t="s">
        <v>27</v>
      </c>
      <c r="AF937" t="s">
        <v>27</v>
      </c>
      <c r="AG937">
        <v>31.21</v>
      </c>
    </row>
    <row r="938" spans="1:33" x14ac:dyDescent="0.25">
      <c r="A938" t="s">
        <v>57</v>
      </c>
      <c r="B938" s="3">
        <v>44399</v>
      </c>
      <c r="C938">
        <v>2021203</v>
      </c>
      <c r="D938" t="s">
        <v>27</v>
      </c>
      <c r="E938" t="s">
        <v>27</v>
      </c>
      <c r="F938">
        <v>10.1</v>
      </c>
      <c r="G938">
        <v>19.5</v>
      </c>
      <c r="H938">
        <v>-0.3</v>
      </c>
      <c r="I938">
        <v>52.1</v>
      </c>
      <c r="J938">
        <v>21.5</v>
      </c>
      <c r="K938">
        <v>1.1000000000000001</v>
      </c>
      <c r="L938">
        <v>3.6</v>
      </c>
      <c r="M938">
        <v>0</v>
      </c>
      <c r="N938">
        <v>0</v>
      </c>
      <c r="O938" t="s">
        <v>27</v>
      </c>
      <c r="P938" t="s">
        <v>27</v>
      </c>
      <c r="Q938" t="s">
        <v>27</v>
      </c>
      <c r="R938" t="s">
        <v>27</v>
      </c>
      <c r="S938">
        <v>21</v>
      </c>
      <c r="T938">
        <v>16.8</v>
      </c>
      <c r="U938">
        <v>15.8</v>
      </c>
      <c r="V938">
        <v>3.5000000000000003E-2</v>
      </c>
      <c r="W938">
        <v>0.48799999999999999</v>
      </c>
      <c r="X938">
        <v>1.782</v>
      </c>
      <c r="Y938" t="s">
        <v>27</v>
      </c>
      <c r="Z938" t="s">
        <v>27</v>
      </c>
      <c r="AA938" t="s">
        <v>27</v>
      </c>
      <c r="AB938" t="s">
        <v>27</v>
      </c>
      <c r="AC938" t="s">
        <v>27</v>
      </c>
      <c r="AD938" t="s">
        <v>27</v>
      </c>
      <c r="AE938" t="s">
        <v>27</v>
      </c>
      <c r="AF938" t="s">
        <v>27</v>
      </c>
      <c r="AG938">
        <v>31.08</v>
      </c>
    </row>
    <row r="939" spans="1:33" x14ac:dyDescent="0.25">
      <c r="A939" t="s">
        <v>57</v>
      </c>
      <c r="B939" s="3">
        <v>44400</v>
      </c>
      <c r="C939">
        <v>2021204</v>
      </c>
      <c r="D939" t="s">
        <v>27</v>
      </c>
      <c r="E939" t="s">
        <v>27</v>
      </c>
      <c r="F939">
        <v>13.1</v>
      </c>
      <c r="G939">
        <v>21.7</v>
      </c>
      <c r="H939">
        <v>3.9</v>
      </c>
      <c r="I939">
        <v>47.7</v>
      </c>
      <c r="J939">
        <v>27.6</v>
      </c>
      <c r="K939">
        <v>1.3</v>
      </c>
      <c r="L939">
        <v>4.5</v>
      </c>
      <c r="M939">
        <v>0</v>
      </c>
      <c r="N939">
        <v>0</v>
      </c>
      <c r="O939" t="s">
        <v>27</v>
      </c>
      <c r="P939" t="s">
        <v>27</v>
      </c>
      <c r="Q939" t="s">
        <v>27</v>
      </c>
      <c r="R939" t="s">
        <v>27</v>
      </c>
      <c r="S939">
        <v>22.2</v>
      </c>
      <c r="T939">
        <v>16.899999999999999</v>
      </c>
      <c r="U939">
        <v>15.7</v>
      </c>
      <c r="V939">
        <v>3.4000000000000002E-2</v>
      </c>
      <c r="W939">
        <v>0.71499999999999997</v>
      </c>
      <c r="X939">
        <v>1.8759999999999999</v>
      </c>
      <c r="Y939" t="s">
        <v>27</v>
      </c>
      <c r="Z939" t="s">
        <v>27</v>
      </c>
      <c r="AA939" t="s">
        <v>27</v>
      </c>
      <c r="AB939" t="s">
        <v>27</v>
      </c>
      <c r="AC939" t="s">
        <v>27</v>
      </c>
      <c r="AD939" t="s">
        <v>27</v>
      </c>
      <c r="AE939" t="s">
        <v>27</v>
      </c>
      <c r="AF939" t="s">
        <v>27</v>
      </c>
      <c r="AG939">
        <v>30.95</v>
      </c>
    </row>
    <row r="940" spans="1:33" x14ac:dyDescent="0.25">
      <c r="A940" t="s">
        <v>57</v>
      </c>
      <c r="B940" s="3">
        <v>44401</v>
      </c>
      <c r="C940">
        <v>2021205</v>
      </c>
      <c r="D940" t="s">
        <v>27</v>
      </c>
      <c r="E940" t="s">
        <v>27</v>
      </c>
      <c r="F940">
        <v>16.3</v>
      </c>
      <c r="G940">
        <v>26.4</v>
      </c>
      <c r="H940">
        <v>4.2</v>
      </c>
      <c r="I940">
        <v>48.2</v>
      </c>
      <c r="J940">
        <v>24.3</v>
      </c>
      <c r="K940">
        <v>1</v>
      </c>
      <c r="L940">
        <v>3.3</v>
      </c>
      <c r="M940">
        <v>0</v>
      </c>
      <c r="N940">
        <v>0</v>
      </c>
      <c r="O940" t="s">
        <v>27</v>
      </c>
      <c r="P940" t="s">
        <v>27</v>
      </c>
      <c r="Q940" t="s">
        <v>27</v>
      </c>
      <c r="R940" t="s">
        <v>27</v>
      </c>
      <c r="S940">
        <v>24.4</v>
      </c>
      <c r="T940">
        <v>17.399999999999999</v>
      </c>
      <c r="U940">
        <v>15.7</v>
      </c>
      <c r="V940">
        <v>3.4000000000000002E-2</v>
      </c>
      <c r="W940">
        <v>0.83399999999999996</v>
      </c>
      <c r="X940">
        <v>2.5979999999999999</v>
      </c>
      <c r="Y940" t="s">
        <v>27</v>
      </c>
      <c r="Z940" t="s">
        <v>27</v>
      </c>
      <c r="AA940" t="s">
        <v>27</v>
      </c>
      <c r="AB940" t="s">
        <v>27</v>
      </c>
      <c r="AC940" t="s">
        <v>27</v>
      </c>
      <c r="AD940" t="s">
        <v>27</v>
      </c>
      <c r="AE940" t="s">
        <v>27</v>
      </c>
      <c r="AF940" t="s">
        <v>27</v>
      </c>
      <c r="AG940">
        <v>30.81</v>
      </c>
    </row>
    <row r="941" spans="1:33" x14ac:dyDescent="0.25">
      <c r="A941" t="s">
        <v>57</v>
      </c>
      <c r="B941" s="3">
        <v>44402</v>
      </c>
      <c r="C941">
        <v>2021206</v>
      </c>
      <c r="D941" t="s">
        <v>27</v>
      </c>
      <c r="E941" t="s">
        <v>27</v>
      </c>
      <c r="F941">
        <v>16.8</v>
      </c>
      <c r="G941">
        <v>27.2</v>
      </c>
      <c r="H941">
        <v>5.4</v>
      </c>
      <c r="I941">
        <v>47.4</v>
      </c>
      <c r="J941">
        <v>18.899999999999999</v>
      </c>
      <c r="K941">
        <v>0.9</v>
      </c>
      <c r="L941">
        <v>3.4</v>
      </c>
      <c r="M941">
        <v>0</v>
      </c>
      <c r="N941">
        <v>0</v>
      </c>
      <c r="O941" t="s">
        <v>27</v>
      </c>
      <c r="P941" t="s">
        <v>27</v>
      </c>
      <c r="Q941" t="s">
        <v>27</v>
      </c>
      <c r="R941" t="s">
        <v>27</v>
      </c>
      <c r="S941">
        <v>24.8</v>
      </c>
      <c r="T941">
        <v>17.899999999999999</v>
      </c>
      <c r="U941">
        <v>15.8</v>
      </c>
      <c r="V941">
        <v>3.3000000000000002E-2</v>
      </c>
      <c r="W941">
        <v>0.68</v>
      </c>
      <c r="X941">
        <v>2.9180000000000001</v>
      </c>
      <c r="Y941" t="s">
        <v>27</v>
      </c>
      <c r="Z941" t="s">
        <v>27</v>
      </c>
      <c r="AA941" t="s">
        <v>27</v>
      </c>
      <c r="AB941" t="s">
        <v>27</v>
      </c>
      <c r="AC941" t="s">
        <v>27</v>
      </c>
      <c r="AD941" t="s">
        <v>27</v>
      </c>
      <c r="AE941" t="s">
        <v>27</v>
      </c>
      <c r="AF941" t="s">
        <v>27</v>
      </c>
      <c r="AG941">
        <v>30.67</v>
      </c>
    </row>
    <row r="942" spans="1:33" x14ac:dyDescent="0.25">
      <c r="A942" t="s">
        <v>57</v>
      </c>
      <c r="B942" s="3">
        <v>44403</v>
      </c>
      <c r="C942">
        <v>2021207</v>
      </c>
      <c r="D942" t="s">
        <v>27</v>
      </c>
      <c r="E942" t="s">
        <v>27</v>
      </c>
      <c r="F942">
        <v>16.8</v>
      </c>
      <c r="G942">
        <v>27.2</v>
      </c>
      <c r="H942">
        <v>5</v>
      </c>
      <c r="I942">
        <v>47.7</v>
      </c>
      <c r="J942">
        <v>20.6</v>
      </c>
      <c r="K942">
        <v>0.8</v>
      </c>
      <c r="L942">
        <v>3.4</v>
      </c>
      <c r="M942">
        <v>0</v>
      </c>
      <c r="N942">
        <v>0</v>
      </c>
      <c r="O942" t="s">
        <v>27</v>
      </c>
      <c r="P942" t="s">
        <v>27</v>
      </c>
      <c r="Q942" t="s">
        <v>27</v>
      </c>
      <c r="R942" t="s">
        <v>27</v>
      </c>
      <c r="S942">
        <v>24.8</v>
      </c>
      <c r="T942">
        <v>18.100000000000001</v>
      </c>
      <c r="U942">
        <v>16</v>
      </c>
      <c r="V942">
        <v>3.3000000000000002E-2</v>
      </c>
      <c r="W942">
        <v>0.74099999999999999</v>
      </c>
      <c r="X942">
        <v>2.8559999999999999</v>
      </c>
      <c r="Y942" t="s">
        <v>27</v>
      </c>
      <c r="Z942" t="s">
        <v>27</v>
      </c>
      <c r="AA942" t="s">
        <v>27</v>
      </c>
      <c r="AB942" t="s">
        <v>27</v>
      </c>
      <c r="AC942" t="s">
        <v>27</v>
      </c>
      <c r="AD942" t="s">
        <v>27</v>
      </c>
      <c r="AE942" t="s">
        <v>27</v>
      </c>
      <c r="AF942" t="s">
        <v>27</v>
      </c>
      <c r="AG942">
        <v>30.52</v>
      </c>
    </row>
    <row r="943" spans="1:33" x14ac:dyDescent="0.25">
      <c r="A943" t="s">
        <v>57</v>
      </c>
      <c r="B943" s="3">
        <v>44404</v>
      </c>
      <c r="C943">
        <v>2021208</v>
      </c>
      <c r="D943" t="s">
        <v>27</v>
      </c>
      <c r="E943" t="s">
        <v>27</v>
      </c>
      <c r="F943">
        <v>16.100000000000001</v>
      </c>
      <c r="G943">
        <v>27.3</v>
      </c>
      <c r="H943">
        <v>5.8</v>
      </c>
      <c r="I943">
        <v>47</v>
      </c>
      <c r="J943">
        <v>14.6</v>
      </c>
      <c r="K943">
        <v>0.5</v>
      </c>
      <c r="L943">
        <v>3</v>
      </c>
      <c r="M943">
        <v>0</v>
      </c>
      <c r="N943">
        <v>0</v>
      </c>
      <c r="O943" t="s">
        <v>27</v>
      </c>
      <c r="P943" t="s">
        <v>27</v>
      </c>
      <c r="Q943" t="s">
        <v>27</v>
      </c>
      <c r="R943" t="s">
        <v>27</v>
      </c>
      <c r="S943">
        <v>22.2</v>
      </c>
      <c r="T943">
        <v>17.8</v>
      </c>
      <c r="U943">
        <v>16.100000000000001</v>
      </c>
      <c r="V943">
        <v>3.3000000000000002E-2</v>
      </c>
      <c r="W943">
        <v>0.52800000000000002</v>
      </c>
      <c r="X943">
        <v>3.0880000000000001</v>
      </c>
      <c r="Y943" t="s">
        <v>27</v>
      </c>
      <c r="Z943" t="s">
        <v>27</v>
      </c>
      <c r="AA943" t="s">
        <v>27</v>
      </c>
      <c r="AB943" t="s">
        <v>27</v>
      </c>
      <c r="AC943" t="s">
        <v>27</v>
      </c>
      <c r="AD943" t="s">
        <v>27</v>
      </c>
      <c r="AE943" t="s">
        <v>27</v>
      </c>
      <c r="AF943" t="s">
        <v>27</v>
      </c>
      <c r="AG943">
        <v>30.38</v>
      </c>
    </row>
    <row r="944" spans="1:33" x14ac:dyDescent="0.25">
      <c r="A944" t="s">
        <v>57</v>
      </c>
      <c r="B944" s="3">
        <v>44405</v>
      </c>
      <c r="C944">
        <v>2021209</v>
      </c>
      <c r="D944" t="s">
        <v>27</v>
      </c>
      <c r="E944" t="s">
        <v>27</v>
      </c>
      <c r="F944">
        <v>16.7</v>
      </c>
      <c r="G944">
        <v>26.2</v>
      </c>
      <c r="H944">
        <v>5.3</v>
      </c>
      <c r="I944">
        <v>49.6</v>
      </c>
      <c r="J944">
        <v>21.1</v>
      </c>
      <c r="K944">
        <v>0.6</v>
      </c>
      <c r="L944">
        <v>3</v>
      </c>
      <c r="M944">
        <v>0</v>
      </c>
      <c r="N944">
        <v>0</v>
      </c>
      <c r="O944" t="s">
        <v>27</v>
      </c>
      <c r="P944" t="s">
        <v>27</v>
      </c>
      <c r="Q944" t="s">
        <v>27</v>
      </c>
      <c r="R944" t="s">
        <v>27</v>
      </c>
      <c r="S944">
        <v>22.7</v>
      </c>
      <c r="T944">
        <v>17.7</v>
      </c>
      <c r="U944">
        <v>16.100000000000001</v>
      </c>
      <c r="V944">
        <v>3.2000000000000001E-2</v>
      </c>
      <c r="W944">
        <v>0.71799999999999997</v>
      </c>
      <c r="X944">
        <v>2.6850000000000001</v>
      </c>
      <c r="Y944" t="s">
        <v>27</v>
      </c>
      <c r="Z944" t="s">
        <v>27</v>
      </c>
      <c r="AA944" t="s">
        <v>27</v>
      </c>
      <c r="AB944" t="s">
        <v>27</v>
      </c>
      <c r="AC944" t="s">
        <v>27</v>
      </c>
      <c r="AD944" t="s">
        <v>27</v>
      </c>
      <c r="AE944" t="s">
        <v>27</v>
      </c>
      <c r="AF944" t="s">
        <v>27</v>
      </c>
      <c r="AG944">
        <v>30.22</v>
      </c>
    </row>
    <row r="945" spans="1:33" x14ac:dyDescent="0.25">
      <c r="A945" t="s">
        <v>57</v>
      </c>
      <c r="B945" s="3">
        <v>44406</v>
      </c>
      <c r="C945">
        <v>2021210</v>
      </c>
      <c r="D945" t="s">
        <v>27</v>
      </c>
      <c r="E945" t="s">
        <v>27</v>
      </c>
      <c r="F945">
        <v>18.399999999999999</v>
      </c>
      <c r="G945">
        <v>28.4</v>
      </c>
      <c r="H945">
        <v>6.8</v>
      </c>
      <c r="I945">
        <v>46.7</v>
      </c>
      <c r="J945">
        <v>13.7</v>
      </c>
      <c r="K945">
        <v>0.6</v>
      </c>
      <c r="L945">
        <v>2.8</v>
      </c>
      <c r="M945">
        <v>0</v>
      </c>
      <c r="N945">
        <v>0</v>
      </c>
      <c r="O945" t="s">
        <v>27</v>
      </c>
      <c r="P945" t="s">
        <v>27</v>
      </c>
      <c r="Q945" t="s">
        <v>27</v>
      </c>
      <c r="R945" t="s">
        <v>27</v>
      </c>
      <c r="S945">
        <v>23.9</v>
      </c>
      <c r="T945">
        <v>17.8</v>
      </c>
      <c r="U945">
        <v>16.100000000000001</v>
      </c>
      <c r="V945">
        <v>3.2000000000000001E-2</v>
      </c>
      <c r="W945">
        <v>0.53</v>
      </c>
      <c r="X945">
        <v>3.339</v>
      </c>
      <c r="Y945" t="s">
        <v>27</v>
      </c>
      <c r="Z945" t="s">
        <v>27</v>
      </c>
      <c r="AA945" t="s">
        <v>27</v>
      </c>
      <c r="AB945" t="s">
        <v>27</v>
      </c>
      <c r="AC945" t="s">
        <v>27</v>
      </c>
      <c r="AD945" t="s">
        <v>27</v>
      </c>
      <c r="AE945" t="s">
        <v>27</v>
      </c>
      <c r="AF945" t="s">
        <v>27</v>
      </c>
      <c r="AG945">
        <v>30.07</v>
      </c>
    </row>
    <row r="946" spans="1:33" x14ac:dyDescent="0.25">
      <c r="A946" t="s">
        <v>57</v>
      </c>
      <c r="B946" s="3">
        <v>44407</v>
      </c>
      <c r="C946">
        <v>2021211</v>
      </c>
      <c r="D946" t="s">
        <v>27</v>
      </c>
      <c r="E946" t="s">
        <v>27</v>
      </c>
      <c r="F946">
        <v>20</v>
      </c>
      <c r="G946">
        <v>32.200000000000003</v>
      </c>
      <c r="H946">
        <v>8.5</v>
      </c>
      <c r="I946">
        <v>44.1</v>
      </c>
      <c r="J946">
        <v>13.4</v>
      </c>
      <c r="K946">
        <v>0.5</v>
      </c>
      <c r="L946">
        <v>2.9</v>
      </c>
      <c r="M946">
        <v>0</v>
      </c>
      <c r="N946">
        <v>0</v>
      </c>
      <c r="O946" t="s">
        <v>27</v>
      </c>
      <c r="P946" t="s">
        <v>27</v>
      </c>
      <c r="Q946" t="s">
        <v>27</v>
      </c>
      <c r="R946" t="s">
        <v>27</v>
      </c>
      <c r="S946">
        <v>25.1</v>
      </c>
      <c r="T946">
        <v>18.3</v>
      </c>
      <c r="U946">
        <v>16.2</v>
      </c>
      <c r="V946">
        <v>3.2000000000000001E-2</v>
      </c>
      <c r="W946">
        <v>0.64200000000000002</v>
      </c>
      <c r="X946">
        <v>4.149</v>
      </c>
      <c r="Y946" t="s">
        <v>27</v>
      </c>
      <c r="Z946" t="s">
        <v>27</v>
      </c>
      <c r="AA946" t="s">
        <v>27</v>
      </c>
      <c r="AB946" t="s">
        <v>27</v>
      </c>
      <c r="AC946" t="s">
        <v>27</v>
      </c>
      <c r="AD946" t="s">
        <v>27</v>
      </c>
      <c r="AE946" t="s">
        <v>27</v>
      </c>
      <c r="AF946" t="s">
        <v>27</v>
      </c>
      <c r="AG946">
        <v>29.91</v>
      </c>
    </row>
    <row r="947" spans="1:33" x14ac:dyDescent="0.25">
      <c r="A947" t="s">
        <v>57</v>
      </c>
      <c r="B947" s="3">
        <v>44408</v>
      </c>
      <c r="C947">
        <v>2021212</v>
      </c>
      <c r="D947" t="s">
        <v>27</v>
      </c>
      <c r="E947" t="s">
        <v>27</v>
      </c>
      <c r="F947">
        <v>23</v>
      </c>
      <c r="G947">
        <v>33.700000000000003</v>
      </c>
      <c r="H947">
        <v>11.8</v>
      </c>
      <c r="I947">
        <v>37.6</v>
      </c>
      <c r="J947">
        <v>14.4</v>
      </c>
      <c r="K947">
        <v>0.8</v>
      </c>
      <c r="L947">
        <v>2.6</v>
      </c>
      <c r="M947">
        <v>0</v>
      </c>
      <c r="N947">
        <v>0</v>
      </c>
      <c r="O947" t="s">
        <v>27</v>
      </c>
      <c r="P947" t="s">
        <v>27</v>
      </c>
      <c r="Q947" t="s">
        <v>27</v>
      </c>
      <c r="R947" t="s">
        <v>27</v>
      </c>
      <c r="S947">
        <v>26.1</v>
      </c>
      <c r="T947">
        <v>18.7</v>
      </c>
      <c r="U947">
        <v>16.399999999999999</v>
      </c>
      <c r="V947">
        <v>3.2000000000000001E-2</v>
      </c>
      <c r="W947">
        <v>0.754</v>
      </c>
      <c r="X947">
        <v>4.4820000000000002</v>
      </c>
      <c r="Y947" t="s">
        <v>27</v>
      </c>
      <c r="Z947" t="s">
        <v>27</v>
      </c>
      <c r="AA947" t="s">
        <v>27</v>
      </c>
      <c r="AB947" t="s">
        <v>27</v>
      </c>
      <c r="AC947" t="s">
        <v>27</v>
      </c>
      <c r="AD947" t="s">
        <v>27</v>
      </c>
      <c r="AE947" t="s">
        <v>27</v>
      </c>
      <c r="AF947" t="s">
        <v>27</v>
      </c>
      <c r="AG947">
        <v>29.74</v>
      </c>
    </row>
    <row r="948" spans="1:33" x14ac:dyDescent="0.25">
      <c r="A948" t="s">
        <v>57</v>
      </c>
      <c r="B948" s="3">
        <v>44409</v>
      </c>
      <c r="C948">
        <v>2021213</v>
      </c>
      <c r="D948" t="s">
        <v>27</v>
      </c>
      <c r="E948" t="s">
        <v>27</v>
      </c>
      <c r="F948">
        <v>17.100000000000001</v>
      </c>
      <c r="G948">
        <v>21.5</v>
      </c>
      <c r="H948">
        <v>14.1</v>
      </c>
      <c r="I948">
        <v>73.400000000000006</v>
      </c>
      <c r="J948">
        <v>36.700000000000003</v>
      </c>
      <c r="K948">
        <v>0.2</v>
      </c>
      <c r="L948">
        <v>1.9</v>
      </c>
      <c r="M948">
        <v>4.3</v>
      </c>
      <c r="N948">
        <v>0</v>
      </c>
      <c r="O948" t="s">
        <v>27</v>
      </c>
      <c r="P948" t="s">
        <v>27</v>
      </c>
      <c r="Q948" t="s">
        <v>27</v>
      </c>
      <c r="R948" t="s">
        <v>27</v>
      </c>
      <c r="S948">
        <v>17.600000000000001</v>
      </c>
      <c r="T948">
        <v>18</v>
      </c>
      <c r="U948">
        <v>16.600000000000001</v>
      </c>
      <c r="V948">
        <v>3.2000000000000001E-2</v>
      </c>
      <c r="W948">
        <v>0.93799999999999994</v>
      </c>
      <c r="X948">
        <v>1.6180000000000001</v>
      </c>
      <c r="Y948" t="s">
        <v>27</v>
      </c>
      <c r="Z948" t="s">
        <v>27</v>
      </c>
      <c r="AA948" t="s">
        <v>27</v>
      </c>
      <c r="AB948" t="s">
        <v>27</v>
      </c>
      <c r="AC948" t="s">
        <v>27</v>
      </c>
      <c r="AD948" t="s">
        <v>27</v>
      </c>
      <c r="AE948" t="s">
        <v>27</v>
      </c>
      <c r="AF948" t="s">
        <v>27</v>
      </c>
      <c r="AG948">
        <v>29.59</v>
      </c>
    </row>
    <row r="949" spans="1:33" x14ac:dyDescent="0.25">
      <c r="A949" t="s">
        <v>57</v>
      </c>
      <c r="B949" s="3">
        <v>44410</v>
      </c>
      <c r="C949">
        <v>2021214</v>
      </c>
      <c r="D949" t="s">
        <v>27</v>
      </c>
      <c r="E949" t="s">
        <v>27</v>
      </c>
      <c r="F949">
        <v>18</v>
      </c>
      <c r="G949">
        <v>26.7</v>
      </c>
      <c r="H949">
        <v>9.3000000000000007</v>
      </c>
      <c r="I949">
        <v>68.7</v>
      </c>
      <c r="J949">
        <v>24.5</v>
      </c>
      <c r="K949">
        <v>0.8</v>
      </c>
      <c r="L949">
        <v>3.9</v>
      </c>
      <c r="M949">
        <v>0</v>
      </c>
      <c r="N949">
        <v>0</v>
      </c>
      <c r="O949" t="s">
        <v>27</v>
      </c>
      <c r="P949" t="s">
        <v>27</v>
      </c>
      <c r="Q949" t="s">
        <v>27</v>
      </c>
      <c r="R949" t="s">
        <v>27</v>
      </c>
      <c r="S949">
        <v>20.5</v>
      </c>
      <c r="T949">
        <v>17.8</v>
      </c>
      <c r="U949">
        <v>16.3</v>
      </c>
      <c r="V949">
        <v>3.4000000000000002E-2</v>
      </c>
      <c r="W949">
        <v>0.85599999999999998</v>
      </c>
      <c r="X949">
        <v>2.6379999999999999</v>
      </c>
      <c r="Y949" t="s">
        <v>27</v>
      </c>
      <c r="Z949" t="s">
        <v>27</v>
      </c>
      <c r="AA949" t="s">
        <v>27</v>
      </c>
      <c r="AB949" t="s">
        <v>27</v>
      </c>
      <c r="AC949" t="s">
        <v>27</v>
      </c>
      <c r="AD949" t="s">
        <v>27</v>
      </c>
      <c r="AE949" t="s">
        <v>27</v>
      </c>
      <c r="AF949" t="s">
        <v>27</v>
      </c>
      <c r="AG949">
        <v>29.42</v>
      </c>
    </row>
    <row r="950" spans="1:33" x14ac:dyDescent="0.25">
      <c r="A950" t="s">
        <v>57</v>
      </c>
      <c r="B950" s="3">
        <v>44411</v>
      </c>
      <c r="C950">
        <v>2021215</v>
      </c>
      <c r="D950" t="s">
        <v>27</v>
      </c>
      <c r="E950" t="s">
        <v>27</v>
      </c>
      <c r="F950">
        <v>19</v>
      </c>
      <c r="G950">
        <v>28.7</v>
      </c>
      <c r="H950">
        <v>6.9</v>
      </c>
      <c r="I950">
        <v>44.3</v>
      </c>
      <c r="J950">
        <v>17.899999999999999</v>
      </c>
      <c r="K950">
        <v>0.6</v>
      </c>
      <c r="L950">
        <v>2.9</v>
      </c>
      <c r="M950">
        <v>0</v>
      </c>
      <c r="N950">
        <v>0</v>
      </c>
      <c r="O950" t="s">
        <v>27</v>
      </c>
      <c r="P950" t="s">
        <v>27</v>
      </c>
      <c r="Q950" t="s">
        <v>27</v>
      </c>
      <c r="R950" t="s">
        <v>27</v>
      </c>
      <c r="S950">
        <v>20.8</v>
      </c>
      <c r="T950">
        <v>17.600000000000001</v>
      </c>
      <c r="U950">
        <v>16.2</v>
      </c>
      <c r="V950">
        <v>3.3000000000000002E-2</v>
      </c>
      <c r="W950">
        <v>0.70399999999999996</v>
      </c>
      <c r="X950">
        <v>3.2290000000000001</v>
      </c>
      <c r="Y950" t="s">
        <v>27</v>
      </c>
      <c r="Z950" t="s">
        <v>27</v>
      </c>
      <c r="AA950" t="s">
        <v>27</v>
      </c>
      <c r="AB950" t="s">
        <v>27</v>
      </c>
      <c r="AC950" t="s">
        <v>27</v>
      </c>
      <c r="AD950" t="s">
        <v>27</v>
      </c>
      <c r="AE950" t="s">
        <v>27</v>
      </c>
      <c r="AF950" t="s">
        <v>27</v>
      </c>
      <c r="AG950">
        <v>29.25</v>
      </c>
    </row>
    <row r="951" spans="1:33" x14ac:dyDescent="0.25">
      <c r="A951" t="s">
        <v>57</v>
      </c>
      <c r="B951" s="3">
        <v>44412</v>
      </c>
      <c r="C951">
        <v>2021216</v>
      </c>
      <c r="D951">
        <v>24.24</v>
      </c>
      <c r="E951" t="s">
        <v>27</v>
      </c>
      <c r="F951">
        <v>19</v>
      </c>
      <c r="G951">
        <v>28.1</v>
      </c>
      <c r="H951">
        <v>10.1</v>
      </c>
      <c r="I951">
        <v>45.5</v>
      </c>
      <c r="J951">
        <v>20.7</v>
      </c>
      <c r="K951">
        <v>0.6</v>
      </c>
      <c r="L951">
        <v>2.7</v>
      </c>
      <c r="M951">
        <v>0</v>
      </c>
      <c r="N951">
        <v>0</v>
      </c>
      <c r="O951" t="s">
        <v>27</v>
      </c>
      <c r="P951">
        <v>21.8</v>
      </c>
      <c r="Q951">
        <v>31.6</v>
      </c>
      <c r="R951">
        <v>8.5</v>
      </c>
      <c r="S951">
        <v>23.2</v>
      </c>
      <c r="T951">
        <v>18.2</v>
      </c>
      <c r="U951" t="s">
        <v>27</v>
      </c>
      <c r="V951">
        <v>3.2000000000000001E-2</v>
      </c>
      <c r="W951">
        <v>0.78600000000000003</v>
      </c>
      <c r="X951">
        <v>3.0110000000000001</v>
      </c>
      <c r="Y951" t="s">
        <v>27</v>
      </c>
      <c r="Z951" t="s">
        <v>27</v>
      </c>
      <c r="AA951" t="s">
        <v>27</v>
      </c>
      <c r="AB951" t="s">
        <v>27</v>
      </c>
      <c r="AC951" t="s">
        <v>27</v>
      </c>
      <c r="AD951" t="s">
        <v>27</v>
      </c>
      <c r="AE951" t="s">
        <v>27</v>
      </c>
      <c r="AF951" t="s">
        <v>27</v>
      </c>
      <c r="AG951">
        <v>29.08</v>
      </c>
    </row>
    <row r="952" spans="1:33" x14ac:dyDescent="0.25">
      <c r="A952" t="s">
        <v>57</v>
      </c>
      <c r="B952" s="3">
        <v>44413</v>
      </c>
      <c r="C952">
        <v>2021217</v>
      </c>
      <c r="D952">
        <v>24.67</v>
      </c>
      <c r="E952" t="s">
        <v>27</v>
      </c>
      <c r="F952">
        <v>19.100000000000001</v>
      </c>
      <c r="G952">
        <v>28.4</v>
      </c>
      <c r="H952">
        <v>7.7</v>
      </c>
      <c r="I952">
        <v>43</v>
      </c>
      <c r="J952">
        <v>20.100000000000001</v>
      </c>
      <c r="K952">
        <v>1</v>
      </c>
      <c r="L952">
        <v>3.8</v>
      </c>
      <c r="M952">
        <v>0</v>
      </c>
      <c r="N952">
        <v>0</v>
      </c>
      <c r="O952" t="s">
        <v>27</v>
      </c>
      <c r="P952">
        <v>19.2</v>
      </c>
      <c r="Q952">
        <v>31.8</v>
      </c>
      <c r="R952">
        <v>6.3</v>
      </c>
      <c r="S952">
        <v>22.7</v>
      </c>
      <c r="T952">
        <v>18</v>
      </c>
      <c r="U952" t="s">
        <v>27</v>
      </c>
      <c r="V952">
        <v>3.2000000000000001E-2</v>
      </c>
      <c r="W952">
        <v>0.77900000000000003</v>
      </c>
      <c r="X952">
        <v>3.097</v>
      </c>
      <c r="Y952" t="s">
        <v>27</v>
      </c>
      <c r="Z952" t="s">
        <v>27</v>
      </c>
      <c r="AA952" t="s">
        <v>27</v>
      </c>
      <c r="AB952" t="s">
        <v>27</v>
      </c>
      <c r="AC952" t="s">
        <v>27</v>
      </c>
      <c r="AD952" t="s">
        <v>27</v>
      </c>
      <c r="AE952" t="s">
        <v>27</v>
      </c>
      <c r="AF952" t="s">
        <v>27</v>
      </c>
      <c r="AG952">
        <v>28.91</v>
      </c>
    </row>
    <row r="953" spans="1:33" x14ac:dyDescent="0.25">
      <c r="A953" t="s">
        <v>57</v>
      </c>
      <c r="B953" s="3">
        <v>44414</v>
      </c>
      <c r="C953">
        <v>2021218</v>
      </c>
      <c r="D953">
        <v>19.739999999999998</v>
      </c>
      <c r="E953" t="s">
        <v>27</v>
      </c>
      <c r="F953">
        <v>14.9</v>
      </c>
      <c r="G953">
        <v>22.5</v>
      </c>
      <c r="H953">
        <v>10</v>
      </c>
      <c r="I953">
        <v>62.6</v>
      </c>
      <c r="J953">
        <v>29.2</v>
      </c>
      <c r="K953">
        <v>1.3</v>
      </c>
      <c r="L953">
        <v>4.3</v>
      </c>
      <c r="M953">
        <v>1.3</v>
      </c>
      <c r="N953">
        <v>0</v>
      </c>
      <c r="O953" t="s">
        <v>27</v>
      </c>
      <c r="P953">
        <v>15</v>
      </c>
      <c r="Q953">
        <v>26.7</v>
      </c>
      <c r="R953">
        <v>8.6999999999999993</v>
      </c>
      <c r="S953">
        <v>20.8</v>
      </c>
      <c r="T953">
        <v>17.899999999999999</v>
      </c>
      <c r="U953" t="s">
        <v>27</v>
      </c>
      <c r="V953">
        <v>3.2000000000000001E-2</v>
      </c>
      <c r="W953">
        <v>0.79600000000000004</v>
      </c>
      <c r="X953">
        <v>1.93</v>
      </c>
      <c r="Y953" t="s">
        <v>27</v>
      </c>
      <c r="Z953" t="s">
        <v>27</v>
      </c>
      <c r="AA953" t="s">
        <v>27</v>
      </c>
      <c r="AB953" t="s">
        <v>27</v>
      </c>
      <c r="AC953" t="s">
        <v>27</v>
      </c>
      <c r="AD953" t="s">
        <v>27</v>
      </c>
      <c r="AE953" t="s">
        <v>27</v>
      </c>
      <c r="AF953" t="s">
        <v>27</v>
      </c>
      <c r="AG953">
        <v>28.73</v>
      </c>
    </row>
    <row r="954" spans="1:33" x14ac:dyDescent="0.25">
      <c r="A954" t="s">
        <v>57</v>
      </c>
      <c r="B954" s="3">
        <v>44415</v>
      </c>
      <c r="C954">
        <v>2021219</v>
      </c>
      <c r="D954">
        <v>10.31</v>
      </c>
      <c r="E954" t="s">
        <v>27</v>
      </c>
      <c r="F954">
        <v>11.7</v>
      </c>
      <c r="G954">
        <v>18</v>
      </c>
      <c r="H954">
        <v>5.4</v>
      </c>
      <c r="I954">
        <v>84.2</v>
      </c>
      <c r="J954">
        <v>56.3</v>
      </c>
      <c r="K954">
        <v>0.7</v>
      </c>
      <c r="L954">
        <v>3.2</v>
      </c>
      <c r="M954">
        <v>8.6999999999999993</v>
      </c>
      <c r="N954">
        <v>0</v>
      </c>
      <c r="O954" t="s">
        <v>27</v>
      </c>
      <c r="P954">
        <v>11.5</v>
      </c>
      <c r="Q954">
        <v>20.8</v>
      </c>
      <c r="R954">
        <v>4.5999999999999996</v>
      </c>
      <c r="S954">
        <v>15</v>
      </c>
      <c r="T954">
        <v>16.7</v>
      </c>
      <c r="U954" t="s">
        <v>27</v>
      </c>
      <c r="V954">
        <v>3.6999999999999998E-2</v>
      </c>
      <c r="W954">
        <v>1.165</v>
      </c>
      <c r="X954">
        <v>0.90400000000000003</v>
      </c>
      <c r="Y954" t="s">
        <v>27</v>
      </c>
      <c r="Z954" t="s">
        <v>27</v>
      </c>
      <c r="AA954" t="s">
        <v>27</v>
      </c>
      <c r="AB954" t="s">
        <v>27</v>
      </c>
      <c r="AC954" t="s">
        <v>27</v>
      </c>
      <c r="AD954" t="s">
        <v>27</v>
      </c>
      <c r="AE954" t="s">
        <v>27</v>
      </c>
      <c r="AF954" t="s">
        <v>27</v>
      </c>
      <c r="AG954">
        <v>28.55</v>
      </c>
    </row>
    <row r="955" spans="1:33" x14ac:dyDescent="0.25">
      <c r="A955" t="s">
        <v>57</v>
      </c>
      <c r="B955" s="3">
        <v>44416</v>
      </c>
      <c r="C955">
        <v>2021220</v>
      </c>
      <c r="D955">
        <v>6.28</v>
      </c>
      <c r="E955" t="s">
        <v>27</v>
      </c>
      <c r="F955">
        <v>7.8</v>
      </c>
      <c r="G955">
        <v>13.8</v>
      </c>
      <c r="H955">
        <v>3.3</v>
      </c>
      <c r="I955">
        <v>90.4</v>
      </c>
      <c r="J955">
        <v>63.5</v>
      </c>
      <c r="K955">
        <v>0.6</v>
      </c>
      <c r="L955">
        <v>3.4</v>
      </c>
      <c r="M955">
        <v>8.3000000000000007</v>
      </c>
      <c r="N955">
        <v>0</v>
      </c>
      <c r="O955" t="s">
        <v>27</v>
      </c>
      <c r="P955">
        <v>7.2</v>
      </c>
      <c r="Q955">
        <v>13.6</v>
      </c>
      <c r="R955">
        <v>2.2000000000000002</v>
      </c>
      <c r="S955">
        <v>10.4</v>
      </c>
      <c r="T955">
        <v>14</v>
      </c>
      <c r="U955" t="s">
        <v>27</v>
      </c>
      <c r="V955">
        <v>0.16700000000000001</v>
      </c>
      <c r="W955">
        <v>1.004</v>
      </c>
      <c r="X955">
        <v>0.57699999999999996</v>
      </c>
      <c r="Y955" t="s">
        <v>27</v>
      </c>
      <c r="Z955" t="s">
        <v>27</v>
      </c>
      <c r="AA955" t="s">
        <v>27</v>
      </c>
      <c r="AB955" t="s">
        <v>27</v>
      </c>
      <c r="AC955" t="s">
        <v>27</v>
      </c>
      <c r="AD955" t="s">
        <v>27</v>
      </c>
      <c r="AE955" t="s">
        <v>27</v>
      </c>
      <c r="AF955" t="s">
        <v>27</v>
      </c>
      <c r="AG955">
        <v>28.36</v>
      </c>
    </row>
    <row r="956" spans="1:33" x14ac:dyDescent="0.25">
      <c r="A956" t="s">
        <v>57</v>
      </c>
      <c r="B956" s="3">
        <v>44417</v>
      </c>
      <c r="C956">
        <v>2021221</v>
      </c>
      <c r="D956">
        <v>24.99</v>
      </c>
      <c r="E956" t="s">
        <v>27</v>
      </c>
      <c r="F956">
        <v>12.3</v>
      </c>
      <c r="G956">
        <v>21.9</v>
      </c>
      <c r="H956">
        <v>1.1000000000000001</v>
      </c>
      <c r="I956">
        <v>70.7</v>
      </c>
      <c r="J956">
        <v>35.799999999999997</v>
      </c>
      <c r="K956">
        <v>0.7</v>
      </c>
      <c r="L956">
        <v>3.1</v>
      </c>
      <c r="M956">
        <v>0</v>
      </c>
      <c r="N956">
        <v>0</v>
      </c>
      <c r="O956" t="s">
        <v>27</v>
      </c>
      <c r="P956">
        <v>12.7</v>
      </c>
      <c r="Q956">
        <v>25.4</v>
      </c>
      <c r="R956">
        <v>-0.3</v>
      </c>
      <c r="S956">
        <v>15.2</v>
      </c>
      <c r="T956">
        <v>14.2</v>
      </c>
      <c r="U956" t="s">
        <v>27</v>
      </c>
      <c r="V956">
        <v>0.11799999999999999</v>
      </c>
      <c r="W956">
        <v>0.93899999999999995</v>
      </c>
      <c r="X956">
        <v>1.6839999999999999</v>
      </c>
      <c r="Y956" t="s">
        <v>27</v>
      </c>
      <c r="Z956" t="s">
        <v>27</v>
      </c>
      <c r="AA956" t="s">
        <v>27</v>
      </c>
      <c r="AB956" t="s">
        <v>27</v>
      </c>
      <c r="AC956" t="s">
        <v>27</v>
      </c>
      <c r="AD956" t="s">
        <v>27</v>
      </c>
      <c r="AE956" t="s">
        <v>27</v>
      </c>
      <c r="AF956" t="s">
        <v>27</v>
      </c>
      <c r="AG956">
        <v>28.17</v>
      </c>
    </row>
    <row r="957" spans="1:33" x14ac:dyDescent="0.25">
      <c r="A957" t="s">
        <v>57</v>
      </c>
      <c r="B957" s="3">
        <v>44418</v>
      </c>
      <c r="C957">
        <v>2021222</v>
      </c>
      <c r="D957">
        <v>22.19</v>
      </c>
      <c r="E957" t="s">
        <v>27</v>
      </c>
      <c r="F957">
        <v>15.4</v>
      </c>
      <c r="G957">
        <v>22.7</v>
      </c>
      <c r="H957">
        <v>6.8</v>
      </c>
      <c r="I957">
        <v>69.400000000000006</v>
      </c>
      <c r="J957">
        <v>46.2</v>
      </c>
      <c r="K957">
        <v>0.7</v>
      </c>
      <c r="L957">
        <v>3.7</v>
      </c>
      <c r="M957">
        <v>0</v>
      </c>
      <c r="N957">
        <v>0</v>
      </c>
      <c r="O957" t="s">
        <v>27</v>
      </c>
      <c r="P957">
        <v>15.5</v>
      </c>
      <c r="Q957">
        <v>26.5</v>
      </c>
      <c r="R957">
        <v>5.6</v>
      </c>
      <c r="S957">
        <v>18.600000000000001</v>
      </c>
      <c r="T957">
        <v>15.7</v>
      </c>
      <c r="U957" t="s">
        <v>27</v>
      </c>
      <c r="V957">
        <v>0.10199999999999999</v>
      </c>
      <c r="W957">
        <v>1.2749999999999999</v>
      </c>
      <c r="X957">
        <v>1.4850000000000001</v>
      </c>
      <c r="Y957" t="s">
        <v>27</v>
      </c>
      <c r="Z957" t="s">
        <v>27</v>
      </c>
      <c r="AA957" t="s">
        <v>27</v>
      </c>
      <c r="AB957" t="s">
        <v>27</v>
      </c>
      <c r="AC957" t="s">
        <v>27</v>
      </c>
      <c r="AD957" t="s">
        <v>27</v>
      </c>
      <c r="AE957" t="s">
        <v>27</v>
      </c>
      <c r="AF957" t="s">
        <v>27</v>
      </c>
      <c r="AG957">
        <v>27.99</v>
      </c>
    </row>
    <row r="958" spans="1:33" x14ac:dyDescent="0.25">
      <c r="A958" t="s">
        <v>57</v>
      </c>
      <c r="B958" s="3">
        <v>44419</v>
      </c>
      <c r="C958">
        <v>2021223</v>
      </c>
      <c r="D958">
        <v>26.46</v>
      </c>
      <c r="E958" t="s">
        <v>27</v>
      </c>
      <c r="F958">
        <v>19</v>
      </c>
      <c r="G958">
        <v>27.1</v>
      </c>
      <c r="H958">
        <v>10.6</v>
      </c>
      <c r="I958">
        <v>54.3</v>
      </c>
      <c r="J958">
        <v>33.299999999999997</v>
      </c>
      <c r="K958">
        <v>0.9</v>
      </c>
      <c r="L958">
        <v>4</v>
      </c>
      <c r="M958">
        <v>0</v>
      </c>
      <c r="N958">
        <v>0</v>
      </c>
      <c r="O958" t="s">
        <v>27</v>
      </c>
      <c r="P958">
        <v>19.3</v>
      </c>
      <c r="Q958">
        <v>31.4</v>
      </c>
      <c r="R958">
        <v>9.1999999999999993</v>
      </c>
      <c r="S958">
        <v>22</v>
      </c>
      <c r="T958">
        <v>17</v>
      </c>
      <c r="U958" t="s">
        <v>27</v>
      </c>
      <c r="V958">
        <v>8.8999999999999996E-2</v>
      </c>
      <c r="W958">
        <v>1.1930000000000001</v>
      </c>
      <c r="X958">
        <v>2.39</v>
      </c>
      <c r="Y958" t="s">
        <v>27</v>
      </c>
      <c r="Z958" t="s">
        <v>27</v>
      </c>
      <c r="AA958" t="s">
        <v>27</v>
      </c>
      <c r="AB958" t="s">
        <v>27</v>
      </c>
      <c r="AC958" t="s">
        <v>27</v>
      </c>
      <c r="AD958" t="s">
        <v>27</v>
      </c>
      <c r="AE958" t="s">
        <v>27</v>
      </c>
      <c r="AF958" t="s">
        <v>27</v>
      </c>
      <c r="AG958">
        <v>27.79</v>
      </c>
    </row>
    <row r="959" spans="1:33" x14ac:dyDescent="0.25">
      <c r="A959" t="s">
        <v>57</v>
      </c>
      <c r="B959" s="3">
        <v>44420</v>
      </c>
      <c r="C959">
        <v>2021224</v>
      </c>
      <c r="D959">
        <v>19.489999999999998</v>
      </c>
      <c r="E959" t="s">
        <v>27</v>
      </c>
      <c r="F959">
        <v>16.600000000000001</v>
      </c>
      <c r="G959">
        <v>23.8</v>
      </c>
      <c r="H959">
        <v>8.8000000000000007</v>
      </c>
      <c r="I959">
        <v>46.4</v>
      </c>
      <c r="J959">
        <v>28.4</v>
      </c>
      <c r="K959">
        <v>0.9</v>
      </c>
      <c r="L959">
        <v>3.2</v>
      </c>
      <c r="M959">
        <v>0</v>
      </c>
      <c r="N959">
        <v>0</v>
      </c>
      <c r="O959" t="s">
        <v>27</v>
      </c>
      <c r="P959">
        <v>16.600000000000001</v>
      </c>
      <c r="Q959">
        <v>27</v>
      </c>
      <c r="R959">
        <v>7.3</v>
      </c>
      <c r="S959">
        <v>18.899999999999999</v>
      </c>
      <c r="T959">
        <v>16.7</v>
      </c>
      <c r="U959" t="s">
        <v>27</v>
      </c>
      <c r="V959">
        <v>7.8E-2</v>
      </c>
      <c r="W959">
        <v>0.83699999999999997</v>
      </c>
      <c r="X959">
        <v>2.11</v>
      </c>
      <c r="Y959" t="s">
        <v>27</v>
      </c>
      <c r="Z959" t="s">
        <v>27</v>
      </c>
      <c r="AA959" t="s">
        <v>27</v>
      </c>
      <c r="AB959" t="s">
        <v>27</v>
      </c>
      <c r="AC959" t="s">
        <v>27</v>
      </c>
      <c r="AD959" t="s">
        <v>27</v>
      </c>
      <c r="AE959" t="s">
        <v>27</v>
      </c>
      <c r="AF959" t="s">
        <v>27</v>
      </c>
      <c r="AG959">
        <v>27.6</v>
      </c>
    </row>
    <row r="960" spans="1:33" x14ac:dyDescent="0.25">
      <c r="A960" t="s">
        <v>57</v>
      </c>
      <c r="B960" s="3">
        <v>44421</v>
      </c>
      <c r="C960">
        <v>2021225</v>
      </c>
      <c r="D960">
        <v>22.11</v>
      </c>
      <c r="E960" t="s">
        <v>27</v>
      </c>
      <c r="F960">
        <v>17</v>
      </c>
      <c r="G960">
        <v>28.5</v>
      </c>
      <c r="H960">
        <v>6.2</v>
      </c>
      <c r="I960">
        <v>53.8</v>
      </c>
      <c r="J960">
        <v>10.3</v>
      </c>
      <c r="K960">
        <v>0.4</v>
      </c>
      <c r="L960">
        <v>2.2999999999999998</v>
      </c>
      <c r="M960">
        <v>0</v>
      </c>
      <c r="N960">
        <v>0</v>
      </c>
      <c r="O960" t="s">
        <v>27</v>
      </c>
      <c r="P960">
        <v>17.2</v>
      </c>
      <c r="Q960">
        <v>32.299999999999997</v>
      </c>
      <c r="R960">
        <v>4.9000000000000004</v>
      </c>
      <c r="S960">
        <v>20.3</v>
      </c>
      <c r="T960">
        <v>16.5</v>
      </c>
      <c r="U960" t="s">
        <v>27</v>
      </c>
      <c r="V960">
        <v>6.9000000000000006E-2</v>
      </c>
      <c r="W960">
        <v>0.40200000000000002</v>
      </c>
      <c r="X960">
        <v>3.5009999999999999</v>
      </c>
      <c r="Y960" t="s">
        <v>27</v>
      </c>
      <c r="Z960" t="s">
        <v>27</v>
      </c>
      <c r="AA960" t="s">
        <v>27</v>
      </c>
      <c r="AB960" t="s">
        <v>27</v>
      </c>
      <c r="AC960" t="s">
        <v>27</v>
      </c>
      <c r="AD960" t="s">
        <v>27</v>
      </c>
      <c r="AE960" t="s">
        <v>27</v>
      </c>
      <c r="AF960" t="s">
        <v>27</v>
      </c>
      <c r="AG960">
        <v>27.4</v>
      </c>
    </row>
    <row r="961" spans="1:33" x14ac:dyDescent="0.25">
      <c r="A961" t="s">
        <v>57</v>
      </c>
      <c r="B961" s="3">
        <v>44422</v>
      </c>
      <c r="C961">
        <v>2021226</v>
      </c>
      <c r="D961">
        <v>23.45</v>
      </c>
      <c r="E961" t="s">
        <v>27</v>
      </c>
      <c r="F961">
        <v>19.5</v>
      </c>
      <c r="G961">
        <v>28.5</v>
      </c>
      <c r="H961">
        <v>7.2</v>
      </c>
      <c r="I961">
        <v>39.4</v>
      </c>
      <c r="J961">
        <v>18.600000000000001</v>
      </c>
      <c r="K961">
        <v>1.4</v>
      </c>
      <c r="L961">
        <v>4.2</v>
      </c>
      <c r="M961">
        <v>0</v>
      </c>
      <c r="N961">
        <v>0</v>
      </c>
      <c r="O961" t="s">
        <v>27</v>
      </c>
      <c r="P961">
        <v>19.3</v>
      </c>
      <c r="Q961">
        <v>30.4</v>
      </c>
      <c r="R961">
        <v>5.6</v>
      </c>
      <c r="S961">
        <v>21.5</v>
      </c>
      <c r="T961">
        <v>16.8</v>
      </c>
      <c r="U961" t="s">
        <v>27</v>
      </c>
      <c r="V961">
        <v>6.0999999999999999E-2</v>
      </c>
      <c r="W961">
        <v>0.72199999999999998</v>
      </c>
      <c r="X961">
        <v>3.16</v>
      </c>
      <c r="Y961" t="s">
        <v>27</v>
      </c>
      <c r="Z961" t="s">
        <v>27</v>
      </c>
      <c r="AA961" t="s">
        <v>27</v>
      </c>
      <c r="AB961" t="s">
        <v>27</v>
      </c>
      <c r="AC961" t="s">
        <v>27</v>
      </c>
      <c r="AD961" t="s">
        <v>27</v>
      </c>
      <c r="AE961" t="s">
        <v>27</v>
      </c>
      <c r="AF961" t="s">
        <v>27</v>
      </c>
      <c r="AG961">
        <v>27.2</v>
      </c>
    </row>
    <row r="962" spans="1:33" x14ac:dyDescent="0.25">
      <c r="A962" t="s">
        <v>57</v>
      </c>
      <c r="B962" s="3">
        <v>44423</v>
      </c>
      <c r="C962">
        <v>2021227</v>
      </c>
      <c r="D962">
        <v>22.6</v>
      </c>
      <c r="E962" t="s">
        <v>27</v>
      </c>
      <c r="F962">
        <v>20.8</v>
      </c>
      <c r="G962">
        <v>27.6</v>
      </c>
      <c r="H962">
        <v>15.6</v>
      </c>
      <c r="I962">
        <v>31</v>
      </c>
      <c r="J962">
        <v>18.5</v>
      </c>
      <c r="K962">
        <v>1.8</v>
      </c>
      <c r="L962">
        <v>4.4000000000000004</v>
      </c>
      <c r="M962">
        <v>0</v>
      </c>
      <c r="N962">
        <v>0</v>
      </c>
      <c r="O962" t="s">
        <v>27</v>
      </c>
      <c r="P962">
        <v>20.9</v>
      </c>
      <c r="Q962">
        <v>30.3</v>
      </c>
      <c r="R962">
        <v>14.5</v>
      </c>
      <c r="S962">
        <v>22.8</v>
      </c>
      <c r="T962">
        <v>17.3</v>
      </c>
      <c r="U962" t="s">
        <v>27</v>
      </c>
      <c r="V962">
        <v>5.2999999999999999E-2</v>
      </c>
      <c r="W962">
        <v>0.68300000000000005</v>
      </c>
      <c r="X962">
        <v>3.0089999999999999</v>
      </c>
      <c r="Y962" t="s">
        <v>27</v>
      </c>
      <c r="Z962" t="s">
        <v>27</v>
      </c>
      <c r="AA962" t="s">
        <v>27</v>
      </c>
      <c r="AB962" t="s">
        <v>27</v>
      </c>
      <c r="AC962" t="s">
        <v>27</v>
      </c>
      <c r="AD962" t="s">
        <v>27</v>
      </c>
      <c r="AE962" t="s">
        <v>27</v>
      </c>
      <c r="AF962" t="s">
        <v>27</v>
      </c>
      <c r="AG962">
        <v>26.99</v>
      </c>
    </row>
    <row r="963" spans="1:33" x14ac:dyDescent="0.25">
      <c r="A963" t="s">
        <v>57</v>
      </c>
      <c r="B963" s="3">
        <v>44424</v>
      </c>
      <c r="C963">
        <v>2021228</v>
      </c>
      <c r="D963">
        <v>4.78</v>
      </c>
      <c r="E963" t="s">
        <v>27</v>
      </c>
      <c r="F963">
        <v>13.1</v>
      </c>
      <c r="G963">
        <v>17.2</v>
      </c>
      <c r="H963">
        <v>7.9</v>
      </c>
      <c r="I963">
        <v>69.400000000000006</v>
      </c>
      <c r="J963">
        <v>42.9</v>
      </c>
      <c r="K963">
        <v>1</v>
      </c>
      <c r="L963">
        <v>3.6</v>
      </c>
      <c r="M963">
        <v>0.9</v>
      </c>
      <c r="N963">
        <v>0</v>
      </c>
      <c r="O963" t="s">
        <v>27</v>
      </c>
      <c r="P963">
        <v>12.3</v>
      </c>
      <c r="Q963">
        <v>16.2</v>
      </c>
      <c r="R963">
        <v>6.8</v>
      </c>
      <c r="S963">
        <v>13.6</v>
      </c>
      <c r="T963">
        <v>16.2</v>
      </c>
      <c r="U963" t="s">
        <v>27</v>
      </c>
      <c r="V963">
        <v>4.8000000000000001E-2</v>
      </c>
      <c r="W963">
        <v>0.84199999999999997</v>
      </c>
      <c r="X963">
        <v>1.121</v>
      </c>
      <c r="Y963" t="s">
        <v>27</v>
      </c>
      <c r="Z963" t="s">
        <v>27</v>
      </c>
      <c r="AA963" t="s">
        <v>27</v>
      </c>
      <c r="AB963" t="s">
        <v>27</v>
      </c>
      <c r="AC963" t="s">
        <v>27</v>
      </c>
      <c r="AD963" t="s">
        <v>27</v>
      </c>
      <c r="AE963" t="s">
        <v>27</v>
      </c>
      <c r="AF963" t="s">
        <v>27</v>
      </c>
      <c r="AG963">
        <v>26.79</v>
      </c>
    </row>
    <row r="964" spans="1:33" x14ac:dyDescent="0.25">
      <c r="A964" t="s">
        <v>57</v>
      </c>
      <c r="B964" s="3">
        <v>44425</v>
      </c>
      <c r="C964">
        <v>2021229</v>
      </c>
      <c r="D964">
        <v>4.12</v>
      </c>
      <c r="E964" t="s">
        <v>27</v>
      </c>
      <c r="F964">
        <v>7.5</v>
      </c>
      <c r="G964">
        <v>9.3000000000000007</v>
      </c>
      <c r="H964">
        <v>3.8</v>
      </c>
      <c r="I964">
        <v>88.8</v>
      </c>
      <c r="J964">
        <v>74.8</v>
      </c>
      <c r="K964">
        <v>0.9</v>
      </c>
      <c r="L964">
        <v>3</v>
      </c>
      <c r="M964">
        <v>0.3</v>
      </c>
      <c r="N964">
        <v>0</v>
      </c>
      <c r="O964" t="s">
        <v>27</v>
      </c>
      <c r="P964">
        <v>7.1</v>
      </c>
      <c r="Q964">
        <v>10.5</v>
      </c>
      <c r="R964">
        <v>2.4</v>
      </c>
      <c r="S964">
        <v>10</v>
      </c>
      <c r="T964">
        <v>14</v>
      </c>
      <c r="U964" t="s">
        <v>27</v>
      </c>
      <c r="V964">
        <v>4.5999999999999999E-2</v>
      </c>
      <c r="W964">
        <v>0.877</v>
      </c>
      <c r="X964">
        <v>0.29499999999999998</v>
      </c>
      <c r="Y964" t="s">
        <v>27</v>
      </c>
      <c r="Z964" t="s">
        <v>27</v>
      </c>
      <c r="AA964" t="s">
        <v>27</v>
      </c>
      <c r="AB964" t="s">
        <v>27</v>
      </c>
      <c r="AC964" t="s">
        <v>27</v>
      </c>
      <c r="AD964" t="s">
        <v>27</v>
      </c>
      <c r="AE964" t="s">
        <v>27</v>
      </c>
      <c r="AF964" t="s">
        <v>27</v>
      </c>
      <c r="AG964">
        <v>26.58</v>
      </c>
    </row>
    <row r="965" spans="1:33" x14ac:dyDescent="0.25">
      <c r="A965" t="s">
        <v>57</v>
      </c>
      <c r="B965" s="3">
        <v>44426</v>
      </c>
      <c r="C965">
        <v>2021230</v>
      </c>
      <c r="D965">
        <v>24.77</v>
      </c>
      <c r="E965" t="s">
        <v>27</v>
      </c>
      <c r="F965">
        <v>12.5</v>
      </c>
      <c r="G965">
        <v>21.2</v>
      </c>
      <c r="H965">
        <v>1.4</v>
      </c>
      <c r="I965">
        <v>57.5</v>
      </c>
      <c r="J965">
        <v>23</v>
      </c>
      <c r="K965">
        <v>0.7</v>
      </c>
      <c r="L965">
        <v>2.2999999999999998</v>
      </c>
      <c r="M965">
        <v>0</v>
      </c>
      <c r="N965">
        <v>0</v>
      </c>
      <c r="O965" t="s">
        <v>27</v>
      </c>
      <c r="P965">
        <v>13</v>
      </c>
      <c r="Q965">
        <v>25.4</v>
      </c>
      <c r="R965">
        <v>0.1</v>
      </c>
      <c r="S965">
        <v>16.8</v>
      </c>
      <c r="T965">
        <v>13.9</v>
      </c>
      <c r="U965" t="s">
        <v>27</v>
      </c>
      <c r="V965">
        <v>4.2999999999999997E-2</v>
      </c>
      <c r="W965">
        <v>0.57899999999999996</v>
      </c>
      <c r="X965">
        <v>1.9379999999999999</v>
      </c>
      <c r="Y965" t="s">
        <v>27</v>
      </c>
      <c r="Z965" t="s">
        <v>27</v>
      </c>
      <c r="AA965" t="s">
        <v>27</v>
      </c>
      <c r="AB965" t="s">
        <v>27</v>
      </c>
      <c r="AC965" t="s">
        <v>27</v>
      </c>
      <c r="AD965" t="s">
        <v>27</v>
      </c>
      <c r="AE965" t="s">
        <v>27</v>
      </c>
      <c r="AF965" t="s">
        <v>27</v>
      </c>
      <c r="AG965">
        <v>26.37</v>
      </c>
    </row>
    <row r="966" spans="1:33" x14ac:dyDescent="0.25">
      <c r="A966" t="s">
        <v>57</v>
      </c>
      <c r="B966" s="3">
        <v>44427</v>
      </c>
      <c r="C966">
        <v>2021231</v>
      </c>
      <c r="D966">
        <v>10.98</v>
      </c>
      <c r="E966" t="s">
        <v>27</v>
      </c>
      <c r="F966">
        <v>12.8</v>
      </c>
      <c r="G966">
        <v>17.399999999999999</v>
      </c>
      <c r="H966">
        <v>5.8</v>
      </c>
      <c r="I966">
        <v>69.3</v>
      </c>
      <c r="J966">
        <v>48.4</v>
      </c>
      <c r="K966">
        <v>1</v>
      </c>
      <c r="L966">
        <v>3</v>
      </c>
      <c r="M966">
        <v>0.1</v>
      </c>
      <c r="N966">
        <v>0</v>
      </c>
      <c r="O966" t="s">
        <v>27</v>
      </c>
      <c r="P966">
        <v>12.5</v>
      </c>
      <c r="Q966">
        <v>20.399999999999999</v>
      </c>
      <c r="R966">
        <v>4.7</v>
      </c>
      <c r="S966">
        <v>14.5</v>
      </c>
      <c r="T966">
        <v>14.7</v>
      </c>
      <c r="U966" t="s">
        <v>27</v>
      </c>
      <c r="V966">
        <v>4.1000000000000002E-2</v>
      </c>
      <c r="W966">
        <v>0.96399999999999997</v>
      </c>
      <c r="X966">
        <v>1.028</v>
      </c>
      <c r="Y966" t="s">
        <v>27</v>
      </c>
      <c r="Z966" t="s">
        <v>27</v>
      </c>
      <c r="AA966" t="s">
        <v>27</v>
      </c>
      <c r="AB966" t="s">
        <v>27</v>
      </c>
      <c r="AC966" t="s">
        <v>27</v>
      </c>
      <c r="AD966" t="s">
        <v>27</v>
      </c>
      <c r="AE966" t="s">
        <v>27</v>
      </c>
      <c r="AF966" t="s">
        <v>27</v>
      </c>
      <c r="AG966">
        <v>26.15</v>
      </c>
    </row>
    <row r="967" spans="1:33" x14ac:dyDescent="0.25">
      <c r="A967" t="s">
        <v>57</v>
      </c>
      <c r="B967" s="3">
        <v>44428</v>
      </c>
      <c r="C967">
        <v>2021232</v>
      </c>
      <c r="D967">
        <v>12.77</v>
      </c>
      <c r="E967" t="s">
        <v>27</v>
      </c>
      <c r="F967">
        <v>11.3</v>
      </c>
      <c r="G967">
        <v>17.899999999999999</v>
      </c>
      <c r="H967">
        <v>2.6</v>
      </c>
      <c r="I967">
        <v>69.2</v>
      </c>
      <c r="J967">
        <v>39.299999999999997</v>
      </c>
      <c r="K967">
        <v>0.4</v>
      </c>
      <c r="L967">
        <v>2.1</v>
      </c>
      <c r="M967">
        <v>0.1</v>
      </c>
      <c r="N967">
        <v>0</v>
      </c>
      <c r="O967" t="s">
        <v>27</v>
      </c>
      <c r="P967">
        <v>11.1</v>
      </c>
      <c r="Q967">
        <v>22.6</v>
      </c>
      <c r="R967">
        <v>1.3</v>
      </c>
      <c r="S967">
        <v>13.5</v>
      </c>
      <c r="T967">
        <v>13.6</v>
      </c>
      <c r="U967" t="s">
        <v>27</v>
      </c>
      <c r="V967">
        <v>3.7999999999999999E-2</v>
      </c>
      <c r="W967">
        <v>0.80600000000000005</v>
      </c>
      <c r="X967">
        <v>1.2450000000000001</v>
      </c>
      <c r="Y967" t="s">
        <v>27</v>
      </c>
      <c r="Z967" t="s">
        <v>27</v>
      </c>
      <c r="AA967" t="s">
        <v>27</v>
      </c>
      <c r="AB967" t="s">
        <v>27</v>
      </c>
      <c r="AC967" t="s">
        <v>27</v>
      </c>
      <c r="AD967" t="s">
        <v>27</v>
      </c>
      <c r="AE967" t="s">
        <v>27</v>
      </c>
      <c r="AF967" t="s">
        <v>27</v>
      </c>
      <c r="AG967">
        <v>25.94</v>
      </c>
    </row>
    <row r="968" spans="1:33" x14ac:dyDescent="0.25">
      <c r="A968" t="s">
        <v>57</v>
      </c>
      <c r="B968" s="3">
        <v>44429</v>
      </c>
      <c r="C968">
        <v>2021233</v>
      </c>
      <c r="D968">
        <v>6</v>
      </c>
      <c r="E968" t="s">
        <v>27</v>
      </c>
      <c r="F968">
        <v>9.1</v>
      </c>
      <c r="G968">
        <v>14.7</v>
      </c>
      <c r="H968">
        <v>4.9000000000000004</v>
      </c>
      <c r="I968">
        <v>88.1</v>
      </c>
      <c r="J968">
        <v>55</v>
      </c>
      <c r="K968">
        <v>0.3</v>
      </c>
      <c r="L968">
        <v>2.5</v>
      </c>
      <c r="M968">
        <v>3</v>
      </c>
      <c r="N968">
        <v>0</v>
      </c>
      <c r="O968" t="s">
        <v>27</v>
      </c>
      <c r="P968">
        <v>8.5</v>
      </c>
      <c r="Q968">
        <v>16.8</v>
      </c>
      <c r="R968">
        <v>3.8</v>
      </c>
      <c r="S968">
        <v>10.7</v>
      </c>
      <c r="T968">
        <v>13.3</v>
      </c>
      <c r="U968" t="s">
        <v>27</v>
      </c>
      <c r="V968">
        <v>4.1000000000000002E-2</v>
      </c>
      <c r="W968">
        <v>0.91900000000000004</v>
      </c>
      <c r="X968">
        <v>0.752</v>
      </c>
      <c r="Y968" t="s">
        <v>27</v>
      </c>
      <c r="Z968" t="s">
        <v>27</v>
      </c>
      <c r="AA968" t="s">
        <v>27</v>
      </c>
      <c r="AB968" t="s">
        <v>27</v>
      </c>
      <c r="AC968" t="s">
        <v>27</v>
      </c>
      <c r="AD968" t="s">
        <v>27</v>
      </c>
      <c r="AE968" t="s">
        <v>27</v>
      </c>
      <c r="AF968" t="s">
        <v>27</v>
      </c>
      <c r="AG968">
        <v>25.72</v>
      </c>
    </row>
    <row r="969" spans="1:33" x14ac:dyDescent="0.25">
      <c r="A969" t="s">
        <v>57</v>
      </c>
      <c r="B969" s="3">
        <v>44430</v>
      </c>
      <c r="C969">
        <v>2021234</v>
      </c>
      <c r="D969">
        <v>12.78</v>
      </c>
      <c r="E969" t="s">
        <v>27</v>
      </c>
      <c r="F969">
        <v>7.2</v>
      </c>
      <c r="G969">
        <v>13.3</v>
      </c>
      <c r="H969">
        <v>1.8</v>
      </c>
      <c r="I969">
        <v>81</v>
      </c>
      <c r="J969">
        <v>45.6</v>
      </c>
      <c r="K969">
        <v>1</v>
      </c>
      <c r="L969">
        <v>4.2</v>
      </c>
      <c r="M969">
        <v>2</v>
      </c>
      <c r="N969">
        <v>0</v>
      </c>
      <c r="O969" t="s">
        <v>27</v>
      </c>
      <c r="P969">
        <v>6.6</v>
      </c>
      <c r="Q969">
        <v>14.8</v>
      </c>
      <c r="R969">
        <v>1</v>
      </c>
      <c r="S969">
        <v>9.6</v>
      </c>
      <c r="T969">
        <v>12.2</v>
      </c>
      <c r="U969" t="s">
        <v>27</v>
      </c>
      <c r="V969">
        <v>4.2999999999999997E-2</v>
      </c>
      <c r="W969">
        <v>0.69599999999999995</v>
      </c>
      <c r="X969">
        <v>0.83</v>
      </c>
      <c r="Y969" t="s">
        <v>27</v>
      </c>
      <c r="Z969" t="s">
        <v>27</v>
      </c>
      <c r="AA969" t="s">
        <v>27</v>
      </c>
      <c r="AB969" t="s">
        <v>27</v>
      </c>
      <c r="AC969" t="s">
        <v>27</v>
      </c>
      <c r="AD969" t="s">
        <v>27</v>
      </c>
      <c r="AE969" t="s">
        <v>27</v>
      </c>
      <c r="AF969" t="s">
        <v>27</v>
      </c>
      <c r="AG969">
        <v>25.5</v>
      </c>
    </row>
    <row r="970" spans="1:33" x14ac:dyDescent="0.25">
      <c r="A970" t="s">
        <v>57</v>
      </c>
      <c r="B970" s="3">
        <v>44431</v>
      </c>
      <c r="C970">
        <v>2021235</v>
      </c>
      <c r="D970">
        <v>7.87</v>
      </c>
      <c r="E970" t="s">
        <v>27</v>
      </c>
      <c r="F970">
        <v>4.5</v>
      </c>
      <c r="G970">
        <v>11</v>
      </c>
      <c r="H970">
        <v>-1.2</v>
      </c>
      <c r="I970">
        <v>82.5</v>
      </c>
      <c r="J970">
        <v>53.7</v>
      </c>
      <c r="K970">
        <v>0.6</v>
      </c>
      <c r="L970">
        <v>2.6</v>
      </c>
      <c r="M970">
        <v>0</v>
      </c>
      <c r="N970">
        <v>0</v>
      </c>
      <c r="O970" t="s">
        <v>27</v>
      </c>
      <c r="P970">
        <v>4.0999999999999996</v>
      </c>
      <c r="Q970">
        <v>13</v>
      </c>
      <c r="R970">
        <v>-1.9</v>
      </c>
      <c r="S970">
        <v>7.2</v>
      </c>
      <c r="T970">
        <v>11.1</v>
      </c>
      <c r="U970" t="s">
        <v>27</v>
      </c>
      <c r="V970">
        <v>3.9E-2</v>
      </c>
      <c r="W970">
        <v>0.70699999999999996</v>
      </c>
      <c r="X970">
        <v>0.61</v>
      </c>
      <c r="Y970" t="s">
        <v>27</v>
      </c>
      <c r="Z970" t="s">
        <v>27</v>
      </c>
      <c r="AA970" t="s">
        <v>27</v>
      </c>
      <c r="AB970" t="s">
        <v>27</v>
      </c>
      <c r="AC970" t="s">
        <v>27</v>
      </c>
      <c r="AD970" t="s">
        <v>27</v>
      </c>
      <c r="AE970" t="s">
        <v>27</v>
      </c>
      <c r="AF970" t="s">
        <v>27</v>
      </c>
      <c r="AG970">
        <v>25.27</v>
      </c>
    </row>
    <row r="971" spans="1:33" x14ac:dyDescent="0.25">
      <c r="A971" t="s">
        <v>57</v>
      </c>
      <c r="B971" s="3">
        <v>44432</v>
      </c>
      <c r="C971">
        <v>2021236</v>
      </c>
      <c r="D971">
        <v>22.01</v>
      </c>
      <c r="E971" t="s">
        <v>27</v>
      </c>
      <c r="F971">
        <v>7</v>
      </c>
      <c r="G971">
        <v>17.8</v>
      </c>
      <c r="H971">
        <v>-2</v>
      </c>
      <c r="I971">
        <v>73.3</v>
      </c>
      <c r="J971">
        <v>37.9</v>
      </c>
      <c r="K971">
        <v>0.5</v>
      </c>
      <c r="L971">
        <v>2.4</v>
      </c>
      <c r="M971">
        <v>0</v>
      </c>
      <c r="N971">
        <v>0</v>
      </c>
      <c r="O971" t="s">
        <v>27</v>
      </c>
      <c r="P971">
        <v>7.3</v>
      </c>
      <c r="Q971">
        <v>22.2</v>
      </c>
      <c r="R971">
        <v>-3.1</v>
      </c>
      <c r="S971">
        <v>10.8</v>
      </c>
      <c r="T971">
        <v>11.1</v>
      </c>
      <c r="U971" t="s">
        <v>27</v>
      </c>
      <c r="V971">
        <v>3.7999999999999999E-2</v>
      </c>
      <c r="W971">
        <v>0.77</v>
      </c>
      <c r="X971">
        <v>1.262</v>
      </c>
      <c r="Y971" t="s">
        <v>27</v>
      </c>
      <c r="Z971" t="s">
        <v>27</v>
      </c>
      <c r="AA971" t="s">
        <v>27</v>
      </c>
      <c r="AB971" t="s">
        <v>27</v>
      </c>
      <c r="AC971" t="s">
        <v>27</v>
      </c>
      <c r="AD971" t="s">
        <v>27</v>
      </c>
      <c r="AE971" t="s">
        <v>27</v>
      </c>
      <c r="AF971" t="s">
        <v>27</v>
      </c>
      <c r="AG971">
        <v>25.04</v>
      </c>
    </row>
    <row r="972" spans="1:33" x14ac:dyDescent="0.25">
      <c r="A972" t="s">
        <v>57</v>
      </c>
      <c r="B972" s="3">
        <v>44433</v>
      </c>
      <c r="C972">
        <v>2021237</v>
      </c>
      <c r="D972">
        <v>20.71</v>
      </c>
      <c r="E972" t="s">
        <v>27</v>
      </c>
      <c r="F972">
        <v>10.199999999999999</v>
      </c>
      <c r="G972">
        <v>21</v>
      </c>
      <c r="H972">
        <v>-0.4</v>
      </c>
      <c r="I972">
        <v>61.3</v>
      </c>
      <c r="J972">
        <v>18.3</v>
      </c>
      <c r="K972">
        <v>0.5</v>
      </c>
      <c r="L972">
        <v>2.6</v>
      </c>
      <c r="M972">
        <v>0</v>
      </c>
      <c r="N972">
        <v>0</v>
      </c>
      <c r="O972" t="s">
        <v>27</v>
      </c>
      <c r="P972">
        <v>10.4</v>
      </c>
      <c r="Q972">
        <v>25.4</v>
      </c>
      <c r="R972">
        <v>-1.7</v>
      </c>
      <c r="S972">
        <v>13</v>
      </c>
      <c r="T972">
        <v>11.8</v>
      </c>
      <c r="U972" t="s">
        <v>27</v>
      </c>
      <c r="V972">
        <v>3.5999999999999997E-2</v>
      </c>
      <c r="W972">
        <v>0.45500000000000002</v>
      </c>
      <c r="X972">
        <v>2.0310000000000001</v>
      </c>
      <c r="Y972" t="s">
        <v>27</v>
      </c>
      <c r="Z972" t="s">
        <v>27</v>
      </c>
      <c r="AA972" t="s">
        <v>27</v>
      </c>
      <c r="AB972" t="s">
        <v>27</v>
      </c>
      <c r="AC972" t="s">
        <v>27</v>
      </c>
      <c r="AD972" t="s">
        <v>27</v>
      </c>
      <c r="AE972" t="s">
        <v>27</v>
      </c>
      <c r="AF972" t="s">
        <v>27</v>
      </c>
      <c r="AG972">
        <v>24.82</v>
      </c>
    </row>
    <row r="973" spans="1:33" x14ac:dyDescent="0.25">
      <c r="A973" t="s">
        <v>57</v>
      </c>
      <c r="B973" s="3">
        <v>44434</v>
      </c>
      <c r="C973">
        <v>2021238</v>
      </c>
      <c r="D973">
        <v>9.73</v>
      </c>
      <c r="E973" t="s">
        <v>27</v>
      </c>
      <c r="F973">
        <v>8.9</v>
      </c>
      <c r="G973">
        <v>15.1</v>
      </c>
      <c r="H973">
        <v>2.9</v>
      </c>
      <c r="I973">
        <v>72.7</v>
      </c>
      <c r="J973">
        <v>41.1</v>
      </c>
      <c r="K973">
        <v>0.8</v>
      </c>
      <c r="L973">
        <v>2.9</v>
      </c>
      <c r="M973">
        <v>3.6</v>
      </c>
      <c r="N973">
        <v>0</v>
      </c>
      <c r="O973" t="s">
        <v>27</v>
      </c>
      <c r="P973">
        <v>8.5</v>
      </c>
      <c r="Q973">
        <v>16.7</v>
      </c>
      <c r="R973">
        <v>1.5</v>
      </c>
      <c r="S973">
        <v>11.3</v>
      </c>
      <c r="T973">
        <v>11.9</v>
      </c>
      <c r="U973" t="s">
        <v>27</v>
      </c>
      <c r="V973">
        <v>3.5999999999999997E-2</v>
      </c>
      <c r="W973">
        <v>0.70299999999999996</v>
      </c>
      <c r="X973">
        <v>1.0069999999999999</v>
      </c>
      <c r="Y973" t="s">
        <v>27</v>
      </c>
      <c r="Z973" t="s">
        <v>27</v>
      </c>
      <c r="AA973" t="s">
        <v>27</v>
      </c>
      <c r="AB973" t="s">
        <v>27</v>
      </c>
      <c r="AC973" t="s">
        <v>27</v>
      </c>
      <c r="AD973" t="s">
        <v>27</v>
      </c>
      <c r="AE973" t="s">
        <v>27</v>
      </c>
      <c r="AF973" t="s">
        <v>27</v>
      </c>
      <c r="AG973">
        <v>24.59</v>
      </c>
    </row>
    <row r="974" spans="1:33" x14ac:dyDescent="0.25">
      <c r="A974" t="s">
        <v>57</v>
      </c>
      <c r="B974" s="3">
        <v>44435</v>
      </c>
      <c r="C974">
        <v>2021239</v>
      </c>
      <c r="D974">
        <v>13.42</v>
      </c>
      <c r="E974" t="s">
        <v>27</v>
      </c>
      <c r="F974">
        <v>8</v>
      </c>
      <c r="G974">
        <v>14.6</v>
      </c>
      <c r="H974">
        <v>1.5</v>
      </c>
      <c r="I974">
        <v>81.400000000000006</v>
      </c>
      <c r="J974">
        <v>46.8</v>
      </c>
      <c r="K974">
        <v>0.7</v>
      </c>
      <c r="L974">
        <v>3</v>
      </c>
      <c r="M974">
        <v>0.1</v>
      </c>
      <c r="N974">
        <v>0</v>
      </c>
      <c r="O974" t="s">
        <v>27</v>
      </c>
      <c r="P974">
        <v>7.6</v>
      </c>
      <c r="Q974">
        <v>16.899999999999999</v>
      </c>
      <c r="R974">
        <v>0.2</v>
      </c>
      <c r="S974">
        <v>10.7</v>
      </c>
      <c r="T974">
        <v>11.7</v>
      </c>
      <c r="U974" t="s">
        <v>27</v>
      </c>
      <c r="V974">
        <v>3.9E-2</v>
      </c>
      <c r="W974">
        <v>0.77600000000000002</v>
      </c>
      <c r="X974">
        <v>0.88200000000000001</v>
      </c>
      <c r="Y974" t="s">
        <v>27</v>
      </c>
      <c r="Z974" t="s">
        <v>27</v>
      </c>
      <c r="AA974" t="s">
        <v>27</v>
      </c>
      <c r="AB974" t="s">
        <v>27</v>
      </c>
      <c r="AC974" t="s">
        <v>27</v>
      </c>
      <c r="AD974" t="s">
        <v>27</v>
      </c>
      <c r="AE974" t="s">
        <v>27</v>
      </c>
      <c r="AF974" t="s">
        <v>27</v>
      </c>
      <c r="AG974">
        <v>24.36</v>
      </c>
    </row>
    <row r="975" spans="1:33" x14ac:dyDescent="0.25">
      <c r="A975" t="s">
        <v>57</v>
      </c>
      <c r="B975" s="3">
        <v>44436</v>
      </c>
      <c r="C975">
        <v>2021240</v>
      </c>
      <c r="D975">
        <v>22.96</v>
      </c>
      <c r="E975" t="s">
        <v>27</v>
      </c>
      <c r="F975">
        <v>9.8000000000000007</v>
      </c>
      <c r="G975">
        <v>21</v>
      </c>
      <c r="H975">
        <v>-0.6</v>
      </c>
      <c r="I975">
        <v>69</v>
      </c>
      <c r="J975">
        <v>29.8</v>
      </c>
      <c r="K975">
        <v>0.5</v>
      </c>
      <c r="L975">
        <v>2.9</v>
      </c>
      <c r="M975">
        <v>0</v>
      </c>
      <c r="N975">
        <v>0</v>
      </c>
      <c r="O975" t="s">
        <v>27</v>
      </c>
      <c r="P975">
        <v>9.9</v>
      </c>
      <c r="Q975">
        <v>24.2</v>
      </c>
      <c r="R975">
        <v>-1.7</v>
      </c>
      <c r="S975">
        <v>12.6</v>
      </c>
      <c r="T975">
        <v>11.7</v>
      </c>
      <c r="U975" t="s">
        <v>27</v>
      </c>
      <c r="V975">
        <v>3.5999999999999997E-2</v>
      </c>
      <c r="W975">
        <v>0.73899999999999999</v>
      </c>
      <c r="X975">
        <v>1.7410000000000001</v>
      </c>
      <c r="Y975" t="s">
        <v>27</v>
      </c>
      <c r="Z975" t="s">
        <v>27</v>
      </c>
      <c r="AA975" t="s">
        <v>27</v>
      </c>
      <c r="AB975" t="s">
        <v>27</v>
      </c>
      <c r="AC975" t="s">
        <v>27</v>
      </c>
      <c r="AD975" t="s">
        <v>27</v>
      </c>
      <c r="AE975" t="s">
        <v>27</v>
      </c>
      <c r="AF975" t="s">
        <v>27</v>
      </c>
      <c r="AG975">
        <v>24.12</v>
      </c>
    </row>
    <row r="976" spans="1:33" x14ac:dyDescent="0.25">
      <c r="A976" t="s">
        <v>57</v>
      </c>
      <c r="B976" s="3">
        <v>44437</v>
      </c>
      <c r="C976">
        <v>2021241</v>
      </c>
      <c r="D976">
        <v>24.1</v>
      </c>
      <c r="E976" t="s">
        <v>27</v>
      </c>
      <c r="F976">
        <v>11.8</v>
      </c>
      <c r="G976">
        <v>22.6</v>
      </c>
      <c r="H976">
        <v>1.3</v>
      </c>
      <c r="I976">
        <v>62</v>
      </c>
      <c r="J976">
        <v>24.4</v>
      </c>
      <c r="K976">
        <v>0.7</v>
      </c>
      <c r="L976">
        <v>2.8</v>
      </c>
      <c r="M976">
        <v>0</v>
      </c>
      <c r="N976">
        <v>0</v>
      </c>
      <c r="O976" t="s">
        <v>27</v>
      </c>
      <c r="P976">
        <v>12</v>
      </c>
      <c r="Q976">
        <v>26.6</v>
      </c>
      <c r="R976">
        <v>0.1</v>
      </c>
      <c r="S976">
        <v>15.1</v>
      </c>
      <c r="T976">
        <v>12.5</v>
      </c>
      <c r="U976" t="s">
        <v>27</v>
      </c>
      <c r="V976">
        <v>3.5000000000000003E-2</v>
      </c>
      <c r="W976">
        <v>0.66800000000000004</v>
      </c>
      <c r="X976">
        <v>2.0699999999999998</v>
      </c>
      <c r="Y976" t="s">
        <v>27</v>
      </c>
      <c r="Z976" t="s">
        <v>27</v>
      </c>
      <c r="AA976" t="s">
        <v>27</v>
      </c>
      <c r="AB976" t="s">
        <v>27</v>
      </c>
      <c r="AC976" t="s">
        <v>27</v>
      </c>
      <c r="AD976" t="s">
        <v>27</v>
      </c>
      <c r="AE976" t="s">
        <v>27</v>
      </c>
      <c r="AF976" t="s">
        <v>27</v>
      </c>
      <c r="AG976">
        <v>23.89</v>
      </c>
    </row>
    <row r="977" spans="1:33" x14ac:dyDescent="0.25">
      <c r="A977" t="s">
        <v>57</v>
      </c>
      <c r="B977" s="3">
        <v>44438</v>
      </c>
      <c r="C977">
        <v>2021242</v>
      </c>
      <c r="D977">
        <v>18.5</v>
      </c>
      <c r="E977" t="s">
        <v>27</v>
      </c>
      <c r="F977">
        <v>10.199999999999999</v>
      </c>
      <c r="G977">
        <v>18.8</v>
      </c>
      <c r="H977">
        <v>1.6</v>
      </c>
      <c r="I977">
        <v>61.4</v>
      </c>
      <c r="J977">
        <v>34.4</v>
      </c>
      <c r="K977">
        <v>0.8</v>
      </c>
      <c r="L977">
        <v>2.9</v>
      </c>
      <c r="M977">
        <v>0</v>
      </c>
      <c r="N977">
        <v>0</v>
      </c>
      <c r="O977" t="s">
        <v>27</v>
      </c>
      <c r="P977">
        <v>10.1</v>
      </c>
      <c r="Q977">
        <v>22.4</v>
      </c>
      <c r="R977">
        <v>0.2</v>
      </c>
      <c r="S977">
        <v>13.1</v>
      </c>
      <c r="T977">
        <v>12.5</v>
      </c>
      <c r="U977" t="s">
        <v>27</v>
      </c>
      <c r="V977">
        <v>3.4000000000000002E-2</v>
      </c>
      <c r="W977">
        <v>0.747</v>
      </c>
      <c r="X977">
        <v>1.425</v>
      </c>
      <c r="Y977" t="s">
        <v>27</v>
      </c>
      <c r="Z977" t="s">
        <v>27</v>
      </c>
      <c r="AA977" t="s">
        <v>27</v>
      </c>
      <c r="AB977" t="s">
        <v>27</v>
      </c>
      <c r="AC977" t="s">
        <v>27</v>
      </c>
      <c r="AD977" t="s">
        <v>27</v>
      </c>
      <c r="AE977" t="s">
        <v>27</v>
      </c>
      <c r="AF977" t="s">
        <v>27</v>
      </c>
      <c r="AG977">
        <v>23.65</v>
      </c>
    </row>
    <row r="978" spans="1:33" x14ac:dyDescent="0.25">
      <c r="A978" t="s">
        <v>57</v>
      </c>
      <c r="B978" s="3">
        <v>44439</v>
      </c>
      <c r="C978">
        <v>2021243</v>
      </c>
      <c r="D978">
        <v>9.85</v>
      </c>
      <c r="E978" t="s">
        <v>27</v>
      </c>
      <c r="F978">
        <v>4.9000000000000004</v>
      </c>
      <c r="G978">
        <v>9.5</v>
      </c>
      <c r="H978">
        <v>0.8</v>
      </c>
      <c r="I978">
        <v>75</v>
      </c>
      <c r="J978">
        <v>48.2</v>
      </c>
      <c r="K978">
        <v>1</v>
      </c>
      <c r="L978">
        <v>3.7</v>
      </c>
      <c r="M978">
        <v>0.3</v>
      </c>
      <c r="N978">
        <v>0</v>
      </c>
      <c r="O978" t="s">
        <v>27</v>
      </c>
      <c r="P978">
        <v>4.7</v>
      </c>
      <c r="Q978">
        <v>11.3</v>
      </c>
      <c r="R978">
        <v>-0.7</v>
      </c>
      <c r="S978">
        <v>9.1999999999999993</v>
      </c>
      <c r="T978">
        <v>11.4</v>
      </c>
      <c r="U978" t="s">
        <v>27</v>
      </c>
      <c r="V978">
        <v>3.4000000000000002E-2</v>
      </c>
      <c r="W978">
        <v>0.57399999999999995</v>
      </c>
      <c r="X978">
        <v>0.61699999999999999</v>
      </c>
      <c r="Y978" t="s">
        <v>27</v>
      </c>
      <c r="Z978" t="s">
        <v>27</v>
      </c>
      <c r="AA978" t="s">
        <v>27</v>
      </c>
      <c r="AB978" t="s">
        <v>27</v>
      </c>
      <c r="AC978" t="s">
        <v>27</v>
      </c>
      <c r="AD978" t="s">
        <v>27</v>
      </c>
      <c r="AE978" t="s">
        <v>27</v>
      </c>
      <c r="AF978" t="s">
        <v>27</v>
      </c>
      <c r="AG978">
        <v>23.41</v>
      </c>
    </row>
    <row r="979" spans="1:33" x14ac:dyDescent="0.25">
      <c r="A979" t="s">
        <v>57</v>
      </c>
      <c r="B979" s="3">
        <v>44440</v>
      </c>
      <c r="C979">
        <v>2021244</v>
      </c>
      <c r="D979">
        <v>8</v>
      </c>
      <c r="E979" t="s">
        <v>27</v>
      </c>
      <c r="F979">
        <v>5.3</v>
      </c>
      <c r="G979">
        <v>11.4</v>
      </c>
      <c r="H979">
        <v>-1.1000000000000001</v>
      </c>
      <c r="I979">
        <v>80.900000000000006</v>
      </c>
      <c r="J979">
        <v>54.1</v>
      </c>
      <c r="K979">
        <v>0.8</v>
      </c>
      <c r="L979">
        <v>3</v>
      </c>
      <c r="M979">
        <v>0.5</v>
      </c>
      <c r="N979">
        <v>0</v>
      </c>
      <c r="O979" t="s">
        <v>27</v>
      </c>
      <c r="P979">
        <v>5</v>
      </c>
      <c r="Q979">
        <v>13</v>
      </c>
      <c r="R979">
        <v>-2.1</v>
      </c>
      <c r="S979">
        <v>8</v>
      </c>
      <c r="T979">
        <v>10.6</v>
      </c>
      <c r="U979" t="s">
        <v>27</v>
      </c>
      <c r="V979">
        <v>3.3000000000000002E-2</v>
      </c>
      <c r="W979">
        <v>0.72799999999999998</v>
      </c>
      <c r="X979">
        <v>0.61799999999999999</v>
      </c>
      <c r="Y979" t="s">
        <v>27</v>
      </c>
      <c r="Z979" t="s">
        <v>27</v>
      </c>
      <c r="AA979" t="s">
        <v>27</v>
      </c>
      <c r="AB979" t="s">
        <v>27</v>
      </c>
      <c r="AC979" t="s">
        <v>27</v>
      </c>
      <c r="AD979" t="s">
        <v>27</v>
      </c>
      <c r="AE979" t="s">
        <v>27</v>
      </c>
      <c r="AF979" t="s">
        <v>27</v>
      </c>
      <c r="AG979">
        <v>23.17</v>
      </c>
    </row>
    <row r="980" spans="1:33" x14ac:dyDescent="0.25">
      <c r="A980" t="s">
        <v>57</v>
      </c>
      <c r="B980" s="3">
        <v>44441</v>
      </c>
      <c r="C980">
        <v>2021245</v>
      </c>
      <c r="D980">
        <v>21.25</v>
      </c>
      <c r="E980" t="s">
        <v>27</v>
      </c>
      <c r="F980">
        <v>6.2</v>
      </c>
      <c r="G980">
        <v>15.5</v>
      </c>
      <c r="H980">
        <v>-2.1</v>
      </c>
      <c r="I980">
        <v>72.900000000000006</v>
      </c>
      <c r="J980">
        <v>37.6</v>
      </c>
      <c r="K980">
        <v>0.7</v>
      </c>
      <c r="L980">
        <v>2.8</v>
      </c>
      <c r="M980">
        <v>0</v>
      </c>
      <c r="N980">
        <v>0</v>
      </c>
      <c r="O980" t="s">
        <v>27</v>
      </c>
      <c r="P980">
        <v>6.4</v>
      </c>
      <c r="Q980">
        <v>19.7</v>
      </c>
      <c r="R980">
        <v>-3.2</v>
      </c>
      <c r="S980">
        <v>10.9</v>
      </c>
      <c r="T980">
        <v>10.3</v>
      </c>
      <c r="U980" t="s">
        <v>27</v>
      </c>
      <c r="V980">
        <v>3.3000000000000002E-2</v>
      </c>
      <c r="W980">
        <v>0.66100000000000003</v>
      </c>
      <c r="X980">
        <v>1.097</v>
      </c>
      <c r="Y980" t="s">
        <v>27</v>
      </c>
      <c r="Z980" t="s">
        <v>27</v>
      </c>
      <c r="AA980" t="s">
        <v>27</v>
      </c>
      <c r="AB980" t="s">
        <v>27</v>
      </c>
      <c r="AC980" t="s">
        <v>27</v>
      </c>
      <c r="AD980" t="s">
        <v>27</v>
      </c>
      <c r="AE980" t="s">
        <v>27</v>
      </c>
      <c r="AF980" t="s">
        <v>27</v>
      </c>
      <c r="AG980">
        <v>22.93</v>
      </c>
    </row>
    <row r="981" spans="1:33" x14ac:dyDescent="0.25">
      <c r="A981" t="s">
        <v>57</v>
      </c>
      <c r="B981" s="3">
        <v>44442</v>
      </c>
      <c r="C981">
        <v>2021246</v>
      </c>
      <c r="D981">
        <v>21.15</v>
      </c>
      <c r="E981" t="s">
        <v>27</v>
      </c>
      <c r="F981">
        <v>9.9</v>
      </c>
      <c r="G981">
        <v>20.399999999999999</v>
      </c>
      <c r="H981">
        <v>-1.4</v>
      </c>
      <c r="I981">
        <v>60.3</v>
      </c>
      <c r="J981">
        <v>22.6</v>
      </c>
      <c r="K981">
        <v>0.6</v>
      </c>
      <c r="L981">
        <v>2.8</v>
      </c>
      <c r="M981">
        <v>0</v>
      </c>
      <c r="N981">
        <v>0</v>
      </c>
      <c r="O981" t="s">
        <v>27</v>
      </c>
      <c r="P981">
        <v>10</v>
      </c>
      <c r="Q981">
        <v>24.2</v>
      </c>
      <c r="R981">
        <v>-2.5</v>
      </c>
      <c r="S981">
        <v>14.2</v>
      </c>
      <c r="T981">
        <v>11.1</v>
      </c>
      <c r="U981" t="s">
        <v>27</v>
      </c>
      <c r="V981">
        <v>3.3000000000000002E-2</v>
      </c>
      <c r="W981">
        <v>0.54200000000000004</v>
      </c>
      <c r="X981">
        <v>1.8560000000000001</v>
      </c>
      <c r="Y981" t="s">
        <v>27</v>
      </c>
      <c r="Z981" t="s">
        <v>27</v>
      </c>
      <c r="AA981" t="s">
        <v>27</v>
      </c>
      <c r="AB981" t="s">
        <v>27</v>
      </c>
      <c r="AC981" t="s">
        <v>27</v>
      </c>
      <c r="AD981" t="s">
        <v>27</v>
      </c>
      <c r="AE981" t="s">
        <v>27</v>
      </c>
      <c r="AF981" t="s">
        <v>27</v>
      </c>
      <c r="AG981">
        <v>22.69</v>
      </c>
    </row>
    <row r="982" spans="1:33" x14ac:dyDescent="0.25">
      <c r="A982" t="s">
        <v>57</v>
      </c>
      <c r="B982" s="3">
        <v>44443</v>
      </c>
      <c r="C982">
        <v>2021247</v>
      </c>
      <c r="D982">
        <v>14.04</v>
      </c>
      <c r="E982" t="s">
        <v>27</v>
      </c>
      <c r="F982">
        <v>11.5</v>
      </c>
      <c r="G982">
        <v>19</v>
      </c>
      <c r="H982">
        <v>1.2</v>
      </c>
      <c r="I982">
        <v>56.5</v>
      </c>
      <c r="J982">
        <v>29.1</v>
      </c>
      <c r="K982">
        <v>0.7</v>
      </c>
      <c r="L982">
        <v>2.9</v>
      </c>
      <c r="M982">
        <v>0</v>
      </c>
      <c r="N982">
        <v>0</v>
      </c>
      <c r="O982" t="s">
        <v>27</v>
      </c>
      <c r="P982">
        <v>11.3</v>
      </c>
      <c r="Q982">
        <v>21.5</v>
      </c>
      <c r="R982">
        <v>-0.3</v>
      </c>
      <c r="S982">
        <v>13.7</v>
      </c>
      <c r="T982">
        <v>11.7</v>
      </c>
      <c r="U982" t="s">
        <v>27</v>
      </c>
      <c r="V982">
        <v>3.2000000000000001E-2</v>
      </c>
      <c r="W982">
        <v>0.64</v>
      </c>
      <c r="X982">
        <v>1.5589999999999999</v>
      </c>
      <c r="Y982" t="s">
        <v>27</v>
      </c>
      <c r="Z982" t="s">
        <v>27</v>
      </c>
      <c r="AA982" t="s">
        <v>27</v>
      </c>
      <c r="AB982" t="s">
        <v>27</v>
      </c>
      <c r="AC982" t="s">
        <v>27</v>
      </c>
      <c r="AD982" t="s">
        <v>27</v>
      </c>
      <c r="AE982" t="s">
        <v>27</v>
      </c>
      <c r="AF982" t="s">
        <v>27</v>
      </c>
      <c r="AG982">
        <v>22.44</v>
      </c>
    </row>
    <row r="983" spans="1:33" x14ac:dyDescent="0.25">
      <c r="A983" t="s">
        <v>57</v>
      </c>
      <c r="B983" s="3">
        <v>44444</v>
      </c>
      <c r="C983">
        <v>2021248</v>
      </c>
      <c r="D983">
        <v>4.58</v>
      </c>
      <c r="E983" t="s">
        <v>27</v>
      </c>
      <c r="F983">
        <v>10.7</v>
      </c>
      <c r="G983">
        <v>14.8</v>
      </c>
      <c r="H983">
        <v>4.8</v>
      </c>
      <c r="I983">
        <v>72.099999999999994</v>
      </c>
      <c r="J983">
        <v>53.7</v>
      </c>
      <c r="K983">
        <v>0.4</v>
      </c>
      <c r="L983">
        <v>2.2000000000000002</v>
      </c>
      <c r="M983">
        <v>0</v>
      </c>
      <c r="N983">
        <v>0</v>
      </c>
      <c r="O983" t="s">
        <v>27</v>
      </c>
      <c r="P983">
        <v>9.9</v>
      </c>
      <c r="Q983">
        <v>15.2</v>
      </c>
      <c r="R983">
        <v>3.4</v>
      </c>
      <c r="S983">
        <v>11.1</v>
      </c>
      <c r="T983">
        <v>11.7</v>
      </c>
      <c r="U983" t="s">
        <v>27</v>
      </c>
      <c r="V983">
        <v>3.2000000000000001E-2</v>
      </c>
      <c r="W983">
        <v>0.90100000000000002</v>
      </c>
      <c r="X983">
        <v>0.77700000000000002</v>
      </c>
      <c r="Y983" t="s">
        <v>27</v>
      </c>
      <c r="Z983" t="s">
        <v>27</v>
      </c>
      <c r="AA983" t="s">
        <v>27</v>
      </c>
      <c r="AB983" t="s">
        <v>27</v>
      </c>
      <c r="AC983" t="s">
        <v>27</v>
      </c>
      <c r="AD983" t="s">
        <v>27</v>
      </c>
      <c r="AE983" t="s">
        <v>27</v>
      </c>
      <c r="AF983" t="s">
        <v>27</v>
      </c>
      <c r="AG983">
        <v>22.2</v>
      </c>
    </row>
    <row r="984" spans="1:33" x14ac:dyDescent="0.25">
      <c r="A984" t="s">
        <v>57</v>
      </c>
      <c r="B984" s="3">
        <v>44445</v>
      </c>
      <c r="C984">
        <v>2021249</v>
      </c>
      <c r="D984">
        <v>21.14</v>
      </c>
      <c r="E984" t="s">
        <v>27</v>
      </c>
      <c r="F984">
        <v>11.4</v>
      </c>
      <c r="G984">
        <v>19.399999999999999</v>
      </c>
      <c r="H984">
        <v>3.6</v>
      </c>
      <c r="I984">
        <v>57.6</v>
      </c>
      <c r="J984">
        <v>23.8</v>
      </c>
      <c r="K984">
        <v>1</v>
      </c>
      <c r="L984">
        <v>3</v>
      </c>
      <c r="M984">
        <v>0</v>
      </c>
      <c r="N984">
        <v>0</v>
      </c>
      <c r="O984" t="s">
        <v>27</v>
      </c>
      <c r="P984">
        <v>11.5</v>
      </c>
      <c r="Q984">
        <v>22.6</v>
      </c>
      <c r="R984">
        <v>2</v>
      </c>
      <c r="S984">
        <v>14.2</v>
      </c>
      <c r="T984">
        <v>11.6</v>
      </c>
      <c r="U984" t="s">
        <v>27</v>
      </c>
      <c r="V984">
        <v>3.2000000000000001E-2</v>
      </c>
      <c r="W984">
        <v>0.53400000000000003</v>
      </c>
      <c r="X984">
        <v>1.71</v>
      </c>
      <c r="Y984" t="s">
        <v>27</v>
      </c>
      <c r="Z984" t="s">
        <v>27</v>
      </c>
      <c r="AA984" t="s">
        <v>27</v>
      </c>
      <c r="AB984" t="s">
        <v>27</v>
      </c>
      <c r="AC984" t="s">
        <v>27</v>
      </c>
      <c r="AD984" t="s">
        <v>27</v>
      </c>
      <c r="AE984" t="s">
        <v>27</v>
      </c>
      <c r="AF984" t="s">
        <v>27</v>
      </c>
      <c r="AG984">
        <v>21.95</v>
      </c>
    </row>
    <row r="985" spans="1:33" x14ac:dyDescent="0.25">
      <c r="A985" t="s">
        <v>57</v>
      </c>
      <c r="B985" s="3">
        <v>44446</v>
      </c>
      <c r="C985">
        <v>2021250</v>
      </c>
      <c r="D985">
        <v>21.81</v>
      </c>
      <c r="E985" t="s">
        <v>27</v>
      </c>
      <c r="F985">
        <v>13.2</v>
      </c>
      <c r="G985">
        <v>25.6</v>
      </c>
      <c r="H985">
        <v>1.7</v>
      </c>
      <c r="I985">
        <v>53.1</v>
      </c>
      <c r="J985">
        <v>21.7</v>
      </c>
      <c r="K985">
        <v>0.5</v>
      </c>
      <c r="L985">
        <v>2.6</v>
      </c>
      <c r="M985">
        <v>0</v>
      </c>
      <c r="N985">
        <v>0</v>
      </c>
      <c r="O985" t="s">
        <v>27</v>
      </c>
      <c r="P985">
        <v>13.3</v>
      </c>
      <c r="Q985">
        <v>29.1</v>
      </c>
      <c r="R985">
        <v>0.3</v>
      </c>
      <c r="S985">
        <v>15.9</v>
      </c>
      <c r="T985">
        <v>12.1</v>
      </c>
      <c r="U985" t="s">
        <v>27</v>
      </c>
      <c r="V985">
        <v>3.1E-2</v>
      </c>
      <c r="W985">
        <v>0.71299999999999997</v>
      </c>
      <c r="X985">
        <v>2.573</v>
      </c>
      <c r="Y985" t="s">
        <v>27</v>
      </c>
      <c r="Z985" t="s">
        <v>27</v>
      </c>
      <c r="AA985" t="s">
        <v>27</v>
      </c>
      <c r="AB985" t="s">
        <v>27</v>
      </c>
      <c r="AC985" t="s">
        <v>27</v>
      </c>
      <c r="AD985" t="s">
        <v>27</v>
      </c>
      <c r="AE985" t="s">
        <v>27</v>
      </c>
      <c r="AF985" t="s">
        <v>27</v>
      </c>
      <c r="AG985">
        <v>21.71</v>
      </c>
    </row>
    <row r="986" spans="1:33" x14ac:dyDescent="0.25">
      <c r="A986" t="s">
        <v>57</v>
      </c>
      <c r="B986" s="3">
        <v>44447</v>
      </c>
      <c r="C986">
        <v>2021251</v>
      </c>
      <c r="D986">
        <v>9.99</v>
      </c>
      <c r="E986" t="s">
        <v>27</v>
      </c>
      <c r="F986">
        <v>12.3</v>
      </c>
      <c r="G986">
        <v>20.100000000000001</v>
      </c>
      <c r="H986">
        <v>5.2</v>
      </c>
      <c r="I986">
        <v>60.7</v>
      </c>
      <c r="J986">
        <v>37.700000000000003</v>
      </c>
      <c r="K986">
        <v>0.6</v>
      </c>
      <c r="L986">
        <v>3.4</v>
      </c>
      <c r="M986">
        <v>0</v>
      </c>
      <c r="N986">
        <v>0</v>
      </c>
      <c r="O986" t="s">
        <v>27</v>
      </c>
      <c r="P986">
        <v>11.7</v>
      </c>
      <c r="Q986">
        <v>22.5</v>
      </c>
      <c r="R986">
        <v>3.6</v>
      </c>
      <c r="S986">
        <v>13.1</v>
      </c>
      <c r="T986">
        <v>12.3</v>
      </c>
      <c r="U986" t="s">
        <v>27</v>
      </c>
      <c r="V986">
        <v>3.1E-2</v>
      </c>
      <c r="W986">
        <v>0.88500000000000001</v>
      </c>
      <c r="X986">
        <v>1.462</v>
      </c>
      <c r="Y986" t="s">
        <v>27</v>
      </c>
      <c r="Z986" t="s">
        <v>27</v>
      </c>
      <c r="AA986" t="s">
        <v>27</v>
      </c>
      <c r="AB986" t="s">
        <v>27</v>
      </c>
      <c r="AC986" t="s">
        <v>27</v>
      </c>
      <c r="AD986" t="s">
        <v>27</v>
      </c>
      <c r="AE986" t="s">
        <v>27</v>
      </c>
      <c r="AF986" t="s">
        <v>27</v>
      </c>
      <c r="AG986">
        <v>21.46</v>
      </c>
    </row>
    <row r="987" spans="1:33" x14ac:dyDescent="0.25">
      <c r="A987" t="s">
        <v>57</v>
      </c>
      <c r="B987" s="3">
        <v>44448</v>
      </c>
      <c r="C987">
        <v>2021252</v>
      </c>
      <c r="D987">
        <v>19.21</v>
      </c>
      <c r="E987" t="s">
        <v>27</v>
      </c>
      <c r="F987">
        <v>12.6</v>
      </c>
      <c r="G987">
        <v>22.8</v>
      </c>
      <c r="H987">
        <v>3.8</v>
      </c>
      <c r="I987">
        <v>64.8</v>
      </c>
      <c r="J987">
        <v>23.2</v>
      </c>
      <c r="K987">
        <v>0.4</v>
      </c>
      <c r="L987">
        <v>2.8</v>
      </c>
      <c r="M987">
        <v>0</v>
      </c>
      <c r="N987">
        <v>0</v>
      </c>
      <c r="O987" t="s">
        <v>27</v>
      </c>
      <c r="P987">
        <v>12.5</v>
      </c>
      <c r="Q987">
        <v>27.2</v>
      </c>
      <c r="R987">
        <v>2.5</v>
      </c>
      <c r="S987">
        <v>14.4</v>
      </c>
      <c r="T987">
        <v>12.1</v>
      </c>
      <c r="U987" t="s">
        <v>27</v>
      </c>
      <c r="V987">
        <v>3.1E-2</v>
      </c>
      <c r="W987">
        <v>0.64500000000000002</v>
      </c>
      <c r="X987">
        <v>2.1349999999999998</v>
      </c>
      <c r="Y987" t="s">
        <v>27</v>
      </c>
      <c r="Z987" t="s">
        <v>27</v>
      </c>
      <c r="AA987" t="s">
        <v>27</v>
      </c>
      <c r="AB987" t="s">
        <v>27</v>
      </c>
      <c r="AC987" t="s">
        <v>27</v>
      </c>
      <c r="AD987" t="s">
        <v>27</v>
      </c>
      <c r="AE987" t="s">
        <v>27</v>
      </c>
      <c r="AF987" t="s">
        <v>27</v>
      </c>
      <c r="AG987">
        <v>21.21</v>
      </c>
    </row>
    <row r="988" spans="1:33" x14ac:dyDescent="0.25">
      <c r="A988" t="s">
        <v>57</v>
      </c>
      <c r="B988" s="3">
        <v>44449</v>
      </c>
      <c r="C988">
        <v>2021253</v>
      </c>
      <c r="D988">
        <v>8.51</v>
      </c>
      <c r="E988" t="s">
        <v>27</v>
      </c>
      <c r="F988">
        <v>10.4</v>
      </c>
      <c r="G988">
        <v>20.2</v>
      </c>
      <c r="H988">
        <v>3.1</v>
      </c>
      <c r="I988">
        <v>78.599999999999994</v>
      </c>
      <c r="J988">
        <v>37.9</v>
      </c>
      <c r="K988">
        <v>0.3</v>
      </c>
      <c r="L988">
        <v>2.1</v>
      </c>
      <c r="M988">
        <v>0.8</v>
      </c>
      <c r="N988">
        <v>0</v>
      </c>
      <c r="O988" t="s">
        <v>27</v>
      </c>
      <c r="P988">
        <v>9.6</v>
      </c>
      <c r="Q988">
        <v>23.9</v>
      </c>
      <c r="R988">
        <v>1.9</v>
      </c>
      <c r="S988">
        <v>10.4</v>
      </c>
      <c r="T988">
        <v>11.6</v>
      </c>
      <c r="U988" t="s">
        <v>27</v>
      </c>
      <c r="V988">
        <v>0.03</v>
      </c>
      <c r="W988">
        <v>0.89600000000000002</v>
      </c>
      <c r="X988">
        <v>1.468</v>
      </c>
      <c r="Y988" t="s">
        <v>27</v>
      </c>
      <c r="Z988" t="s">
        <v>27</v>
      </c>
      <c r="AA988" t="s">
        <v>27</v>
      </c>
      <c r="AB988" t="s">
        <v>27</v>
      </c>
      <c r="AC988" t="s">
        <v>27</v>
      </c>
      <c r="AD988" t="s">
        <v>27</v>
      </c>
      <c r="AE988" t="s">
        <v>27</v>
      </c>
      <c r="AF988" t="s">
        <v>27</v>
      </c>
      <c r="AG988">
        <v>20.96</v>
      </c>
    </row>
    <row r="989" spans="1:33" x14ac:dyDescent="0.25">
      <c r="A989" t="s">
        <v>57</v>
      </c>
      <c r="B989" s="3">
        <v>44450</v>
      </c>
      <c r="C989">
        <v>2021254</v>
      </c>
      <c r="D989">
        <v>18.510000000000002</v>
      </c>
      <c r="E989" t="s">
        <v>27</v>
      </c>
      <c r="F989">
        <v>11.4</v>
      </c>
      <c r="G989">
        <v>19.399999999999999</v>
      </c>
      <c r="H989">
        <v>4</v>
      </c>
      <c r="I989">
        <v>69.900000000000006</v>
      </c>
      <c r="J989">
        <v>36.299999999999997</v>
      </c>
      <c r="K989">
        <v>1</v>
      </c>
      <c r="L989">
        <v>3.4</v>
      </c>
      <c r="M989">
        <v>0.3</v>
      </c>
      <c r="N989">
        <v>0</v>
      </c>
      <c r="O989" t="s">
        <v>27</v>
      </c>
      <c r="P989">
        <v>11.7</v>
      </c>
      <c r="Q989">
        <v>23.2</v>
      </c>
      <c r="R989">
        <v>2.7</v>
      </c>
      <c r="S989">
        <v>14.2</v>
      </c>
      <c r="T989">
        <v>11.8</v>
      </c>
      <c r="U989" t="s">
        <v>27</v>
      </c>
      <c r="V989">
        <v>3.1E-2</v>
      </c>
      <c r="W989">
        <v>0.81799999999999995</v>
      </c>
      <c r="X989">
        <v>1.4350000000000001</v>
      </c>
      <c r="Y989" t="s">
        <v>27</v>
      </c>
      <c r="Z989" t="s">
        <v>27</v>
      </c>
      <c r="AA989" t="s">
        <v>27</v>
      </c>
      <c r="AB989" t="s">
        <v>27</v>
      </c>
      <c r="AC989" t="s">
        <v>27</v>
      </c>
      <c r="AD989" t="s">
        <v>27</v>
      </c>
      <c r="AE989" t="s">
        <v>27</v>
      </c>
      <c r="AF989" t="s">
        <v>27</v>
      </c>
      <c r="AG989">
        <v>20.71</v>
      </c>
    </row>
    <row r="990" spans="1:33" x14ac:dyDescent="0.25">
      <c r="A990" t="s">
        <v>57</v>
      </c>
      <c r="B990" s="3">
        <v>44451</v>
      </c>
      <c r="C990">
        <v>2021255</v>
      </c>
      <c r="D990">
        <v>11.01</v>
      </c>
      <c r="E990" t="s">
        <v>27</v>
      </c>
      <c r="F990">
        <v>9.3000000000000007</v>
      </c>
      <c r="G990">
        <v>14.8</v>
      </c>
      <c r="H990">
        <v>3.2</v>
      </c>
      <c r="I990">
        <v>85.6</v>
      </c>
      <c r="J990">
        <v>49.9</v>
      </c>
      <c r="K990">
        <v>0.7</v>
      </c>
      <c r="L990">
        <v>3</v>
      </c>
      <c r="M990">
        <v>3.7</v>
      </c>
      <c r="N990">
        <v>0</v>
      </c>
      <c r="O990" t="s">
        <v>27</v>
      </c>
      <c r="P990">
        <v>8.9</v>
      </c>
      <c r="Q990">
        <v>16.399999999999999</v>
      </c>
      <c r="R990">
        <v>2.2000000000000002</v>
      </c>
      <c r="S990">
        <v>11.7</v>
      </c>
      <c r="T990">
        <v>12.1</v>
      </c>
      <c r="U990" t="s">
        <v>27</v>
      </c>
      <c r="V990">
        <v>5.8999999999999997E-2</v>
      </c>
      <c r="W990">
        <v>0.83699999999999997</v>
      </c>
      <c r="X990">
        <v>0.84</v>
      </c>
      <c r="Y990" t="s">
        <v>27</v>
      </c>
      <c r="Z990" t="s">
        <v>27</v>
      </c>
      <c r="AA990" t="s">
        <v>27</v>
      </c>
      <c r="AB990" t="s">
        <v>27</v>
      </c>
      <c r="AC990" t="s">
        <v>27</v>
      </c>
      <c r="AD990" t="s">
        <v>27</v>
      </c>
      <c r="AE990" t="s">
        <v>27</v>
      </c>
      <c r="AF990" t="s">
        <v>27</v>
      </c>
      <c r="AG990">
        <v>20.46</v>
      </c>
    </row>
    <row r="991" spans="1:33" x14ac:dyDescent="0.25">
      <c r="A991" t="s">
        <v>57</v>
      </c>
      <c r="B991" s="3">
        <v>44452</v>
      </c>
      <c r="C991">
        <v>2021256</v>
      </c>
      <c r="D991">
        <v>18.260000000000002</v>
      </c>
      <c r="E991" t="s">
        <v>27</v>
      </c>
      <c r="F991">
        <v>8.1</v>
      </c>
      <c r="G991">
        <v>16.5</v>
      </c>
      <c r="H991">
        <v>0.3</v>
      </c>
      <c r="I991">
        <v>71</v>
      </c>
      <c r="J991">
        <v>32.200000000000003</v>
      </c>
      <c r="K991">
        <v>0.6</v>
      </c>
      <c r="L991">
        <v>2.6</v>
      </c>
      <c r="M991">
        <v>0</v>
      </c>
      <c r="N991">
        <v>0</v>
      </c>
      <c r="O991" t="s">
        <v>27</v>
      </c>
      <c r="P991">
        <v>8.3000000000000007</v>
      </c>
      <c r="Q991">
        <v>21.4</v>
      </c>
      <c r="R991">
        <v>-0.9</v>
      </c>
      <c r="S991">
        <v>10.5</v>
      </c>
      <c r="T991">
        <v>11.3</v>
      </c>
      <c r="U991" t="s">
        <v>27</v>
      </c>
      <c r="V991">
        <v>5.0999999999999997E-2</v>
      </c>
      <c r="W991">
        <v>0.60299999999999998</v>
      </c>
      <c r="X991">
        <v>1.27</v>
      </c>
      <c r="Y991" t="s">
        <v>27</v>
      </c>
      <c r="Z991" t="s">
        <v>27</v>
      </c>
      <c r="AA991" t="s">
        <v>27</v>
      </c>
      <c r="AB991" t="s">
        <v>27</v>
      </c>
      <c r="AC991" t="s">
        <v>27</v>
      </c>
      <c r="AD991" t="s">
        <v>27</v>
      </c>
      <c r="AE991" t="s">
        <v>27</v>
      </c>
      <c r="AF991" t="s">
        <v>27</v>
      </c>
      <c r="AG991">
        <v>20.21</v>
      </c>
    </row>
    <row r="992" spans="1:33" x14ac:dyDescent="0.25">
      <c r="A992" t="s">
        <v>57</v>
      </c>
      <c r="B992" s="3">
        <v>44453</v>
      </c>
      <c r="C992">
        <v>2021257</v>
      </c>
      <c r="D992">
        <v>6.64</v>
      </c>
      <c r="E992" t="s">
        <v>27</v>
      </c>
      <c r="F992">
        <v>6.6</v>
      </c>
      <c r="G992">
        <v>13.8</v>
      </c>
      <c r="H992">
        <v>-0.9</v>
      </c>
      <c r="I992">
        <v>84.8</v>
      </c>
      <c r="J992">
        <v>44.5</v>
      </c>
      <c r="K992">
        <v>0.6</v>
      </c>
      <c r="L992">
        <v>2.7</v>
      </c>
      <c r="M992">
        <v>5.7</v>
      </c>
      <c r="N992">
        <v>0</v>
      </c>
      <c r="O992" t="s">
        <v>27</v>
      </c>
      <c r="P992">
        <v>5.8</v>
      </c>
      <c r="Q992">
        <v>15.2</v>
      </c>
      <c r="R992">
        <v>-1.9</v>
      </c>
      <c r="S992">
        <v>7.5</v>
      </c>
      <c r="T992">
        <v>10.1</v>
      </c>
      <c r="U992" t="s">
        <v>27</v>
      </c>
      <c r="V992">
        <v>7.9000000000000001E-2</v>
      </c>
      <c r="W992">
        <v>0.70099999999999996</v>
      </c>
      <c r="X992">
        <v>0.874</v>
      </c>
      <c r="Y992" t="s">
        <v>27</v>
      </c>
      <c r="Z992" t="s">
        <v>27</v>
      </c>
      <c r="AA992" t="s">
        <v>27</v>
      </c>
      <c r="AB992" t="s">
        <v>27</v>
      </c>
      <c r="AC992" t="s">
        <v>27</v>
      </c>
      <c r="AD992" t="s">
        <v>27</v>
      </c>
      <c r="AE992" t="s">
        <v>27</v>
      </c>
      <c r="AF992" t="s">
        <v>27</v>
      </c>
      <c r="AG992">
        <v>19.95</v>
      </c>
    </row>
    <row r="993" spans="1:33" x14ac:dyDescent="0.25">
      <c r="A993" t="s">
        <v>57</v>
      </c>
      <c r="B993" s="3">
        <v>44454</v>
      </c>
      <c r="C993">
        <v>2021258</v>
      </c>
      <c r="D993">
        <v>7.08</v>
      </c>
      <c r="E993" t="s">
        <v>27</v>
      </c>
      <c r="F993">
        <v>2.9</v>
      </c>
      <c r="G993">
        <v>7.9</v>
      </c>
      <c r="H993">
        <v>-3</v>
      </c>
      <c r="I993">
        <v>82.4</v>
      </c>
      <c r="J993">
        <v>60.8</v>
      </c>
      <c r="K993">
        <v>1</v>
      </c>
      <c r="L993">
        <v>3.8</v>
      </c>
      <c r="M993">
        <v>0.1</v>
      </c>
      <c r="N993">
        <v>0</v>
      </c>
      <c r="O993" t="s">
        <v>27</v>
      </c>
      <c r="P993">
        <v>2.2999999999999998</v>
      </c>
      <c r="Q993">
        <v>8.6</v>
      </c>
      <c r="R993">
        <v>-4.3</v>
      </c>
      <c r="S993">
        <v>6.2</v>
      </c>
      <c r="T993">
        <v>9.6</v>
      </c>
      <c r="U993" t="s">
        <v>27</v>
      </c>
      <c r="V993">
        <v>0.1</v>
      </c>
      <c r="W993">
        <v>0.64600000000000002</v>
      </c>
      <c r="X993">
        <v>0.41699999999999998</v>
      </c>
      <c r="Y993" t="s">
        <v>27</v>
      </c>
      <c r="Z993" t="s">
        <v>27</v>
      </c>
      <c r="AA993" t="s">
        <v>27</v>
      </c>
      <c r="AB993" t="s">
        <v>27</v>
      </c>
      <c r="AC993" t="s">
        <v>27</v>
      </c>
      <c r="AD993" t="s">
        <v>27</v>
      </c>
      <c r="AE993" t="s">
        <v>27</v>
      </c>
      <c r="AF993" t="s">
        <v>27</v>
      </c>
      <c r="AG993">
        <v>19.7</v>
      </c>
    </row>
    <row r="994" spans="1:33" x14ac:dyDescent="0.25">
      <c r="A994" t="s">
        <v>57</v>
      </c>
      <c r="B994" s="3">
        <v>44455</v>
      </c>
      <c r="C994">
        <v>2021259</v>
      </c>
      <c r="D994">
        <v>17.920000000000002</v>
      </c>
      <c r="E994" t="s">
        <v>27</v>
      </c>
      <c r="F994">
        <v>3.2</v>
      </c>
      <c r="G994">
        <v>11.5</v>
      </c>
      <c r="H994">
        <v>-3.5</v>
      </c>
      <c r="I994">
        <v>64.7</v>
      </c>
      <c r="J994">
        <v>28.3</v>
      </c>
      <c r="K994">
        <v>0.8</v>
      </c>
      <c r="L994">
        <v>2.5</v>
      </c>
      <c r="M994">
        <v>0</v>
      </c>
      <c r="N994">
        <v>0</v>
      </c>
      <c r="O994" t="s">
        <v>27</v>
      </c>
      <c r="P994">
        <v>3.2</v>
      </c>
      <c r="Q994">
        <v>14.5</v>
      </c>
      <c r="R994">
        <v>-4.7</v>
      </c>
      <c r="S994">
        <v>4.7</v>
      </c>
      <c r="T994">
        <v>8.1999999999999993</v>
      </c>
      <c r="U994" t="s">
        <v>27</v>
      </c>
      <c r="V994">
        <v>8.2000000000000003E-2</v>
      </c>
      <c r="W994">
        <v>0.38400000000000001</v>
      </c>
      <c r="X994">
        <v>0.97299999999999998</v>
      </c>
      <c r="Y994" t="s">
        <v>27</v>
      </c>
      <c r="Z994" t="s">
        <v>27</v>
      </c>
      <c r="AA994" t="s">
        <v>27</v>
      </c>
      <c r="AB994" t="s">
        <v>27</v>
      </c>
      <c r="AC994" t="s">
        <v>27</v>
      </c>
      <c r="AD994" t="s">
        <v>27</v>
      </c>
      <c r="AE994" t="s">
        <v>27</v>
      </c>
      <c r="AF994" t="s">
        <v>27</v>
      </c>
      <c r="AG994">
        <v>19.45</v>
      </c>
    </row>
    <row r="995" spans="1:33" x14ac:dyDescent="0.25">
      <c r="A995" t="s">
        <v>57</v>
      </c>
      <c r="B995" s="3">
        <v>44456</v>
      </c>
      <c r="C995">
        <v>2021260</v>
      </c>
      <c r="D995">
        <v>3.32</v>
      </c>
      <c r="E995" t="s">
        <v>27</v>
      </c>
      <c r="F995">
        <v>5.9</v>
      </c>
      <c r="G995">
        <v>9.1999999999999993</v>
      </c>
      <c r="H995">
        <v>3.6</v>
      </c>
      <c r="I995">
        <v>59.2</v>
      </c>
      <c r="J995">
        <v>33.6</v>
      </c>
      <c r="K995">
        <v>1.3</v>
      </c>
      <c r="L995">
        <v>3.8</v>
      </c>
      <c r="M995">
        <v>0.3</v>
      </c>
      <c r="N995">
        <v>0</v>
      </c>
      <c r="O995" t="s">
        <v>27</v>
      </c>
      <c r="P995">
        <v>5.3</v>
      </c>
      <c r="Q995">
        <v>8.3000000000000007</v>
      </c>
      <c r="R995">
        <v>2.9</v>
      </c>
      <c r="S995">
        <v>5.6</v>
      </c>
      <c r="T995">
        <v>8</v>
      </c>
      <c r="U995" t="s">
        <v>27</v>
      </c>
      <c r="V995">
        <v>7.3999999999999996E-2</v>
      </c>
      <c r="W995">
        <v>0.39100000000000001</v>
      </c>
      <c r="X995">
        <v>0.77300000000000002</v>
      </c>
      <c r="Y995" t="s">
        <v>27</v>
      </c>
      <c r="Z995" t="s">
        <v>27</v>
      </c>
      <c r="AA995" t="s">
        <v>27</v>
      </c>
      <c r="AB995" t="s">
        <v>27</v>
      </c>
      <c r="AC995" t="s">
        <v>27</v>
      </c>
      <c r="AD995" t="s">
        <v>27</v>
      </c>
      <c r="AE995" t="s">
        <v>27</v>
      </c>
      <c r="AF995" t="s">
        <v>27</v>
      </c>
      <c r="AG995">
        <v>19.2</v>
      </c>
    </row>
    <row r="996" spans="1:33" x14ac:dyDescent="0.25">
      <c r="A996" t="s">
        <v>57</v>
      </c>
      <c r="B996" s="3">
        <v>44457</v>
      </c>
      <c r="C996">
        <v>2021261</v>
      </c>
      <c r="D996">
        <v>3.88</v>
      </c>
      <c r="E996" t="s">
        <v>27</v>
      </c>
      <c r="F996">
        <v>4.7</v>
      </c>
      <c r="G996">
        <v>8.4</v>
      </c>
      <c r="H996">
        <v>0</v>
      </c>
      <c r="I996">
        <v>94.6</v>
      </c>
      <c r="J996">
        <v>77.400000000000006</v>
      </c>
      <c r="K996">
        <v>0.7</v>
      </c>
      <c r="L996">
        <v>3.6</v>
      </c>
      <c r="M996">
        <v>17.899999999999999</v>
      </c>
      <c r="N996">
        <v>0</v>
      </c>
      <c r="O996" t="s">
        <v>27</v>
      </c>
      <c r="P996">
        <v>4</v>
      </c>
      <c r="Q996">
        <v>7.8</v>
      </c>
      <c r="R996">
        <v>-1.1000000000000001</v>
      </c>
      <c r="S996">
        <v>5.7</v>
      </c>
      <c r="T996">
        <v>7.9</v>
      </c>
      <c r="U996" t="s">
        <v>27</v>
      </c>
      <c r="V996">
        <v>0.161</v>
      </c>
      <c r="W996">
        <v>0.85199999999999998</v>
      </c>
      <c r="X996">
        <v>0.249</v>
      </c>
      <c r="Y996" t="s">
        <v>27</v>
      </c>
      <c r="Z996" t="s">
        <v>27</v>
      </c>
      <c r="AA996" t="s">
        <v>27</v>
      </c>
      <c r="AB996" t="s">
        <v>27</v>
      </c>
      <c r="AC996" t="s">
        <v>27</v>
      </c>
      <c r="AD996" t="s">
        <v>27</v>
      </c>
      <c r="AE996" t="s">
        <v>27</v>
      </c>
      <c r="AF996" t="s">
        <v>27</v>
      </c>
      <c r="AG996">
        <v>18.940000000000001</v>
      </c>
    </row>
    <row r="997" spans="1:33" x14ac:dyDescent="0.25">
      <c r="A997" t="s">
        <v>57</v>
      </c>
      <c r="B997" s="3">
        <v>44458</v>
      </c>
      <c r="C997">
        <v>2021262</v>
      </c>
      <c r="D997">
        <v>8.0299999999999994</v>
      </c>
      <c r="E997" t="s">
        <v>27</v>
      </c>
      <c r="F997">
        <v>4.2</v>
      </c>
      <c r="G997">
        <v>9.1</v>
      </c>
      <c r="H997">
        <v>-0.1</v>
      </c>
      <c r="I997">
        <v>84.7</v>
      </c>
      <c r="J997">
        <v>63.7</v>
      </c>
      <c r="K997">
        <v>0.9</v>
      </c>
      <c r="L997">
        <v>3.3</v>
      </c>
      <c r="M997">
        <v>2.1</v>
      </c>
      <c r="N997">
        <v>0</v>
      </c>
      <c r="O997" t="s">
        <v>27</v>
      </c>
      <c r="P997">
        <v>3.6</v>
      </c>
      <c r="Q997">
        <v>8.6</v>
      </c>
      <c r="R997">
        <v>-1</v>
      </c>
      <c r="S997">
        <v>6.1</v>
      </c>
      <c r="T997">
        <v>7.5</v>
      </c>
      <c r="U997" t="s">
        <v>27</v>
      </c>
      <c r="V997">
        <v>0.152</v>
      </c>
      <c r="W997">
        <v>0.73699999999999999</v>
      </c>
      <c r="X997">
        <v>0.42</v>
      </c>
      <c r="Y997" t="s">
        <v>27</v>
      </c>
      <c r="Z997" t="s">
        <v>27</v>
      </c>
      <c r="AA997" t="s">
        <v>27</v>
      </c>
      <c r="AB997" t="s">
        <v>27</v>
      </c>
      <c r="AC997" t="s">
        <v>27</v>
      </c>
      <c r="AD997" t="s">
        <v>27</v>
      </c>
      <c r="AE997" t="s">
        <v>27</v>
      </c>
      <c r="AF997" t="s">
        <v>27</v>
      </c>
      <c r="AG997">
        <v>18.690000000000001</v>
      </c>
    </row>
    <row r="998" spans="1:33" x14ac:dyDescent="0.25">
      <c r="A998" t="s">
        <v>57</v>
      </c>
      <c r="B998" s="3">
        <v>44459</v>
      </c>
      <c r="C998">
        <v>2021263</v>
      </c>
      <c r="D998">
        <v>12.11</v>
      </c>
      <c r="E998" t="s">
        <v>27</v>
      </c>
      <c r="F998">
        <v>5.4</v>
      </c>
      <c r="G998">
        <v>12.2</v>
      </c>
      <c r="H998">
        <v>-1.2</v>
      </c>
      <c r="I998">
        <v>73.3</v>
      </c>
      <c r="J998">
        <v>38.9</v>
      </c>
      <c r="K998">
        <v>0.9</v>
      </c>
      <c r="L998">
        <v>3.2</v>
      </c>
      <c r="M998">
        <v>0</v>
      </c>
      <c r="N998">
        <v>0</v>
      </c>
      <c r="O998" t="s">
        <v>27</v>
      </c>
      <c r="P998">
        <v>5.2</v>
      </c>
      <c r="Q998">
        <v>14.3</v>
      </c>
      <c r="R998">
        <v>-2.4</v>
      </c>
      <c r="S998">
        <v>6.8</v>
      </c>
      <c r="T998">
        <v>7.9</v>
      </c>
      <c r="U998" t="s">
        <v>27</v>
      </c>
      <c r="V998">
        <v>0.12</v>
      </c>
      <c r="W998">
        <v>0.55200000000000005</v>
      </c>
      <c r="X998">
        <v>0.86699999999999999</v>
      </c>
      <c r="Y998" t="s">
        <v>27</v>
      </c>
      <c r="Z998" t="s">
        <v>27</v>
      </c>
      <c r="AA998" t="s">
        <v>27</v>
      </c>
      <c r="AB998" t="s">
        <v>27</v>
      </c>
      <c r="AC998" t="s">
        <v>27</v>
      </c>
      <c r="AD998" t="s">
        <v>27</v>
      </c>
      <c r="AE998" t="s">
        <v>27</v>
      </c>
      <c r="AF998" t="s">
        <v>27</v>
      </c>
      <c r="AG998">
        <v>18.440000000000001</v>
      </c>
    </row>
    <row r="999" spans="1:33" x14ac:dyDescent="0.25">
      <c r="A999" t="s">
        <v>57</v>
      </c>
      <c r="B999" s="3">
        <v>44460</v>
      </c>
      <c r="C999">
        <v>2021264</v>
      </c>
      <c r="D999">
        <v>15.55</v>
      </c>
      <c r="E999" t="s">
        <v>27</v>
      </c>
      <c r="F999">
        <v>7.1</v>
      </c>
      <c r="G999">
        <v>17.3</v>
      </c>
      <c r="H999">
        <v>-1.8</v>
      </c>
      <c r="I999">
        <v>71.599999999999994</v>
      </c>
      <c r="J999">
        <v>38.5</v>
      </c>
      <c r="K999">
        <v>0.5</v>
      </c>
      <c r="L999">
        <v>2.5</v>
      </c>
      <c r="M999">
        <v>0.1</v>
      </c>
      <c r="N999">
        <v>0</v>
      </c>
      <c r="O999" t="s">
        <v>27</v>
      </c>
      <c r="P999">
        <v>6.7</v>
      </c>
      <c r="Q999">
        <v>18.100000000000001</v>
      </c>
      <c r="R999">
        <v>-2.8</v>
      </c>
      <c r="S999">
        <v>6.4</v>
      </c>
      <c r="T999">
        <v>7.7</v>
      </c>
      <c r="U999" t="s">
        <v>27</v>
      </c>
      <c r="V999">
        <v>0.106</v>
      </c>
      <c r="W999">
        <v>0.76</v>
      </c>
      <c r="X999">
        <v>1.214</v>
      </c>
      <c r="Y999" t="s">
        <v>27</v>
      </c>
      <c r="Z999" t="s">
        <v>27</v>
      </c>
      <c r="AA999" t="s">
        <v>27</v>
      </c>
      <c r="AB999" t="s">
        <v>27</v>
      </c>
      <c r="AC999" t="s">
        <v>27</v>
      </c>
      <c r="AD999" t="s">
        <v>27</v>
      </c>
      <c r="AE999" t="s">
        <v>27</v>
      </c>
      <c r="AF999" t="s">
        <v>27</v>
      </c>
      <c r="AG999">
        <v>18.18</v>
      </c>
    </row>
    <row r="1000" spans="1:33" x14ac:dyDescent="0.25">
      <c r="A1000" t="s">
        <v>57</v>
      </c>
      <c r="B1000" s="3">
        <v>44461</v>
      </c>
      <c r="C1000">
        <v>2021265</v>
      </c>
      <c r="D1000">
        <v>6.45</v>
      </c>
      <c r="E1000" t="s">
        <v>27</v>
      </c>
      <c r="F1000">
        <v>6.5</v>
      </c>
      <c r="G1000">
        <v>14.2</v>
      </c>
      <c r="H1000">
        <v>1.2</v>
      </c>
      <c r="I1000">
        <v>78.8</v>
      </c>
      <c r="J1000">
        <v>47.5</v>
      </c>
      <c r="K1000">
        <v>0.5</v>
      </c>
      <c r="L1000">
        <v>3.7</v>
      </c>
      <c r="M1000">
        <v>0</v>
      </c>
      <c r="N1000">
        <v>0</v>
      </c>
      <c r="O1000" t="s">
        <v>27</v>
      </c>
      <c r="P1000">
        <v>5.7</v>
      </c>
      <c r="Q1000">
        <v>14.7</v>
      </c>
      <c r="R1000">
        <v>-0.1</v>
      </c>
      <c r="S1000">
        <v>5.7</v>
      </c>
      <c r="T1000">
        <v>7.9</v>
      </c>
      <c r="U1000" t="s">
        <v>27</v>
      </c>
      <c r="V1000">
        <v>9.8000000000000004E-2</v>
      </c>
      <c r="W1000">
        <v>0.76800000000000002</v>
      </c>
      <c r="X1000">
        <v>0.84899999999999998</v>
      </c>
      <c r="Y1000" t="s">
        <v>27</v>
      </c>
      <c r="Z1000" t="s">
        <v>27</v>
      </c>
      <c r="AA1000" t="s">
        <v>27</v>
      </c>
      <c r="AB1000" t="s">
        <v>27</v>
      </c>
      <c r="AC1000" t="s">
        <v>27</v>
      </c>
      <c r="AD1000" t="s">
        <v>27</v>
      </c>
      <c r="AE1000" t="s">
        <v>27</v>
      </c>
      <c r="AF1000" t="s">
        <v>27</v>
      </c>
      <c r="AG1000">
        <v>17.93</v>
      </c>
    </row>
    <row r="1001" spans="1:33" x14ac:dyDescent="0.25">
      <c r="A1001" t="s">
        <v>57</v>
      </c>
      <c r="B1001" s="3">
        <v>44462</v>
      </c>
      <c r="C1001">
        <v>2021266</v>
      </c>
      <c r="D1001">
        <v>17.62</v>
      </c>
      <c r="E1001" t="s">
        <v>27</v>
      </c>
      <c r="F1001">
        <v>7.2</v>
      </c>
      <c r="G1001">
        <v>16.3</v>
      </c>
      <c r="H1001">
        <v>0.7</v>
      </c>
      <c r="I1001">
        <v>72.5</v>
      </c>
      <c r="J1001">
        <v>26.8</v>
      </c>
      <c r="K1001">
        <v>0.5</v>
      </c>
      <c r="L1001">
        <v>3.1</v>
      </c>
      <c r="M1001">
        <v>0</v>
      </c>
      <c r="N1001">
        <v>0</v>
      </c>
      <c r="O1001" t="s">
        <v>27</v>
      </c>
      <c r="P1001">
        <v>7.3</v>
      </c>
      <c r="Q1001">
        <v>20.2</v>
      </c>
      <c r="R1001">
        <v>-0.5</v>
      </c>
      <c r="S1001">
        <v>7.6</v>
      </c>
      <c r="T1001">
        <v>7.9</v>
      </c>
      <c r="U1001" t="s">
        <v>27</v>
      </c>
      <c r="V1001">
        <v>9.1999999999999998E-2</v>
      </c>
      <c r="W1001">
        <v>0.495</v>
      </c>
      <c r="X1001">
        <v>1.3520000000000001</v>
      </c>
      <c r="Y1001" t="s">
        <v>27</v>
      </c>
      <c r="Z1001" t="s">
        <v>27</v>
      </c>
      <c r="AA1001" t="s">
        <v>27</v>
      </c>
      <c r="AB1001" t="s">
        <v>27</v>
      </c>
      <c r="AC1001" t="s">
        <v>27</v>
      </c>
      <c r="AD1001" t="s">
        <v>27</v>
      </c>
      <c r="AE1001" t="s">
        <v>27</v>
      </c>
      <c r="AF1001" t="s">
        <v>27</v>
      </c>
      <c r="AG1001">
        <v>17.68</v>
      </c>
    </row>
    <row r="1002" spans="1:33" x14ac:dyDescent="0.25">
      <c r="A1002" t="s">
        <v>57</v>
      </c>
      <c r="B1002" s="3">
        <v>44463</v>
      </c>
      <c r="C1002">
        <v>2021267</v>
      </c>
      <c r="D1002">
        <v>17.29</v>
      </c>
      <c r="E1002" t="s">
        <v>27</v>
      </c>
      <c r="F1002">
        <v>9.5</v>
      </c>
      <c r="G1002">
        <v>21.4</v>
      </c>
      <c r="H1002">
        <v>-0.3</v>
      </c>
      <c r="I1002">
        <v>67.599999999999994</v>
      </c>
      <c r="J1002">
        <v>31.8</v>
      </c>
      <c r="K1002">
        <v>0.4</v>
      </c>
      <c r="L1002">
        <v>2.2000000000000002</v>
      </c>
      <c r="M1002">
        <v>0</v>
      </c>
      <c r="N1002">
        <v>0</v>
      </c>
      <c r="O1002" t="s">
        <v>27</v>
      </c>
      <c r="P1002">
        <v>9.5</v>
      </c>
      <c r="Q1002">
        <v>25.4</v>
      </c>
      <c r="R1002">
        <v>-1.5</v>
      </c>
      <c r="S1002">
        <v>9</v>
      </c>
      <c r="T1002">
        <v>8.3000000000000007</v>
      </c>
      <c r="U1002" t="s">
        <v>27</v>
      </c>
      <c r="V1002">
        <v>8.6999999999999994E-2</v>
      </c>
      <c r="W1002">
        <v>0.80900000000000005</v>
      </c>
      <c r="X1002">
        <v>1.7350000000000001</v>
      </c>
      <c r="Y1002" t="s">
        <v>27</v>
      </c>
      <c r="Z1002" t="s">
        <v>27</v>
      </c>
      <c r="AA1002" t="s">
        <v>27</v>
      </c>
      <c r="AB1002" t="s">
        <v>27</v>
      </c>
      <c r="AC1002" t="s">
        <v>27</v>
      </c>
      <c r="AD1002" t="s">
        <v>27</v>
      </c>
      <c r="AE1002" t="s">
        <v>27</v>
      </c>
      <c r="AF1002" t="s">
        <v>27</v>
      </c>
      <c r="AG1002">
        <v>17.43</v>
      </c>
    </row>
    <row r="1003" spans="1:33" x14ac:dyDescent="0.25">
      <c r="A1003" t="s">
        <v>57</v>
      </c>
      <c r="B1003" s="3">
        <v>44464</v>
      </c>
      <c r="C1003">
        <v>2021268</v>
      </c>
      <c r="D1003">
        <v>18.190000000000001</v>
      </c>
      <c r="E1003" t="s">
        <v>27</v>
      </c>
      <c r="F1003">
        <v>10.9</v>
      </c>
      <c r="G1003">
        <v>22</v>
      </c>
      <c r="H1003">
        <v>2</v>
      </c>
      <c r="I1003">
        <v>64.2</v>
      </c>
      <c r="J1003">
        <v>30.4</v>
      </c>
      <c r="K1003">
        <v>0.5</v>
      </c>
      <c r="L1003">
        <v>2.9</v>
      </c>
      <c r="M1003">
        <v>0</v>
      </c>
      <c r="N1003">
        <v>0</v>
      </c>
      <c r="O1003" t="s">
        <v>27</v>
      </c>
      <c r="P1003">
        <v>10.7</v>
      </c>
      <c r="Q1003">
        <v>26.1</v>
      </c>
      <c r="R1003">
        <v>0.5</v>
      </c>
      <c r="S1003">
        <v>10.1</v>
      </c>
      <c r="T1003">
        <v>9.1</v>
      </c>
      <c r="U1003" t="s">
        <v>27</v>
      </c>
      <c r="V1003">
        <v>8.1000000000000003E-2</v>
      </c>
      <c r="W1003">
        <v>0.80200000000000005</v>
      </c>
      <c r="X1003">
        <v>1.8360000000000001</v>
      </c>
      <c r="Y1003" t="s">
        <v>27</v>
      </c>
      <c r="Z1003" t="s">
        <v>27</v>
      </c>
      <c r="AA1003" t="s">
        <v>27</v>
      </c>
      <c r="AB1003" t="s">
        <v>27</v>
      </c>
      <c r="AC1003" t="s">
        <v>27</v>
      </c>
      <c r="AD1003" t="s">
        <v>27</v>
      </c>
      <c r="AE1003" t="s">
        <v>27</v>
      </c>
      <c r="AF1003" t="s">
        <v>27</v>
      </c>
      <c r="AG1003">
        <v>17.170000000000002</v>
      </c>
    </row>
    <row r="1004" spans="1:33" x14ac:dyDescent="0.25">
      <c r="A1004" t="s">
        <v>57</v>
      </c>
      <c r="B1004" s="3">
        <v>44465</v>
      </c>
      <c r="C1004">
        <v>2021269</v>
      </c>
      <c r="D1004">
        <v>9.56</v>
      </c>
      <c r="E1004" t="s">
        <v>27</v>
      </c>
      <c r="F1004">
        <v>10</v>
      </c>
      <c r="G1004">
        <v>17.600000000000001</v>
      </c>
      <c r="H1004">
        <v>3.8</v>
      </c>
      <c r="I1004">
        <v>68.8</v>
      </c>
      <c r="J1004">
        <v>35</v>
      </c>
      <c r="K1004">
        <v>0.7</v>
      </c>
      <c r="L1004">
        <v>2.5</v>
      </c>
      <c r="M1004">
        <v>1.1000000000000001</v>
      </c>
      <c r="N1004">
        <v>0</v>
      </c>
      <c r="O1004" t="s">
        <v>27</v>
      </c>
      <c r="P1004">
        <v>9.4</v>
      </c>
      <c r="Q1004">
        <v>22.2</v>
      </c>
      <c r="R1004">
        <v>2.5</v>
      </c>
      <c r="S1004">
        <v>10.199999999999999</v>
      </c>
      <c r="T1004">
        <v>9.4</v>
      </c>
      <c r="U1004" t="s">
        <v>27</v>
      </c>
      <c r="V1004">
        <v>7.6999999999999999E-2</v>
      </c>
      <c r="W1004">
        <v>0.70299999999999996</v>
      </c>
      <c r="X1004">
        <v>1.306</v>
      </c>
      <c r="Y1004" t="s">
        <v>27</v>
      </c>
      <c r="Z1004" t="s">
        <v>27</v>
      </c>
      <c r="AA1004" t="s">
        <v>27</v>
      </c>
      <c r="AB1004" t="s">
        <v>27</v>
      </c>
      <c r="AC1004" t="s">
        <v>27</v>
      </c>
      <c r="AD1004" t="s">
        <v>27</v>
      </c>
      <c r="AE1004" t="s">
        <v>27</v>
      </c>
      <c r="AF1004" t="s">
        <v>27</v>
      </c>
      <c r="AG1004">
        <v>16.93</v>
      </c>
    </row>
    <row r="1005" spans="1:33" x14ac:dyDescent="0.25">
      <c r="A1005" t="s">
        <v>57</v>
      </c>
      <c r="B1005" s="3">
        <v>44466</v>
      </c>
      <c r="C1005">
        <v>2021270</v>
      </c>
      <c r="D1005">
        <v>5.95</v>
      </c>
      <c r="E1005" t="s">
        <v>27</v>
      </c>
      <c r="F1005">
        <v>7.8</v>
      </c>
      <c r="G1005">
        <v>11.6</v>
      </c>
      <c r="H1005">
        <v>2.7</v>
      </c>
      <c r="I1005">
        <v>81.900000000000006</v>
      </c>
      <c r="J1005">
        <v>62.1</v>
      </c>
      <c r="K1005">
        <v>1.1000000000000001</v>
      </c>
      <c r="L1005">
        <v>3.1</v>
      </c>
      <c r="M1005">
        <v>5.0999999999999996</v>
      </c>
      <c r="N1005">
        <v>0</v>
      </c>
      <c r="O1005" t="s">
        <v>27</v>
      </c>
      <c r="P1005">
        <v>7.1</v>
      </c>
      <c r="Q1005">
        <v>12.6</v>
      </c>
      <c r="R1005">
        <v>2.2000000000000002</v>
      </c>
      <c r="S1005">
        <v>8.3000000000000007</v>
      </c>
      <c r="T1005">
        <v>9.3000000000000007</v>
      </c>
      <c r="U1005" t="s">
        <v>27</v>
      </c>
      <c r="V1005">
        <v>0.1</v>
      </c>
      <c r="W1005">
        <v>0.84899999999999998</v>
      </c>
      <c r="X1005">
        <v>0.51800000000000002</v>
      </c>
      <c r="Y1005" t="s">
        <v>27</v>
      </c>
      <c r="Z1005" t="s">
        <v>27</v>
      </c>
      <c r="AA1005" t="s">
        <v>27</v>
      </c>
      <c r="AB1005" t="s">
        <v>27</v>
      </c>
      <c r="AC1005" t="s">
        <v>27</v>
      </c>
      <c r="AD1005" t="s">
        <v>27</v>
      </c>
      <c r="AE1005" t="s">
        <v>27</v>
      </c>
      <c r="AF1005" t="s">
        <v>27</v>
      </c>
      <c r="AG1005">
        <v>16.68</v>
      </c>
    </row>
    <row r="1006" spans="1:33" x14ac:dyDescent="0.25">
      <c r="A1006" t="s">
        <v>57</v>
      </c>
      <c r="B1006" s="3">
        <v>44467</v>
      </c>
      <c r="C1006">
        <v>2021271</v>
      </c>
      <c r="D1006">
        <v>9.33</v>
      </c>
      <c r="E1006" t="s">
        <v>27</v>
      </c>
      <c r="F1006">
        <v>2.6</v>
      </c>
      <c r="G1006">
        <v>7.9</v>
      </c>
      <c r="H1006">
        <v>-2</v>
      </c>
      <c r="I1006">
        <v>88.2</v>
      </c>
      <c r="J1006">
        <v>62.1</v>
      </c>
      <c r="K1006">
        <v>0.7</v>
      </c>
      <c r="L1006">
        <v>2.8</v>
      </c>
      <c r="M1006">
        <v>2.1</v>
      </c>
      <c r="N1006">
        <v>0</v>
      </c>
      <c r="O1006" t="s">
        <v>27</v>
      </c>
      <c r="P1006">
        <v>2</v>
      </c>
      <c r="Q1006">
        <v>10.1</v>
      </c>
      <c r="R1006">
        <v>-3.2</v>
      </c>
      <c r="S1006">
        <v>4.4000000000000004</v>
      </c>
      <c r="T1006">
        <v>7.7</v>
      </c>
      <c r="U1006" t="s">
        <v>27</v>
      </c>
      <c r="V1006">
        <v>0.14599999999999999</v>
      </c>
      <c r="W1006">
        <v>0.65900000000000003</v>
      </c>
      <c r="X1006">
        <v>0.40200000000000002</v>
      </c>
      <c r="Y1006" t="s">
        <v>27</v>
      </c>
      <c r="Z1006" t="s">
        <v>27</v>
      </c>
      <c r="AA1006" t="s">
        <v>27</v>
      </c>
      <c r="AB1006" t="s">
        <v>27</v>
      </c>
      <c r="AC1006" t="s">
        <v>27</v>
      </c>
      <c r="AD1006" t="s">
        <v>27</v>
      </c>
      <c r="AE1006" t="s">
        <v>27</v>
      </c>
      <c r="AF1006" t="s">
        <v>27</v>
      </c>
      <c r="AG1006">
        <v>16.43</v>
      </c>
    </row>
    <row r="1007" spans="1:33" x14ac:dyDescent="0.25">
      <c r="A1007" t="s">
        <v>57</v>
      </c>
      <c r="B1007" s="3">
        <v>44468</v>
      </c>
      <c r="C1007">
        <v>2021272</v>
      </c>
      <c r="D1007">
        <v>8.32</v>
      </c>
      <c r="E1007" t="s">
        <v>27</v>
      </c>
      <c r="F1007">
        <v>2.9</v>
      </c>
      <c r="G1007">
        <v>8.6</v>
      </c>
      <c r="H1007">
        <v>-3</v>
      </c>
      <c r="I1007">
        <v>77.599999999999994</v>
      </c>
      <c r="J1007">
        <v>50</v>
      </c>
      <c r="K1007">
        <v>0.6</v>
      </c>
      <c r="L1007">
        <v>3.2</v>
      </c>
      <c r="M1007">
        <v>0.1</v>
      </c>
      <c r="N1007">
        <v>0</v>
      </c>
      <c r="O1007" t="s">
        <v>27</v>
      </c>
      <c r="P1007">
        <v>2.5</v>
      </c>
      <c r="Q1007">
        <v>10.7</v>
      </c>
      <c r="R1007">
        <v>-4.0999999999999996</v>
      </c>
      <c r="S1007">
        <v>3.7</v>
      </c>
      <c r="T1007">
        <v>6.5</v>
      </c>
      <c r="U1007" t="s">
        <v>27</v>
      </c>
      <c r="V1007">
        <v>0.122</v>
      </c>
      <c r="W1007">
        <v>0.55800000000000005</v>
      </c>
      <c r="X1007">
        <v>0.55800000000000005</v>
      </c>
      <c r="Y1007" t="s">
        <v>27</v>
      </c>
      <c r="Z1007" t="s">
        <v>27</v>
      </c>
      <c r="AA1007" t="s">
        <v>27</v>
      </c>
      <c r="AB1007" t="s">
        <v>27</v>
      </c>
      <c r="AC1007" t="s">
        <v>27</v>
      </c>
      <c r="AD1007" t="s">
        <v>27</v>
      </c>
      <c r="AE1007" t="s">
        <v>27</v>
      </c>
      <c r="AF1007" t="s">
        <v>27</v>
      </c>
      <c r="AG1007">
        <v>16.18</v>
      </c>
    </row>
    <row r="1008" spans="1:33" x14ac:dyDescent="0.25">
      <c r="A1008" t="s">
        <v>57</v>
      </c>
      <c r="B1008" s="3">
        <v>44469</v>
      </c>
      <c r="C1008">
        <v>2021273</v>
      </c>
      <c r="D1008">
        <v>6.07</v>
      </c>
      <c r="E1008" t="s">
        <v>27</v>
      </c>
      <c r="F1008">
        <v>4.9000000000000004</v>
      </c>
      <c r="G1008">
        <v>12.1</v>
      </c>
      <c r="H1008">
        <v>0</v>
      </c>
      <c r="I1008">
        <v>81.5</v>
      </c>
      <c r="J1008">
        <v>61.3</v>
      </c>
      <c r="K1008">
        <v>0.9</v>
      </c>
      <c r="L1008">
        <v>4.2</v>
      </c>
      <c r="M1008">
        <v>5.8</v>
      </c>
      <c r="N1008">
        <v>0</v>
      </c>
      <c r="O1008" t="s">
        <v>27</v>
      </c>
      <c r="P1008">
        <v>4.3</v>
      </c>
      <c r="Q1008">
        <v>15.1</v>
      </c>
      <c r="R1008">
        <v>-1</v>
      </c>
      <c r="S1008">
        <v>5.4</v>
      </c>
      <c r="T1008">
        <v>7</v>
      </c>
      <c r="U1008" t="s">
        <v>27</v>
      </c>
      <c r="V1008">
        <v>0.14399999999999999</v>
      </c>
      <c r="W1008">
        <v>0.86499999999999999</v>
      </c>
      <c r="X1008">
        <v>0.54600000000000004</v>
      </c>
      <c r="Y1008" t="s">
        <v>27</v>
      </c>
      <c r="Z1008" t="s">
        <v>27</v>
      </c>
      <c r="AA1008" t="s">
        <v>27</v>
      </c>
      <c r="AB1008" t="s">
        <v>27</v>
      </c>
      <c r="AC1008" t="s">
        <v>27</v>
      </c>
      <c r="AD1008" t="s">
        <v>27</v>
      </c>
      <c r="AE1008" t="s">
        <v>27</v>
      </c>
      <c r="AF1008" t="s">
        <v>27</v>
      </c>
      <c r="AG1008">
        <v>15.93</v>
      </c>
    </row>
    <row r="1009" spans="1:33" x14ac:dyDescent="0.25">
      <c r="A1009" t="s">
        <v>57</v>
      </c>
      <c r="B1009" s="3">
        <v>44470</v>
      </c>
      <c r="C1009">
        <v>2021274</v>
      </c>
      <c r="D1009">
        <v>14.96</v>
      </c>
      <c r="E1009" t="s">
        <v>27</v>
      </c>
      <c r="F1009">
        <v>2.6</v>
      </c>
      <c r="G1009">
        <v>11.1</v>
      </c>
      <c r="H1009">
        <v>-2.2999999999999998</v>
      </c>
      <c r="I1009">
        <v>75.900000000000006</v>
      </c>
      <c r="J1009">
        <v>33.6</v>
      </c>
      <c r="K1009">
        <v>0.4</v>
      </c>
      <c r="L1009">
        <v>2.4</v>
      </c>
      <c r="M1009">
        <v>0.1</v>
      </c>
      <c r="N1009">
        <v>0</v>
      </c>
      <c r="O1009" t="s">
        <v>27</v>
      </c>
      <c r="P1009">
        <v>2.1</v>
      </c>
      <c r="Q1009">
        <v>13.1</v>
      </c>
      <c r="R1009">
        <v>-3.4</v>
      </c>
      <c r="S1009">
        <v>3.6</v>
      </c>
      <c r="T1009">
        <v>6.1</v>
      </c>
      <c r="U1009" t="s">
        <v>27</v>
      </c>
      <c r="V1009">
        <v>0.14000000000000001</v>
      </c>
      <c r="W1009">
        <v>0.44500000000000001</v>
      </c>
      <c r="X1009">
        <v>0.879</v>
      </c>
      <c r="Y1009" t="s">
        <v>27</v>
      </c>
      <c r="Z1009" t="s">
        <v>27</v>
      </c>
      <c r="AA1009" t="s">
        <v>27</v>
      </c>
      <c r="AB1009" t="s">
        <v>27</v>
      </c>
      <c r="AC1009" t="s">
        <v>27</v>
      </c>
      <c r="AD1009" t="s">
        <v>27</v>
      </c>
      <c r="AE1009" t="s">
        <v>27</v>
      </c>
      <c r="AF1009" t="s">
        <v>27</v>
      </c>
      <c r="AG1009">
        <v>15.69</v>
      </c>
    </row>
    <row r="1010" spans="1:33" x14ac:dyDescent="0.25">
      <c r="A1010" t="s">
        <v>57</v>
      </c>
      <c r="B1010" s="3">
        <v>44471</v>
      </c>
      <c r="C1010">
        <v>2021275</v>
      </c>
      <c r="D1010">
        <v>4.25</v>
      </c>
      <c r="E1010" t="s">
        <v>27</v>
      </c>
      <c r="F1010">
        <v>3.4</v>
      </c>
      <c r="G1010">
        <v>9.3000000000000007</v>
      </c>
      <c r="H1010">
        <v>-2.1</v>
      </c>
      <c r="I1010">
        <v>81</v>
      </c>
      <c r="J1010">
        <v>54.1</v>
      </c>
      <c r="K1010">
        <v>0.1</v>
      </c>
      <c r="L1010">
        <v>1.5</v>
      </c>
      <c r="M1010">
        <v>0</v>
      </c>
      <c r="N1010">
        <v>0</v>
      </c>
      <c r="O1010" t="s">
        <v>27</v>
      </c>
      <c r="P1010">
        <v>2.9</v>
      </c>
      <c r="Q1010">
        <v>10.8</v>
      </c>
      <c r="R1010">
        <v>-3.1</v>
      </c>
      <c r="S1010">
        <v>3.7</v>
      </c>
      <c r="T1010">
        <v>5.7</v>
      </c>
      <c r="U1010" t="s">
        <v>27</v>
      </c>
      <c r="V1010">
        <v>0.11899999999999999</v>
      </c>
      <c r="W1010">
        <v>0.63400000000000001</v>
      </c>
      <c r="X1010">
        <v>0.53800000000000003</v>
      </c>
      <c r="Y1010" t="s">
        <v>27</v>
      </c>
      <c r="Z1010" t="s">
        <v>27</v>
      </c>
      <c r="AA1010" t="s">
        <v>27</v>
      </c>
      <c r="AB1010" t="s">
        <v>27</v>
      </c>
      <c r="AC1010" t="s">
        <v>27</v>
      </c>
      <c r="AD1010" t="s">
        <v>27</v>
      </c>
      <c r="AE1010" t="s">
        <v>27</v>
      </c>
      <c r="AF1010" t="s">
        <v>27</v>
      </c>
      <c r="AG1010">
        <v>15.45</v>
      </c>
    </row>
    <row r="1011" spans="1:33" x14ac:dyDescent="0.25">
      <c r="A1011" t="s">
        <v>57</v>
      </c>
      <c r="B1011" s="3">
        <v>44472</v>
      </c>
      <c r="C1011">
        <v>2021276</v>
      </c>
      <c r="D1011">
        <v>12.66</v>
      </c>
      <c r="E1011" t="s">
        <v>27</v>
      </c>
      <c r="F1011">
        <v>5.5</v>
      </c>
      <c r="G1011">
        <v>13.7</v>
      </c>
      <c r="H1011">
        <v>0.4</v>
      </c>
      <c r="I1011">
        <v>73.5</v>
      </c>
      <c r="J1011">
        <v>36.799999999999997</v>
      </c>
      <c r="K1011">
        <v>0.7</v>
      </c>
      <c r="L1011">
        <v>3.4</v>
      </c>
      <c r="M1011">
        <v>0</v>
      </c>
      <c r="N1011">
        <v>0</v>
      </c>
      <c r="O1011" t="s">
        <v>27</v>
      </c>
      <c r="P1011">
        <v>5.0999999999999996</v>
      </c>
      <c r="Q1011">
        <v>16.399999999999999</v>
      </c>
      <c r="R1011">
        <v>-1</v>
      </c>
      <c r="S1011">
        <v>5.8</v>
      </c>
      <c r="T1011">
        <v>6.5</v>
      </c>
      <c r="U1011" t="s">
        <v>27</v>
      </c>
      <c r="V1011">
        <v>0.109</v>
      </c>
      <c r="W1011">
        <v>0.57799999999999996</v>
      </c>
      <c r="X1011">
        <v>0.99299999999999999</v>
      </c>
      <c r="Y1011" t="s">
        <v>27</v>
      </c>
      <c r="Z1011" t="s">
        <v>27</v>
      </c>
      <c r="AA1011" t="s">
        <v>27</v>
      </c>
      <c r="AB1011" t="s">
        <v>27</v>
      </c>
      <c r="AC1011" t="s">
        <v>27</v>
      </c>
      <c r="AD1011" t="s">
        <v>27</v>
      </c>
      <c r="AE1011" t="s">
        <v>27</v>
      </c>
      <c r="AF1011" t="s">
        <v>27</v>
      </c>
      <c r="AG1011">
        <v>15.2</v>
      </c>
    </row>
    <row r="1012" spans="1:33" x14ac:dyDescent="0.25">
      <c r="A1012" t="s">
        <v>57</v>
      </c>
      <c r="B1012" s="3">
        <v>44473</v>
      </c>
      <c r="C1012">
        <v>2021277</v>
      </c>
      <c r="D1012">
        <v>14.14</v>
      </c>
      <c r="E1012" t="s">
        <v>27</v>
      </c>
      <c r="F1012">
        <v>7.5</v>
      </c>
      <c r="G1012">
        <v>15.2</v>
      </c>
      <c r="H1012">
        <v>0.7</v>
      </c>
      <c r="I1012">
        <v>70.7</v>
      </c>
      <c r="J1012">
        <v>39.6</v>
      </c>
      <c r="K1012">
        <v>0.6</v>
      </c>
      <c r="L1012">
        <v>2.7</v>
      </c>
      <c r="M1012">
        <v>0</v>
      </c>
      <c r="N1012">
        <v>0</v>
      </c>
      <c r="O1012" t="s">
        <v>27</v>
      </c>
      <c r="P1012">
        <v>7.1</v>
      </c>
      <c r="Q1012">
        <v>18.2</v>
      </c>
      <c r="R1012">
        <v>-0.3</v>
      </c>
      <c r="S1012">
        <v>6.7</v>
      </c>
      <c r="T1012">
        <v>6.7</v>
      </c>
      <c r="U1012" t="s">
        <v>27</v>
      </c>
      <c r="V1012">
        <v>0.10199999999999999</v>
      </c>
      <c r="W1012">
        <v>0.68200000000000005</v>
      </c>
      <c r="X1012">
        <v>1.04</v>
      </c>
      <c r="Y1012" t="s">
        <v>27</v>
      </c>
      <c r="Z1012" t="s">
        <v>27</v>
      </c>
      <c r="AA1012" t="s">
        <v>27</v>
      </c>
      <c r="AB1012" t="s">
        <v>27</v>
      </c>
      <c r="AC1012" t="s">
        <v>27</v>
      </c>
      <c r="AD1012" t="s">
        <v>27</v>
      </c>
      <c r="AE1012" t="s">
        <v>27</v>
      </c>
      <c r="AF1012" t="s">
        <v>27</v>
      </c>
      <c r="AG1012">
        <v>14.96</v>
      </c>
    </row>
    <row r="1013" spans="1:33" x14ac:dyDescent="0.25">
      <c r="A1013" t="s">
        <v>57</v>
      </c>
      <c r="B1013" s="3">
        <v>44474</v>
      </c>
      <c r="C1013">
        <v>2021278</v>
      </c>
      <c r="D1013">
        <v>6.56</v>
      </c>
      <c r="E1013" t="s">
        <v>27</v>
      </c>
      <c r="F1013">
        <v>7.8</v>
      </c>
      <c r="G1013">
        <v>12.3</v>
      </c>
      <c r="H1013">
        <v>3.2</v>
      </c>
      <c r="I1013">
        <v>65.5</v>
      </c>
      <c r="J1013">
        <v>31.1</v>
      </c>
      <c r="K1013">
        <v>1</v>
      </c>
      <c r="L1013">
        <v>3.6</v>
      </c>
      <c r="M1013">
        <v>0.7</v>
      </c>
      <c r="N1013">
        <v>0</v>
      </c>
      <c r="O1013" t="s">
        <v>27</v>
      </c>
      <c r="P1013">
        <v>6.9</v>
      </c>
      <c r="Q1013">
        <v>13.5</v>
      </c>
      <c r="R1013">
        <v>2.5</v>
      </c>
      <c r="S1013">
        <v>6.2</v>
      </c>
      <c r="T1013">
        <v>7</v>
      </c>
      <c r="U1013" t="s">
        <v>27</v>
      </c>
      <c r="V1013">
        <v>9.6000000000000002E-2</v>
      </c>
      <c r="W1013">
        <v>0.44400000000000001</v>
      </c>
      <c r="X1013">
        <v>0.98399999999999999</v>
      </c>
      <c r="Y1013" t="s">
        <v>27</v>
      </c>
      <c r="Z1013" t="s">
        <v>27</v>
      </c>
      <c r="AA1013" t="s">
        <v>27</v>
      </c>
      <c r="AB1013" t="s">
        <v>27</v>
      </c>
      <c r="AC1013" t="s">
        <v>27</v>
      </c>
      <c r="AD1013" t="s">
        <v>27</v>
      </c>
      <c r="AE1013" t="s">
        <v>27</v>
      </c>
      <c r="AF1013" t="s">
        <v>27</v>
      </c>
      <c r="AG1013">
        <v>14.72</v>
      </c>
    </row>
    <row r="1014" spans="1:33" x14ac:dyDescent="0.25">
      <c r="A1014" t="s">
        <v>57</v>
      </c>
      <c r="B1014" s="3">
        <v>44475</v>
      </c>
      <c r="C1014">
        <v>2021279</v>
      </c>
      <c r="D1014">
        <v>11.29</v>
      </c>
      <c r="E1014" t="s">
        <v>27</v>
      </c>
      <c r="F1014">
        <v>1.4</v>
      </c>
      <c r="G1014">
        <v>8</v>
      </c>
      <c r="H1014">
        <v>-3.1</v>
      </c>
      <c r="I1014">
        <v>72.099999999999994</v>
      </c>
      <c r="J1014">
        <v>35.6</v>
      </c>
      <c r="K1014">
        <v>0.6</v>
      </c>
      <c r="L1014">
        <v>3.4</v>
      </c>
      <c r="M1014">
        <v>0</v>
      </c>
      <c r="N1014">
        <v>0</v>
      </c>
      <c r="O1014" t="s">
        <v>27</v>
      </c>
      <c r="P1014">
        <v>1.1000000000000001</v>
      </c>
      <c r="Q1014">
        <v>10.9</v>
      </c>
      <c r="R1014">
        <v>-4.4000000000000004</v>
      </c>
      <c r="S1014">
        <v>3.3</v>
      </c>
      <c r="T1014">
        <v>6.2</v>
      </c>
      <c r="U1014" t="s">
        <v>27</v>
      </c>
      <c r="V1014">
        <v>9.0999999999999998E-2</v>
      </c>
      <c r="W1014">
        <v>0.38200000000000001</v>
      </c>
      <c r="X1014">
        <v>0.69099999999999995</v>
      </c>
      <c r="Y1014" t="s">
        <v>27</v>
      </c>
      <c r="Z1014" t="s">
        <v>27</v>
      </c>
      <c r="AA1014" t="s">
        <v>27</v>
      </c>
      <c r="AB1014" t="s">
        <v>27</v>
      </c>
      <c r="AC1014" t="s">
        <v>27</v>
      </c>
      <c r="AD1014" t="s">
        <v>27</v>
      </c>
      <c r="AE1014" t="s">
        <v>27</v>
      </c>
      <c r="AF1014" t="s">
        <v>27</v>
      </c>
      <c r="AG1014">
        <v>14.48</v>
      </c>
    </row>
    <row r="1015" spans="1:33" x14ac:dyDescent="0.25">
      <c r="A1015" t="s">
        <v>57</v>
      </c>
      <c r="B1015" s="3">
        <v>44476</v>
      </c>
      <c r="C1015">
        <v>2021280</v>
      </c>
      <c r="D1015">
        <v>8.44</v>
      </c>
      <c r="E1015" t="s">
        <v>27</v>
      </c>
      <c r="F1015">
        <v>-0.4</v>
      </c>
      <c r="G1015">
        <v>7</v>
      </c>
      <c r="H1015">
        <v>-5.3</v>
      </c>
      <c r="I1015">
        <v>81.599999999999994</v>
      </c>
      <c r="J1015">
        <v>39.700000000000003</v>
      </c>
      <c r="K1015">
        <v>0.4</v>
      </c>
      <c r="L1015">
        <v>2.5</v>
      </c>
      <c r="M1015">
        <v>3</v>
      </c>
      <c r="N1015">
        <v>0</v>
      </c>
      <c r="O1015" t="s">
        <v>27</v>
      </c>
      <c r="P1015">
        <v>-0.6</v>
      </c>
      <c r="Q1015">
        <v>8.4</v>
      </c>
      <c r="R1015">
        <v>-6.4</v>
      </c>
      <c r="S1015">
        <v>0.7</v>
      </c>
      <c r="T1015">
        <v>4.9000000000000004</v>
      </c>
      <c r="U1015" t="s">
        <v>27</v>
      </c>
      <c r="V1015">
        <v>0.09</v>
      </c>
      <c r="W1015">
        <v>0.39600000000000002</v>
      </c>
      <c r="X1015">
        <v>0.60099999999999998</v>
      </c>
      <c r="Y1015" t="s">
        <v>27</v>
      </c>
      <c r="Z1015" t="s">
        <v>27</v>
      </c>
      <c r="AA1015" t="s">
        <v>27</v>
      </c>
      <c r="AB1015" t="s">
        <v>27</v>
      </c>
      <c r="AC1015" t="s">
        <v>27</v>
      </c>
      <c r="AD1015" t="s">
        <v>27</v>
      </c>
      <c r="AE1015" t="s">
        <v>27</v>
      </c>
      <c r="AF1015" t="s">
        <v>27</v>
      </c>
      <c r="AG1015">
        <v>14.24</v>
      </c>
    </row>
    <row r="1016" spans="1:33" x14ac:dyDescent="0.25">
      <c r="A1016" t="s">
        <v>57</v>
      </c>
      <c r="B1016" s="3">
        <v>44477</v>
      </c>
      <c r="C1016">
        <v>2021281</v>
      </c>
      <c r="D1016">
        <v>13.21</v>
      </c>
      <c r="E1016" t="s">
        <v>27</v>
      </c>
      <c r="F1016">
        <v>-0.4</v>
      </c>
      <c r="G1016">
        <v>9</v>
      </c>
      <c r="H1016">
        <v>-6.5</v>
      </c>
      <c r="I1016">
        <v>67.5</v>
      </c>
      <c r="J1016">
        <v>13.7</v>
      </c>
      <c r="K1016">
        <v>0.4</v>
      </c>
      <c r="L1016">
        <v>2.7</v>
      </c>
      <c r="M1016">
        <v>0.1</v>
      </c>
      <c r="N1016">
        <v>0</v>
      </c>
      <c r="O1016" t="s">
        <v>27</v>
      </c>
      <c r="P1016">
        <v>-0.9</v>
      </c>
      <c r="Q1016">
        <v>11.9</v>
      </c>
      <c r="R1016">
        <v>-7.7</v>
      </c>
      <c r="S1016">
        <v>0.1</v>
      </c>
      <c r="T1016">
        <v>3.8</v>
      </c>
      <c r="U1016" t="s">
        <v>27</v>
      </c>
      <c r="V1016">
        <v>8.6999999999999994E-2</v>
      </c>
      <c r="W1016">
        <v>0.157</v>
      </c>
      <c r="X1016">
        <v>0.98899999999999999</v>
      </c>
      <c r="Y1016" t="s">
        <v>27</v>
      </c>
      <c r="Z1016" t="s">
        <v>27</v>
      </c>
      <c r="AA1016" t="s">
        <v>27</v>
      </c>
      <c r="AB1016" t="s">
        <v>27</v>
      </c>
      <c r="AC1016" t="s">
        <v>27</v>
      </c>
      <c r="AD1016" t="s">
        <v>27</v>
      </c>
      <c r="AE1016" t="s">
        <v>27</v>
      </c>
      <c r="AF1016" t="s">
        <v>27</v>
      </c>
      <c r="AG1016">
        <v>14.01</v>
      </c>
    </row>
    <row r="1017" spans="1:33" x14ac:dyDescent="0.25">
      <c r="A1017" t="s">
        <v>57</v>
      </c>
      <c r="B1017" s="3">
        <v>44478</v>
      </c>
      <c r="C1017">
        <v>2021282</v>
      </c>
      <c r="D1017">
        <v>7.29</v>
      </c>
      <c r="E1017" t="s">
        <v>27</v>
      </c>
      <c r="F1017">
        <v>1.9</v>
      </c>
      <c r="G1017">
        <v>8.3000000000000007</v>
      </c>
      <c r="H1017">
        <v>-6</v>
      </c>
      <c r="I1017">
        <v>71.5</v>
      </c>
      <c r="J1017">
        <v>51.5</v>
      </c>
      <c r="K1017">
        <v>0.8</v>
      </c>
      <c r="L1017">
        <v>3.8</v>
      </c>
      <c r="M1017">
        <v>0</v>
      </c>
      <c r="N1017">
        <v>0</v>
      </c>
      <c r="O1017" t="s">
        <v>27</v>
      </c>
      <c r="P1017">
        <v>1.5</v>
      </c>
      <c r="Q1017">
        <v>10.9</v>
      </c>
      <c r="R1017">
        <v>-7</v>
      </c>
      <c r="S1017">
        <v>1.7</v>
      </c>
      <c r="T1017">
        <v>3.6</v>
      </c>
      <c r="U1017" t="s">
        <v>27</v>
      </c>
      <c r="V1017">
        <v>8.5999999999999993E-2</v>
      </c>
      <c r="W1017">
        <v>0.56299999999999994</v>
      </c>
      <c r="X1017">
        <v>0.53</v>
      </c>
      <c r="Y1017" t="s">
        <v>27</v>
      </c>
      <c r="Z1017" t="s">
        <v>27</v>
      </c>
      <c r="AA1017" t="s">
        <v>27</v>
      </c>
      <c r="AB1017" t="s">
        <v>27</v>
      </c>
      <c r="AC1017" t="s">
        <v>27</v>
      </c>
      <c r="AD1017" t="s">
        <v>27</v>
      </c>
      <c r="AE1017" t="s">
        <v>27</v>
      </c>
      <c r="AF1017" t="s">
        <v>27</v>
      </c>
      <c r="AG1017">
        <v>13.78</v>
      </c>
    </row>
    <row r="1018" spans="1:33" x14ac:dyDescent="0.25">
      <c r="A1018" t="s">
        <v>57</v>
      </c>
      <c r="B1018" s="3">
        <v>44479</v>
      </c>
      <c r="C1018">
        <v>2021283</v>
      </c>
      <c r="D1018">
        <v>1.32</v>
      </c>
      <c r="E1018" t="s">
        <v>27</v>
      </c>
      <c r="F1018">
        <v>-1.1000000000000001</v>
      </c>
      <c r="G1018">
        <v>3.7</v>
      </c>
      <c r="H1018">
        <v>-6.7</v>
      </c>
      <c r="I1018">
        <v>86.4</v>
      </c>
      <c r="J1018">
        <v>55.6</v>
      </c>
      <c r="K1018">
        <v>0.9</v>
      </c>
      <c r="L1018">
        <v>5.3</v>
      </c>
      <c r="M1018">
        <v>0</v>
      </c>
      <c r="N1018">
        <v>0</v>
      </c>
      <c r="O1018" t="s">
        <v>27</v>
      </c>
      <c r="P1018">
        <v>-1.7</v>
      </c>
      <c r="Q1018">
        <v>2.9</v>
      </c>
      <c r="R1018">
        <v>-8.8000000000000007</v>
      </c>
      <c r="S1018">
        <v>0.9</v>
      </c>
      <c r="T1018">
        <v>3.8</v>
      </c>
      <c r="U1018" t="s">
        <v>27</v>
      </c>
      <c r="V1018">
        <v>8.5999999999999993E-2</v>
      </c>
      <c r="W1018">
        <v>0.442</v>
      </c>
      <c r="X1018">
        <v>0.35299999999999998</v>
      </c>
      <c r="Y1018" t="s">
        <v>27</v>
      </c>
      <c r="Z1018" t="s">
        <v>27</v>
      </c>
      <c r="AA1018" t="s">
        <v>27</v>
      </c>
      <c r="AB1018" t="s">
        <v>27</v>
      </c>
      <c r="AC1018" t="s">
        <v>27</v>
      </c>
      <c r="AD1018" t="s">
        <v>27</v>
      </c>
      <c r="AE1018" t="s">
        <v>27</v>
      </c>
      <c r="AF1018" t="s">
        <v>27</v>
      </c>
      <c r="AG1018">
        <v>13.55</v>
      </c>
    </row>
    <row r="1019" spans="1:33" x14ac:dyDescent="0.25">
      <c r="A1019" t="s">
        <v>57</v>
      </c>
      <c r="B1019" s="3">
        <v>44480</v>
      </c>
      <c r="C1019">
        <v>2021284</v>
      </c>
      <c r="D1019">
        <v>5.58</v>
      </c>
      <c r="E1019" t="s">
        <v>27</v>
      </c>
      <c r="F1019">
        <v>-3.6</v>
      </c>
      <c r="G1019">
        <v>1.4</v>
      </c>
      <c r="H1019">
        <v>-9.5</v>
      </c>
      <c r="I1019">
        <v>87.1</v>
      </c>
      <c r="J1019">
        <v>65.5</v>
      </c>
      <c r="K1019">
        <v>0.5</v>
      </c>
      <c r="L1019">
        <v>2</v>
      </c>
      <c r="M1019">
        <v>1</v>
      </c>
      <c r="N1019">
        <v>0</v>
      </c>
      <c r="O1019" t="s">
        <v>27</v>
      </c>
      <c r="P1019">
        <v>-4.2</v>
      </c>
      <c r="Q1019">
        <v>5.3</v>
      </c>
      <c r="R1019">
        <v>-11.4</v>
      </c>
      <c r="S1019">
        <v>0.7</v>
      </c>
      <c r="T1019">
        <v>3.4</v>
      </c>
      <c r="U1019" t="s">
        <v>27</v>
      </c>
      <c r="V1019">
        <v>8.6999999999999994E-2</v>
      </c>
      <c r="W1019">
        <v>0.442</v>
      </c>
      <c r="X1019">
        <v>0.23300000000000001</v>
      </c>
      <c r="Y1019" t="s">
        <v>27</v>
      </c>
      <c r="Z1019" t="s">
        <v>27</v>
      </c>
      <c r="AA1019" t="s">
        <v>27</v>
      </c>
      <c r="AB1019" t="s">
        <v>27</v>
      </c>
      <c r="AC1019" t="s">
        <v>27</v>
      </c>
      <c r="AD1019" t="s">
        <v>27</v>
      </c>
      <c r="AE1019" t="s">
        <v>27</v>
      </c>
      <c r="AF1019" t="s">
        <v>27</v>
      </c>
      <c r="AG1019">
        <v>13.32</v>
      </c>
    </row>
    <row r="1020" spans="1:33" x14ac:dyDescent="0.25">
      <c r="A1020" t="s">
        <v>57</v>
      </c>
      <c r="B1020" s="3">
        <v>44481</v>
      </c>
      <c r="C1020">
        <v>2021285</v>
      </c>
      <c r="D1020">
        <v>6.74</v>
      </c>
      <c r="E1020" t="s">
        <v>27</v>
      </c>
      <c r="F1020">
        <v>-3.9</v>
      </c>
      <c r="G1020">
        <v>2.7</v>
      </c>
      <c r="H1020">
        <v>-12.7</v>
      </c>
      <c r="I1020">
        <v>83</v>
      </c>
      <c r="J1020">
        <v>55.2</v>
      </c>
      <c r="K1020">
        <v>0.2</v>
      </c>
      <c r="L1020">
        <v>2.1</v>
      </c>
      <c r="M1020">
        <v>2.6</v>
      </c>
      <c r="N1020">
        <v>0</v>
      </c>
      <c r="O1020" t="s">
        <v>27</v>
      </c>
      <c r="P1020">
        <v>-4.5</v>
      </c>
      <c r="Q1020">
        <v>6.5</v>
      </c>
      <c r="R1020">
        <v>-14.5</v>
      </c>
      <c r="S1020">
        <v>0.5</v>
      </c>
      <c r="T1020">
        <v>3.2</v>
      </c>
      <c r="U1020" t="s">
        <v>27</v>
      </c>
      <c r="V1020">
        <v>8.5999999999999993E-2</v>
      </c>
      <c r="W1020">
        <v>0.40899999999999997</v>
      </c>
      <c r="X1020">
        <v>0.33200000000000002</v>
      </c>
      <c r="Y1020" t="s">
        <v>27</v>
      </c>
      <c r="Z1020" t="s">
        <v>27</v>
      </c>
      <c r="AA1020" t="s">
        <v>27</v>
      </c>
      <c r="AB1020" t="s">
        <v>27</v>
      </c>
      <c r="AC1020" t="s">
        <v>27</v>
      </c>
      <c r="AD1020" t="s">
        <v>27</v>
      </c>
      <c r="AE1020" t="s">
        <v>27</v>
      </c>
      <c r="AF1020" t="s">
        <v>27</v>
      </c>
      <c r="AG1020">
        <v>13.09</v>
      </c>
    </row>
    <row r="1021" spans="1:33" x14ac:dyDescent="0.25">
      <c r="A1021" t="s">
        <v>57</v>
      </c>
      <c r="B1021" s="3">
        <v>44482</v>
      </c>
      <c r="C1021">
        <v>2021286</v>
      </c>
      <c r="D1021">
        <v>3.02</v>
      </c>
      <c r="E1021" t="s">
        <v>27</v>
      </c>
      <c r="F1021">
        <v>-1.9</v>
      </c>
      <c r="G1021">
        <v>3</v>
      </c>
      <c r="H1021">
        <v>-5.3</v>
      </c>
      <c r="I1021">
        <v>87.3</v>
      </c>
      <c r="J1021">
        <v>63.6</v>
      </c>
      <c r="K1021">
        <v>0.4</v>
      </c>
      <c r="L1021">
        <v>2.5</v>
      </c>
      <c r="M1021">
        <v>2.2999999999999998</v>
      </c>
      <c r="N1021">
        <v>0</v>
      </c>
      <c r="O1021" t="s">
        <v>27</v>
      </c>
      <c r="P1021">
        <v>-2.4</v>
      </c>
      <c r="Q1021">
        <v>6.7</v>
      </c>
      <c r="R1021">
        <v>-6.9</v>
      </c>
      <c r="S1021">
        <v>0.6</v>
      </c>
      <c r="T1021">
        <v>3</v>
      </c>
      <c r="U1021" t="s">
        <v>27</v>
      </c>
      <c r="V1021">
        <v>8.6999999999999994E-2</v>
      </c>
      <c r="W1021">
        <v>0.48199999999999998</v>
      </c>
      <c r="X1021">
        <v>0.27600000000000002</v>
      </c>
      <c r="Y1021" t="s">
        <v>27</v>
      </c>
      <c r="Z1021" t="s">
        <v>27</v>
      </c>
      <c r="AA1021" t="s">
        <v>27</v>
      </c>
      <c r="AB1021" t="s">
        <v>27</v>
      </c>
      <c r="AC1021" t="s">
        <v>27</v>
      </c>
      <c r="AD1021" t="s">
        <v>27</v>
      </c>
      <c r="AE1021" t="s">
        <v>27</v>
      </c>
      <c r="AF1021" t="s">
        <v>27</v>
      </c>
      <c r="AG1021">
        <v>12.87</v>
      </c>
    </row>
    <row r="1022" spans="1:33" x14ac:dyDescent="0.25">
      <c r="A1022" t="s">
        <v>57</v>
      </c>
      <c r="B1022" s="3">
        <v>44483</v>
      </c>
      <c r="C1022">
        <v>2021287</v>
      </c>
      <c r="D1022">
        <v>5.12</v>
      </c>
      <c r="E1022" t="s">
        <v>27</v>
      </c>
      <c r="F1022">
        <v>-0.5</v>
      </c>
      <c r="G1022">
        <v>4.2</v>
      </c>
      <c r="H1022">
        <v>-4.7</v>
      </c>
      <c r="I1022">
        <v>89.1</v>
      </c>
      <c r="J1022">
        <v>70.900000000000006</v>
      </c>
      <c r="K1022">
        <v>0.5</v>
      </c>
      <c r="L1022">
        <v>2.6</v>
      </c>
      <c r="M1022">
        <v>4</v>
      </c>
      <c r="N1022">
        <v>0</v>
      </c>
      <c r="O1022" t="s">
        <v>27</v>
      </c>
      <c r="P1022">
        <v>-0.9</v>
      </c>
      <c r="Q1022">
        <v>6</v>
      </c>
      <c r="R1022">
        <v>-5.9</v>
      </c>
      <c r="S1022">
        <v>0.6</v>
      </c>
      <c r="T1022">
        <v>2.9</v>
      </c>
      <c r="U1022" t="s">
        <v>27</v>
      </c>
      <c r="V1022">
        <v>8.5999999999999993E-2</v>
      </c>
      <c r="W1022">
        <v>0.58499999999999996</v>
      </c>
      <c r="X1022">
        <v>0.24</v>
      </c>
      <c r="Y1022" t="s">
        <v>27</v>
      </c>
      <c r="Z1022" t="s">
        <v>27</v>
      </c>
      <c r="AA1022" t="s">
        <v>27</v>
      </c>
      <c r="AB1022" t="s">
        <v>27</v>
      </c>
      <c r="AC1022" t="s">
        <v>27</v>
      </c>
      <c r="AD1022" t="s">
        <v>27</v>
      </c>
      <c r="AE1022" t="s">
        <v>27</v>
      </c>
      <c r="AF1022" t="s">
        <v>27</v>
      </c>
      <c r="AG1022">
        <v>12.65</v>
      </c>
    </row>
    <row r="1023" spans="1:33" x14ac:dyDescent="0.25">
      <c r="A1023" t="s">
        <v>57</v>
      </c>
      <c r="B1023" s="3">
        <v>44484</v>
      </c>
      <c r="C1023">
        <v>2021288</v>
      </c>
      <c r="D1023">
        <v>3.21</v>
      </c>
      <c r="E1023" t="s">
        <v>27</v>
      </c>
      <c r="F1023">
        <v>1.3</v>
      </c>
      <c r="G1023">
        <v>3.8</v>
      </c>
      <c r="H1023">
        <v>-0.1</v>
      </c>
      <c r="I1023">
        <v>95.1</v>
      </c>
      <c r="J1023">
        <v>87.7</v>
      </c>
      <c r="K1023">
        <v>0.3</v>
      </c>
      <c r="L1023">
        <v>1.6</v>
      </c>
      <c r="M1023">
        <v>6.3</v>
      </c>
      <c r="N1023">
        <v>0</v>
      </c>
      <c r="O1023" t="s">
        <v>27</v>
      </c>
      <c r="P1023">
        <v>0.9</v>
      </c>
      <c r="Q1023">
        <v>5.6</v>
      </c>
      <c r="R1023">
        <v>-0.9</v>
      </c>
      <c r="S1023">
        <v>0.6</v>
      </c>
      <c r="T1023">
        <v>2.8</v>
      </c>
      <c r="U1023" t="s">
        <v>27</v>
      </c>
      <c r="V1023">
        <v>0.14299999999999999</v>
      </c>
      <c r="W1023">
        <v>0.70199999999999996</v>
      </c>
      <c r="X1023">
        <v>9.8000000000000004E-2</v>
      </c>
      <c r="Y1023" t="s">
        <v>27</v>
      </c>
      <c r="Z1023" t="s">
        <v>27</v>
      </c>
      <c r="AA1023" t="s">
        <v>27</v>
      </c>
      <c r="AB1023" t="s">
        <v>27</v>
      </c>
      <c r="AC1023" t="s">
        <v>27</v>
      </c>
      <c r="AD1023" t="s">
        <v>27</v>
      </c>
      <c r="AE1023" t="s">
        <v>27</v>
      </c>
      <c r="AF1023" t="s">
        <v>27</v>
      </c>
      <c r="AG1023">
        <v>12.43</v>
      </c>
    </row>
    <row r="1024" spans="1:33" x14ac:dyDescent="0.25">
      <c r="A1024" t="s">
        <v>57</v>
      </c>
      <c r="B1024" s="3">
        <v>44485</v>
      </c>
      <c r="C1024">
        <v>2021289</v>
      </c>
      <c r="D1024">
        <v>9.48</v>
      </c>
      <c r="E1024" t="s">
        <v>27</v>
      </c>
      <c r="F1024">
        <v>4.7</v>
      </c>
      <c r="G1024">
        <v>11.5</v>
      </c>
      <c r="H1024">
        <v>1.3</v>
      </c>
      <c r="I1024">
        <v>82.2</v>
      </c>
      <c r="J1024">
        <v>58.8</v>
      </c>
      <c r="K1024">
        <v>0.9</v>
      </c>
      <c r="L1024">
        <v>2.7</v>
      </c>
      <c r="M1024">
        <v>8.1</v>
      </c>
      <c r="N1024">
        <v>0</v>
      </c>
      <c r="O1024" t="s">
        <v>27</v>
      </c>
      <c r="P1024">
        <v>3.8</v>
      </c>
      <c r="Q1024">
        <v>11.8</v>
      </c>
      <c r="R1024">
        <v>0.5</v>
      </c>
      <c r="S1024">
        <v>0.4</v>
      </c>
      <c r="T1024">
        <v>2.6</v>
      </c>
      <c r="U1024" t="s">
        <v>27</v>
      </c>
      <c r="V1024">
        <v>0.24199999999999999</v>
      </c>
      <c r="W1024">
        <v>0.79900000000000004</v>
      </c>
      <c r="X1024">
        <v>0.56000000000000005</v>
      </c>
      <c r="Y1024" t="s">
        <v>27</v>
      </c>
      <c r="Z1024" t="s">
        <v>27</v>
      </c>
      <c r="AA1024" t="s">
        <v>27</v>
      </c>
      <c r="AB1024" t="s">
        <v>27</v>
      </c>
      <c r="AC1024" t="s">
        <v>27</v>
      </c>
      <c r="AD1024" t="s">
        <v>27</v>
      </c>
      <c r="AE1024" t="s">
        <v>27</v>
      </c>
      <c r="AF1024" t="s">
        <v>27</v>
      </c>
      <c r="AG1024">
        <v>12.21</v>
      </c>
    </row>
    <row r="1025" spans="1:33" x14ac:dyDescent="0.25">
      <c r="A1025" t="s">
        <v>57</v>
      </c>
      <c r="B1025" s="3">
        <v>44486</v>
      </c>
      <c r="C1025">
        <v>2021290</v>
      </c>
      <c r="D1025">
        <v>9.99</v>
      </c>
      <c r="E1025" t="s">
        <v>27</v>
      </c>
      <c r="F1025">
        <v>4.5</v>
      </c>
      <c r="G1025">
        <v>12.9</v>
      </c>
      <c r="H1025">
        <v>-1.7</v>
      </c>
      <c r="I1025">
        <v>70.5</v>
      </c>
      <c r="J1025">
        <v>36</v>
      </c>
      <c r="K1025">
        <v>0.5</v>
      </c>
      <c r="L1025">
        <v>2.4</v>
      </c>
      <c r="M1025">
        <v>0</v>
      </c>
      <c r="N1025">
        <v>0</v>
      </c>
      <c r="O1025" t="s">
        <v>27</v>
      </c>
      <c r="P1025">
        <v>3.8</v>
      </c>
      <c r="Q1025">
        <v>15.7</v>
      </c>
      <c r="R1025">
        <v>-2.8</v>
      </c>
      <c r="S1025">
        <v>1.2</v>
      </c>
      <c r="T1025">
        <v>2.8</v>
      </c>
      <c r="U1025" t="s">
        <v>27</v>
      </c>
      <c r="V1025">
        <v>0.219</v>
      </c>
      <c r="W1025">
        <v>0.53500000000000003</v>
      </c>
      <c r="X1025">
        <v>0.95099999999999996</v>
      </c>
      <c r="Y1025" t="s">
        <v>27</v>
      </c>
      <c r="Z1025" t="s">
        <v>27</v>
      </c>
      <c r="AA1025" t="s">
        <v>27</v>
      </c>
      <c r="AB1025" t="s">
        <v>27</v>
      </c>
      <c r="AC1025" t="s">
        <v>27</v>
      </c>
      <c r="AD1025" t="s">
        <v>27</v>
      </c>
      <c r="AE1025" t="s">
        <v>27</v>
      </c>
      <c r="AF1025" t="s">
        <v>27</v>
      </c>
      <c r="AG1025">
        <v>11.99</v>
      </c>
    </row>
    <row r="1026" spans="1:33" x14ac:dyDescent="0.25">
      <c r="A1026" t="s">
        <v>57</v>
      </c>
      <c r="B1026" s="3">
        <v>44487</v>
      </c>
      <c r="C1026">
        <v>2021291</v>
      </c>
      <c r="D1026">
        <v>11.97</v>
      </c>
      <c r="E1026" t="s">
        <v>27</v>
      </c>
      <c r="F1026">
        <v>2.8</v>
      </c>
      <c r="G1026">
        <v>12.8</v>
      </c>
      <c r="H1026">
        <v>-2.6</v>
      </c>
      <c r="I1026">
        <v>76.2</v>
      </c>
      <c r="J1026">
        <v>37.4</v>
      </c>
      <c r="K1026">
        <v>0.5</v>
      </c>
      <c r="L1026">
        <v>2.4</v>
      </c>
      <c r="M1026">
        <v>0.1</v>
      </c>
      <c r="N1026">
        <v>0</v>
      </c>
      <c r="O1026" t="s">
        <v>27</v>
      </c>
      <c r="P1026">
        <v>2.2999999999999998</v>
      </c>
      <c r="Q1026">
        <v>15.3</v>
      </c>
      <c r="R1026">
        <v>-3.9</v>
      </c>
      <c r="S1026">
        <v>1.6</v>
      </c>
      <c r="T1026">
        <v>2.9</v>
      </c>
      <c r="U1026" t="s">
        <v>27</v>
      </c>
      <c r="V1026">
        <v>0.16800000000000001</v>
      </c>
      <c r="W1026">
        <v>0.55200000000000005</v>
      </c>
      <c r="X1026">
        <v>0.92400000000000004</v>
      </c>
      <c r="Y1026" t="s">
        <v>27</v>
      </c>
      <c r="Z1026" t="s">
        <v>27</v>
      </c>
      <c r="AA1026" t="s">
        <v>27</v>
      </c>
      <c r="AB1026" t="s">
        <v>27</v>
      </c>
      <c r="AC1026" t="s">
        <v>27</v>
      </c>
      <c r="AD1026" t="s">
        <v>27</v>
      </c>
      <c r="AE1026" t="s">
        <v>27</v>
      </c>
      <c r="AF1026" t="s">
        <v>27</v>
      </c>
      <c r="AG1026">
        <v>11.78</v>
      </c>
    </row>
    <row r="1027" spans="1:33" x14ac:dyDescent="0.25">
      <c r="A1027" t="s">
        <v>57</v>
      </c>
      <c r="B1027" s="3">
        <v>44488</v>
      </c>
      <c r="C1027">
        <v>2021292</v>
      </c>
      <c r="D1027">
        <v>12.03</v>
      </c>
      <c r="E1027" t="s">
        <v>27</v>
      </c>
      <c r="F1027">
        <v>6.2</v>
      </c>
      <c r="G1027">
        <v>13.2</v>
      </c>
      <c r="H1027">
        <v>-2.5</v>
      </c>
      <c r="I1027">
        <v>58.9</v>
      </c>
      <c r="J1027">
        <v>34.4</v>
      </c>
      <c r="K1027">
        <v>1.2</v>
      </c>
      <c r="L1027">
        <v>3.3</v>
      </c>
      <c r="M1027">
        <v>0</v>
      </c>
      <c r="N1027">
        <v>0</v>
      </c>
      <c r="O1027" t="s">
        <v>27</v>
      </c>
      <c r="P1027">
        <v>5</v>
      </c>
      <c r="Q1027">
        <v>14.7</v>
      </c>
      <c r="R1027">
        <v>-3.5</v>
      </c>
      <c r="S1027">
        <v>1.3</v>
      </c>
      <c r="T1027">
        <v>2.8</v>
      </c>
      <c r="U1027" t="s">
        <v>27</v>
      </c>
      <c r="V1027">
        <v>0.14599999999999999</v>
      </c>
      <c r="W1027">
        <v>0.52300000000000002</v>
      </c>
      <c r="X1027">
        <v>0.997</v>
      </c>
      <c r="Y1027" t="s">
        <v>27</v>
      </c>
      <c r="Z1027" t="s">
        <v>27</v>
      </c>
      <c r="AA1027" t="s">
        <v>27</v>
      </c>
      <c r="AB1027" t="s">
        <v>27</v>
      </c>
      <c r="AC1027" t="s">
        <v>27</v>
      </c>
      <c r="AD1027" t="s">
        <v>27</v>
      </c>
      <c r="AE1027" t="s">
        <v>27</v>
      </c>
      <c r="AF1027" t="s">
        <v>27</v>
      </c>
      <c r="AG1027">
        <v>11.57</v>
      </c>
    </row>
    <row r="1028" spans="1:33" x14ac:dyDescent="0.25">
      <c r="A1028" t="s">
        <v>57</v>
      </c>
      <c r="B1028" s="3">
        <v>44489</v>
      </c>
      <c r="C1028">
        <v>2021293</v>
      </c>
      <c r="D1028">
        <v>2.93</v>
      </c>
      <c r="E1028" t="s">
        <v>27</v>
      </c>
      <c r="F1028">
        <v>4.7</v>
      </c>
      <c r="G1028">
        <v>8</v>
      </c>
      <c r="H1028">
        <v>-0.6</v>
      </c>
      <c r="I1028">
        <v>76.7</v>
      </c>
      <c r="J1028">
        <v>50.2</v>
      </c>
      <c r="K1028">
        <v>1.3</v>
      </c>
      <c r="L1028">
        <v>4.0999999999999996</v>
      </c>
      <c r="M1028">
        <v>1.8</v>
      </c>
      <c r="N1028">
        <v>0</v>
      </c>
      <c r="O1028" t="s">
        <v>27</v>
      </c>
      <c r="P1028">
        <v>3.7</v>
      </c>
      <c r="Q1028">
        <v>7.2</v>
      </c>
      <c r="R1028">
        <v>-1.5</v>
      </c>
      <c r="S1028">
        <v>2.5</v>
      </c>
      <c r="T1028">
        <v>3.2</v>
      </c>
      <c r="U1028" t="s">
        <v>27</v>
      </c>
      <c r="V1028">
        <v>0.13400000000000001</v>
      </c>
      <c r="W1028">
        <v>0.53800000000000003</v>
      </c>
      <c r="X1028">
        <v>0.53400000000000003</v>
      </c>
      <c r="Y1028" t="s">
        <v>27</v>
      </c>
      <c r="Z1028" t="s">
        <v>27</v>
      </c>
      <c r="AA1028" t="s">
        <v>27</v>
      </c>
      <c r="AB1028" t="s">
        <v>27</v>
      </c>
      <c r="AC1028" t="s">
        <v>27</v>
      </c>
      <c r="AD1028" t="s">
        <v>27</v>
      </c>
      <c r="AE1028" t="s">
        <v>27</v>
      </c>
      <c r="AF1028" t="s">
        <v>27</v>
      </c>
      <c r="AG1028">
        <v>11.36</v>
      </c>
    </row>
    <row r="1029" spans="1:33" x14ac:dyDescent="0.25">
      <c r="A1029" t="s">
        <v>57</v>
      </c>
      <c r="B1029" s="3">
        <v>44490</v>
      </c>
      <c r="C1029">
        <v>2021294</v>
      </c>
      <c r="D1029">
        <v>4.5</v>
      </c>
      <c r="E1029" t="s">
        <v>27</v>
      </c>
      <c r="F1029">
        <v>3.6</v>
      </c>
      <c r="G1029">
        <v>7.7</v>
      </c>
      <c r="H1029">
        <v>-0.7</v>
      </c>
      <c r="I1029">
        <v>82.5</v>
      </c>
      <c r="J1029">
        <v>65.3</v>
      </c>
      <c r="K1029">
        <v>1.2</v>
      </c>
      <c r="L1029">
        <v>4.5999999999999996</v>
      </c>
      <c r="M1029">
        <v>0.1</v>
      </c>
      <c r="N1029">
        <v>0</v>
      </c>
      <c r="O1029" t="s">
        <v>27</v>
      </c>
      <c r="P1029">
        <v>2.6</v>
      </c>
      <c r="Q1029">
        <v>7.2</v>
      </c>
      <c r="R1029">
        <v>-1.9</v>
      </c>
      <c r="S1029">
        <v>2.2999999999999998</v>
      </c>
      <c r="T1029">
        <v>3.1</v>
      </c>
      <c r="U1029" t="s">
        <v>27</v>
      </c>
      <c r="V1029">
        <v>0.129</v>
      </c>
      <c r="W1029">
        <v>0.68500000000000005</v>
      </c>
      <c r="X1029">
        <v>0.36399999999999999</v>
      </c>
      <c r="Y1029" t="s">
        <v>27</v>
      </c>
      <c r="Z1029" t="s">
        <v>27</v>
      </c>
      <c r="AA1029" t="s">
        <v>27</v>
      </c>
      <c r="AB1029" t="s">
        <v>27</v>
      </c>
      <c r="AC1029" t="s">
        <v>27</v>
      </c>
      <c r="AD1029" t="s">
        <v>27</v>
      </c>
      <c r="AE1029" t="s">
        <v>27</v>
      </c>
      <c r="AF1029" t="s">
        <v>27</v>
      </c>
      <c r="AG1029">
        <v>11.15</v>
      </c>
    </row>
    <row r="1030" spans="1:33" x14ac:dyDescent="0.25">
      <c r="A1030" t="s">
        <v>57</v>
      </c>
      <c r="B1030" s="3">
        <v>44491</v>
      </c>
      <c r="C1030">
        <v>2021295</v>
      </c>
      <c r="D1030">
        <v>1.54</v>
      </c>
      <c r="E1030" t="s">
        <v>27</v>
      </c>
      <c r="F1030">
        <v>4.4000000000000004</v>
      </c>
      <c r="G1030">
        <v>7.7</v>
      </c>
      <c r="H1030">
        <v>1.4</v>
      </c>
      <c r="I1030">
        <v>94.2</v>
      </c>
      <c r="J1030">
        <v>69.599999999999994</v>
      </c>
      <c r="K1030">
        <v>0.6</v>
      </c>
      <c r="L1030">
        <v>3</v>
      </c>
      <c r="M1030">
        <v>16.100000000000001</v>
      </c>
      <c r="N1030">
        <v>0</v>
      </c>
      <c r="O1030" t="s">
        <v>27</v>
      </c>
      <c r="P1030">
        <v>3.7</v>
      </c>
      <c r="Q1030">
        <v>6.6</v>
      </c>
      <c r="R1030">
        <v>0.6</v>
      </c>
      <c r="S1030">
        <v>4.4000000000000004</v>
      </c>
      <c r="T1030">
        <v>4.0999999999999996</v>
      </c>
      <c r="U1030" t="s">
        <v>27</v>
      </c>
      <c r="V1030">
        <v>0.22800000000000001</v>
      </c>
      <c r="W1030">
        <v>0.73199999999999998</v>
      </c>
      <c r="X1030">
        <v>0.32</v>
      </c>
      <c r="Y1030" t="s">
        <v>27</v>
      </c>
      <c r="Z1030" t="s">
        <v>27</v>
      </c>
      <c r="AA1030" t="s">
        <v>27</v>
      </c>
      <c r="AB1030" t="s">
        <v>27</v>
      </c>
      <c r="AC1030" t="s">
        <v>27</v>
      </c>
      <c r="AD1030" t="s">
        <v>27</v>
      </c>
      <c r="AE1030" t="s">
        <v>27</v>
      </c>
      <c r="AF1030" t="s">
        <v>27</v>
      </c>
      <c r="AG1030">
        <v>10.95</v>
      </c>
    </row>
    <row r="1031" spans="1:33" x14ac:dyDescent="0.25">
      <c r="A1031" t="s">
        <v>57</v>
      </c>
      <c r="B1031" s="3">
        <v>44492</v>
      </c>
      <c r="C1031">
        <v>2021296</v>
      </c>
      <c r="D1031">
        <v>8.2200000000000006</v>
      </c>
      <c r="E1031" t="s">
        <v>27</v>
      </c>
      <c r="F1031">
        <v>2.5</v>
      </c>
      <c r="G1031">
        <v>6.4</v>
      </c>
      <c r="H1031">
        <v>0.5</v>
      </c>
      <c r="I1031">
        <v>91.2</v>
      </c>
      <c r="J1031">
        <v>71.099999999999994</v>
      </c>
      <c r="K1031">
        <v>0.5</v>
      </c>
      <c r="L1031">
        <v>2.5</v>
      </c>
      <c r="M1031">
        <v>0.8</v>
      </c>
      <c r="N1031">
        <v>0</v>
      </c>
      <c r="O1031" t="s">
        <v>27</v>
      </c>
      <c r="P1031">
        <v>2.1</v>
      </c>
      <c r="Q1031">
        <v>7.1</v>
      </c>
      <c r="R1031">
        <v>-0.6</v>
      </c>
      <c r="S1031">
        <v>3.9</v>
      </c>
      <c r="T1031">
        <v>4.0999999999999996</v>
      </c>
      <c r="U1031" t="s">
        <v>27</v>
      </c>
      <c r="V1031">
        <v>0.19700000000000001</v>
      </c>
      <c r="W1031">
        <v>0.68500000000000005</v>
      </c>
      <c r="X1031">
        <v>0.27800000000000002</v>
      </c>
      <c r="Y1031" t="s">
        <v>27</v>
      </c>
      <c r="Z1031" t="s">
        <v>27</v>
      </c>
      <c r="AA1031" t="s">
        <v>27</v>
      </c>
      <c r="AB1031" t="s">
        <v>27</v>
      </c>
      <c r="AC1031" t="s">
        <v>27</v>
      </c>
      <c r="AD1031" t="s">
        <v>27</v>
      </c>
      <c r="AE1031" t="s">
        <v>27</v>
      </c>
      <c r="AF1031" t="s">
        <v>27</v>
      </c>
      <c r="AG1031">
        <v>10.75</v>
      </c>
    </row>
    <row r="1032" spans="1:33" x14ac:dyDescent="0.25">
      <c r="A1032" t="s">
        <v>57</v>
      </c>
      <c r="B1032" s="3">
        <v>44493</v>
      </c>
      <c r="C1032">
        <v>2021297</v>
      </c>
      <c r="D1032">
        <v>1.34</v>
      </c>
      <c r="E1032" t="s">
        <v>27</v>
      </c>
      <c r="F1032">
        <v>1.5</v>
      </c>
      <c r="G1032">
        <v>2.8</v>
      </c>
      <c r="H1032">
        <v>0.3</v>
      </c>
      <c r="I1032">
        <v>94.6</v>
      </c>
      <c r="J1032">
        <v>90.9</v>
      </c>
      <c r="K1032">
        <v>1.4</v>
      </c>
      <c r="L1032">
        <v>4.2</v>
      </c>
      <c r="M1032">
        <v>6.5</v>
      </c>
      <c r="N1032">
        <v>0</v>
      </c>
      <c r="O1032" t="s">
        <v>27</v>
      </c>
      <c r="P1032">
        <v>0.8</v>
      </c>
      <c r="Q1032">
        <v>2.4</v>
      </c>
      <c r="R1032">
        <v>-0.1</v>
      </c>
      <c r="S1032">
        <v>1.8</v>
      </c>
      <c r="T1032">
        <v>3.6</v>
      </c>
      <c r="U1032" t="s">
        <v>27</v>
      </c>
      <c r="V1032">
        <v>0.184</v>
      </c>
      <c r="W1032">
        <v>0.67900000000000005</v>
      </c>
      <c r="X1032">
        <v>6.8000000000000005E-2</v>
      </c>
      <c r="Y1032" t="s">
        <v>27</v>
      </c>
      <c r="Z1032" t="s">
        <v>27</v>
      </c>
      <c r="AA1032" t="s">
        <v>27</v>
      </c>
      <c r="AB1032" t="s">
        <v>27</v>
      </c>
      <c r="AC1032" t="s">
        <v>27</v>
      </c>
      <c r="AD1032" t="s">
        <v>27</v>
      </c>
      <c r="AE1032" t="s">
        <v>27</v>
      </c>
      <c r="AF1032" t="s">
        <v>27</v>
      </c>
      <c r="AG1032">
        <v>10.55</v>
      </c>
    </row>
    <row r="1033" spans="1:33" x14ac:dyDescent="0.25">
      <c r="A1033" t="s">
        <v>57</v>
      </c>
      <c r="B1033" s="3">
        <v>44494</v>
      </c>
      <c r="C1033">
        <v>2021298</v>
      </c>
      <c r="D1033">
        <v>2.73</v>
      </c>
      <c r="E1033" t="s">
        <v>27</v>
      </c>
      <c r="F1033">
        <v>1</v>
      </c>
      <c r="G1033">
        <v>2.8</v>
      </c>
      <c r="H1033">
        <v>0</v>
      </c>
      <c r="I1033">
        <v>90.4</v>
      </c>
      <c r="J1033">
        <v>82.3</v>
      </c>
      <c r="K1033">
        <v>1.2</v>
      </c>
      <c r="L1033">
        <v>3.5</v>
      </c>
      <c r="M1033">
        <v>4.9000000000000004</v>
      </c>
      <c r="N1033">
        <v>0</v>
      </c>
      <c r="O1033" t="s">
        <v>27</v>
      </c>
      <c r="P1033">
        <v>0.3</v>
      </c>
      <c r="Q1033">
        <v>2</v>
      </c>
      <c r="R1033">
        <v>-0.8</v>
      </c>
      <c r="S1033">
        <v>1.2</v>
      </c>
      <c r="T1033">
        <v>3</v>
      </c>
      <c r="U1033" t="s">
        <v>27</v>
      </c>
      <c r="V1033">
        <v>0.19900000000000001</v>
      </c>
      <c r="W1033">
        <v>0.61399999999999999</v>
      </c>
      <c r="X1033">
        <v>0.13200000000000001</v>
      </c>
      <c r="Y1033" t="s">
        <v>27</v>
      </c>
      <c r="Z1033" t="s">
        <v>27</v>
      </c>
      <c r="AA1033" t="s">
        <v>27</v>
      </c>
      <c r="AB1033" t="s">
        <v>27</v>
      </c>
      <c r="AC1033" t="s">
        <v>27</v>
      </c>
      <c r="AD1033" t="s">
        <v>27</v>
      </c>
      <c r="AE1033" t="s">
        <v>27</v>
      </c>
      <c r="AF1033" t="s">
        <v>27</v>
      </c>
      <c r="AG1033">
        <v>10.36</v>
      </c>
    </row>
    <row r="1034" spans="1:33" x14ac:dyDescent="0.25">
      <c r="A1034" t="s">
        <v>57</v>
      </c>
      <c r="B1034" s="3">
        <v>44495</v>
      </c>
      <c r="C1034">
        <v>2021299</v>
      </c>
      <c r="D1034">
        <v>4.0599999999999996</v>
      </c>
      <c r="E1034" t="s">
        <v>27</v>
      </c>
      <c r="F1034">
        <v>0.9</v>
      </c>
      <c r="G1034">
        <v>4.5</v>
      </c>
      <c r="H1034">
        <v>-1.1000000000000001</v>
      </c>
      <c r="I1034">
        <v>91</v>
      </c>
      <c r="J1034">
        <v>65.400000000000006</v>
      </c>
      <c r="K1034">
        <v>0.9</v>
      </c>
      <c r="L1034">
        <v>3.7</v>
      </c>
      <c r="M1034">
        <v>0.1</v>
      </c>
      <c r="N1034">
        <v>0</v>
      </c>
      <c r="O1034" t="s">
        <v>27</v>
      </c>
      <c r="P1034">
        <v>0.2</v>
      </c>
      <c r="Q1034">
        <v>4.4000000000000004</v>
      </c>
      <c r="R1034">
        <v>-2.4</v>
      </c>
      <c r="S1034">
        <v>1.2</v>
      </c>
      <c r="T1034">
        <v>2.8</v>
      </c>
      <c r="U1034" t="s">
        <v>27</v>
      </c>
      <c r="V1034">
        <v>0.17100000000000001</v>
      </c>
      <c r="W1034">
        <v>0.54900000000000004</v>
      </c>
      <c r="X1034">
        <v>0.28999999999999998</v>
      </c>
      <c r="Y1034" t="s">
        <v>27</v>
      </c>
      <c r="Z1034" t="s">
        <v>27</v>
      </c>
      <c r="AA1034" t="s">
        <v>27</v>
      </c>
      <c r="AB1034" t="s">
        <v>27</v>
      </c>
      <c r="AC1034" t="s">
        <v>27</v>
      </c>
      <c r="AD1034" t="s">
        <v>27</v>
      </c>
      <c r="AE1034" t="s">
        <v>27</v>
      </c>
      <c r="AF1034" t="s">
        <v>27</v>
      </c>
      <c r="AG1034">
        <v>10.17</v>
      </c>
    </row>
    <row r="1035" spans="1:33" x14ac:dyDescent="0.25">
      <c r="A1035" t="s">
        <v>57</v>
      </c>
      <c r="B1035" s="3">
        <v>44496</v>
      </c>
      <c r="C1035">
        <v>2021300</v>
      </c>
      <c r="D1035">
        <v>5.82</v>
      </c>
      <c r="E1035" t="s">
        <v>27</v>
      </c>
      <c r="F1035">
        <v>0.7</v>
      </c>
      <c r="G1035">
        <v>4</v>
      </c>
      <c r="H1035">
        <v>-1.5</v>
      </c>
      <c r="I1035">
        <v>76.7</v>
      </c>
      <c r="J1035">
        <v>54.6</v>
      </c>
      <c r="K1035">
        <v>1.2</v>
      </c>
      <c r="L1035">
        <v>4.2</v>
      </c>
      <c r="M1035">
        <v>2.4</v>
      </c>
      <c r="N1035">
        <v>0</v>
      </c>
      <c r="O1035" t="s">
        <v>27</v>
      </c>
      <c r="P1035">
        <v>-0.1</v>
      </c>
      <c r="Q1035">
        <v>4.5999999999999996</v>
      </c>
      <c r="R1035">
        <v>-2.8</v>
      </c>
      <c r="S1035">
        <v>0.2</v>
      </c>
      <c r="T1035">
        <v>2.4</v>
      </c>
      <c r="U1035" t="s">
        <v>27</v>
      </c>
      <c r="V1035">
        <v>0.16600000000000001</v>
      </c>
      <c r="W1035">
        <v>0.442</v>
      </c>
      <c r="X1035">
        <v>0.36799999999999999</v>
      </c>
      <c r="Y1035" t="s">
        <v>27</v>
      </c>
      <c r="Z1035" t="s">
        <v>27</v>
      </c>
      <c r="AA1035" t="s">
        <v>27</v>
      </c>
      <c r="AB1035" t="s">
        <v>27</v>
      </c>
      <c r="AC1035" t="s">
        <v>27</v>
      </c>
      <c r="AD1035" t="s">
        <v>27</v>
      </c>
      <c r="AE1035" t="s">
        <v>27</v>
      </c>
      <c r="AF1035" t="s">
        <v>27</v>
      </c>
      <c r="AG1035">
        <v>9.98</v>
      </c>
    </row>
    <row r="1036" spans="1:33" x14ac:dyDescent="0.25">
      <c r="A1036" t="s">
        <v>57</v>
      </c>
      <c r="B1036" s="3">
        <v>44497</v>
      </c>
      <c r="C1036">
        <v>2021301</v>
      </c>
      <c r="D1036">
        <v>0.03</v>
      </c>
      <c r="E1036" t="s">
        <v>27</v>
      </c>
      <c r="F1036">
        <v>0.1</v>
      </c>
      <c r="G1036">
        <v>1.7</v>
      </c>
      <c r="H1036">
        <v>-1.1000000000000001</v>
      </c>
      <c r="I1036">
        <v>94.2</v>
      </c>
      <c r="J1036">
        <v>90.1</v>
      </c>
      <c r="K1036">
        <v>0.2</v>
      </c>
      <c r="L1036">
        <v>2</v>
      </c>
      <c r="M1036">
        <v>24</v>
      </c>
      <c r="N1036">
        <v>0.11799999999999988</v>
      </c>
      <c r="O1036">
        <v>0.2</v>
      </c>
      <c r="P1036">
        <v>-0.5</v>
      </c>
      <c r="Q1036">
        <v>0.5</v>
      </c>
      <c r="R1036">
        <v>-1.6</v>
      </c>
      <c r="S1036">
        <v>0.2</v>
      </c>
      <c r="T1036">
        <v>2.1</v>
      </c>
      <c r="U1036" t="s">
        <v>27</v>
      </c>
      <c r="V1036">
        <v>0.16400000000000001</v>
      </c>
      <c r="W1036">
        <v>0.622</v>
      </c>
      <c r="X1036">
        <v>6.8000000000000005E-2</v>
      </c>
      <c r="Y1036" t="s">
        <v>27</v>
      </c>
      <c r="Z1036" t="s">
        <v>27</v>
      </c>
      <c r="AA1036" t="s">
        <v>27</v>
      </c>
      <c r="AB1036" t="s">
        <v>27</v>
      </c>
      <c r="AC1036" t="s">
        <v>27</v>
      </c>
      <c r="AD1036" t="s">
        <v>27</v>
      </c>
      <c r="AE1036" t="s">
        <v>27</v>
      </c>
      <c r="AF1036" t="s">
        <v>27</v>
      </c>
      <c r="AG1036">
        <v>9.8000000000000007</v>
      </c>
    </row>
    <row r="1037" spans="1:33" x14ac:dyDescent="0.25">
      <c r="A1037" t="s">
        <v>57</v>
      </c>
      <c r="B1037" s="3">
        <v>44498</v>
      </c>
      <c r="C1037">
        <v>2021302</v>
      </c>
      <c r="D1037">
        <v>0.99</v>
      </c>
      <c r="E1037" t="s">
        <v>27</v>
      </c>
      <c r="F1037">
        <v>-2</v>
      </c>
      <c r="G1037">
        <v>1</v>
      </c>
      <c r="H1037">
        <v>-9.4</v>
      </c>
      <c r="I1037">
        <v>92.4</v>
      </c>
      <c r="J1037">
        <v>85.1</v>
      </c>
      <c r="K1037">
        <v>0.8</v>
      </c>
      <c r="L1037">
        <v>3.4</v>
      </c>
      <c r="M1037">
        <v>18</v>
      </c>
      <c r="N1037">
        <v>0.19399999999999995</v>
      </c>
      <c r="O1037">
        <v>0.3</v>
      </c>
      <c r="P1037">
        <v>-2.7</v>
      </c>
      <c r="Q1037">
        <v>0.3</v>
      </c>
      <c r="R1037">
        <v>-11.8</v>
      </c>
      <c r="S1037">
        <v>0.3</v>
      </c>
      <c r="T1037">
        <v>2</v>
      </c>
      <c r="U1037" t="s">
        <v>27</v>
      </c>
      <c r="V1037">
        <v>0.221</v>
      </c>
      <c r="W1037">
        <v>0.55700000000000005</v>
      </c>
      <c r="X1037">
        <v>9.8000000000000004E-2</v>
      </c>
      <c r="Y1037" t="s">
        <v>27</v>
      </c>
      <c r="Z1037" t="s">
        <v>27</v>
      </c>
      <c r="AA1037" t="s">
        <v>27</v>
      </c>
      <c r="AB1037" t="s">
        <v>27</v>
      </c>
      <c r="AC1037" t="s">
        <v>27</v>
      </c>
      <c r="AD1037" t="s">
        <v>27</v>
      </c>
      <c r="AE1037" t="s">
        <v>27</v>
      </c>
      <c r="AF1037" t="s">
        <v>27</v>
      </c>
      <c r="AG1037">
        <v>9.6199999999999992</v>
      </c>
    </row>
    <row r="1038" spans="1:33" x14ac:dyDescent="0.25">
      <c r="A1038" t="s">
        <v>57</v>
      </c>
      <c r="B1038" s="3">
        <v>44499</v>
      </c>
      <c r="C1038">
        <v>2021303</v>
      </c>
      <c r="D1038">
        <v>7.89</v>
      </c>
      <c r="E1038" t="s">
        <v>27</v>
      </c>
      <c r="F1038">
        <v>-6.1</v>
      </c>
      <c r="G1038">
        <v>1.8</v>
      </c>
      <c r="H1038">
        <v>-11</v>
      </c>
      <c r="I1038">
        <v>84.2</v>
      </c>
      <c r="J1038">
        <v>63.1</v>
      </c>
      <c r="K1038">
        <v>0.6</v>
      </c>
      <c r="L1038">
        <v>1.9</v>
      </c>
      <c r="M1038">
        <v>0</v>
      </c>
      <c r="N1038">
        <v>0.16800000000000015</v>
      </c>
      <c r="O1038">
        <v>0.4</v>
      </c>
      <c r="P1038">
        <v>-6.8</v>
      </c>
      <c r="Q1038">
        <v>6.1</v>
      </c>
      <c r="R1038">
        <v>-13.6</v>
      </c>
      <c r="S1038">
        <v>0.4</v>
      </c>
      <c r="T1038">
        <v>1.9</v>
      </c>
      <c r="U1038" t="s">
        <v>27</v>
      </c>
      <c r="V1038">
        <v>0.17899999999999999</v>
      </c>
      <c r="W1038">
        <v>0.437</v>
      </c>
      <c r="X1038">
        <v>0.25600000000000001</v>
      </c>
      <c r="Y1038" t="s">
        <v>27</v>
      </c>
      <c r="Z1038" t="s">
        <v>27</v>
      </c>
      <c r="AA1038" t="s">
        <v>27</v>
      </c>
      <c r="AB1038" t="s">
        <v>27</v>
      </c>
      <c r="AC1038" t="s">
        <v>27</v>
      </c>
      <c r="AD1038" t="s">
        <v>27</v>
      </c>
      <c r="AE1038" t="s">
        <v>27</v>
      </c>
      <c r="AF1038" t="s">
        <v>27</v>
      </c>
      <c r="AG1038">
        <v>9.44</v>
      </c>
    </row>
    <row r="1039" spans="1:33" x14ac:dyDescent="0.25">
      <c r="A1039" t="s">
        <v>57</v>
      </c>
      <c r="B1039" s="3">
        <v>44500</v>
      </c>
      <c r="C1039">
        <v>2021304</v>
      </c>
      <c r="D1039">
        <v>8.0299999999999994</v>
      </c>
      <c r="E1039" t="s">
        <v>27</v>
      </c>
      <c r="F1039">
        <v>-6.3</v>
      </c>
      <c r="G1039">
        <v>4</v>
      </c>
      <c r="H1039">
        <v>-12.7</v>
      </c>
      <c r="I1039">
        <v>80.3</v>
      </c>
      <c r="J1039">
        <v>41.4</v>
      </c>
      <c r="K1039">
        <v>0.4</v>
      </c>
      <c r="L1039">
        <v>1.6</v>
      </c>
      <c r="M1039">
        <v>0</v>
      </c>
      <c r="N1039">
        <v>0.16300000000000026</v>
      </c>
      <c r="O1039">
        <v>0.3</v>
      </c>
      <c r="P1039">
        <v>-7.3</v>
      </c>
      <c r="Q1039">
        <v>6.9</v>
      </c>
      <c r="R1039">
        <v>-14.7</v>
      </c>
      <c r="S1039">
        <v>0.3</v>
      </c>
      <c r="T1039">
        <v>1.8</v>
      </c>
      <c r="U1039" t="s">
        <v>27</v>
      </c>
      <c r="V1039">
        <v>0.16</v>
      </c>
      <c r="W1039">
        <v>0.33500000000000002</v>
      </c>
      <c r="X1039">
        <v>0.47399999999999998</v>
      </c>
      <c r="Y1039" t="s">
        <v>27</v>
      </c>
      <c r="Z1039" t="s">
        <v>27</v>
      </c>
      <c r="AA1039" t="s">
        <v>27</v>
      </c>
      <c r="AB1039" t="s">
        <v>27</v>
      </c>
      <c r="AC1039" t="s">
        <v>27</v>
      </c>
      <c r="AD1039" t="s">
        <v>27</v>
      </c>
      <c r="AE1039" t="s">
        <v>27</v>
      </c>
      <c r="AF1039" t="s">
        <v>27</v>
      </c>
      <c r="AG1039">
        <v>9.26</v>
      </c>
    </row>
    <row r="1040" spans="1:33" x14ac:dyDescent="0.25">
      <c r="A1040" t="s">
        <v>57</v>
      </c>
      <c r="B1040" s="3">
        <v>44501</v>
      </c>
      <c r="C1040">
        <v>2021305</v>
      </c>
      <c r="D1040">
        <v>7.58</v>
      </c>
      <c r="E1040" t="s">
        <v>27</v>
      </c>
      <c r="F1040">
        <v>-3.2</v>
      </c>
      <c r="G1040">
        <v>5.3</v>
      </c>
      <c r="H1040">
        <v>-12.2</v>
      </c>
      <c r="I1040">
        <v>75.400000000000006</v>
      </c>
      <c r="J1040">
        <v>31.9</v>
      </c>
      <c r="K1040">
        <v>0.4</v>
      </c>
      <c r="L1040">
        <v>1.8</v>
      </c>
      <c r="M1040">
        <v>0</v>
      </c>
      <c r="N1040">
        <v>0.17200000000000015</v>
      </c>
      <c r="O1040">
        <v>0.2</v>
      </c>
      <c r="P1040">
        <v>-3.8</v>
      </c>
      <c r="Q1040">
        <v>8.5</v>
      </c>
      <c r="R1040">
        <v>-14</v>
      </c>
      <c r="S1040">
        <v>0.2</v>
      </c>
      <c r="T1040">
        <v>1.8</v>
      </c>
      <c r="U1040" t="s">
        <v>27</v>
      </c>
      <c r="V1040">
        <v>0.14899999999999999</v>
      </c>
      <c r="W1040">
        <v>0.28499999999999998</v>
      </c>
      <c r="X1040">
        <v>0.60799999999999998</v>
      </c>
      <c r="Y1040" t="s">
        <v>27</v>
      </c>
      <c r="Z1040" t="s">
        <v>27</v>
      </c>
      <c r="AA1040" t="s">
        <v>27</v>
      </c>
      <c r="AB1040" t="s">
        <v>27</v>
      </c>
      <c r="AC1040" t="s">
        <v>27</v>
      </c>
      <c r="AD1040" t="s">
        <v>27</v>
      </c>
      <c r="AE1040" t="s">
        <v>27</v>
      </c>
      <c r="AF1040" t="s">
        <v>27</v>
      </c>
      <c r="AG1040">
        <v>9.09</v>
      </c>
    </row>
    <row r="1041" spans="1:33" x14ac:dyDescent="0.25">
      <c r="A1041" t="s">
        <v>57</v>
      </c>
      <c r="B1041" s="3">
        <v>44502</v>
      </c>
      <c r="C1041">
        <v>2021306</v>
      </c>
      <c r="D1041">
        <v>3.12</v>
      </c>
      <c r="E1041" t="s">
        <v>27</v>
      </c>
      <c r="F1041">
        <v>-0.4</v>
      </c>
      <c r="G1041">
        <v>0.8</v>
      </c>
      <c r="H1041">
        <v>-2.1</v>
      </c>
      <c r="I1041">
        <v>94.4</v>
      </c>
      <c r="J1041">
        <v>89.9</v>
      </c>
      <c r="K1041">
        <v>0.1</v>
      </c>
      <c r="L1041">
        <v>1.4</v>
      </c>
      <c r="M1041">
        <v>0</v>
      </c>
      <c r="N1041">
        <v>0.18700000000000028</v>
      </c>
      <c r="O1041">
        <v>0.3</v>
      </c>
      <c r="P1041">
        <v>-0.7</v>
      </c>
      <c r="Q1041">
        <v>2.8</v>
      </c>
      <c r="R1041">
        <v>-2.7</v>
      </c>
      <c r="S1041">
        <v>0.3</v>
      </c>
      <c r="T1041">
        <v>1.8</v>
      </c>
      <c r="U1041" t="s">
        <v>27</v>
      </c>
      <c r="V1041">
        <v>0.14399999999999999</v>
      </c>
      <c r="W1041">
        <v>0.58299999999999996</v>
      </c>
      <c r="X1041">
        <v>6.5000000000000002E-2</v>
      </c>
      <c r="Y1041" t="s">
        <v>27</v>
      </c>
      <c r="Z1041" t="s">
        <v>27</v>
      </c>
      <c r="AA1041" t="s">
        <v>27</v>
      </c>
      <c r="AB1041" t="s">
        <v>27</v>
      </c>
      <c r="AC1041" t="s">
        <v>27</v>
      </c>
      <c r="AD1041" t="s">
        <v>27</v>
      </c>
      <c r="AE1041" t="s">
        <v>27</v>
      </c>
      <c r="AF1041" t="s">
        <v>27</v>
      </c>
      <c r="AG1041">
        <v>8.92</v>
      </c>
    </row>
    <row r="1042" spans="1:33" x14ac:dyDescent="0.25">
      <c r="A1042" t="s">
        <v>57</v>
      </c>
      <c r="B1042" s="3">
        <v>44503</v>
      </c>
      <c r="C1042">
        <v>2021307</v>
      </c>
      <c r="D1042">
        <v>3</v>
      </c>
      <c r="E1042" t="s">
        <v>27</v>
      </c>
      <c r="F1042">
        <v>1.6</v>
      </c>
      <c r="G1042">
        <v>3.4</v>
      </c>
      <c r="H1042">
        <v>-0.4</v>
      </c>
      <c r="I1042">
        <v>95.9</v>
      </c>
      <c r="J1042">
        <v>91.6</v>
      </c>
      <c r="K1042">
        <v>0.5</v>
      </c>
      <c r="L1042">
        <v>2.1</v>
      </c>
      <c r="M1042">
        <v>0</v>
      </c>
      <c r="N1042">
        <v>0.15300000000000002</v>
      </c>
      <c r="O1042">
        <v>0.4</v>
      </c>
      <c r="P1042">
        <v>1.1000000000000001</v>
      </c>
      <c r="Q1042">
        <v>3.8</v>
      </c>
      <c r="R1042">
        <v>-1.2</v>
      </c>
      <c r="S1042">
        <v>0.4</v>
      </c>
      <c r="T1042">
        <v>1.8</v>
      </c>
      <c r="U1042" t="s">
        <v>27</v>
      </c>
      <c r="V1042">
        <v>0.14699999999999999</v>
      </c>
      <c r="W1042">
        <v>0.71599999999999997</v>
      </c>
      <c r="X1042">
        <v>6.6000000000000003E-2</v>
      </c>
      <c r="Y1042" t="s">
        <v>27</v>
      </c>
      <c r="Z1042" t="s">
        <v>27</v>
      </c>
      <c r="AA1042" t="s">
        <v>27</v>
      </c>
      <c r="AB1042" t="s">
        <v>27</v>
      </c>
      <c r="AC1042" t="s">
        <v>27</v>
      </c>
      <c r="AD1042" t="s">
        <v>27</v>
      </c>
      <c r="AE1042" t="s">
        <v>27</v>
      </c>
      <c r="AF1042" t="s">
        <v>27</v>
      </c>
      <c r="AG1042">
        <v>8.76</v>
      </c>
    </row>
    <row r="1043" spans="1:33" x14ac:dyDescent="0.25">
      <c r="A1043" t="s">
        <v>57</v>
      </c>
      <c r="B1043" s="3">
        <v>44504</v>
      </c>
      <c r="C1043">
        <v>2021308</v>
      </c>
      <c r="D1043">
        <v>2.64</v>
      </c>
      <c r="E1043" t="s">
        <v>27</v>
      </c>
      <c r="F1043">
        <v>3.3</v>
      </c>
      <c r="G1043">
        <v>6</v>
      </c>
      <c r="H1043">
        <v>0</v>
      </c>
      <c r="I1043">
        <v>94.5</v>
      </c>
      <c r="J1043">
        <v>84.4</v>
      </c>
      <c r="K1043">
        <v>0.9</v>
      </c>
      <c r="L1043">
        <v>2.8</v>
      </c>
      <c r="M1043">
        <v>5</v>
      </c>
      <c r="N1043">
        <v>0.11500000000000021</v>
      </c>
      <c r="O1043">
        <v>0.4</v>
      </c>
      <c r="P1043">
        <v>2.4</v>
      </c>
      <c r="Q1043">
        <v>5.6</v>
      </c>
      <c r="R1043">
        <v>-0.8</v>
      </c>
      <c r="S1043">
        <v>0.4</v>
      </c>
      <c r="T1043">
        <v>1.7</v>
      </c>
      <c r="U1043" t="s">
        <v>27</v>
      </c>
      <c r="V1043">
        <v>0.23200000000000001</v>
      </c>
      <c r="W1043">
        <v>0.78700000000000003</v>
      </c>
      <c r="X1043">
        <v>0.14499999999999999</v>
      </c>
      <c r="Y1043" t="s">
        <v>27</v>
      </c>
      <c r="Z1043" t="s">
        <v>27</v>
      </c>
      <c r="AA1043" t="s">
        <v>27</v>
      </c>
      <c r="AB1043" t="s">
        <v>27</v>
      </c>
      <c r="AC1043" t="s">
        <v>27</v>
      </c>
      <c r="AD1043" t="s">
        <v>27</v>
      </c>
      <c r="AE1043" t="s">
        <v>27</v>
      </c>
      <c r="AF1043" t="s">
        <v>27</v>
      </c>
      <c r="AG1043">
        <v>8.59</v>
      </c>
    </row>
    <row r="1044" spans="1:33" x14ac:dyDescent="0.25">
      <c r="A1044" t="s">
        <v>57</v>
      </c>
      <c r="B1044" s="3">
        <v>44505</v>
      </c>
      <c r="C1044">
        <v>2021309</v>
      </c>
      <c r="D1044">
        <v>2.65</v>
      </c>
      <c r="E1044" t="s">
        <v>27</v>
      </c>
      <c r="F1044">
        <v>-0.6</v>
      </c>
      <c r="G1044">
        <v>2.2000000000000002</v>
      </c>
      <c r="H1044">
        <v>-5.8</v>
      </c>
      <c r="I1044">
        <v>91.8</v>
      </c>
      <c r="J1044">
        <v>78.7</v>
      </c>
      <c r="K1044">
        <v>0.7</v>
      </c>
      <c r="L1044">
        <v>3.6</v>
      </c>
      <c r="M1044">
        <v>1</v>
      </c>
      <c r="N1044">
        <v>0.11100000000000021</v>
      </c>
      <c r="O1044">
        <v>0.4</v>
      </c>
      <c r="P1044">
        <v>-1.5</v>
      </c>
      <c r="Q1044">
        <v>1.6</v>
      </c>
      <c r="R1044">
        <v>-7.5</v>
      </c>
      <c r="S1044">
        <v>0.4</v>
      </c>
      <c r="T1044">
        <v>1.6</v>
      </c>
      <c r="U1044" t="s">
        <v>27</v>
      </c>
      <c r="V1044">
        <v>0.20200000000000001</v>
      </c>
      <c r="W1044">
        <v>0.56299999999999994</v>
      </c>
      <c r="X1044">
        <v>0.152</v>
      </c>
      <c r="Y1044" t="s">
        <v>27</v>
      </c>
      <c r="Z1044" t="s">
        <v>27</v>
      </c>
      <c r="AA1044" t="s">
        <v>27</v>
      </c>
      <c r="AB1044" t="s">
        <v>27</v>
      </c>
      <c r="AC1044" t="s">
        <v>27</v>
      </c>
      <c r="AD1044" t="s">
        <v>27</v>
      </c>
      <c r="AE1044" t="s">
        <v>27</v>
      </c>
      <c r="AF1044" t="s">
        <v>27</v>
      </c>
      <c r="AG1044">
        <v>8.43</v>
      </c>
    </row>
    <row r="1045" spans="1:33" x14ac:dyDescent="0.25">
      <c r="A1045" t="s">
        <v>57</v>
      </c>
      <c r="B1045" s="3">
        <v>44506</v>
      </c>
      <c r="C1045">
        <v>2021310</v>
      </c>
      <c r="D1045">
        <v>1.46</v>
      </c>
      <c r="E1045" t="s">
        <v>27</v>
      </c>
      <c r="F1045">
        <v>-3.1</v>
      </c>
      <c r="G1045">
        <v>-0.2</v>
      </c>
      <c r="H1045">
        <v>-7.9</v>
      </c>
      <c r="I1045">
        <v>87.9</v>
      </c>
      <c r="J1045">
        <v>79.099999999999994</v>
      </c>
      <c r="K1045">
        <v>1</v>
      </c>
      <c r="L1045">
        <v>4</v>
      </c>
      <c r="M1045">
        <v>7</v>
      </c>
      <c r="N1045">
        <v>0.11100000000000021</v>
      </c>
      <c r="O1045">
        <v>0.2</v>
      </c>
      <c r="P1045">
        <v>-4.2</v>
      </c>
      <c r="Q1045">
        <v>-0.7</v>
      </c>
      <c r="R1045">
        <v>-9.6</v>
      </c>
      <c r="S1045">
        <v>0.2</v>
      </c>
      <c r="T1045">
        <v>1.5</v>
      </c>
      <c r="U1045" t="s">
        <v>27</v>
      </c>
      <c r="V1045">
        <v>0.17599999999999999</v>
      </c>
      <c r="W1045">
        <v>0.47699999999999998</v>
      </c>
      <c r="X1045">
        <v>0.126</v>
      </c>
      <c r="Y1045" t="s">
        <v>27</v>
      </c>
      <c r="Z1045" t="s">
        <v>27</v>
      </c>
      <c r="AA1045" t="s">
        <v>27</v>
      </c>
      <c r="AB1045" t="s">
        <v>27</v>
      </c>
      <c r="AC1045" t="s">
        <v>27</v>
      </c>
      <c r="AD1045" t="s">
        <v>27</v>
      </c>
      <c r="AE1045" t="s">
        <v>27</v>
      </c>
      <c r="AF1045" t="s">
        <v>27</v>
      </c>
      <c r="AG1045">
        <v>8.2799999999999994</v>
      </c>
    </row>
    <row r="1046" spans="1:33" x14ac:dyDescent="0.25">
      <c r="A1046" t="s">
        <v>57</v>
      </c>
      <c r="B1046" s="3">
        <v>44507</v>
      </c>
      <c r="C1046">
        <v>2021311</v>
      </c>
      <c r="D1046">
        <v>3.46</v>
      </c>
      <c r="E1046" t="s">
        <v>27</v>
      </c>
      <c r="F1046">
        <v>-4.9000000000000004</v>
      </c>
      <c r="G1046">
        <v>-0.9</v>
      </c>
      <c r="H1046">
        <v>-10.6</v>
      </c>
      <c r="I1046">
        <v>84.4</v>
      </c>
      <c r="J1046">
        <v>65.5</v>
      </c>
      <c r="K1046">
        <v>0.7</v>
      </c>
      <c r="L1046">
        <v>3.2</v>
      </c>
      <c r="M1046">
        <v>0</v>
      </c>
      <c r="N1046">
        <v>0.10899999999999999</v>
      </c>
      <c r="O1046">
        <v>0.1</v>
      </c>
      <c r="P1046">
        <v>-5.9</v>
      </c>
      <c r="Q1046">
        <v>-1</v>
      </c>
      <c r="R1046">
        <v>-12.3</v>
      </c>
      <c r="S1046">
        <v>0.1</v>
      </c>
      <c r="T1046">
        <v>1.4</v>
      </c>
      <c r="U1046" t="s">
        <v>27</v>
      </c>
      <c r="V1046">
        <v>0.16400000000000001</v>
      </c>
      <c r="W1046">
        <v>0.375</v>
      </c>
      <c r="X1046">
        <v>0.19800000000000001</v>
      </c>
      <c r="Y1046" t="s">
        <v>27</v>
      </c>
      <c r="Z1046" t="s">
        <v>27</v>
      </c>
      <c r="AA1046" t="s">
        <v>27</v>
      </c>
      <c r="AB1046" t="s">
        <v>27</v>
      </c>
      <c r="AC1046" t="s">
        <v>27</v>
      </c>
      <c r="AD1046" t="s">
        <v>27</v>
      </c>
      <c r="AE1046" t="s">
        <v>27</v>
      </c>
      <c r="AF1046" t="s">
        <v>27</v>
      </c>
      <c r="AG1046">
        <v>8.1199999999999992</v>
      </c>
    </row>
    <row r="1047" spans="1:33" x14ac:dyDescent="0.25">
      <c r="A1047" t="s">
        <v>57</v>
      </c>
      <c r="B1047" s="3">
        <v>44508</v>
      </c>
      <c r="C1047">
        <v>2021312</v>
      </c>
      <c r="D1047">
        <v>5.89</v>
      </c>
      <c r="E1047" t="s">
        <v>27</v>
      </c>
      <c r="F1047">
        <v>-4.5</v>
      </c>
      <c r="G1047">
        <v>0.9</v>
      </c>
      <c r="H1047">
        <v>-10.7</v>
      </c>
      <c r="I1047">
        <v>82.1</v>
      </c>
      <c r="J1047">
        <v>57</v>
      </c>
      <c r="K1047">
        <v>0.1</v>
      </c>
      <c r="L1047">
        <v>1.7</v>
      </c>
      <c r="M1047">
        <v>0</v>
      </c>
      <c r="N1047">
        <v>0.10899999999999999</v>
      </c>
      <c r="O1047">
        <v>0.1</v>
      </c>
      <c r="P1047">
        <v>-5.3</v>
      </c>
      <c r="Q1047">
        <v>3</v>
      </c>
      <c r="R1047">
        <v>-12</v>
      </c>
      <c r="S1047">
        <v>0.1</v>
      </c>
      <c r="T1047">
        <v>1.4</v>
      </c>
      <c r="U1047" t="s">
        <v>27</v>
      </c>
      <c r="V1047">
        <v>0.156</v>
      </c>
      <c r="W1047">
        <v>0.371</v>
      </c>
      <c r="X1047">
        <v>0.28000000000000003</v>
      </c>
      <c r="Y1047" t="s">
        <v>27</v>
      </c>
      <c r="Z1047" t="s">
        <v>27</v>
      </c>
      <c r="AA1047" t="s">
        <v>27</v>
      </c>
      <c r="AB1047" t="s">
        <v>27</v>
      </c>
      <c r="AC1047" t="s">
        <v>27</v>
      </c>
      <c r="AD1047" t="s">
        <v>27</v>
      </c>
      <c r="AE1047" t="s">
        <v>27</v>
      </c>
      <c r="AF1047" t="s">
        <v>27</v>
      </c>
      <c r="AG1047">
        <v>7.98</v>
      </c>
    </row>
    <row r="1048" spans="1:33" x14ac:dyDescent="0.25">
      <c r="A1048" t="s">
        <v>57</v>
      </c>
      <c r="B1048" s="3">
        <v>44509</v>
      </c>
      <c r="C1048">
        <v>2021313</v>
      </c>
      <c r="D1048">
        <v>2.98</v>
      </c>
      <c r="E1048" t="s">
        <v>27</v>
      </c>
      <c r="F1048">
        <v>-2.7</v>
      </c>
      <c r="G1048">
        <v>0.9</v>
      </c>
      <c r="H1048">
        <v>-6.4</v>
      </c>
      <c r="I1048">
        <v>78.8</v>
      </c>
      <c r="J1048">
        <v>54.2</v>
      </c>
      <c r="K1048">
        <v>0.2</v>
      </c>
      <c r="L1048">
        <v>3.7</v>
      </c>
      <c r="M1048">
        <v>4</v>
      </c>
      <c r="N1048">
        <v>0.12300000000000022</v>
      </c>
      <c r="O1048">
        <v>0.1</v>
      </c>
      <c r="P1048">
        <v>-3.7</v>
      </c>
      <c r="Q1048">
        <v>0.7</v>
      </c>
      <c r="R1048">
        <v>-8.3000000000000007</v>
      </c>
      <c r="S1048">
        <v>0.1</v>
      </c>
      <c r="T1048">
        <v>1.3</v>
      </c>
      <c r="U1048" t="s">
        <v>27</v>
      </c>
      <c r="V1048">
        <v>0.151</v>
      </c>
      <c r="W1048">
        <v>0.35399999999999998</v>
      </c>
      <c r="X1048">
        <v>0.29899999999999999</v>
      </c>
      <c r="Y1048" t="s">
        <v>27</v>
      </c>
      <c r="Z1048" t="s">
        <v>27</v>
      </c>
      <c r="AA1048" t="s">
        <v>27</v>
      </c>
      <c r="AB1048" t="s">
        <v>27</v>
      </c>
      <c r="AC1048" t="s">
        <v>27</v>
      </c>
      <c r="AD1048" t="s">
        <v>27</v>
      </c>
      <c r="AE1048" t="s">
        <v>27</v>
      </c>
      <c r="AF1048" t="s">
        <v>27</v>
      </c>
      <c r="AG1048">
        <v>7.83</v>
      </c>
    </row>
    <row r="1049" spans="1:33" x14ac:dyDescent="0.25">
      <c r="A1049" t="s">
        <v>57</v>
      </c>
      <c r="B1049" s="3">
        <v>44510</v>
      </c>
      <c r="C1049">
        <v>2021314</v>
      </c>
      <c r="D1049">
        <v>5.42</v>
      </c>
      <c r="E1049" t="s">
        <v>27</v>
      </c>
      <c r="F1049">
        <v>-4.4000000000000004</v>
      </c>
      <c r="G1049">
        <v>1.4</v>
      </c>
      <c r="H1049">
        <v>-10.4</v>
      </c>
      <c r="I1049">
        <v>73.8</v>
      </c>
      <c r="J1049">
        <v>48.3</v>
      </c>
      <c r="K1049">
        <v>0.1</v>
      </c>
      <c r="L1049">
        <v>1.8</v>
      </c>
      <c r="M1049">
        <v>4</v>
      </c>
      <c r="N1049">
        <v>0.12800000000000011</v>
      </c>
      <c r="O1049">
        <v>0</v>
      </c>
      <c r="P1049">
        <v>-5.7</v>
      </c>
      <c r="Q1049">
        <v>2.1</v>
      </c>
      <c r="R1049">
        <v>-12</v>
      </c>
      <c r="S1049">
        <v>0</v>
      </c>
      <c r="T1049">
        <v>1.3</v>
      </c>
      <c r="U1049" t="s">
        <v>27</v>
      </c>
      <c r="V1049">
        <v>0.14599999999999999</v>
      </c>
      <c r="W1049">
        <v>0.32700000000000001</v>
      </c>
      <c r="X1049">
        <v>0.35</v>
      </c>
      <c r="Y1049" t="s">
        <v>27</v>
      </c>
      <c r="Z1049" t="s">
        <v>27</v>
      </c>
      <c r="AA1049" t="s">
        <v>27</v>
      </c>
      <c r="AB1049" t="s">
        <v>27</v>
      </c>
      <c r="AC1049" t="s">
        <v>27</v>
      </c>
      <c r="AD1049" t="s">
        <v>27</v>
      </c>
      <c r="AE1049" t="s">
        <v>27</v>
      </c>
      <c r="AF1049" t="s">
        <v>27</v>
      </c>
      <c r="AG1049">
        <v>7.69</v>
      </c>
    </row>
    <row r="1050" spans="1:33" x14ac:dyDescent="0.25">
      <c r="A1050" t="s">
        <v>57</v>
      </c>
      <c r="B1050" s="3">
        <v>44511</v>
      </c>
      <c r="C1050">
        <v>2021315</v>
      </c>
      <c r="D1050">
        <v>1.87</v>
      </c>
      <c r="E1050" t="s">
        <v>27</v>
      </c>
      <c r="F1050">
        <v>-2.6</v>
      </c>
      <c r="G1050">
        <v>-0.8</v>
      </c>
      <c r="H1050">
        <v>-4.4000000000000004</v>
      </c>
      <c r="I1050">
        <v>90.8</v>
      </c>
      <c r="J1050">
        <v>71.400000000000006</v>
      </c>
      <c r="K1050">
        <v>0</v>
      </c>
      <c r="L1050">
        <v>1.3</v>
      </c>
      <c r="M1050">
        <v>0</v>
      </c>
      <c r="N1050">
        <v>0.15500000000000025</v>
      </c>
      <c r="O1050">
        <v>0</v>
      </c>
      <c r="P1050">
        <v>-3</v>
      </c>
      <c r="Q1050">
        <v>0.1</v>
      </c>
      <c r="R1050">
        <v>-5.9</v>
      </c>
      <c r="S1050">
        <v>0</v>
      </c>
      <c r="T1050">
        <v>1.2</v>
      </c>
      <c r="U1050" t="s">
        <v>27</v>
      </c>
      <c r="V1050">
        <v>0.14199999999999999</v>
      </c>
      <c r="W1050">
        <v>0.41199999999999998</v>
      </c>
      <c r="X1050">
        <v>0.16500000000000001</v>
      </c>
      <c r="Y1050" t="s">
        <v>27</v>
      </c>
      <c r="Z1050" t="s">
        <v>27</v>
      </c>
      <c r="AA1050" t="s">
        <v>27</v>
      </c>
      <c r="AB1050" t="s">
        <v>27</v>
      </c>
      <c r="AC1050" t="s">
        <v>27</v>
      </c>
      <c r="AD1050" t="s">
        <v>27</v>
      </c>
      <c r="AE1050" t="s">
        <v>27</v>
      </c>
      <c r="AF1050" t="s">
        <v>27</v>
      </c>
      <c r="AG1050">
        <v>7.55</v>
      </c>
    </row>
    <row r="1051" spans="1:33" x14ac:dyDescent="0.25">
      <c r="A1051" t="s">
        <v>57</v>
      </c>
      <c r="B1051" s="3">
        <v>44512</v>
      </c>
      <c r="C1051">
        <v>2021316</v>
      </c>
      <c r="D1051">
        <v>3.95</v>
      </c>
      <c r="E1051" t="s">
        <v>27</v>
      </c>
      <c r="F1051">
        <v>0.6</v>
      </c>
      <c r="G1051">
        <v>5</v>
      </c>
      <c r="H1051">
        <v>-2.1</v>
      </c>
      <c r="I1051">
        <v>87.3</v>
      </c>
      <c r="J1051">
        <v>57.5</v>
      </c>
      <c r="K1051">
        <v>0</v>
      </c>
      <c r="L1051">
        <v>0</v>
      </c>
      <c r="M1051">
        <v>0</v>
      </c>
      <c r="N1051">
        <v>0.1419999999999999</v>
      </c>
      <c r="O1051">
        <v>0.1</v>
      </c>
      <c r="P1051">
        <v>0.1</v>
      </c>
      <c r="Q1051">
        <v>7.4</v>
      </c>
      <c r="R1051">
        <v>-2.7</v>
      </c>
      <c r="S1051">
        <v>0.1</v>
      </c>
      <c r="T1051">
        <v>1.2</v>
      </c>
      <c r="U1051" t="s">
        <v>27</v>
      </c>
      <c r="V1051">
        <v>0.14099999999999999</v>
      </c>
      <c r="W1051">
        <v>0.501</v>
      </c>
      <c r="X1051">
        <v>0.37</v>
      </c>
      <c r="Y1051" t="s">
        <v>27</v>
      </c>
      <c r="Z1051" t="s">
        <v>27</v>
      </c>
      <c r="AA1051" t="s">
        <v>27</v>
      </c>
      <c r="AB1051" t="s">
        <v>27</v>
      </c>
      <c r="AC1051" t="s">
        <v>27</v>
      </c>
      <c r="AD1051" t="s">
        <v>27</v>
      </c>
      <c r="AE1051" t="s">
        <v>27</v>
      </c>
      <c r="AF1051" t="s">
        <v>27</v>
      </c>
      <c r="AG1051">
        <v>7.41</v>
      </c>
    </row>
    <row r="1052" spans="1:33" x14ac:dyDescent="0.25">
      <c r="A1052" t="s">
        <v>57</v>
      </c>
      <c r="B1052" s="3">
        <v>44513</v>
      </c>
      <c r="C1052">
        <v>2021317</v>
      </c>
      <c r="D1052">
        <v>3.03</v>
      </c>
      <c r="E1052" t="s">
        <v>27</v>
      </c>
      <c r="F1052">
        <v>-1.2</v>
      </c>
      <c r="G1052">
        <v>1.2</v>
      </c>
      <c r="H1052">
        <v>-2.8</v>
      </c>
      <c r="I1052">
        <v>75.099999999999994</v>
      </c>
      <c r="J1052">
        <v>52.2</v>
      </c>
      <c r="K1052">
        <v>1</v>
      </c>
      <c r="L1052">
        <v>4</v>
      </c>
      <c r="M1052">
        <v>13</v>
      </c>
      <c r="N1052">
        <v>0.26500000000000012</v>
      </c>
      <c r="O1052">
        <v>0</v>
      </c>
      <c r="P1052">
        <v>-1.9</v>
      </c>
      <c r="Q1052">
        <v>1.7</v>
      </c>
      <c r="R1052">
        <v>-4.5</v>
      </c>
      <c r="S1052">
        <v>0</v>
      </c>
      <c r="T1052">
        <v>1.2</v>
      </c>
      <c r="U1052" t="s">
        <v>27</v>
      </c>
      <c r="V1052">
        <v>0.14000000000000001</v>
      </c>
      <c r="W1052">
        <v>0.34799999999999998</v>
      </c>
      <c r="X1052">
        <v>0.31900000000000001</v>
      </c>
      <c r="Y1052" t="s">
        <v>27</v>
      </c>
      <c r="Z1052" t="s">
        <v>27</v>
      </c>
      <c r="AA1052" t="s">
        <v>27</v>
      </c>
      <c r="AB1052" t="s">
        <v>27</v>
      </c>
      <c r="AC1052" t="s">
        <v>27</v>
      </c>
      <c r="AD1052" t="s">
        <v>27</v>
      </c>
      <c r="AE1052" t="s">
        <v>27</v>
      </c>
      <c r="AF1052" t="s">
        <v>27</v>
      </c>
      <c r="AG1052">
        <v>7.28</v>
      </c>
    </row>
    <row r="1053" spans="1:33" x14ac:dyDescent="0.25">
      <c r="A1053" t="s">
        <v>57</v>
      </c>
      <c r="B1053" s="3">
        <v>44514</v>
      </c>
      <c r="C1053">
        <v>2021318</v>
      </c>
      <c r="D1053">
        <v>1.1499999999999999</v>
      </c>
      <c r="E1053" t="s">
        <v>27</v>
      </c>
      <c r="F1053">
        <v>1</v>
      </c>
      <c r="G1053">
        <v>4.4000000000000004</v>
      </c>
      <c r="H1053">
        <v>-2.5</v>
      </c>
      <c r="I1053">
        <v>95.2</v>
      </c>
      <c r="J1053">
        <v>92</v>
      </c>
      <c r="K1053">
        <v>0.5</v>
      </c>
      <c r="L1053">
        <v>2.2999999999999998</v>
      </c>
      <c r="M1053">
        <v>4</v>
      </c>
      <c r="N1053">
        <v>0.2330000000000001</v>
      </c>
      <c r="O1053">
        <v>-0.2</v>
      </c>
      <c r="P1053">
        <v>0.4</v>
      </c>
      <c r="Q1053">
        <v>3.2</v>
      </c>
      <c r="R1053">
        <v>-3</v>
      </c>
      <c r="S1053">
        <v>0.1</v>
      </c>
      <c r="T1053">
        <v>1.2</v>
      </c>
      <c r="U1053" t="s">
        <v>27</v>
      </c>
      <c r="V1053">
        <v>0.16200000000000001</v>
      </c>
      <c r="W1053">
        <v>0.76900000000000002</v>
      </c>
      <c r="X1053">
        <v>6.7000000000000004E-2</v>
      </c>
      <c r="Y1053" t="s">
        <v>27</v>
      </c>
      <c r="Z1053" t="s">
        <v>27</v>
      </c>
      <c r="AA1053" t="s">
        <v>27</v>
      </c>
      <c r="AB1053" t="s">
        <v>27</v>
      </c>
      <c r="AC1053" t="s">
        <v>27</v>
      </c>
      <c r="AD1053" t="s">
        <v>27</v>
      </c>
      <c r="AE1053" t="s">
        <v>27</v>
      </c>
      <c r="AF1053" t="s">
        <v>27</v>
      </c>
      <c r="AG1053">
        <v>7.16</v>
      </c>
    </row>
    <row r="1054" spans="1:33" x14ac:dyDescent="0.25">
      <c r="A1054" t="s">
        <v>57</v>
      </c>
      <c r="B1054" s="3">
        <v>44515</v>
      </c>
      <c r="C1054">
        <v>2021319</v>
      </c>
      <c r="D1054">
        <v>1.77</v>
      </c>
      <c r="E1054" t="s">
        <v>27</v>
      </c>
      <c r="F1054">
        <v>1.3</v>
      </c>
      <c r="G1054">
        <v>5.0999999999999996</v>
      </c>
      <c r="H1054">
        <v>-6.8</v>
      </c>
      <c r="I1054">
        <v>86.5</v>
      </c>
      <c r="J1054">
        <v>60.7</v>
      </c>
      <c r="K1054">
        <v>1.9</v>
      </c>
      <c r="L1054">
        <v>5.4</v>
      </c>
      <c r="M1054">
        <v>9</v>
      </c>
      <c r="N1054">
        <v>0.28299999999999992</v>
      </c>
      <c r="O1054">
        <v>0</v>
      </c>
      <c r="P1054">
        <v>0.3</v>
      </c>
      <c r="Q1054">
        <v>4.2</v>
      </c>
      <c r="R1054">
        <v>-7.4</v>
      </c>
      <c r="S1054">
        <v>0.1</v>
      </c>
      <c r="T1054">
        <v>1.2</v>
      </c>
      <c r="U1054" t="s">
        <v>27</v>
      </c>
      <c r="V1054">
        <v>0.20499999999999999</v>
      </c>
      <c r="W1054">
        <v>0.53300000000000003</v>
      </c>
      <c r="X1054">
        <v>0.34499999999999997</v>
      </c>
      <c r="Y1054" t="s">
        <v>27</v>
      </c>
      <c r="Z1054" t="s">
        <v>27</v>
      </c>
      <c r="AA1054" t="s">
        <v>27</v>
      </c>
      <c r="AB1054" t="s">
        <v>27</v>
      </c>
      <c r="AC1054" t="s">
        <v>27</v>
      </c>
      <c r="AD1054" t="s">
        <v>27</v>
      </c>
      <c r="AE1054" t="s">
        <v>27</v>
      </c>
      <c r="AF1054" t="s">
        <v>27</v>
      </c>
      <c r="AG1054">
        <v>7.03</v>
      </c>
    </row>
    <row r="1055" spans="1:33" x14ac:dyDescent="0.25">
      <c r="A1055" t="s">
        <v>57</v>
      </c>
      <c r="B1055" s="3">
        <v>44516</v>
      </c>
      <c r="C1055">
        <v>2021320</v>
      </c>
      <c r="D1055">
        <v>4.2</v>
      </c>
      <c r="E1055" t="s">
        <v>27</v>
      </c>
      <c r="F1055">
        <v>-7.8</v>
      </c>
      <c r="G1055">
        <v>-2.6</v>
      </c>
      <c r="H1055">
        <v>-16.7</v>
      </c>
      <c r="I1055">
        <v>88.2</v>
      </c>
      <c r="J1055">
        <v>81.7</v>
      </c>
      <c r="K1055">
        <v>1.3</v>
      </c>
      <c r="L1055">
        <v>4.0999999999999996</v>
      </c>
      <c r="M1055">
        <v>15</v>
      </c>
      <c r="N1055">
        <v>0.28900000000000015</v>
      </c>
      <c r="O1055">
        <v>-0.7</v>
      </c>
      <c r="P1055">
        <v>-8.3000000000000007</v>
      </c>
      <c r="Q1055">
        <v>-0.8</v>
      </c>
      <c r="R1055">
        <v>-18.600000000000001</v>
      </c>
      <c r="S1055">
        <v>0.1</v>
      </c>
      <c r="T1055">
        <v>1.1000000000000001</v>
      </c>
      <c r="U1055" t="s">
        <v>27</v>
      </c>
      <c r="V1055">
        <v>0.186</v>
      </c>
      <c r="W1055">
        <v>0.41099999999999998</v>
      </c>
      <c r="X1055">
        <v>9.1999999999999998E-2</v>
      </c>
      <c r="Y1055" t="s">
        <v>27</v>
      </c>
      <c r="Z1055" t="s">
        <v>27</v>
      </c>
      <c r="AA1055" t="s">
        <v>27</v>
      </c>
      <c r="AB1055" t="s">
        <v>27</v>
      </c>
      <c r="AC1055" t="s">
        <v>27</v>
      </c>
      <c r="AD1055" t="s">
        <v>27</v>
      </c>
      <c r="AE1055" t="s">
        <v>27</v>
      </c>
      <c r="AF1055" t="s">
        <v>27</v>
      </c>
      <c r="AG1055">
        <v>6.91</v>
      </c>
    </row>
    <row r="1056" spans="1:33" x14ac:dyDescent="0.25">
      <c r="A1056" t="s">
        <v>57</v>
      </c>
      <c r="B1056" s="3">
        <v>44517</v>
      </c>
      <c r="C1056">
        <v>2021321</v>
      </c>
      <c r="D1056">
        <v>3.46</v>
      </c>
      <c r="E1056" t="s">
        <v>27</v>
      </c>
      <c r="F1056">
        <v>-11</v>
      </c>
      <c r="G1056">
        <v>-4.8</v>
      </c>
      <c r="H1056">
        <v>-18.2</v>
      </c>
      <c r="I1056">
        <v>80.7</v>
      </c>
      <c r="J1056">
        <v>68.5</v>
      </c>
      <c r="K1056">
        <v>0.7</v>
      </c>
      <c r="L1056">
        <v>2</v>
      </c>
      <c r="M1056">
        <v>8</v>
      </c>
      <c r="N1056">
        <v>0.27</v>
      </c>
      <c r="O1056">
        <v>-1.6</v>
      </c>
      <c r="P1056">
        <v>-11.9</v>
      </c>
      <c r="Q1056">
        <v>-2</v>
      </c>
      <c r="R1056">
        <v>-20</v>
      </c>
      <c r="S1056">
        <v>0.1</v>
      </c>
      <c r="T1056">
        <v>1.1000000000000001</v>
      </c>
      <c r="U1056" t="s">
        <v>27</v>
      </c>
      <c r="V1056">
        <v>0.17</v>
      </c>
      <c r="W1056">
        <v>0.29199999999999998</v>
      </c>
      <c r="X1056">
        <v>0.13400000000000001</v>
      </c>
      <c r="Y1056" t="s">
        <v>27</v>
      </c>
      <c r="Z1056" t="s">
        <v>27</v>
      </c>
      <c r="AA1056" t="s">
        <v>27</v>
      </c>
      <c r="AB1056" t="s">
        <v>27</v>
      </c>
      <c r="AC1056" t="s">
        <v>27</v>
      </c>
      <c r="AD1056" t="s">
        <v>27</v>
      </c>
      <c r="AE1056" t="s">
        <v>27</v>
      </c>
      <c r="AF1056" t="s">
        <v>27</v>
      </c>
      <c r="AG1056">
        <v>6.8</v>
      </c>
    </row>
    <row r="1057" spans="1:33" x14ac:dyDescent="0.25">
      <c r="A1057" t="s">
        <v>57</v>
      </c>
      <c r="B1057" s="3">
        <v>44518</v>
      </c>
      <c r="C1057">
        <v>2021322</v>
      </c>
      <c r="D1057">
        <v>0.26</v>
      </c>
      <c r="E1057" t="s">
        <v>27</v>
      </c>
      <c r="F1057">
        <v>-6.9</v>
      </c>
      <c r="G1057">
        <v>-5.3</v>
      </c>
      <c r="H1057">
        <v>-8.6999999999999993</v>
      </c>
      <c r="I1057">
        <v>84</v>
      </c>
      <c r="J1057">
        <v>66.400000000000006</v>
      </c>
      <c r="K1057">
        <v>0.7</v>
      </c>
      <c r="L1057">
        <v>2</v>
      </c>
      <c r="M1057">
        <v>0</v>
      </c>
      <c r="N1057">
        <v>0.32200000000000006</v>
      </c>
      <c r="O1057">
        <v>-1.3</v>
      </c>
      <c r="P1057">
        <v>-7.3</v>
      </c>
      <c r="Q1057">
        <v>-4.9000000000000004</v>
      </c>
      <c r="R1057">
        <v>-9.9</v>
      </c>
      <c r="S1057">
        <v>0.1</v>
      </c>
      <c r="T1057">
        <v>1.1000000000000001</v>
      </c>
      <c r="U1057" t="s">
        <v>27</v>
      </c>
      <c r="V1057">
        <v>0.16200000000000001</v>
      </c>
      <c r="W1057">
        <v>0.27300000000000002</v>
      </c>
      <c r="X1057">
        <v>0.13800000000000001</v>
      </c>
      <c r="Y1057" t="s">
        <v>27</v>
      </c>
      <c r="Z1057" t="s">
        <v>27</v>
      </c>
      <c r="AA1057" t="s">
        <v>27</v>
      </c>
      <c r="AB1057" t="s">
        <v>27</v>
      </c>
      <c r="AC1057" t="s">
        <v>27</v>
      </c>
      <c r="AD1057" t="s">
        <v>27</v>
      </c>
      <c r="AE1057" t="s">
        <v>27</v>
      </c>
      <c r="AF1057" t="s">
        <v>27</v>
      </c>
      <c r="AG1057">
        <v>6.68</v>
      </c>
    </row>
    <row r="1058" spans="1:33" x14ac:dyDescent="0.25">
      <c r="A1058" t="s">
        <v>57</v>
      </c>
      <c r="B1058" s="3">
        <v>44519</v>
      </c>
      <c r="C1058">
        <v>2021323</v>
      </c>
      <c r="D1058">
        <v>3.5</v>
      </c>
      <c r="E1058" t="s">
        <v>27</v>
      </c>
      <c r="F1058">
        <v>-7.3</v>
      </c>
      <c r="G1058">
        <v>-1.4</v>
      </c>
      <c r="H1058">
        <v>-14.4</v>
      </c>
      <c r="I1058">
        <v>87</v>
      </c>
      <c r="J1058">
        <v>71.2</v>
      </c>
      <c r="K1058">
        <v>0.5</v>
      </c>
      <c r="L1058">
        <v>2.6</v>
      </c>
      <c r="M1058">
        <v>8</v>
      </c>
      <c r="N1058">
        <v>0.29800000000000004</v>
      </c>
      <c r="O1058">
        <v>-0.8</v>
      </c>
      <c r="P1058">
        <v>-7.9</v>
      </c>
      <c r="Q1058">
        <v>1.1000000000000001</v>
      </c>
      <c r="R1058">
        <v>-16.100000000000001</v>
      </c>
      <c r="S1058">
        <v>0.1</v>
      </c>
      <c r="T1058">
        <v>1.1000000000000001</v>
      </c>
      <c r="U1058" t="s">
        <v>27</v>
      </c>
      <c r="V1058">
        <v>0.157</v>
      </c>
      <c r="W1058">
        <v>0.39100000000000001</v>
      </c>
      <c r="X1058">
        <v>0.158</v>
      </c>
      <c r="Y1058" t="s">
        <v>27</v>
      </c>
      <c r="Z1058" t="s">
        <v>27</v>
      </c>
      <c r="AA1058" t="s">
        <v>27</v>
      </c>
      <c r="AB1058" t="s">
        <v>27</v>
      </c>
      <c r="AC1058" t="s">
        <v>27</v>
      </c>
      <c r="AD1058" t="s">
        <v>27</v>
      </c>
      <c r="AE1058" t="s">
        <v>27</v>
      </c>
      <c r="AF1058" t="s">
        <v>27</v>
      </c>
      <c r="AG1058">
        <v>6.57</v>
      </c>
    </row>
    <row r="1059" spans="1:33" x14ac:dyDescent="0.25">
      <c r="A1059" t="s">
        <v>57</v>
      </c>
      <c r="B1059" s="3">
        <v>44520</v>
      </c>
      <c r="C1059">
        <v>2021324</v>
      </c>
      <c r="D1059">
        <v>5.0999999999999996</v>
      </c>
      <c r="E1059" t="s">
        <v>27</v>
      </c>
      <c r="F1059">
        <v>-4.8</v>
      </c>
      <c r="G1059">
        <v>0.4</v>
      </c>
      <c r="H1059">
        <v>-11.6</v>
      </c>
      <c r="I1059">
        <v>85.2</v>
      </c>
      <c r="J1059">
        <v>65.3</v>
      </c>
      <c r="K1059">
        <v>0.9</v>
      </c>
      <c r="L1059">
        <v>3</v>
      </c>
      <c r="M1059">
        <v>0</v>
      </c>
      <c r="N1059">
        <v>0.29499999999999993</v>
      </c>
      <c r="O1059">
        <v>-1.3</v>
      </c>
      <c r="P1059">
        <v>-5.9</v>
      </c>
      <c r="Q1059">
        <v>1.1000000000000001</v>
      </c>
      <c r="R1059">
        <v>-14.3</v>
      </c>
      <c r="S1059">
        <v>0.1</v>
      </c>
      <c r="T1059">
        <v>1.1000000000000001</v>
      </c>
      <c r="U1059" t="s">
        <v>27</v>
      </c>
      <c r="V1059">
        <v>0.153</v>
      </c>
      <c r="W1059">
        <v>0.41</v>
      </c>
      <c r="X1059">
        <v>0.218</v>
      </c>
      <c r="Y1059" t="s">
        <v>27</v>
      </c>
      <c r="Z1059" t="s">
        <v>27</v>
      </c>
      <c r="AA1059" t="s">
        <v>27</v>
      </c>
      <c r="AB1059" t="s">
        <v>27</v>
      </c>
      <c r="AC1059" t="s">
        <v>27</v>
      </c>
      <c r="AD1059" t="s">
        <v>27</v>
      </c>
      <c r="AE1059" t="s">
        <v>27</v>
      </c>
      <c r="AF1059" t="s">
        <v>27</v>
      </c>
      <c r="AG1059">
        <v>6.47</v>
      </c>
    </row>
    <row r="1060" spans="1:33" x14ac:dyDescent="0.25">
      <c r="A1060" t="s">
        <v>57</v>
      </c>
      <c r="B1060" s="3">
        <v>44521</v>
      </c>
      <c r="C1060">
        <v>2021325</v>
      </c>
      <c r="D1060">
        <v>0</v>
      </c>
      <c r="E1060" t="s">
        <v>27</v>
      </c>
      <c r="F1060">
        <v>-4.0999999999999996</v>
      </c>
      <c r="G1060">
        <v>-3.1</v>
      </c>
      <c r="H1060">
        <v>-5.6</v>
      </c>
      <c r="I1060">
        <v>91.3</v>
      </c>
      <c r="J1060">
        <v>78.599999999999994</v>
      </c>
      <c r="K1060">
        <v>0.7</v>
      </c>
      <c r="L1060">
        <v>2.6</v>
      </c>
      <c r="M1060">
        <v>1</v>
      </c>
      <c r="N1060">
        <v>0.33400000000000007</v>
      </c>
      <c r="O1060">
        <v>-0.8</v>
      </c>
      <c r="P1060">
        <v>-4.5999999999999996</v>
      </c>
      <c r="Q1060">
        <v>-3.3</v>
      </c>
      <c r="R1060">
        <v>-6.6</v>
      </c>
      <c r="S1060">
        <v>0.1</v>
      </c>
      <c r="T1060">
        <v>1.1000000000000001</v>
      </c>
      <c r="U1060" t="s">
        <v>27</v>
      </c>
      <c r="V1060">
        <v>0.15</v>
      </c>
      <c r="W1060">
        <v>0.38200000000000001</v>
      </c>
      <c r="X1060">
        <v>0.104</v>
      </c>
      <c r="Y1060" t="s">
        <v>27</v>
      </c>
      <c r="Z1060" t="s">
        <v>27</v>
      </c>
      <c r="AA1060" t="s">
        <v>27</v>
      </c>
      <c r="AB1060" t="s">
        <v>27</v>
      </c>
      <c r="AC1060" t="s">
        <v>27</v>
      </c>
      <c r="AD1060" t="s">
        <v>27</v>
      </c>
      <c r="AE1060" t="s">
        <v>27</v>
      </c>
      <c r="AF1060" t="s">
        <v>27</v>
      </c>
      <c r="AG1060">
        <v>6.37</v>
      </c>
    </row>
    <row r="1061" spans="1:33" x14ac:dyDescent="0.25">
      <c r="A1061" t="s">
        <v>57</v>
      </c>
      <c r="B1061" s="3">
        <v>44522</v>
      </c>
      <c r="C1061">
        <v>2021326</v>
      </c>
      <c r="D1061">
        <v>1.68</v>
      </c>
      <c r="E1061" t="s">
        <v>27</v>
      </c>
      <c r="F1061">
        <v>-4.2</v>
      </c>
      <c r="G1061">
        <v>-1.2</v>
      </c>
      <c r="H1061">
        <v>-6.2</v>
      </c>
      <c r="I1061">
        <v>91</v>
      </c>
      <c r="J1061">
        <v>81.900000000000006</v>
      </c>
      <c r="K1061">
        <v>0.8</v>
      </c>
      <c r="L1061">
        <v>2.2999999999999998</v>
      </c>
      <c r="M1061">
        <v>7</v>
      </c>
      <c r="N1061">
        <v>0.32000000000000028</v>
      </c>
      <c r="O1061">
        <v>-0.7</v>
      </c>
      <c r="P1061">
        <v>-5</v>
      </c>
      <c r="Q1061">
        <v>-0.3</v>
      </c>
      <c r="R1061">
        <v>-7.4</v>
      </c>
      <c r="S1061">
        <v>0.1</v>
      </c>
      <c r="T1061">
        <v>1</v>
      </c>
      <c r="U1061" t="s">
        <v>27</v>
      </c>
      <c r="V1061">
        <v>0.14799999999999999</v>
      </c>
      <c r="W1061">
        <v>0.45700000000000002</v>
      </c>
      <c r="X1061">
        <v>0.10100000000000001</v>
      </c>
      <c r="Y1061" t="s">
        <v>27</v>
      </c>
      <c r="Z1061" t="s">
        <v>27</v>
      </c>
      <c r="AA1061" t="s">
        <v>27</v>
      </c>
      <c r="AB1061" t="s">
        <v>27</v>
      </c>
      <c r="AC1061" t="s">
        <v>27</v>
      </c>
      <c r="AD1061" t="s">
        <v>27</v>
      </c>
      <c r="AE1061" t="s">
        <v>27</v>
      </c>
      <c r="AF1061" t="s">
        <v>27</v>
      </c>
      <c r="AG1061">
        <v>6.26</v>
      </c>
    </row>
    <row r="1062" spans="1:33" x14ac:dyDescent="0.25">
      <c r="A1062" t="s">
        <v>57</v>
      </c>
      <c r="B1062" s="3">
        <v>44523</v>
      </c>
      <c r="C1062">
        <v>2021327</v>
      </c>
      <c r="D1062">
        <v>0.27</v>
      </c>
      <c r="E1062" t="s">
        <v>27</v>
      </c>
      <c r="F1062">
        <v>-4.5</v>
      </c>
      <c r="G1062">
        <v>-0.7</v>
      </c>
      <c r="H1062">
        <v>-7.8</v>
      </c>
      <c r="I1062">
        <v>88.4</v>
      </c>
      <c r="J1062">
        <v>75.8</v>
      </c>
      <c r="K1062">
        <v>0.4</v>
      </c>
      <c r="L1062">
        <v>2.6</v>
      </c>
      <c r="M1062">
        <v>4</v>
      </c>
      <c r="N1062">
        <v>0.36900000000000022</v>
      </c>
      <c r="O1062">
        <v>-0.8</v>
      </c>
      <c r="P1062">
        <v>-5.4</v>
      </c>
      <c r="Q1062">
        <v>-0.4</v>
      </c>
      <c r="R1062">
        <v>-9.6999999999999993</v>
      </c>
      <c r="S1062">
        <v>0.1</v>
      </c>
      <c r="T1062">
        <v>1</v>
      </c>
      <c r="U1062" t="s">
        <v>27</v>
      </c>
      <c r="V1062">
        <v>0.14599999999999999</v>
      </c>
      <c r="W1062">
        <v>0.439</v>
      </c>
      <c r="X1062">
        <v>0.14000000000000001</v>
      </c>
      <c r="Y1062" t="s">
        <v>27</v>
      </c>
      <c r="Z1062" t="s">
        <v>27</v>
      </c>
      <c r="AA1062" t="s">
        <v>27</v>
      </c>
      <c r="AB1062" t="s">
        <v>27</v>
      </c>
      <c r="AC1062" t="s">
        <v>27</v>
      </c>
      <c r="AD1062" t="s">
        <v>27</v>
      </c>
      <c r="AE1062" t="s">
        <v>27</v>
      </c>
      <c r="AF1062" t="s">
        <v>27</v>
      </c>
      <c r="AG1062">
        <v>6.17</v>
      </c>
    </row>
    <row r="1063" spans="1:33" x14ac:dyDescent="0.25">
      <c r="A1063" t="s">
        <v>57</v>
      </c>
      <c r="B1063" s="3">
        <v>44524</v>
      </c>
      <c r="C1063">
        <v>2021328</v>
      </c>
      <c r="D1063">
        <v>1.35</v>
      </c>
      <c r="E1063" t="s">
        <v>27</v>
      </c>
      <c r="F1063">
        <v>-5.7</v>
      </c>
      <c r="G1063">
        <v>-1.3</v>
      </c>
      <c r="H1063">
        <v>-10.6</v>
      </c>
      <c r="I1063">
        <v>87.2</v>
      </c>
      <c r="J1063">
        <v>66.5</v>
      </c>
      <c r="K1063">
        <v>0.5</v>
      </c>
      <c r="L1063">
        <v>1.8</v>
      </c>
      <c r="M1063">
        <v>4</v>
      </c>
      <c r="N1063">
        <v>0.35600000000000032</v>
      </c>
      <c r="O1063">
        <v>-0.8</v>
      </c>
      <c r="P1063">
        <v>-6.2</v>
      </c>
      <c r="Q1063">
        <v>1.5</v>
      </c>
      <c r="R1063">
        <v>-12.3</v>
      </c>
      <c r="S1063">
        <v>0.1</v>
      </c>
      <c r="T1063">
        <v>1</v>
      </c>
      <c r="U1063" t="s">
        <v>27</v>
      </c>
      <c r="V1063">
        <v>0.14299999999999999</v>
      </c>
      <c r="W1063">
        <v>0.36899999999999999</v>
      </c>
      <c r="X1063">
        <v>0.186</v>
      </c>
      <c r="Y1063" t="s">
        <v>27</v>
      </c>
      <c r="Z1063" t="s">
        <v>27</v>
      </c>
      <c r="AA1063" t="s">
        <v>27</v>
      </c>
      <c r="AB1063" t="s">
        <v>27</v>
      </c>
      <c r="AC1063" t="s">
        <v>27</v>
      </c>
      <c r="AD1063" t="s">
        <v>27</v>
      </c>
      <c r="AE1063" t="s">
        <v>27</v>
      </c>
      <c r="AF1063" t="s">
        <v>27</v>
      </c>
      <c r="AG1063">
        <v>6.07</v>
      </c>
    </row>
    <row r="1064" spans="1:33" x14ac:dyDescent="0.25">
      <c r="A1064" t="s">
        <v>57</v>
      </c>
      <c r="B1064" s="3">
        <v>44525</v>
      </c>
      <c r="C1064">
        <v>2021329</v>
      </c>
      <c r="D1064">
        <v>0.02</v>
      </c>
      <c r="E1064" t="s">
        <v>27</v>
      </c>
      <c r="F1064">
        <v>-3.4</v>
      </c>
      <c r="G1064">
        <v>-1.1000000000000001</v>
      </c>
      <c r="H1064">
        <v>-5.9</v>
      </c>
      <c r="I1064">
        <v>93.8</v>
      </c>
      <c r="J1064">
        <v>91.9</v>
      </c>
      <c r="K1064">
        <v>0.9</v>
      </c>
      <c r="L1064">
        <v>2.5</v>
      </c>
      <c r="M1064">
        <v>0</v>
      </c>
      <c r="N1064">
        <v>0.36299999999999999</v>
      </c>
      <c r="O1064">
        <v>-0.5</v>
      </c>
      <c r="P1064">
        <v>-3.8</v>
      </c>
      <c r="Q1064">
        <v>-1.7</v>
      </c>
      <c r="R1064">
        <v>-6.3</v>
      </c>
      <c r="S1064">
        <v>0.1</v>
      </c>
      <c r="T1064">
        <v>1</v>
      </c>
      <c r="U1064" t="s">
        <v>27</v>
      </c>
      <c r="V1064">
        <v>0.14199999999999999</v>
      </c>
      <c r="W1064">
        <v>0.51600000000000001</v>
      </c>
      <c r="X1064">
        <v>4.4999999999999998E-2</v>
      </c>
      <c r="Y1064" t="s">
        <v>27</v>
      </c>
      <c r="Z1064" t="s">
        <v>27</v>
      </c>
      <c r="AA1064" t="s">
        <v>27</v>
      </c>
      <c r="AB1064" t="s">
        <v>27</v>
      </c>
      <c r="AC1064" t="s">
        <v>27</v>
      </c>
      <c r="AD1064" t="s">
        <v>27</v>
      </c>
      <c r="AE1064" t="s">
        <v>27</v>
      </c>
      <c r="AF1064" t="s">
        <v>27</v>
      </c>
      <c r="AG1064">
        <v>5.99</v>
      </c>
    </row>
    <row r="1065" spans="1:33" x14ac:dyDescent="0.25">
      <c r="A1065" t="s">
        <v>57</v>
      </c>
      <c r="B1065" s="3">
        <v>44526</v>
      </c>
      <c r="C1065">
        <v>2021330</v>
      </c>
      <c r="D1065">
        <v>3.58</v>
      </c>
      <c r="E1065" t="s">
        <v>27</v>
      </c>
      <c r="F1065">
        <v>-1.4</v>
      </c>
      <c r="G1065">
        <v>2.8</v>
      </c>
      <c r="H1065">
        <v>-7.5</v>
      </c>
      <c r="I1065">
        <v>88.2</v>
      </c>
      <c r="J1065">
        <v>68.900000000000006</v>
      </c>
      <c r="K1065">
        <v>0.8</v>
      </c>
      <c r="L1065">
        <v>3.6</v>
      </c>
      <c r="M1065">
        <v>0</v>
      </c>
      <c r="N1065">
        <v>0.35200000000000031</v>
      </c>
      <c r="O1065">
        <v>-0.2</v>
      </c>
      <c r="P1065">
        <v>-2.4</v>
      </c>
      <c r="Q1065">
        <v>3.4</v>
      </c>
      <c r="R1065">
        <v>-9.1999999999999993</v>
      </c>
      <c r="S1065">
        <v>0.1</v>
      </c>
      <c r="T1065">
        <v>1</v>
      </c>
      <c r="U1065" t="s">
        <v>27</v>
      </c>
      <c r="V1065">
        <v>0.14000000000000001</v>
      </c>
      <c r="W1065">
        <v>0.51600000000000001</v>
      </c>
      <c r="X1065">
        <v>0.23300000000000001</v>
      </c>
      <c r="Y1065" t="s">
        <v>27</v>
      </c>
      <c r="Z1065" t="s">
        <v>27</v>
      </c>
      <c r="AA1065" t="s">
        <v>27</v>
      </c>
      <c r="AB1065" t="s">
        <v>27</v>
      </c>
      <c r="AC1065" t="s">
        <v>27</v>
      </c>
      <c r="AD1065" t="s">
        <v>27</v>
      </c>
      <c r="AE1065" t="s">
        <v>27</v>
      </c>
      <c r="AF1065" t="s">
        <v>27</v>
      </c>
      <c r="AG1065">
        <v>5.9</v>
      </c>
    </row>
    <row r="1066" spans="1:33" x14ac:dyDescent="0.25">
      <c r="A1066" t="s">
        <v>57</v>
      </c>
      <c r="B1066" s="3">
        <v>44527</v>
      </c>
      <c r="C1066">
        <v>2021331</v>
      </c>
      <c r="D1066">
        <v>0.04</v>
      </c>
      <c r="E1066" t="s">
        <v>27</v>
      </c>
      <c r="F1066">
        <v>-2.9</v>
      </c>
      <c r="G1066">
        <v>0.6</v>
      </c>
      <c r="H1066">
        <v>-7.1</v>
      </c>
      <c r="I1066">
        <v>93.5</v>
      </c>
      <c r="J1066">
        <v>89.6</v>
      </c>
      <c r="K1066">
        <v>0.4</v>
      </c>
      <c r="L1066">
        <v>1.7</v>
      </c>
      <c r="M1066">
        <v>0</v>
      </c>
      <c r="N1066">
        <v>0.38100000000000023</v>
      </c>
      <c r="O1066">
        <v>-0.7</v>
      </c>
      <c r="P1066">
        <v>-3.7</v>
      </c>
      <c r="Q1066">
        <v>-0.2</v>
      </c>
      <c r="R1066">
        <v>-8.5</v>
      </c>
      <c r="S1066">
        <v>0.1</v>
      </c>
      <c r="T1066">
        <v>1</v>
      </c>
      <c r="U1066" t="s">
        <v>27</v>
      </c>
      <c r="V1066">
        <v>0.13900000000000001</v>
      </c>
      <c r="W1066">
        <v>0.56899999999999995</v>
      </c>
      <c r="X1066">
        <v>6.6000000000000003E-2</v>
      </c>
      <c r="Y1066" t="s">
        <v>27</v>
      </c>
      <c r="Z1066" t="s">
        <v>27</v>
      </c>
      <c r="AA1066" t="s">
        <v>27</v>
      </c>
      <c r="AB1066" t="s">
        <v>27</v>
      </c>
      <c r="AC1066" t="s">
        <v>27</v>
      </c>
      <c r="AD1066" t="s">
        <v>27</v>
      </c>
      <c r="AE1066" t="s">
        <v>27</v>
      </c>
      <c r="AF1066" t="s">
        <v>27</v>
      </c>
      <c r="AG1066">
        <v>5.82</v>
      </c>
    </row>
    <row r="1067" spans="1:33" x14ac:dyDescent="0.25">
      <c r="A1067" t="s">
        <v>57</v>
      </c>
      <c r="B1067" s="3">
        <v>44528</v>
      </c>
      <c r="C1067">
        <v>2021332</v>
      </c>
      <c r="D1067">
        <v>1.46</v>
      </c>
      <c r="E1067" t="s">
        <v>27</v>
      </c>
      <c r="F1067">
        <v>1.6</v>
      </c>
      <c r="G1067">
        <v>4.0999999999999996</v>
      </c>
      <c r="H1067">
        <v>0.1</v>
      </c>
      <c r="I1067">
        <v>96.1</v>
      </c>
      <c r="J1067">
        <v>90.9</v>
      </c>
      <c r="K1067">
        <v>0.5</v>
      </c>
      <c r="L1067">
        <v>2.2000000000000002</v>
      </c>
      <c r="M1067">
        <v>6</v>
      </c>
      <c r="N1067">
        <v>0.35700000000000021</v>
      </c>
      <c r="O1067">
        <v>-0.1</v>
      </c>
      <c r="P1067">
        <v>0.9</v>
      </c>
      <c r="Q1067">
        <v>4.2</v>
      </c>
      <c r="R1067">
        <v>-0.9</v>
      </c>
      <c r="S1067">
        <v>0.2</v>
      </c>
      <c r="T1067">
        <v>1.1000000000000001</v>
      </c>
      <c r="U1067" t="s">
        <v>27</v>
      </c>
      <c r="V1067">
        <v>0.158</v>
      </c>
      <c r="W1067">
        <v>0.74399999999999999</v>
      </c>
      <c r="X1067">
        <v>7.3999999999999996E-2</v>
      </c>
      <c r="Y1067" t="s">
        <v>27</v>
      </c>
      <c r="Z1067" t="s">
        <v>27</v>
      </c>
      <c r="AA1067" t="s">
        <v>27</v>
      </c>
      <c r="AB1067" t="s">
        <v>27</v>
      </c>
      <c r="AC1067" t="s">
        <v>27</v>
      </c>
      <c r="AD1067" t="s">
        <v>27</v>
      </c>
      <c r="AE1067" t="s">
        <v>27</v>
      </c>
      <c r="AF1067" t="s">
        <v>27</v>
      </c>
      <c r="AG1067">
        <v>5.74</v>
      </c>
    </row>
    <row r="1068" spans="1:33" x14ac:dyDescent="0.25">
      <c r="A1068" t="s">
        <v>57</v>
      </c>
      <c r="B1068" s="3">
        <v>44529</v>
      </c>
      <c r="C1068">
        <v>2021333</v>
      </c>
      <c r="D1068">
        <v>3.61</v>
      </c>
      <c r="E1068" t="s">
        <v>27</v>
      </c>
      <c r="F1068">
        <v>1.3</v>
      </c>
      <c r="G1068">
        <v>4.0999999999999996</v>
      </c>
      <c r="H1068">
        <v>-0.8</v>
      </c>
      <c r="I1068">
        <v>91.5</v>
      </c>
      <c r="J1068">
        <v>77</v>
      </c>
      <c r="K1068">
        <v>0.5</v>
      </c>
      <c r="L1068">
        <v>2.5</v>
      </c>
      <c r="M1068">
        <v>0</v>
      </c>
      <c r="N1068">
        <v>0.33700000000000019</v>
      </c>
      <c r="O1068">
        <v>0.1</v>
      </c>
      <c r="P1068">
        <v>0.3</v>
      </c>
      <c r="Q1068">
        <v>3.8</v>
      </c>
      <c r="R1068">
        <v>-2</v>
      </c>
      <c r="S1068">
        <v>0.2</v>
      </c>
      <c r="T1068">
        <v>1</v>
      </c>
      <c r="U1068" t="s">
        <v>27</v>
      </c>
      <c r="V1068">
        <v>0.17699999999999999</v>
      </c>
      <c r="W1068">
        <v>0.628</v>
      </c>
      <c r="X1068">
        <v>0.188</v>
      </c>
      <c r="Y1068" t="s">
        <v>27</v>
      </c>
      <c r="Z1068" t="s">
        <v>27</v>
      </c>
      <c r="AA1068" t="s">
        <v>27</v>
      </c>
      <c r="AB1068" t="s">
        <v>27</v>
      </c>
      <c r="AC1068" t="s">
        <v>27</v>
      </c>
      <c r="AD1068" t="s">
        <v>27</v>
      </c>
      <c r="AE1068" t="s">
        <v>27</v>
      </c>
      <c r="AF1068" t="s">
        <v>27</v>
      </c>
      <c r="AG1068">
        <v>5.67</v>
      </c>
    </row>
    <row r="1069" spans="1:33" x14ac:dyDescent="0.25">
      <c r="A1069" t="s">
        <v>57</v>
      </c>
      <c r="B1069" s="3">
        <v>44530</v>
      </c>
      <c r="C1069">
        <v>2021334</v>
      </c>
      <c r="D1069">
        <v>0.67</v>
      </c>
      <c r="E1069" t="s">
        <v>27</v>
      </c>
      <c r="F1069">
        <v>2.2000000000000002</v>
      </c>
      <c r="G1069">
        <v>4.9000000000000004</v>
      </c>
      <c r="H1069">
        <v>0</v>
      </c>
      <c r="I1069">
        <v>86.5</v>
      </c>
      <c r="J1069">
        <v>75.5</v>
      </c>
      <c r="K1069">
        <v>0.9</v>
      </c>
      <c r="L1069">
        <v>3</v>
      </c>
      <c r="M1069">
        <v>0</v>
      </c>
      <c r="N1069">
        <v>0.33700000000000019</v>
      </c>
      <c r="O1069">
        <v>0.1</v>
      </c>
      <c r="P1069">
        <v>1.1000000000000001</v>
      </c>
      <c r="Q1069">
        <v>3.2</v>
      </c>
      <c r="R1069">
        <v>-0.9</v>
      </c>
      <c r="S1069">
        <v>0.2</v>
      </c>
      <c r="T1069">
        <v>1.1000000000000001</v>
      </c>
      <c r="U1069" t="s">
        <v>27</v>
      </c>
      <c r="V1069">
        <v>0.17399999999999999</v>
      </c>
      <c r="W1069">
        <v>0.65200000000000002</v>
      </c>
      <c r="X1069">
        <v>0.21199999999999999</v>
      </c>
      <c r="Y1069" t="s">
        <v>27</v>
      </c>
      <c r="Z1069" t="s">
        <v>27</v>
      </c>
      <c r="AA1069" t="s">
        <v>27</v>
      </c>
      <c r="AB1069" t="s">
        <v>27</v>
      </c>
      <c r="AC1069" t="s">
        <v>27</v>
      </c>
      <c r="AD1069" t="s">
        <v>27</v>
      </c>
      <c r="AE1069" t="s">
        <v>27</v>
      </c>
      <c r="AF1069" t="s">
        <v>27</v>
      </c>
      <c r="AG1069">
        <v>5.6</v>
      </c>
    </row>
    <row r="1070" spans="1:33" x14ac:dyDescent="0.25">
      <c r="A1070" t="s">
        <v>57</v>
      </c>
      <c r="B1070" s="3">
        <v>44531</v>
      </c>
      <c r="C1070">
        <v>2021335</v>
      </c>
      <c r="D1070">
        <v>3.55</v>
      </c>
      <c r="E1070" t="s">
        <v>27</v>
      </c>
      <c r="F1070">
        <v>6.8</v>
      </c>
      <c r="G1070">
        <v>9</v>
      </c>
      <c r="H1070">
        <v>2.5</v>
      </c>
      <c r="I1070">
        <v>64</v>
      </c>
      <c r="J1070">
        <v>42.5</v>
      </c>
      <c r="K1070">
        <v>2.7</v>
      </c>
      <c r="L1070">
        <v>7.3</v>
      </c>
      <c r="M1070">
        <v>0</v>
      </c>
      <c r="N1070">
        <v>0.28000000000000025</v>
      </c>
      <c r="O1070">
        <v>0.2</v>
      </c>
      <c r="P1070">
        <v>5.5</v>
      </c>
      <c r="Q1070">
        <v>7.7</v>
      </c>
      <c r="R1070">
        <v>1.4</v>
      </c>
      <c r="S1070">
        <v>0.3</v>
      </c>
      <c r="T1070">
        <v>1.1000000000000001</v>
      </c>
      <c r="U1070" t="s">
        <v>27</v>
      </c>
      <c r="V1070">
        <v>0.23</v>
      </c>
      <c r="W1070">
        <v>0.48799999999999999</v>
      </c>
      <c r="X1070">
        <v>0.66</v>
      </c>
      <c r="Y1070" t="s">
        <v>27</v>
      </c>
      <c r="Z1070" t="s">
        <v>27</v>
      </c>
      <c r="AA1070" t="s">
        <v>27</v>
      </c>
      <c r="AB1070" t="s">
        <v>27</v>
      </c>
      <c r="AC1070" t="s">
        <v>27</v>
      </c>
      <c r="AD1070" t="s">
        <v>27</v>
      </c>
      <c r="AE1070" t="s">
        <v>27</v>
      </c>
      <c r="AF1070" t="s">
        <v>27</v>
      </c>
      <c r="AG1070">
        <v>5.53</v>
      </c>
    </row>
    <row r="1071" spans="1:33" x14ac:dyDescent="0.25">
      <c r="A1071" t="s">
        <v>57</v>
      </c>
      <c r="B1071" s="3">
        <v>44532</v>
      </c>
      <c r="C1071">
        <v>2021336</v>
      </c>
      <c r="D1071">
        <v>4.4400000000000004</v>
      </c>
      <c r="E1071" t="s">
        <v>27</v>
      </c>
      <c r="F1071">
        <v>-0.7</v>
      </c>
      <c r="G1071">
        <v>3.8</v>
      </c>
      <c r="H1071">
        <v>-6.4</v>
      </c>
      <c r="I1071">
        <v>58.6</v>
      </c>
      <c r="J1071">
        <v>41.3</v>
      </c>
      <c r="K1071">
        <v>0.8</v>
      </c>
      <c r="L1071">
        <v>6</v>
      </c>
      <c r="M1071">
        <v>0</v>
      </c>
      <c r="N1071">
        <v>0.28299999999999992</v>
      </c>
      <c r="O1071">
        <v>-0.5</v>
      </c>
      <c r="P1071">
        <v>-2.2000000000000002</v>
      </c>
      <c r="Q1071">
        <v>2.6</v>
      </c>
      <c r="R1071">
        <v>-8.3000000000000007</v>
      </c>
      <c r="S1071">
        <v>0.2</v>
      </c>
      <c r="T1071">
        <v>1</v>
      </c>
      <c r="U1071" t="s">
        <v>27</v>
      </c>
      <c r="V1071">
        <v>0.22600000000000001</v>
      </c>
      <c r="W1071">
        <v>0.33100000000000002</v>
      </c>
      <c r="X1071">
        <v>0.47</v>
      </c>
      <c r="Y1071" t="s">
        <v>27</v>
      </c>
      <c r="Z1071" t="s">
        <v>27</v>
      </c>
      <c r="AA1071" t="s">
        <v>27</v>
      </c>
      <c r="AB1071" t="s">
        <v>27</v>
      </c>
      <c r="AC1071" t="s">
        <v>27</v>
      </c>
      <c r="AD1071" t="s">
        <v>27</v>
      </c>
      <c r="AE1071" t="s">
        <v>27</v>
      </c>
      <c r="AF1071" t="s">
        <v>27</v>
      </c>
      <c r="AG1071">
        <v>5.47</v>
      </c>
    </row>
    <row r="1072" spans="1:33" x14ac:dyDescent="0.25">
      <c r="A1072" t="s">
        <v>57</v>
      </c>
      <c r="B1072" s="3">
        <v>44533</v>
      </c>
      <c r="C1072">
        <v>2021337</v>
      </c>
      <c r="D1072">
        <v>1.45</v>
      </c>
      <c r="E1072" t="s">
        <v>27</v>
      </c>
      <c r="F1072">
        <v>-6.5</v>
      </c>
      <c r="G1072">
        <v>-3.8</v>
      </c>
      <c r="H1072">
        <v>-9.1</v>
      </c>
      <c r="I1072">
        <v>72.5</v>
      </c>
      <c r="J1072">
        <v>38.799999999999997</v>
      </c>
      <c r="K1072">
        <v>0</v>
      </c>
      <c r="L1072">
        <v>1.2</v>
      </c>
      <c r="M1072">
        <v>8</v>
      </c>
      <c r="N1072">
        <v>0.28400000000000025</v>
      </c>
      <c r="O1072">
        <v>-1.9</v>
      </c>
      <c r="P1072">
        <v>-7.9</v>
      </c>
      <c r="Q1072">
        <v>-3.8</v>
      </c>
      <c r="R1072">
        <v>-11.1</v>
      </c>
      <c r="S1072">
        <v>0.1</v>
      </c>
      <c r="T1072">
        <v>1</v>
      </c>
      <c r="U1072" t="s">
        <v>27</v>
      </c>
      <c r="V1072">
        <v>0.192</v>
      </c>
      <c r="W1072">
        <v>0.17899999999999999</v>
      </c>
      <c r="X1072">
        <v>0.28199999999999997</v>
      </c>
      <c r="Y1072" t="s">
        <v>27</v>
      </c>
      <c r="Z1072" t="s">
        <v>27</v>
      </c>
      <c r="AA1072" t="s">
        <v>27</v>
      </c>
      <c r="AB1072" t="s">
        <v>27</v>
      </c>
      <c r="AC1072" t="s">
        <v>27</v>
      </c>
      <c r="AD1072" t="s">
        <v>27</v>
      </c>
      <c r="AE1072" t="s">
        <v>27</v>
      </c>
      <c r="AF1072" t="s">
        <v>27</v>
      </c>
      <c r="AG1072">
        <v>5.41</v>
      </c>
    </row>
    <row r="1073" spans="1:33" x14ac:dyDescent="0.25">
      <c r="A1073" t="s">
        <v>57</v>
      </c>
      <c r="B1073" s="3">
        <v>44534</v>
      </c>
      <c r="C1073">
        <v>2021338</v>
      </c>
      <c r="D1073">
        <v>0</v>
      </c>
      <c r="E1073" t="s">
        <v>27</v>
      </c>
      <c r="F1073">
        <v>-6.5</v>
      </c>
      <c r="G1073">
        <v>-4.5999999999999996</v>
      </c>
      <c r="H1073">
        <v>-9.1999999999999993</v>
      </c>
      <c r="I1073">
        <v>83.5</v>
      </c>
      <c r="J1073">
        <v>52.7</v>
      </c>
      <c r="K1073">
        <v>0.8</v>
      </c>
      <c r="L1073">
        <v>3.6</v>
      </c>
      <c r="M1073">
        <v>5</v>
      </c>
      <c r="N1073">
        <v>0.41199999999999992</v>
      </c>
      <c r="O1073">
        <v>-1.5</v>
      </c>
      <c r="P1073">
        <v>-7</v>
      </c>
      <c r="Q1073">
        <v>-4.2</v>
      </c>
      <c r="R1073">
        <v>-9.8000000000000007</v>
      </c>
      <c r="S1073">
        <v>0.1</v>
      </c>
      <c r="T1073">
        <v>0.9</v>
      </c>
      <c r="U1073" t="s">
        <v>27</v>
      </c>
      <c r="V1073">
        <v>0.17499999999999999</v>
      </c>
      <c r="W1073">
        <v>0.22900000000000001</v>
      </c>
      <c r="X1073">
        <v>0.20599999999999999</v>
      </c>
      <c r="Y1073" t="s">
        <v>27</v>
      </c>
      <c r="Z1073" t="s">
        <v>27</v>
      </c>
      <c r="AA1073" t="s">
        <v>27</v>
      </c>
      <c r="AB1073" t="s">
        <v>27</v>
      </c>
      <c r="AC1073" t="s">
        <v>27</v>
      </c>
      <c r="AD1073" t="s">
        <v>27</v>
      </c>
      <c r="AE1073" t="s">
        <v>27</v>
      </c>
      <c r="AF1073" t="s">
        <v>27</v>
      </c>
      <c r="AG1073">
        <v>5.35</v>
      </c>
    </row>
    <row r="1074" spans="1:33" x14ac:dyDescent="0.25">
      <c r="A1074" t="s">
        <v>57</v>
      </c>
      <c r="B1074" s="3">
        <v>44535</v>
      </c>
      <c r="C1074">
        <v>2021339</v>
      </c>
      <c r="D1074">
        <v>0.31</v>
      </c>
      <c r="E1074" t="s">
        <v>27</v>
      </c>
      <c r="F1074">
        <v>-12.4</v>
      </c>
      <c r="G1074">
        <v>-8.1999999999999993</v>
      </c>
      <c r="H1074">
        <v>-17.5</v>
      </c>
      <c r="I1074">
        <v>76.400000000000006</v>
      </c>
      <c r="J1074">
        <v>48.3</v>
      </c>
      <c r="K1074">
        <v>0.2</v>
      </c>
      <c r="L1074">
        <v>2.5</v>
      </c>
      <c r="M1074">
        <v>26</v>
      </c>
      <c r="N1074">
        <v>0.38100000000000023</v>
      </c>
      <c r="O1074">
        <v>-1.1000000000000001</v>
      </c>
      <c r="P1074">
        <v>-13.6</v>
      </c>
      <c r="Q1074">
        <v>-8.6999999999999993</v>
      </c>
      <c r="R1074">
        <v>-19.100000000000001</v>
      </c>
      <c r="S1074">
        <v>0</v>
      </c>
      <c r="T1074">
        <v>0.9</v>
      </c>
      <c r="U1074" t="s">
        <v>27</v>
      </c>
      <c r="V1074">
        <v>0.16500000000000001</v>
      </c>
      <c r="W1074">
        <v>0.159</v>
      </c>
      <c r="X1074">
        <v>0.17</v>
      </c>
      <c r="Y1074" t="s">
        <v>27</v>
      </c>
      <c r="Z1074" t="s">
        <v>27</v>
      </c>
      <c r="AA1074" t="s">
        <v>27</v>
      </c>
      <c r="AB1074" t="s">
        <v>27</v>
      </c>
      <c r="AC1074" t="s">
        <v>27</v>
      </c>
      <c r="AD1074" t="s">
        <v>27</v>
      </c>
      <c r="AE1074" t="s">
        <v>27</v>
      </c>
      <c r="AF1074" t="s">
        <v>27</v>
      </c>
      <c r="AG1074">
        <v>5.3</v>
      </c>
    </row>
    <row r="1075" spans="1:33" x14ac:dyDescent="0.25">
      <c r="A1075" t="s">
        <v>57</v>
      </c>
      <c r="B1075" s="3">
        <v>44536</v>
      </c>
      <c r="C1075">
        <v>2021340</v>
      </c>
      <c r="D1075">
        <v>0</v>
      </c>
      <c r="E1075" t="s">
        <v>27</v>
      </c>
      <c r="F1075">
        <v>-9.6</v>
      </c>
      <c r="G1075">
        <v>-5.5</v>
      </c>
      <c r="H1075">
        <v>-12.3</v>
      </c>
      <c r="I1075">
        <v>85.9</v>
      </c>
      <c r="J1075">
        <v>78.5</v>
      </c>
      <c r="K1075">
        <v>0.1</v>
      </c>
      <c r="L1075">
        <v>1.3</v>
      </c>
      <c r="M1075">
        <v>0</v>
      </c>
      <c r="N1075">
        <v>0.45100000000000007</v>
      </c>
      <c r="O1075">
        <v>-1.2</v>
      </c>
      <c r="P1075">
        <v>-10.199999999999999</v>
      </c>
      <c r="Q1075">
        <v>-6.8</v>
      </c>
      <c r="R1075">
        <v>-12.8</v>
      </c>
      <c r="S1075">
        <v>0</v>
      </c>
      <c r="T1075">
        <v>0.9</v>
      </c>
      <c r="U1075" t="s">
        <v>27</v>
      </c>
      <c r="V1075">
        <v>0.158</v>
      </c>
      <c r="W1075">
        <v>0.31900000000000001</v>
      </c>
      <c r="X1075">
        <v>8.6999999999999994E-2</v>
      </c>
      <c r="Y1075" t="s">
        <v>27</v>
      </c>
      <c r="Z1075" t="s">
        <v>27</v>
      </c>
      <c r="AA1075" t="s">
        <v>27</v>
      </c>
      <c r="AB1075" t="s">
        <v>27</v>
      </c>
      <c r="AC1075" t="s">
        <v>27</v>
      </c>
      <c r="AD1075" t="s">
        <v>27</v>
      </c>
      <c r="AE1075" t="s">
        <v>27</v>
      </c>
      <c r="AF1075" t="s">
        <v>27</v>
      </c>
      <c r="AG1075">
        <v>5.24</v>
      </c>
    </row>
    <row r="1076" spans="1:33" x14ac:dyDescent="0.25">
      <c r="A1076" t="s">
        <v>57</v>
      </c>
      <c r="B1076" s="3">
        <v>44537</v>
      </c>
      <c r="C1076">
        <v>2021341</v>
      </c>
      <c r="D1076">
        <v>7.0000000000000007E-2</v>
      </c>
      <c r="E1076" t="s">
        <v>27</v>
      </c>
      <c r="F1076">
        <v>-5</v>
      </c>
      <c r="G1076">
        <v>-1</v>
      </c>
      <c r="H1076">
        <v>-8</v>
      </c>
      <c r="I1076">
        <v>90.5</v>
      </c>
      <c r="J1076">
        <v>84</v>
      </c>
      <c r="K1076">
        <v>0.3</v>
      </c>
      <c r="L1076">
        <v>1.6</v>
      </c>
      <c r="M1076">
        <v>0</v>
      </c>
      <c r="N1076">
        <v>0.43000000000000016</v>
      </c>
      <c r="O1076">
        <v>-1.6</v>
      </c>
      <c r="P1076">
        <v>-5.4</v>
      </c>
      <c r="Q1076">
        <v>-0.8</v>
      </c>
      <c r="R1076">
        <v>-8.5</v>
      </c>
      <c r="S1076">
        <v>0</v>
      </c>
      <c r="T1076">
        <v>0.9</v>
      </c>
      <c r="U1076" t="s">
        <v>27</v>
      </c>
      <c r="V1076">
        <v>0.154</v>
      </c>
      <c r="W1076">
        <v>0.47599999999999998</v>
      </c>
      <c r="X1076">
        <v>9.0999999999999998E-2</v>
      </c>
      <c r="Y1076" t="s">
        <v>27</v>
      </c>
      <c r="Z1076" t="s">
        <v>27</v>
      </c>
      <c r="AA1076" t="s">
        <v>27</v>
      </c>
      <c r="AB1076" t="s">
        <v>27</v>
      </c>
      <c r="AC1076" t="s">
        <v>27</v>
      </c>
      <c r="AD1076" t="s">
        <v>27</v>
      </c>
      <c r="AE1076" t="s">
        <v>27</v>
      </c>
      <c r="AF1076" t="s">
        <v>27</v>
      </c>
      <c r="AG1076">
        <v>5.2</v>
      </c>
    </row>
    <row r="1077" spans="1:33" x14ac:dyDescent="0.25">
      <c r="A1077" t="s">
        <v>57</v>
      </c>
      <c r="B1077" s="3">
        <v>44538</v>
      </c>
      <c r="C1077">
        <v>2021342</v>
      </c>
      <c r="D1077">
        <v>0</v>
      </c>
      <c r="E1077" t="s">
        <v>27</v>
      </c>
      <c r="F1077">
        <v>-6.8</v>
      </c>
      <c r="G1077">
        <v>-4.4000000000000004</v>
      </c>
      <c r="H1077">
        <v>-8.6</v>
      </c>
      <c r="I1077">
        <v>89.2</v>
      </c>
      <c r="J1077">
        <v>80.5</v>
      </c>
      <c r="K1077">
        <v>1.4</v>
      </c>
      <c r="L1077">
        <v>3.5</v>
      </c>
      <c r="M1077">
        <v>3</v>
      </c>
      <c r="N1077">
        <v>0.52300000000000013</v>
      </c>
      <c r="O1077">
        <v>-1.3</v>
      </c>
      <c r="P1077">
        <v>-7.5</v>
      </c>
      <c r="Q1077">
        <v>-4.8</v>
      </c>
      <c r="R1077">
        <v>-10</v>
      </c>
      <c r="S1077">
        <v>0</v>
      </c>
      <c r="T1077">
        <v>0.8</v>
      </c>
      <c r="U1077" t="s">
        <v>27</v>
      </c>
      <c r="V1077">
        <v>0.15</v>
      </c>
      <c r="W1077">
        <v>0.35499999999999998</v>
      </c>
      <c r="X1077">
        <v>8.5999999999999993E-2</v>
      </c>
      <c r="Y1077" t="s">
        <v>27</v>
      </c>
      <c r="Z1077" t="s">
        <v>27</v>
      </c>
      <c r="AA1077" t="s">
        <v>27</v>
      </c>
      <c r="AB1077" t="s">
        <v>27</v>
      </c>
      <c r="AC1077" t="s">
        <v>27</v>
      </c>
      <c r="AD1077" t="s">
        <v>27</v>
      </c>
      <c r="AE1077" t="s">
        <v>27</v>
      </c>
      <c r="AF1077" t="s">
        <v>27</v>
      </c>
      <c r="AG1077">
        <v>5.15</v>
      </c>
    </row>
    <row r="1078" spans="1:33" x14ac:dyDescent="0.25">
      <c r="A1078" t="s">
        <v>57</v>
      </c>
      <c r="B1078" s="3">
        <v>44539</v>
      </c>
      <c r="C1078">
        <v>2021343</v>
      </c>
      <c r="D1078">
        <v>0</v>
      </c>
      <c r="E1078" t="s">
        <v>27</v>
      </c>
      <c r="F1078">
        <v>-8.6</v>
      </c>
      <c r="G1078">
        <v>-5.7</v>
      </c>
      <c r="H1078">
        <v>-12.3</v>
      </c>
      <c r="I1078">
        <v>87.2</v>
      </c>
      <c r="J1078">
        <v>83.4</v>
      </c>
      <c r="K1078">
        <v>0.4</v>
      </c>
      <c r="L1078">
        <v>2.5</v>
      </c>
      <c r="M1078">
        <v>8</v>
      </c>
      <c r="N1078">
        <v>0.54500000000000015</v>
      </c>
      <c r="O1078">
        <v>-1.3</v>
      </c>
      <c r="P1078">
        <v>-9.6999999999999993</v>
      </c>
      <c r="Q1078">
        <v>-4.9000000000000004</v>
      </c>
      <c r="R1078">
        <v>-14.9</v>
      </c>
      <c r="S1078">
        <v>0</v>
      </c>
      <c r="T1078">
        <v>0.8</v>
      </c>
      <c r="U1078" t="s">
        <v>27</v>
      </c>
      <c r="V1078">
        <v>0.14799999999999999</v>
      </c>
      <c r="W1078">
        <v>0.33400000000000002</v>
      </c>
      <c r="X1078">
        <v>6.6000000000000003E-2</v>
      </c>
      <c r="Y1078" t="s">
        <v>27</v>
      </c>
      <c r="Z1078" t="s">
        <v>27</v>
      </c>
      <c r="AA1078" t="s">
        <v>27</v>
      </c>
      <c r="AB1078" t="s">
        <v>27</v>
      </c>
      <c r="AC1078" t="s">
        <v>27</v>
      </c>
      <c r="AD1078" t="s">
        <v>27</v>
      </c>
      <c r="AE1078" t="s">
        <v>27</v>
      </c>
      <c r="AF1078" t="s">
        <v>27</v>
      </c>
      <c r="AG1078">
        <v>5.1100000000000003</v>
      </c>
    </row>
    <row r="1079" spans="1:33" x14ac:dyDescent="0.25">
      <c r="A1079" t="s">
        <v>57</v>
      </c>
      <c r="B1079" s="3">
        <v>44540</v>
      </c>
      <c r="C1079">
        <v>2021344</v>
      </c>
      <c r="D1079">
        <v>0.01</v>
      </c>
      <c r="E1079" t="s">
        <v>27</v>
      </c>
      <c r="F1079">
        <v>-8.8000000000000007</v>
      </c>
      <c r="G1079">
        <v>-4.9000000000000004</v>
      </c>
      <c r="H1079">
        <v>-14.4</v>
      </c>
      <c r="I1079">
        <v>86.7</v>
      </c>
      <c r="J1079">
        <v>77</v>
      </c>
      <c r="K1079">
        <v>0.4</v>
      </c>
      <c r="L1079">
        <v>2.6</v>
      </c>
      <c r="M1079">
        <v>0</v>
      </c>
      <c r="N1079">
        <v>0.51800000000000002</v>
      </c>
      <c r="O1079">
        <v>-1.4</v>
      </c>
      <c r="P1079">
        <v>-9.6999999999999993</v>
      </c>
      <c r="Q1079">
        <v>-3.4</v>
      </c>
      <c r="R1079">
        <v>-16.3</v>
      </c>
      <c r="S1079">
        <v>0.1</v>
      </c>
      <c r="T1079">
        <v>0.8</v>
      </c>
      <c r="U1079" t="s">
        <v>27</v>
      </c>
      <c r="V1079">
        <v>0.14499999999999999</v>
      </c>
      <c r="W1079">
        <v>0.32700000000000001</v>
      </c>
      <c r="X1079">
        <v>9.8000000000000004E-2</v>
      </c>
      <c r="Y1079" t="s">
        <v>27</v>
      </c>
      <c r="Z1079" t="s">
        <v>27</v>
      </c>
      <c r="AA1079" t="s">
        <v>27</v>
      </c>
      <c r="AB1079" t="s">
        <v>27</v>
      </c>
      <c r="AC1079" t="s">
        <v>27</v>
      </c>
      <c r="AD1079" t="s">
        <v>27</v>
      </c>
      <c r="AE1079" t="s">
        <v>27</v>
      </c>
      <c r="AF1079" t="s">
        <v>27</v>
      </c>
      <c r="AG1079">
        <v>5.08</v>
      </c>
    </row>
    <row r="1080" spans="1:33" x14ac:dyDescent="0.25">
      <c r="A1080" t="s">
        <v>57</v>
      </c>
      <c r="B1080" s="3">
        <v>44541</v>
      </c>
      <c r="C1080">
        <v>2021345</v>
      </c>
      <c r="D1080">
        <v>0.16</v>
      </c>
      <c r="E1080" t="s">
        <v>27</v>
      </c>
      <c r="F1080">
        <v>-4</v>
      </c>
      <c r="G1080">
        <v>-1</v>
      </c>
      <c r="H1080">
        <v>-11.6</v>
      </c>
      <c r="I1080">
        <v>92.5</v>
      </c>
      <c r="J1080">
        <v>87.3</v>
      </c>
      <c r="K1080">
        <v>1.2</v>
      </c>
      <c r="L1080">
        <v>4</v>
      </c>
      <c r="M1080">
        <v>0</v>
      </c>
      <c r="N1080">
        <v>0.60700000000000021</v>
      </c>
      <c r="O1080">
        <v>-1.1000000000000001</v>
      </c>
      <c r="P1080">
        <v>-4.5999999999999996</v>
      </c>
      <c r="Q1080">
        <v>0.6</v>
      </c>
      <c r="R1080">
        <v>-13.9</v>
      </c>
      <c r="S1080">
        <v>0.1</v>
      </c>
      <c r="T1080">
        <v>0.8</v>
      </c>
      <c r="U1080" t="s">
        <v>27</v>
      </c>
      <c r="V1080">
        <v>0.14299999999999999</v>
      </c>
      <c r="W1080">
        <v>0.497</v>
      </c>
      <c r="X1080">
        <v>7.1999999999999995E-2</v>
      </c>
      <c r="Y1080" t="s">
        <v>27</v>
      </c>
      <c r="Z1080" t="s">
        <v>27</v>
      </c>
      <c r="AA1080" t="s">
        <v>27</v>
      </c>
      <c r="AB1080" t="s">
        <v>27</v>
      </c>
      <c r="AC1080" t="s">
        <v>27</v>
      </c>
      <c r="AD1080" t="s">
        <v>27</v>
      </c>
      <c r="AE1080" t="s">
        <v>27</v>
      </c>
      <c r="AF1080" t="s">
        <v>27</v>
      </c>
      <c r="AG1080">
        <v>5.04</v>
      </c>
    </row>
    <row r="1081" spans="1:33" x14ac:dyDescent="0.25">
      <c r="A1081" t="s">
        <v>57</v>
      </c>
      <c r="B1081" s="3">
        <v>44542</v>
      </c>
      <c r="C1081">
        <v>2021346</v>
      </c>
      <c r="D1081">
        <v>3.01</v>
      </c>
      <c r="E1081" t="s">
        <v>27</v>
      </c>
      <c r="F1081">
        <v>-8.5</v>
      </c>
      <c r="G1081">
        <v>-3.5</v>
      </c>
      <c r="H1081">
        <v>-15.2</v>
      </c>
      <c r="I1081">
        <v>89.7</v>
      </c>
      <c r="J1081">
        <v>83.9</v>
      </c>
      <c r="K1081">
        <v>0.1</v>
      </c>
      <c r="L1081">
        <v>2.2999999999999998</v>
      </c>
      <c r="M1081">
        <v>0</v>
      </c>
      <c r="N1081">
        <v>0.58700000000000019</v>
      </c>
      <c r="O1081">
        <v>-1</v>
      </c>
      <c r="P1081">
        <v>-9.6999999999999993</v>
      </c>
      <c r="Q1081">
        <v>-2</v>
      </c>
      <c r="R1081">
        <v>-17.7</v>
      </c>
      <c r="S1081">
        <v>0.1</v>
      </c>
      <c r="T1081">
        <v>0.8</v>
      </c>
      <c r="U1081" t="s">
        <v>27</v>
      </c>
      <c r="V1081">
        <v>0.14099999999999999</v>
      </c>
      <c r="W1081">
        <v>0.39600000000000002</v>
      </c>
      <c r="X1081">
        <v>7.5999999999999998E-2</v>
      </c>
      <c r="Y1081" t="s">
        <v>27</v>
      </c>
      <c r="Z1081" t="s">
        <v>27</v>
      </c>
      <c r="AA1081" t="s">
        <v>27</v>
      </c>
      <c r="AB1081" t="s">
        <v>27</v>
      </c>
      <c r="AC1081" t="s">
        <v>27</v>
      </c>
      <c r="AD1081" t="s">
        <v>27</v>
      </c>
      <c r="AE1081" t="s">
        <v>27</v>
      </c>
      <c r="AF1081" t="s">
        <v>27</v>
      </c>
      <c r="AG1081">
        <v>5.01</v>
      </c>
    </row>
    <row r="1082" spans="1:33" x14ac:dyDescent="0.25">
      <c r="A1082" t="s">
        <v>57</v>
      </c>
      <c r="B1082" s="3">
        <v>44543</v>
      </c>
      <c r="C1082">
        <v>2021347</v>
      </c>
      <c r="D1082">
        <v>1.02</v>
      </c>
      <c r="E1082" t="s">
        <v>27</v>
      </c>
      <c r="F1082">
        <v>-4.9000000000000004</v>
      </c>
      <c r="G1082">
        <v>-3.3</v>
      </c>
      <c r="H1082">
        <v>-6.8</v>
      </c>
      <c r="I1082">
        <v>92.6</v>
      </c>
      <c r="J1082">
        <v>91.2</v>
      </c>
      <c r="K1082">
        <v>1.2</v>
      </c>
      <c r="L1082">
        <v>3.5</v>
      </c>
      <c r="M1082">
        <v>0</v>
      </c>
      <c r="N1082">
        <v>0.61899999999999999</v>
      </c>
      <c r="O1082">
        <v>-1.2</v>
      </c>
      <c r="P1082">
        <v>-5.5</v>
      </c>
      <c r="Q1082">
        <v>-4</v>
      </c>
      <c r="R1082">
        <v>-8</v>
      </c>
      <c r="S1082">
        <v>0.1</v>
      </c>
      <c r="T1082">
        <v>0.9</v>
      </c>
      <c r="U1082" t="s">
        <v>27</v>
      </c>
      <c r="V1082">
        <v>0.14000000000000001</v>
      </c>
      <c r="W1082">
        <v>0.437</v>
      </c>
      <c r="X1082">
        <v>4.2000000000000003E-2</v>
      </c>
      <c r="Y1082" t="s">
        <v>27</v>
      </c>
      <c r="Z1082" t="s">
        <v>27</v>
      </c>
      <c r="AA1082" t="s">
        <v>27</v>
      </c>
      <c r="AB1082" t="s">
        <v>27</v>
      </c>
      <c r="AC1082" t="s">
        <v>27</v>
      </c>
      <c r="AD1082" t="s">
        <v>27</v>
      </c>
      <c r="AE1082" t="s">
        <v>27</v>
      </c>
      <c r="AF1082" t="s">
        <v>27</v>
      </c>
      <c r="AG1082">
        <v>4.99</v>
      </c>
    </row>
    <row r="1083" spans="1:33" x14ac:dyDescent="0.25">
      <c r="A1083" t="s">
        <v>57</v>
      </c>
      <c r="B1083" s="3">
        <v>44544</v>
      </c>
      <c r="C1083">
        <v>2021348</v>
      </c>
      <c r="D1083">
        <v>0.7</v>
      </c>
      <c r="E1083" t="s">
        <v>27</v>
      </c>
      <c r="F1083">
        <v>-8.3000000000000007</v>
      </c>
      <c r="G1083">
        <v>-3.9</v>
      </c>
      <c r="H1083">
        <v>-17.2</v>
      </c>
      <c r="I1083">
        <v>89.8</v>
      </c>
      <c r="J1083">
        <v>81.8</v>
      </c>
      <c r="K1083">
        <v>0.5</v>
      </c>
      <c r="L1083">
        <v>2.4</v>
      </c>
      <c r="M1083">
        <v>0</v>
      </c>
      <c r="N1083">
        <v>0.5990000000000002</v>
      </c>
      <c r="O1083">
        <v>-1</v>
      </c>
      <c r="P1083">
        <v>-9.1999999999999993</v>
      </c>
      <c r="Q1083">
        <v>-3.1</v>
      </c>
      <c r="R1083">
        <v>-20.100000000000001</v>
      </c>
      <c r="S1083">
        <v>0.1</v>
      </c>
      <c r="T1083">
        <v>0.8</v>
      </c>
      <c r="U1083" t="s">
        <v>27</v>
      </c>
      <c r="V1083">
        <v>0.13800000000000001</v>
      </c>
      <c r="W1083">
        <v>0.376</v>
      </c>
      <c r="X1083">
        <v>8.4000000000000005E-2</v>
      </c>
      <c r="Y1083" t="s">
        <v>27</v>
      </c>
      <c r="Z1083" t="s">
        <v>27</v>
      </c>
      <c r="AA1083" t="s">
        <v>27</v>
      </c>
      <c r="AB1083" t="s">
        <v>27</v>
      </c>
      <c r="AC1083" t="s">
        <v>27</v>
      </c>
      <c r="AD1083" t="s">
        <v>27</v>
      </c>
      <c r="AE1083" t="s">
        <v>27</v>
      </c>
      <c r="AF1083" t="s">
        <v>27</v>
      </c>
      <c r="AG1083">
        <v>4.97</v>
      </c>
    </row>
    <row r="1084" spans="1:33" x14ac:dyDescent="0.25">
      <c r="A1084" t="s">
        <v>57</v>
      </c>
      <c r="B1084" s="3">
        <v>44545</v>
      </c>
      <c r="C1084">
        <v>2021349</v>
      </c>
      <c r="D1084">
        <v>0.4</v>
      </c>
      <c r="E1084" t="s">
        <v>27</v>
      </c>
      <c r="F1084">
        <v>-11.5</v>
      </c>
      <c r="G1084">
        <v>-7</v>
      </c>
      <c r="H1084">
        <v>-18.399999999999999</v>
      </c>
      <c r="I1084">
        <v>87.1</v>
      </c>
      <c r="J1084">
        <v>80.599999999999994</v>
      </c>
      <c r="K1084">
        <v>0.5</v>
      </c>
      <c r="L1084">
        <v>1.7</v>
      </c>
      <c r="M1084">
        <v>3</v>
      </c>
      <c r="N1084">
        <v>0.57500000000000018</v>
      </c>
      <c r="O1084">
        <v>-1.3</v>
      </c>
      <c r="P1084">
        <v>-12.4</v>
      </c>
      <c r="Q1084">
        <v>-4.2</v>
      </c>
      <c r="R1084">
        <v>-21</v>
      </c>
      <c r="S1084">
        <v>0.1</v>
      </c>
      <c r="T1084">
        <v>0.8</v>
      </c>
      <c r="U1084" t="s">
        <v>27</v>
      </c>
      <c r="V1084">
        <v>0.13700000000000001</v>
      </c>
      <c r="W1084">
        <v>0.29099999999999998</v>
      </c>
      <c r="X1084">
        <v>7.0000000000000007E-2</v>
      </c>
      <c r="Y1084" t="s">
        <v>27</v>
      </c>
      <c r="Z1084" t="s">
        <v>27</v>
      </c>
      <c r="AA1084" t="s">
        <v>27</v>
      </c>
      <c r="AB1084" t="s">
        <v>27</v>
      </c>
      <c r="AC1084" t="s">
        <v>27</v>
      </c>
      <c r="AD1084" t="s">
        <v>27</v>
      </c>
      <c r="AE1084" t="s">
        <v>27</v>
      </c>
      <c r="AF1084" t="s">
        <v>27</v>
      </c>
      <c r="AG1084">
        <v>4.9400000000000004</v>
      </c>
    </row>
    <row r="1085" spans="1:33" x14ac:dyDescent="0.25">
      <c r="A1085" t="s">
        <v>57</v>
      </c>
      <c r="B1085" s="3">
        <v>44546</v>
      </c>
      <c r="C1085">
        <v>2021350</v>
      </c>
      <c r="D1085">
        <v>0</v>
      </c>
      <c r="E1085" t="s">
        <v>27</v>
      </c>
      <c r="F1085">
        <v>-10.8</v>
      </c>
      <c r="G1085">
        <v>-7.5</v>
      </c>
      <c r="H1085">
        <v>-16.8</v>
      </c>
      <c r="I1085">
        <v>87.6</v>
      </c>
      <c r="J1085">
        <v>82</v>
      </c>
      <c r="K1085">
        <v>0.9</v>
      </c>
      <c r="L1085">
        <v>4</v>
      </c>
      <c r="M1085">
        <v>22</v>
      </c>
      <c r="N1085">
        <v>0.66700000000000004</v>
      </c>
      <c r="O1085">
        <v>-1.4</v>
      </c>
      <c r="P1085">
        <v>-11.6</v>
      </c>
      <c r="Q1085">
        <v>-7.3</v>
      </c>
      <c r="R1085">
        <v>-18.899999999999999</v>
      </c>
      <c r="S1085">
        <v>0.1</v>
      </c>
      <c r="T1085">
        <v>0.8</v>
      </c>
      <c r="U1085" t="s">
        <v>27</v>
      </c>
      <c r="V1085">
        <v>0.13500000000000001</v>
      </c>
      <c r="W1085">
        <v>0.28499999999999998</v>
      </c>
      <c r="X1085">
        <v>6.3E-2</v>
      </c>
      <c r="Y1085" t="s">
        <v>27</v>
      </c>
      <c r="Z1085" t="s">
        <v>27</v>
      </c>
      <c r="AA1085" t="s">
        <v>27</v>
      </c>
      <c r="AB1085" t="s">
        <v>27</v>
      </c>
      <c r="AC1085" t="s">
        <v>27</v>
      </c>
      <c r="AD1085" t="s">
        <v>27</v>
      </c>
      <c r="AE1085" t="s">
        <v>27</v>
      </c>
      <c r="AF1085" t="s">
        <v>27</v>
      </c>
      <c r="AG1085">
        <v>4.93</v>
      </c>
    </row>
    <row r="1086" spans="1:33" x14ac:dyDescent="0.25">
      <c r="A1086" t="s">
        <v>57</v>
      </c>
      <c r="B1086" s="3">
        <v>44547</v>
      </c>
      <c r="C1086">
        <v>2021351</v>
      </c>
      <c r="D1086">
        <v>0.67</v>
      </c>
      <c r="E1086" t="s">
        <v>27</v>
      </c>
      <c r="F1086">
        <v>-16.3</v>
      </c>
      <c r="G1086">
        <v>-9.1</v>
      </c>
      <c r="H1086">
        <v>-23.5</v>
      </c>
      <c r="I1086">
        <v>82.6</v>
      </c>
      <c r="J1086">
        <v>76.7</v>
      </c>
      <c r="K1086">
        <v>0.4</v>
      </c>
      <c r="L1086">
        <v>1.9</v>
      </c>
      <c r="M1086">
        <v>2</v>
      </c>
      <c r="N1086">
        <v>0.64600000000000013</v>
      </c>
      <c r="O1086">
        <v>-1.5</v>
      </c>
      <c r="P1086">
        <v>-17.5</v>
      </c>
      <c r="Q1086">
        <v>-5.5</v>
      </c>
      <c r="R1086">
        <v>-25.6</v>
      </c>
      <c r="S1086">
        <v>0.1</v>
      </c>
      <c r="T1086">
        <v>0.8</v>
      </c>
      <c r="U1086" t="s">
        <v>27</v>
      </c>
      <c r="V1086">
        <v>0.13400000000000001</v>
      </c>
      <c r="W1086">
        <v>0.23499999999999999</v>
      </c>
      <c r="X1086">
        <v>7.0999999999999994E-2</v>
      </c>
      <c r="Y1086" t="s">
        <v>27</v>
      </c>
      <c r="Z1086" t="s">
        <v>27</v>
      </c>
      <c r="AA1086" t="s">
        <v>27</v>
      </c>
      <c r="AB1086" t="s">
        <v>27</v>
      </c>
      <c r="AC1086" t="s">
        <v>27</v>
      </c>
      <c r="AD1086" t="s">
        <v>27</v>
      </c>
      <c r="AE1086" t="s">
        <v>27</v>
      </c>
      <c r="AF1086" t="s">
        <v>27</v>
      </c>
      <c r="AG1086">
        <v>4.92</v>
      </c>
    </row>
    <row r="1087" spans="1:33" x14ac:dyDescent="0.25">
      <c r="A1087" t="s">
        <v>57</v>
      </c>
      <c r="B1087" s="3">
        <v>44548</v>
      </c>
      <c r="C1087">
        <v>2021352</v>
      </c>
      <c r="D1087">
        <v>0</v>
      </c>
      <c r="E1087" t="s">
        <v>27</v>
      </c>
      <c r="F1087">
        <v>-10.6</v>
      </c>
      <c r="G1087">
        <v>-8</v>
      </c>
      <c r="H1087">
        <v>-12.9</v>
      </c>
      <c r="I1087">
        <v>87.9</v>
      </c>
      <c r="J1087">
        <v>85.8</v>
      </c>
      <c r="K1087">
        <v>0.9</v>
      </c>
      <c r="L1087">
        <v>2.2000000000000002</v>
      </c>
      <c r="M1087">
        <v>0</v>
      </c>
      <c r="N1087">
        <v>0.71000000000000019</v>
      </c>
      <c r="O1087">
        <v>-1.6</v>
      </c>
      <c r="P1087">
        <v>-11.3</v>
      </c>
      <c r="Q1087">
        <v>-8.6999999999999993</v>
      </c>
      <c r="R1087">
        <v>-14.5</v>
      </c>
      <c r="S1087">
        <v>0.1</v>
      </c>
      <c r="T1087">
        <v>0.8</v>
      </c>
      <c r="U1087" t="s">
        <v>27</v>
      </c>
      <c r="V1087">
        <v>0.13200000000000001</v>
      </c>
      <c r="W1087">
        <v>0.28799999999999998</v>
      </c>
      <c r="X1087">
        <v>4.8000000000000001E-2</v>
      </c>
      <c r="Y1087" t="s">
        <v>27</v>
      </c>
      <c r="Z1087" t="s">
        <v>27</v>
      </c>
      <c r="AA1087" t="s">
        <v>27</v>
      </c>
      <c r="AB1087" t="s">
        <v>27</v>
      </c>
      <c r="AC1087" t="s">
        <v>27</v>
      </c>
      <c r="AD1087" t="s">
        <v>27</v>
      </c>
      <c r="AE1087" t="s">
        <v>27</v>
      </c>
      <c r="AF1087" t="s">
        <v>27</v>
      </c>
      <c r="AG1087">
        <v>4.91</v>
      </c>
    </row>
    <row r="1088" spans="1:33" x14ac:dyDescent="0.25">
      <c r="A1088" t="s">
        <v>57</v>
      </c>
      <c r="B1088" s="3">
        <v>44549</v>
      </c>
      <c r="C1088">
        <v>2021353</v>
      </c>
      <c r="D1088">
        <v>0.33</v>
      </c>
      <c r="E1088" t="s">
        <v>27</v>
      </c>
      <c r="F1088">
        <v>-12.4</v>
      </c>
      <c r="G1088">
        <v>-6.9</v>
      </c>
      <c r="H1088">
        <v>-23.2</v>
      </c>
      <c r="I1088">
        <v>86.1</v>
      </c>
      <c r="J1088">
        <v>77</v>
      </c>
      <c r="K1088">
        <v>0.7</v>
      </c>
      <c r="L1088">
        <v>2.1</v>
      </c>
      <c r="M1088">
        <v>0</v>
      </c>
      <c r="N1088">
        <v>0.70800000000000018</v>
      </c>
      <c r="O1088">
        <v>-1.5</v>
      </c>
      <c r="P1088">
        <v>-13.4</v>
      </c>
      <c r="Q1088">
        <v>-6.5</v>
      </c>
      <c r="R1088">
        <v>-26.1</v>
      </c>
      <c r="S1088">
        <v>0</v>
      </c>
      <c r="T1088">
        <v>0.8</v>
      </c>
      <c r="U1088" t="s">
        <v>27</v>
      </c>
      <c r="V1088">
        <v>0.13</v>
      </c>
      <c r="W1088">
        <v>0.28100000000000003</v>
      </c>
      <c r="X1088">
        <v>8.4000000000000005E-2</v>
      </c>
      <c r="Y1088" t="s">
        <v>27</v>
      </c>
      <c r="Z1088" t="s">
        <v>27</v>
      </c>
      <c r="AA1088" t="s">
        <v>27</v>
      </c>
      <c r="AB1088" t="s">
        <v>27</v>
      </c>
      <c r="AC1088" t="s">
        <v>27</v>
      </c>
      <c r="AD1088" t="s">
        <v>27</v>
      </c>
      <c r="AE1088" t="s">
        <v>27</v>
      </c>
      <c r="AF1088" t="s">
        <v>27</v>
      </c>
      <c r="AG1088">
        <v>4.9000000000000004</v>
      </c>
    </row>
    <row r="1089" spans="1:33" x14ac:dyDescent="0.25">
      <c r="A1089" t="s">
        <v>57</v>
      </c>
      <c r="B1089" s="3">
        <v>44550</v>
      </c>
      <c r="C1089">
        <v>2021354</v>
      </c>
      <c r="D1089">
        <v>0.59</v>
      </c>
      <c r="E1089" t="s">
        <v>27</v>
      </c>
      <c r="F1089">
        <v>-19.5</v>
      </c>
      <c r="G1089">
        <v>-11.1</v>
      </c>
      <c r="H1089">
        <v>-23.7</v>
      </c>
      <c r="I1089">
        <v>79.7</v>
      </c>
      <c r="J1089">
        <v>76.599999999999994</v>
      </c>
      <c r="K1089">
        <v>0.1</v>
      </c>
      <c r="L1089">
        <v>1.7</v>
      </c>
      <c r="M1089">
        <v>0</v>
      </c>
      <c r="N1089">
        <v>0.69200000000000017</v>
      </c>
      <c r="O1089">
        <v>-1.5</v>
      </c>
      <c r="P1089">
        <v>-21.5</v>
      </c>
      <c r="Q1089">
        <v>-8.6999999999999993</v>
      </c>
      <c r="R1089">
        <v>-26.4</v>
      </c>
      <c r="S1089">
        <v>0</v>
      </c>
      <c r="T1089">
        <v>0.7</v>
      </c>
      <c r="U1089" t="s">
        <v>27</v>
      </c>
      <c r="V1089">
        <v>0.129</v>
      </c>
      <c r="W1089">
        <v>0.20100000000000001</v>
      </c>
      <c r="X1089">
        <v>6.0999999999999999E-2</v>
      </c>
      <c r="Y1089" t="s">
        <v>27</v>
      </c>
      <c r="Z1089" t="s">
        <v>27</v>
      </c>
      <c r="AA1089" t="s">
        <v>27</v>
      </c>
      <c r="AB1089" t="s">
        <v>27</v>
      </c>
      <c r="AC1089" t="s">
        <v>27</v>
      </c>
      <c r="AD1089" t="s">
        <v>27</v>
      </c>
      <c r="AE1089" t="s">
        <v>27</v>
      </c>
      <c r="AF1089" t="s">
        <v>27</v>
      </c>
      <c r="AG1089">
        <v>4.9000000000000004</v>
      </c>
    </row>
    <row r="1090" spans="1:33" x14ac:dyDescent="0.25">
      <c r="A1090" t="s">
        <v>57</v>
      </c>
      <c r="B1090" s="3">
        <v>44551</v>
      </c>
      <c r="C1090">
        <v>2021355</v>
      </c>
      <c r="D1090">
        <v>2.21</v>
      </c>
      <c r="E1090" t="s">
        <v>27</v>
      </c>
      <c r="F1090">
        <v>-12.6</v>
      </c>
      <c r="G1090">
        <v>-2.1</v>
      </c>
      <c r="H1090">
        <v>-22.6</v>
      </c>
      <c r="I1090">
        <v>85.1</v>
      </c>
      <c r="J1090">
        <v>77.099999999999994</v>
      </c>
      <c r="K1090">
        <v>0.3</v>
      </c>
      <c r="L1090">
        <v>1.3</v>
      </c>
      <c r="M1090">
        <v>0</v>
      </c>
      <c r="N1090">
        <v>0.68300000000000005</v>
      </c>
      <c r="O1090">
        <v>-1.8</v>
      </c>
      <c r="P1090">
        <v>-13.7</v>
      </c>
      <c r="Q1090">
        <v>-0.9</v>
      </c>
      <c r="R1090">
        <v>-25</v>
      </c>
      <c r="S1090">
        <v>0</v>
      </c>
      <c r="T1090">
        <v>0.8</v>
      </c>
      <c r="U1090" t="s">
        <v>27</v>
      </c>
      <c r="V1090">
        <v>0.127</v>
      </c>
      <c r="W1090">
        <v>0.40500000000000003</v>
      </c>
      <c r="X1090">
        <v>0.12</v>
      </c>
      <c r="Y1090" t="s">
        <v>27</v>
      </c>
      <c r="Z1090" t="s">
        <v>27</v>
      </c>
      <c r="AA1090" t="s">
        <v>27</v>
      </c>
      <c r="AB1090" t="s">
        <v>27</v>
      </c>
      <c r="AC1090" t="s">
        <v>27</v>
      </c>
      <c r="AD1090" t="s">
        <v>27</v>
      </c>
      <c r="AE1090" t="s">
        <v>27</v>
      </c>
      <c r="AF1090" t="s">
        <v>27</v>
      </c>
      <c r="AG1090">
        <v>4.9000000000000004</v>
      </c>
    </row>
    <row r="1091" spans="1:33" x14ac:dyDescent="0.25">
      <c r="A1091" t="s">
        <v>57</v>
      </c>
      <c r="B1091" s="3">
        <v>44552</v>
      </c>
      <c r="C1091">
        <v>2021356</v>
      </c>
      <c r="D1091">
        <v>1.87</v>
      </c>
      <c r="E1091" t="s">
        <v>27</v>
      </c>
      <c r="F1091">
        <v>-7.1</v>
      </c>
      <c r="G1091">
        <v>-3</v>
      </c>
      <c r="H1091">
        <v>-9.9</v>
      </c>
      <c r="I1091">
        <v>90.7</v>
      </c>
      <c r="J1091">
        <v>88.5</v>
      </c>
      <c r="K1091">
        <v>0.8</v>
      </c>
      <c r="L1091">
        <v>2.8</v>
      </c>
      <c r="M1091">
        <v>0</v>
      </c>
      <c r="N1091">
        <v>0.67700000000000005</v>
      </c>
      <c r="O1091">
        <v>-1.8</v>
      </c>
      <c r="P1091">
        <v>-7.3</v>
      </c>
      <c r="Q1091">
        <v>-3.7</v>
      </c>
      <c r="R1091">
        <v>-10.8</v>
      </c>
      <c r="S1091">
        <v>0.1</v>
      </c>
      <c r="T1091">
        <v>0.8</v>
      </c>
      <c r="U1091" t="s">
        <v>27</v>
      </c>
      <c r="V1091">
        <v>0.126</v>
      </c>
      <c r="W1091">
        <v>0.434</v>
      </c>
      <c r="X1091">
        <v>5.6000000000000001E-2</v>
      </c>
      <c r="Y1091" t="s">
        <v>27</v>
      </c>
      <c r="Z1091" t="s">
        <v>27</v>
      </c>
      <c r="AA1091" t="s">
        <v>27</v>
      </c>
      <c r="AB1091" t="s">
        <v>27</v>
      </c>
      <c r="AC1091" t="s">
        <v>27</v>
      </c>
      <c r="AD1091" t="s">
        <v>27</v>
      </c>
      <c r="AE1091" t="s">
        <v>27</v>
      </c>
      <c r="AF1091" t="s">
        <v>27</v>
      </c>
      <c r="AG1091">
        <v>4.9000000000000004</v>
      </c>
    </row>
    <row r="1092" spans="1:33" x14ac:dyDescent="0.25">
      <c r="A1092" t="s">
        <v>57</v>
      </c>
      <c r="B1092" s="3">
        <v>44553</v>
      </c>
      <c r="C1092">
        <v>2021357</v>
      </c>
      <c r="D1092">
        <v>1.35</v>
      </c>
      <c r="E1092" t="s">
        <v>27</v>
      </c>
      <c r="F1092">
        <v>-6.2</v>
      </c>
      <c r="G1092">
        <v>-3</v>
      </c>
      <c r="H1092">
        <v>-8.4</v>
      </c>
      <c r="I1092">
        <v>89.3</v>
      </c>
      <c r="J1092">
        <v>80.3</v>
      </c>
      <c r="K1092">
        <v>1.3</v>
      </c>
      <c r="L1092">
        <v>3.7</v>
      </c>
      <c r="M1092">
        <v>0</v>
      </c>
      <c r="N1092">
        <v>0.752</v>
      </c>
      <c r="O1092">
        <v>-1.5</v>
      </c>
      <c r="P1092">
        <v>-6.8</v>
      </c>
      <c r="Q1092">
        <v>-3.8</v>
      </c>
      <c r="R1092">
        <v>-9.1</v>
      </c>
      <c r="S1092">
        <v>0</v>
      </c>
      <c r="T1092">
        <v>0.8</v>
      </c>
      <c r="U1092" t="s">
        <v>27</v>
      </c>
      <c r="V1092">
        <v>0.125</v>
      </c>
      <c r="W1092">
        <v>0.39300000000000002</v>
      </c>
      <c r="X1092">
        <v>9.6000000000000002E-2</v>
      </c>
      <c r="Y1092" t="s">
        <v>27</v>
      </c>
      <c r="Z1092" t="s">
        <v>27</v>
      </c>
      <c r="AA1092" t="s">
        <v>27</v>
      </c>
      <c r="AB1092" t="s">
        <v>27</v>
      </c>
      <c r="AC1092" t="s">
        <v>27</v>
      </c>
      <c r="AD1092" t="s">
        <v>27</v>
      </c>
      <c r="AE1092" t="s">
        <v>27</v>
      </c>
      <c r="AF1092" t="s">
        <v>27</v>
      </c>
      <c r="AG1092">
        <v>4.9000000000000004</v>
      </c>
    </row>
    <row r="1093" spans="1:33" x14ac:dyDescent="0.25">
      <c r="A1093" t="s">
        <v>57</v>
      </c>
      <c r="B1093" s="3">
        <v>44554</v>
      </c>
      <c r="C1093">
        <v>2021358</v>
      </c>
      <c r="D1093">
        <v>0</v>
      </c>
      <c r="E1093" t="s">
        <v>27</v>
      </c>
      <c r="F1093">
        <v>-9.1999999999999993</v>
      </c>
      <c r="G1093">
        <v>-6</v>
      </c>
      <c r="H1093">
        <v>-15.8</v>
      </c>
      <c r="I1093">
        <v>88.6</v>
      </c>
      <c r="J1093">
        <v>82.1</v>
      </c>
      <c r="K1093">
        <v>0.6</v>
      </c>
      <c r="L1093">
        <v>2.4</v>
      </c>
      <c r="M1093">
        <v>0</v>
      </c>
      <c r="N1093">
        <v>0.74900000000000011</v>
      </c>
      <c r="O1093">
        <v>-1.2</v>
      </c>
      <c r="P1093">
        <v>-9.8000000000000007</v>
      </c>
      <c r="Q1093">
        <v>-5.4</v>
      </c>
      <c r="R1093">
        <v>-17.600000000000001</v>
      </c>
      <c r="S1093">
        <v>0</v>
      </c>
      <c r="T1093">
        <v>0.7</v>
      </c>
      <c r="U1093" t="s">
        <v>27</v>
      </c>
      <c r="V1093">
        <v>0.124</v>
      </c>
      <c r="W1093">
        <v>0.31900000000000001</v>
      </c>
      <c r="X1093">
        <v>7.0000000000000007E-2</v>
      </c>
      <c r="Y1093" t="s">
        <v>27</v>
      </c>
      <c r="Z1093" t="s">
        <v>27</v>
      </c>
      <c r="AA1093" t="s">
        <v>27</v>
      </c>
      <c r="AB1093" t="s">
        <v>27</v>
      </c>
      <c r="AC1093" t="s">
        <v>27</v>
      </c>
      <c r="AD1093" t="s">
        <v>27</v>
      </c>
      <c r="AE1093" t="s">
        <v>27</v>
      </c>
      <c r="AF1093" t="s">
        <v>27</v>
      </c>
      <c r="AG1093">
        <v>4.92</v>
      </c>
    </row>
    <row r="1094" spans="1:33" x14ac:dyDescent="0.25">
      <c r="A1094" t="s">
        <v>57</v>
      </c>
      <c r="B1094" s="3">
        <v>44555</v>
      </c>
      <c r="C1094">
        <v>2021359</v>
      </c>
      <c r="D1094">
        <v>0</v>
      </c>
      <c r="E1094" t="s">
        <v>27</v>
      </c>
      <c r="F1094">
        <v>-15.6</v>
      </c>
      <c r="G1094">
        <v>-9.9</v>
      </c>
      <c r="H1094">
        <v>-22.2</v>
      </c>
      <c r="I1094">
        <v>82.3</v>
      </c>
      <c r="J1094">
        <v>75.8</v>
      </c>
      <c r="K1094">
        <v>0.5</v>
      </c>
      <c r="L1094">
        <v>1.6</v>
      </c>
      <c r="M1094">
        <v>0</v>
      </c>
      <c r="N1094">
        <v>0.79200000000000004</v>
      </c>
      <c r="O1094">
        <v>-1.1000000000000001</v>
      </c>
      <c r="P1094">
        <v>-15.9</v>
      </c>
      <c r="Q1094">
        <v>-9.1</v>
      </c>
      <c r="R1094">
        <v>-22.2</v>
      </c>
      <c r="S1094">
        <v>0</v>
      </c>
      <c r="T1094">
        <v>0.7</v>
      </c>
      <c r="U1094" t="s">
        <v>27</v>
      </c>
      <c r="V1094">
        <v>0.124</v>
      </c>
      <c r="W1094">
        <v>0.218</v>
      </c>
      <c r="X1094">
        <v>7.0000000000000007E-2</v>
      </c>
      <c r="Y1094" t="s">
        <v>27</v>
      </c>
      <c r="Z1094" t="s">
        <v>27</v>
      </c>
      <c r="AA1094" t="s">
        <v>27</v>
      </c>
      <c r="AB1094" t="s">
        <v>27</v>
      </c>
      <c r="AC1094" t="s">
        <v>27</v>
      </c>
      <c r="AD1094" t="s">
        <v>27</v>
      </c>
      <c r="AE1094" t="s">
        <v>27</v>
      </c>
      <c r="AF1094" t="s">
        <v>27</v>
      </c>
      <c r="AG1094">
        <v>4.93</v>
      </c>
    </row>
    <row r="1095" spans="1:33" x14ac:dyDescent="0.25">
      <c r="A1095" t="s">
        <v>57</v>
      </c>
      <c r="B1095" s="3">
        <v>44556</v>
      </c>
      <c r="C1095">
        <v>2021360</v>
      </c>
      <c r="D1095">
        <v>1.19</v>
      </c>
      <c r="E1095" t="s">
        <v>27</v>
      </c>
      <c r="F1095">
        <v>-26</v>
      </c>
      <c r="G1095">
        <v>-22.3</v>
      </c>
      <c r="H1095">
        <v>-28.8</v>
      </c>
      <c r="I1095">
        <v>74.099999999999994</v>
      </c>
      <c r="J1095">
        <v>72.2</v>
      </c>
      <c r="K1095">
        <v>1.9</v>
      </c>
      <c r="L1095">
        <v>3</v>
      </c>
      <c r="M1095">
        <v>0</v>
      </c>
      <c r="N1095">
        <v>0.8</v>
      </c>
      <c r="O1095">
        <v>-1.2</v>
      </c>
      <c r="P1095">
        <v>-26</v>
      </c>
      <c r="Q1095">
        <v>-19.8</v>
      </c>
      <c r="R1095">
        <v>-29.4</v>
      </c>
      <c r="S1095">
        <v>0</v>
      </c>
      <c r="T1095">
        <v>0.6</v>
      </c>
      <c r="U1095" t="s">
        <v>27</v>
      </c>
      <c r="V1095">
        <v>0.123</v>
      </c>
      <c r="W1095">
        <v>7.3999999999999996E-2</v>
      </c>
      <c r="X1095">
        <v>2.8000000000000001E-2</v>
      </c>
      <c r="Y1095" t="s">
        <v>27</v>
      </c>
      <c r="Z1095" t="s">
        <v>27</v>
      </c>
      <c r="AA1095" t="s">
        <v>27</v>
      </c>
      <c r="AB1095" t="s">
        <v>27</v>
      </c>
      <c r="AC1095" t="s">
        <v>27</v>
      </c>
      <c r="AD1095" t="s">
        <v>27</v>
      </c>
      <c r="AE1095" t="s">
        <v>27</v>
      </c>
      <c r="AF1095" t="s">
        <v>27</v>
      </c>
      <c r="AG1095">
        <v>4.95</v>
      </c>
    </row>
    <row r="1096" spans="1:33" x14ac:dyDescent="0.25">
      <c r="A1096" t="s">
        <v>57</v>
      </c>
      <c r="B1096" s="3">
        <v>44557</v>
      </c>
      <c r="C1096">
        <v>2021361</v>
      </c>
      <c r="D1096">
        <v>1.65</v>
      </c>
      <c r="E1096" t="s">
        <v>27</v>
      </c>
      <c r="F1096">
        <v>-23.5</v>
      </c>
      <c r="G1096">
        <v>-14</v>
      </c>
      <c r="H1096">
        <v>-34.5</v>
      </c>
      <c r="I1096">
        <v>75.7</v>
      </c>
      <c r="J1096">
        <v>69.8</v>
      </c>
      <c r="K1096">
        <v>0.7</v>
      </c>
      <c r="L1096">
        <v>2.7</v>
      </c>
      <c r="M1096">
        <v>4</v>
      </c>
      <c r="N1096">
        <v>0.77900000000000014</v>
      </c>
      <c r="O1096">
        <v>-1.3</v>
      </c>
      <c r="P1096">
        <v>-24.1</v>
      </c>
      <c r="Q1096">
        <v>-10.7</v>
      </c>
      <c r="R1096">
        <v>-36.299999999999997</v>
      </c>
      <c r="S1096">
        <v>0</v>
      </c>
      <c r="T1096">
        <v>0.7</v>
      </c>
      <c r="U1096" t="s">
        <v>27</v>
      </c>
      <c r="V1096">
        <v>0.122</v>
      </c>
      <c r="W1096">
        <v>0.14499999999999999</v>
      </c>
      <c r="X1096">
        <v>6.3E-2</v>
      </c>
      <c r="Y1096" t="s">
        <v>27</v>
      </c>
      <c r="Z1096" t="s">
        <v>27</v>
      </c>
      <c r="AA1096" t="s">
        <v>27</v>
      </c>
      <c r="AB1096" t="s">
        <v>27</v>
      </c>
      <c r="AC1096" t="s">
        <v>27</v>
      </c>
      <c r="AD1096" t="s">
        <v>27</v>
      </c>
      <c r="AE1096" t="s">
        <v>27</v>
      </c>
      <c r="AF1096" t="s">
        <v>27</v>
      </c>
      <c r="AG1096">
        <v>4.97</v>
      </c>
    </row>
    <row r="1097" spans="1:33" x14ac:dyDescent="0.25">
      <c r="A1097" t="s">
        <v>57</v>
      </c>
      <c r="B1097" s="3">
        <v>44558</v>
      </c>
      <c r="C1097">
        <v>2021362</v>
      </c>
      <c r="D1097">
        <v>0</v>
      </c>
      <c r="E1097" t="s">
        <v>27</v>
      </c>
      <c r="F1097">
        <v>-17.2</v>
      </c>
      <c r="G1097">
        <v>-13.2</v>
      </c>
      <c r="H1097">
        <v>-21.5</v>
      </c>
      <c r="I1097">
        <v>79.7</v>
      </c>
      <c r="J1097">
        <v>76.3</v>
      </c>
      <c r="K1097">
        <v>0.6</v>
      </c>
      <c r="L1097">
        <v>2.2999999999999998</v>
      </c>
      <c r="M1097">
        <v>0</v>
      </c>
      <c r="N1097">
        <v>0.79</v>
      </c>
      <c r="O1097">
        <v>-1.6</v>
      </c>
      <c r="P1097">
        <v>-17.7</v>
      </c>
      <c r="Q1097">
        <v>-12.5</v>
      </c>
      <c r="R1097">
        <v>-22.9</v>
      </c>
      <c r="S1097">
        <v>0</v>
      </c>
      <c r="T1097">
        <v>0.7</v>
      </c>
      <c r="U1097" t="s">
        <v>27</v>
      </c>
      <c r="V1097">
        <v>0.12</v>
      </c>
      <c r="W1097">
        <v>0.16900000000000001</v>
      </c>
      <c r="X1097">
        <v>5.1999999999999998E-2</v>
      </c>
      <c r="Y1097" t="s">
        <v>27</v>
      </c>
      <c r="Z1097" t="s">
        <v>27</v>
      </c>
      <c r="AA1097" t="s">
        <v>27</v>
      </c>
      <c r="AB1097" t="s">
        <v>27</v>
      </c>
      <c r="AC1097" t="s">
        <v>27</v>
      </c>
      <c r="AD1097" t="s">
        <v>27</v>
      </c>
      <c r="AE1097" t="s">
        <v>27</v>
      </c>
      <c r="AF1097" t="s">
        <v>27</v>
      </c>
      <c r="AG1097">
        <v>5</v>
      </c>
    </row>
    <row r="1098" spans="1:33" x14ac:dyDescent="0.25">
      <c r="A1098" t="s">
        <v>57</v>
      </c>
      <c r="B1098" s="3">
        <v>44559</v>
      </c>
      <c r="C1098">
        <v>2021363</v>
      </c>
      <c r="D1098">
        <v>0.11</v>
      </c>
      <c r="E1098" t="s">
        <v>27</v>
      </c>
      <c r="F1098">
        <v>-21.7</v>
      </c>
      <c r="G1098">
        <v>-17.8</v>
      </c>
      <c r="H1098">
        <v>-25.6</v>
      </c>
      <c r="I1098">
        <v>76.3</v>
      </c>
      <c r="J1098">
        <v>69.400000000000006</v>
      </c>
      <c r="K1098">
        <v>0.7</v>
      </c>
      <c r="L1098">
        <v>2.9</v>
      </c>
      <c r="M1098">
        <v>13</v>
      </c>
      <c r="N1098">
        <v>0.78700000000000014</v>
      </c>
      <c r="O1098">
        <v>-1.7</v>
      </c>
      <c r="P1098">
        <v>-22</v>
      </c>
      <c r="Q1098">
        <v>-11.3</v>
      </c>
      <c r="R1098">
        <v>-27.8</v>
      </c>
      <c r="S1098">
        <v>0</v>
      </c>
      <c r="T1098">
        <v>0.6</v>
      </c>
      <c r="U1098" t="s">
        <v>27</v>
      </c>
      <c r="V1098">
        <v>0.11899999999999999</v>
      </c>
      <c r="W1098">
        <v>0.105</v>
      </c>
      <c r="X1098">
        <v>4.5999999999999999E-2</v>
      </c>
      <c r="Y1098" t="s">
        <v>27</v>
      </c>
      <c r="Z1098" t="s">
        <v>27</v>
      </c>
      <c r="AA1098" t="s">
        <v>27</v>
      </c>
      <c r="AB1098" t="s">
        <v>27</v>
      </c>
      <c r="AC1098" t="s">
        <v>27</v>
      </c>
      <c r="AD1098" t="s">
        <v>27</v>
      </c>
      <c r="AE1098" t="s">
        <v>27</v>
      </c>
      <c r="AF1098" t="s">
        <v>27</v>
      </c>
      <c r="AG1098">
        <v>5.0199999999999996</v>
      </c>
    </row>
    <row r="1099" spans="1:33" x14ac:dyDescent="0.25">
      <c r="A1099" t="s">
        <v>57</v>
      </c>
      <c r="B1099" s="3">
        <v>44560</v>
      </c>
      <c r="C1099">
        <v>2021364</v>
      </c>
      <c r="D1099">
        <v>0</v>
      </c>
      <c r="E1099" t="s">
        <v>27</v>
      </c>
      <c r="F1099">
        <v>-17</v>
      </c>
      <c r="G1099">
        <v>-12.2</v>
      </c>
      <c r="H1099">
        <v>-20.6</v>
      </c>
      <c r="I1099">
        <v>80.7</v>
      </c>
      <c r="J1099">
        <v>77.8</v>
      </c>
      <c r="K1099">
        <v>0.6</v>
      </c>
      <c r="L1099">
        <v>1.9</v>
      </c>
      <c r="M1099">
        <v>0</v>
      </c>
      <c r="N1099">
        <v>0.80500000000000016</v>
      </c>
      <c r="O1099">
        <v>-1.8</v>
      </c>
      <c r="P1099">
        <v>-17.399999999999999</v>
      </c>
      <c r="Q1099">
        <v>-11</v>
      </c>
      <c r="R1099">
        <v>-21.3</v>
      </c>
      <c r="S1099">
        <v>0</v>
      </c>
      <c r="T1099">
        <v>0.7</v>
      </c>
      <c r="U1099" t="s">
        <v>27</v>
      </c>
      <c r="V1099">
        <v>0.11700000000000001</v>
      </c>
      <c r="W1099">
        <v>0.187</v>
      </c>
      <c r="X1099">
        <v>5.2999999999999999E-2</v>
      </c>
      <c r="Y1099" t="s">
        <v>27</v>
      </c>
      <c r="Z1099" t="s">
        <v>27</v>
      </c>
      <c r="AA1099" t="s">
        <v>27</v>
      </c>
      <c r="AB1099" t="s">
        <v>27</v>
      </c>
      <c r="AC1099" t="s">
        <v>27</v>
      </c>
      <c r="AD1099" t="s">
        <v>27</v>
      </c>
      <c r="AE1099" t="s">
        <v>27</v>
      </c>
      <c r="AF1099" t="s">
        <v>27</v>
      </c>
      <c r="AG1099">
        <v>5.05</v>
      </c>
    </row>
    <row r="1100" spans="1:33" x14ac:dyDescent="0.25">
      <c r="A1100" t="s">
        <v>57</v>
      </c>
      <c r="B1100" s="3">
        <v>44561</v>
      </c>
      <c r="C1100">
        <v>2021365</v>
      </c>
      <c r="D1100">
        <v>0</v>
      </c>
      <c r="E1100" t="s">
        <v>27</v>
      </c>
      <c r="F1100">
        <v>-22.9</v>
      </c>
      <c r="G1100">
        <v>-18</v>
      </c>
      <c r="H1100">
        <v>-27.8</v>
      </c>
      <c r="I1100">
        <v>76.099999999999994</v>
      </c>
      <c r="J1100">
        <v>72.099999999999994</v>
      </c>
      <c r="K1100">
        <v>0.5</v>
      </c>
      <c r="L1100">
        <v>2.2999999999999998</v>
      </c>
      <c r="M1100">
        <v>0</v>
      </c>
      <c r="N1100">
        <v>0.79300000000000015</v>
      </c>
      <c r="O1100">
        <v>-1.9</v>
      </c>
      <c r="P1100">
        <v>-23.8</v>
      </c>
      <c r="Q1100">
        <v>-12.6</v>
      </c>
      <c r="R1100">
        <v>-30.3</v>
      </c>
      <c r="S1100">
        <v>0</v>
      </c>
      <c r="T1100">
        <v>0.6</v>
      </c>
      <c r="U1100" t="s">
        <v>27</v>
      </c>
      <c r="V1100">
        <v>0.11600000000000001</v>
      </c>
      <c r="W1100">
        <v>0.107</v>
      </c>
      <c r="X1100">
        <v>4.1000000000000002E-2</v>
      </c>
      <c r="Y1100" t="s">
        <v>27</v>
      </c>
      <c r="Z1100" t="s">
        <v>27</v>
      </c>
      <c r="AA1100" t="s">
        <v>27</v>
      </c>
      <c r="AB1100" t="s">
        <v>27</v>
      </c>
      <c r="AC1100" t="s">
        <v>27</v>
      </c>
      <c r="AD1100" t="s">
        <v>27</v>
      </c>
      <c r="AE1100" t="s">
        <v>27</v>
      </c>
      <c r="AF1100" t="s">
        <v>27</v>
      </c>
      <c r="AG1100">
        <v>5.09</v>
      </c>
    </row>
    <row r="1101" spans="1:33" x14ac:dyDescent="0.25">
      <c r="A1101" t="s">
        <v>57</v>
      </c>
      <c r="B1101" s="5">
        <v>44562</v>
      </c>
      <c r="C1101">
        <v>2022001</v>
      </c>
      <c r="D1101">
        <v>0</v>
      </c>
      <c r="E1101" t="s">
        <v>27</v>
      </c>
      <c r="F1101">
        <v>-20.100000000000001</v>
      </c>
      <c r="G1101">
        <v>-17.5</v>
      </c>
      <c r="H1101">
        <v>-27.7</v>
      </c>
      <c r="I1101">
        <v>78.400000000000006</v>
      </c>
      <c r="J1101">
        <v>73.8</v>
      </c>
      <c r="K1101">
        <v>0.8</v>
      </c>
      <c r="L1101">
        <v>2.1</v>
      </c>
      <c r="M1101">
        <v>0</v>
      </c>
      <c r="N1101">
        <v>0.78600000000000003</v>
      </c>
      <c r="O1101">
        <v>-1.9</v>
      </c>
      <c r="P1101">
        <v>-20.9</v>
      </c>
      <c r="Q1101">
        <v>-17.100000000000001</v>
      </c>
      <c r="R1101">
        <v>-29.8</v>
      </c>
      <c r="S1101">
        <v>0</v>
      </c>
      <c r="T1101">
        <v>0.6</v>
      </c>
      <c r="U1101" t="s">
        <v>27</v>
      </c>
      <c r="V1101">
        <v>0.115</v>
      </c>
      <c r="W1101">
        <v>0.114</v>
      </c>
      <c r="X1101">
        <v>0.04</v>
      </c>
      <c r="Y1101" t="s">
        <v>27</v>
      </c>
      <c r="Z1101" t="s">
        <v>27</v>
      </c>
      <c r="AA1101" t="s">
        <v>27</v>
      </c>
      <c r="AB1101" t="s">
        <v>27</v>
      </c>
      <c r="AC1101" t="s">
        <v>27</v>
      </c>
      <c r="AD1101" t="s">
        <v>27</v>
      </c>
      <c r="AE1101" t="s">
        <v>27</v>
      </c>
      <c r="AF1101" t="s">
        <v>27</v>
      </c>
      <c r="AG1101">
        <v>5.14</v>
      </c>
    </row>
    <row r="1102" spans="1:33" x14ac:dyDescent="0.25">
      <c r="A1102" t="s">
        <v>57</v>
      </c>
      <c r="B1102" s="3">
        <v>44563</v>
      </c>
      <c r="C1102">
        <v>2022002</v>
      </c>
      <c r="D1102">
        <v>0</v>
      </c>
      <c r="E1102" t="s">
        <v>27</v>
      </c>
      <c r="F1102">
        <v>-14.9</v>
      </c>
      <c r="G1102">
        <v>-9.1</v>
      </c>
      <c r="H1102">
        <v>-22.1</v>
      </c>
      <c r="I1102">
        <v>83.6</v>
      </c>
      <c r="J1102">
        <v>77.3</v>
      </c>
      <c r="K1102">
        <v>0.9</v>
      </c>
      <c r="L1102">
        <v>2.4</v>
      </c>
      <c r="M1102">
        <v>2.6</v>
      </c>
      <c r="N1102">
        <v>0.80600000000000005</v>
      </c>
      <c r="O1102">
        <v>-2</v>
      </c>
      <c r="P1102">
        <v>-15.8</v>
      </c>
      <c r="Q1102">
        <v>-9.8000000000000007</v>
      </c>
      <c r="R1102">
        <v>-24</v>
      </c>
      <c r="S1102">
        <v>0</v>
      </c>
      <c r="T1102">
        <v>0.6</v>
      </c>
      <c r="U1102" t="s">
        <v>27</v>
      </c>
      <c r="V1102">
        <v>0.113</v>
      </c>
      <c r="W1102">
        <v>0.23599999999999999</v>
      </c>
      <c r="X1102">
        <v>6.9000000000000006E-2</v>
      </c>
      <c r="Y1102" t="s">
        <v>27</v>
      </c>
      <c r="Z1102" t="s">
        <v>27</v>
      </c>
      <c r="AA1102" t="s">
        <v>27</v>
      </c>
      <c r="AB1102" t="s">
        <v>27</v>
      </c>
      <c r="AC1102" t="s">
        <v>27</v>
      </c>
      <c r="AD1102" t="s">
        <v>27</v>
      </c>
      <c r="AE1102" t="s">
        <v>27</v>
      </c>
      <c r="AF1102" t="s">
        <v>27</v>
      </c>
      <c r="AG1102">
        <v>5.18</v>
      </c>
    </row>
    <row r="1103" spans="1:33" x14ac:dyDescent="0.25">
      <c r="A1103" t="s">
        <v>57</v>
      </c>
      <c r="B1103" s="3">
        <v>44564</v>
      </c>
      <c r="C1103">
        <v>2022003</v>
      </c>
      <c r="D1103">
        <v>0.02</v>
      </c>
      <c r="E1103" t="s">
        <v>27</v>
      </c>
      <c r="F1103">
        <v>-8.6</v>
      </c>
      <c r="G1103">
        <v>-4.5999999999999996</v>
      </c>
      <c r="H1103">
        <v>-14.3</v>
      </c>
      <c r="I1103">
        <v>88.4</v>
      </c>
      <c r="J1103">
        <v>84</v>
      </c>
      <c r="K1103">
        <v>0.8</v>
      </c>
      <c r="L1103">
        <v>3.1</v>
      </c>
      <c r="M1103">
        <v>1.6</v>
      </c>
      <c r="N1103">
        <v>0.81800000000000006</v>
      </c>
      <c r="O1103">
        <v>-2</v>
      </c>
      <c r="P1103">
        <v>-9.3000000000000007</v>
      </c>
      <c r="Q1103">
        <v>-3</v>
      </c>
      <c r="R1103">
        <v>-17</v>
      </c>
      <c r="S1103">
        <v>0</v>
      </c>
      <c r="T1103">
        <v>0.6</v>
      </c>
      <c r="U1103" t="s">
        <v>27</v>
      </c>
      <c r="V1103">
        <v>0.112</v>
      </c>
      <c r="W1103">
        <v>0.36399999999999999</v>
      </c>
      <c r="X1103">
        <v>6.9000000000000006E-2</v>
      </c>
      <c r="Y1103" t="s">
        <v>27</v>
      </c>
      <c r="Z1103" t="s">
        <v>27</v>
      </c>
      <c r="AA1103" t="s">
        <v>27</v>
      </c>
      <c r="AB1103" t="s">
        <v>27</v>
      </c>
      <c r="AC1103" t="s">
        <v>27</v>
      </c>
      <c r="AD1103" t="s">
        <v>27</v>
      </c>
      <c r="AE1103" t="s">
        <v>27</v>
      </c>
      <c r="AF1103" t="s">
        <v>27</v>
      </c>
      <c r="AG1103">
        <v>5.22</v>
      </c>
    </row>
    <row r="1104" spans="1:33" x14ac:dyDescent="0.25">
      <c r="A1104" t="s">
        <v>57</v>
      </c>
      <c r="B1104" s="3">
        <v>44565</v>
      </c>
      <c r="C1104">
        <v>2022004</v>
      </c>
      <c r="D1104">
        <v>0.17</v>
      </c>
      <c r="E1104" t="s">
        <v>27</v>
      </c>
      <c r="F1104">
        <v>-11.9</v>
      </c>
      <c r="G1104">
        <v>-5.9</v>
      </c>
      <c r="H1104">
        <v>-17</v>
      </c>
      <c r="I1104">
        <v>85.5</v>
      </c>
      <c r="J1104">
        <v>79</v>
      </c>
      <c r="K1104">
        <v>0.2</v>
      </c>
      <c r="L1104">
        <v>1.4</v>
      </c>
      <c r="M1104">
        <v>0.3</v>
      </c>
      <c r="N1104">
        <v>0.82000000000000006</v>
      </c>
      <c r="O1104">
        <v>-1.8</v>
      </c>
      <c r="P1104">
        <v>-13.1</v>
      </c>
      <c r="Q1104">
        <v>-3.8</v>
      </c>
      <c r="R1104">
        <v>-19.100000000000001</v>
      </c>
      <c r="S1104">
        <v>0</v>
      </c>
      <c r="T1104">
        <v>0.6</v>
      </c>
      <c r="U1104" t="s">
        <v>27</v>
      </c>
      <c r="V1104">
        <v>0.111</v>
      </c>
      <c r="W1104">
        <v>0.309</v>
      </c>
      <c r="X1104">
        <v>8.2000000000000003E-2</v>
      </c>
      <c r="Y1104" t="s">
        <v>27</v>
      </c>
      <c r="Z1104" t="s">
        <v>27</v>
      </c>
      <c r="AA1104" t="s">
        <v>27</v>
      </c>
      <c r="AB1104" t="s">
        <v>27</v>
      </c>
      <c r="AC1104" t="s">
        <v>27</v>
      </c>
      <c r="AD1104" t="s">
        <v>27</v>
      </c>
      <c r="AE1104" t="s">
        <v>27</v>
      </c>
      <c r="AF1104" t="s">
        <v>27</v>
      </c>
      <c r="AG1104">
        <v>5.27</v>
      </c>
    </row>
    <row r="1105" spans="1:33" x14ac:dyDescent="0.25">
      <c r="A1105" t="s">
        <v>57</v>
      </c>
      <c r="B1105" s="3">
        <v>44566</v>
      </c>
      <c r="C1105">
        <v>2022005</v>
      </c>
      <c r="D1105">
        <v>0</v>
      </c>
      <c r="E1105" t="s">
        <v>27</v>
      </c>
      <c r="F1105">
        <v>-13.1</v>
      </c>
      <c r="G1105">
        <v>-10.1</v>
      </c>
      <c r="H1105">
        <v>-15.7</v>
      </c>
      <c r="I1105">
        <v>84</v>
      </c>
      <c r="J1105">
        <v>78.2</v>
      </c>
      <c r="K1105">
        <v>0.5</v>
      </c>
      <c r="L1105">
        <v>2</v>
      </c>
      <c r="M1105">
        <v>0</v>
      </c>
      <c r="N1105">
        <v>0.80500000000000016</v>
      </c>
      <c r="O1105">
        <v>-1.6</v>
      </c>
      <c r="P1105">
        <v>-13.5</v>
      </c>
      <c r="Q1105">
        <v>-9.6999999999999993</v>
      </c>
      <c r="R1105">
        <v>-16.7</v>
      </c>
      <c r="S1105">
        <v>0</v>
      </c>
      <c r="T1105">
        <v>0.6</v>
      </c>
      <c r="U1105" t="s">
        <v>27</v>
      </c>
      <c r="V1105">
        <v>0.11</v>
      </c>
      <c r="W1105">
        <v>0.222</v>
      </c>
      <c r="X1105">
        <v>6.2E-2</v>
      </c>
      <c r="Y1105" t="s">
        <v>27</v>
      </c>
      <c r="Z1105" t="s">
        <v>27</v>
      </c>
      <c r="AA1105" t="s">
        <v>27</v>
      </c>
      <c r="AB1105" t="s">
        <v>27</v>
      </c>
      <c r="AC1105" t="s">
        <v>27</v>
      </c>
      <c r="AD1105" t="s">
        <v>27</v>
      </c>
      <c r="AE1105" t="s">
        <v>27</v>
      </c>
      <c r="AF1105" t="s">
        <v>27</v>
      </c>
      <c r="AG1105">
        <v>5.32</v>
      </c>
    </row>
    <row r="1106" spans="1:33" x14ac:dyDescent="0.25">
      <c r="A1106" t="s">
        <v>57</v>
      </c>
      <c r="B1106" s="3">
        <v>44567</v>
      </c>
      <c r="C1106">
        <v>2022006</v>
      </c>
      <c r="D1106">
        <v>0</v>
      </c>
      <c r="E1106" t="s">
        <v>27</v>
      </c>
      <c r="F1106">
        <v>-10.3</v>
      </c>
      <c r="G1106">
        <v>-7.8</v>
      </c>
      <c r="H1106">
        <v>-12</v>
      </c>
      <c r="I1106">
        <v>87.8</v>
      </c>
      <c r="J1106">
        <v>85.3</v>
      </c>
      <c r="K1106">
        <v>0.8</v>
      </c>
      <c r="L1106">
        <v>2.1</v>
      </c>
      <c r="M1106">
        <v>18.100000000000001</v>
      </c>
      <c r="N1106">
        <v>0.94400000000000017</v>
      </c>
      <c r="O1106">
        <v>-1.6</v>
      </c>
      <c r="P1106">
        <v>-10.6</v>
      </c>
      <c r="Q1106">
        <v>-8.1999999999999993</v>
      </c>
      <c r="R1106">
        <v>-12.6</v>
      </c>
      <c r="S1106">
        <v>0</v>
      </c>
      <c r="T1106">
        <v>0.6</v>
      </c>
      <c r="U1106" t="s">
        <v>27</v>
      </c>
      <c r="V1106">
        <v>0.11</v>
      </c>
      <c r="W1106">
        <v>0.28999999999999998</v>
      </c>
      <c r="X1106">
        <v>0.05</v>
      </c>
      <c r="Y1106" t="s">
        <v>27</v>
      </c>
      <c r="Z1106" t="s">
        <v>27</v>
      </c>
      <c r="AA1106" t="s">
        <v>27</v>
      </c>
      <c r="AB1106" t="s">
        <v>27</v>
      </c>
      <c r="AC1106" t="s">
        <v>27</v>
      </c>
      <c r="AD1106" t="s">
        <v>27</v>
      </c>
      <c r="AE1106" t="s">
        <v>27</v>
      </c>
      <c r="AF1106" t="s">
        <v>27</v>
      </c>
      <c r="AG1106">
        <v>5.37</v>
      </c>
    </row>
    <row r="1107" spans="1:33" x14ac:dyDescent="0.25">
      <c r="A1107" t="s">
        <v>57</v>
      </c>
      <c r="B1107" s="3">
        <v>44568</v>
      </c>
      <c r="C1107">
        <v>2022007</v>
      </c>
      <c r="D1107">
        <v>0.02</v>
      </c>
      <c r="E1107" t="s">
        <v>27</v>
      </c>
      <c r="F1107">
        <v>-6.2</v>
      </c>
      <c r="G1107">
        <v>-1.4</v>
      </c>
      <c r="H1107">
        <v>-9.5</v>
      </c>
      <c r="I1107">
        <v>86.8</v>
      </c>
      <c r="J1107">
        <v>72.900000000000006</v>
      </c>
      <c r="K1107">
        <v>1.2</v>
      </c>
      <c r="L1107">
        <v>5.0999999999999996</v>
      </c>
      <c r="M1107">
        <v>1.6</v>
      </c>
      <c r="N1107">
        <v>0.95600000000000018</v>
      </c>
      <c r="O1107">
        <v>-1.4</v>
      </c>
      <c r="P1107">
        <v>-6.9</v>
      </c>
      <c r="Q1107">
        <v>-1</v>
      </c>
      <c r="R1107">
        <v>-10.6</v>
      </c>
      <c r="S1107">
        <v>0</v>
      </c>
      <c r="T1107">
        <v>0.6</v>
      </c>
      <c r="U1107" t="s">
        <v>27</v>
      </c>
      <c r="V1107">
        <v>0.109</v>
      </c>
      <c r="W1107">
        <v>0.40200000000000002</v>
      </c>
      <c r="X1107">
        <v>0.14899999999999999</v>
      </c>
      <c r="Y1107" t="s">
        <v>27</v>
      </c>
      <c r="Z1107" t="s">
        <v>27</v>
      </c>
      <c r="AA1107" t="s">
        <v>27</v>
      </c>
      <c r="AB1107" t="s">
        <v>27</v>
      </c>
      <c r="AC1107" t="s">
        <v>27</v>
      </c>
      <c r="AD1107" t="s">
        <v>27</v>
      </c>
      <c r="AE1107" t="s">
        <v>27</v>
      </c>
      <c r="AF1107" t="s">
        <v>27</v>
      </c>
      <c r="AG1107">
        <v>5.43</v>
      </c>
    </row>
    <row r="1108" spans="1:33" x14ac:dyDescent="0.25">
      <c r="A1108" t="s">
        <v>57</v>
      </c>
      <c r="B1108" s="3">
        <v>44569</v>
      </c>
      <c r="C1108">
        <v>2022008</v>
      </c>
      <c r="D1108">
        <v>1.73</v>
      </c>
      <c r="E1108" t="s">
        <v>27</v>
      </c>
      <c r="F1108">
        <v>-9.1</v>
      </c>
      <c r="G1108">
        <v>-5.7</v>
      </c>
      <c r="H1108">
        <v>-11.2</v>
      </c>
      <c r="I1108">
        <v>81.900000000000006</v>
      </c>
      <c r="J1108">
        <v>69.3</v>
      </c>
      <c r="K1108">
        <v>1</v>
      </c>
      <c r="L1108">
        <v>4.4000000000000004</v>
      </c>
      <c r="M1108">
        <v>0</v>
      </c>
      <c r="N1108">
        <v>0.88100000000000001</v>
      </c>
      <c r="O1108">
        <v>-1.3</v>
      </c>
      <c r="P1108">
        <v>-9.6999999999999993</v>
      </c>
      <c r="Q1108">
        <v>-5.2</v>
      </c>
      <c r="R1108">
        <v>-12.6</v>
      </c>
      <c r="S1108">
        <v>0</v>
      </c>
      <c r="T1108">
        <v>0.6</v>
      </c>
      <c r="U1108" t="s">
        <v>27</v>
      </c>
      <c r="V1108">
        <v>0.109</v>
      </c>
      <c r="W1108">
        <v>0.27600000000000002</v>
      </c>
      <c r="X1108">
        <v>0.122</v>
      </c>
      <c r="Y1108" t="s">
        <v>27</v>
      </c>
      <c r="Z1108" t="s">
        <v>27</v>
      </c>
      <c r="AA1108" t="s">
        <v>27</v>
      </c>
      <c r="AB1108" t="s">
        <v>27</v>
      </c>
      <c r="AC1108" t="s">
        <v>27</v>
      </c>
      <c r="AD1108" t="s">
        <v>27</v>
      </c>
      <c r="AE1108" t="s">
        <v>27</v>
      </c>
      <c r="AF1108" t="s">
        <v>27</v>
      </c>
      <c r="AG1108">
        <v>5.49</v>
      </c>
    </row>
    <row r="1109" spans="1:33" x14ac:dyDescent="0.25">
      <c r="A1109" t="s">
        <v>57</v>
      </c>
      <c r="B1109" s="3">
        <v>44570</v>
      </c>
      <c r="C1109">
        <v>2022009</v>
      </c>
      <c r="D1109">
        <v>0.99</v>
      </c>
      <c r="E1109" t="s">
        <v>27</v>
      </c>
      <c r="F1109">
        <v>-7</v>
      </c>
      <c r="G1109">
        <v>-4.7</v>
      </c>
      <c r="H1109">
        <v>-9.6999999999999993</v>
      </c>
      <c r="I1109">
        <v>90.3</v>
      </c>
      <c r="J1109">
        <v>88.1</v>
      </c>
      <c r="K1109">
        <v>0.6</v>
      </c>
      <c r="L1109">
        <v>2.2000000000000002</v>
      </c>
      <c r="M1109">
        <v>2.2000000000000002</v>
      </c>
      <c r="N1109">
        <v>0.89800000000000013</v>
      </c>
      <c r="O1109">
        <v>-1.2</v>
      </c>
      <c r="P1109">
        <v>-8.1</v>
      </c>
      <c r="Q1109">
        <v>-3.9</v>
      </c>
      <c r="R1109">
        <v>-11.1</v>
      </c>
      <c r="S1109">
        <v>0</v>
      </c>
      <c r="T1109">
        <v>0.6</v>
      </c>
      <c r="U1109" t="s">
        <v>27</v>
      </c>
      <c r="V1109">
        <v>0.109</v>
      </c>
      <c r="W1109">
        <v>0.38</v>
      </c>
      <c r="X1109">
        <v>5.0999999999999997E-2</v>
      </c>
      <c r="Y1109" t="s">
        <v>27</v>
      </c>
      <c r="Z1109" t="s">
        <v>27</v>
      </c>
      <c r="AA1109" t="s">
        <v>27</v>
      </c>
      <c r="AB1109" t="s">
        <v>27</v>
      </c>
      <c r="AC1109" t="s">
        <v>27</v>
      </c>
      <c r="AD1109" t="s">
        <v>27</v>
      </c>
      <c r="AE1109" t="s">
        <v>27</v>
      </c>
      <c r="AF1109" t="s">
        <v>27</v>
      </c>
      <c r="AG1109">
        <v>5.56</v>
      </c>
    </row>
    <row r="1110" spans="1:33" x14ac:dyDescent="0.25">
      <c r="A1110" t="s">
        <v>57</v>
      </c>
      <c r="B1110" s="3">
        <v>44571</v>
      </c>
      <c r="C1110">
        <v>2022010</v>
      </c>
      <c r="D1110">
        <v>0.85</v>
      </c>
      <c r="E1110" t="s">
        <v>27</v>
      </c>
      <c r="F1110">
        <v>-6.1</v>
      </c>
      <c r="G1110">
        <v>-4.0999999999999996</v>
      </c>
      <c r="H1110">
        <v>-8</v>
      </c>
      <c r="I1110">
        <v>89.1</v>
      </c>
      <c r="J1110">
        <v>82.6</v>
      </c>
      <c r="K1110">
        <v>0.7</v>
      </c>
      <c r="L1110">
        <v>2</v>
      </c>
      <c r="M1110">
        <v>0</v>
      </c>
      <c r="N1110">
        <v>0.86499999999999999</v>
      </c>
      <c r="O1110">
        <v>-1.1000000000000001</v>
      </c>
      <c r="P1110">
        <v>-7</v>
      </c>
      <c r="Q1110">
        <v>-4</v>
      </c>
      <c r="R1110">
        <v>-9.3000000000000007</v>
      </c>
      <c r="S1110">
        <v>0</v>
      </c>
      <c r="T1110">
        <v>0.6</v>
      </c>
      <c r="U1110" t="s">
        <v>27</v>
      </c>
      <c r="V1110">
        <v>0.109</v>
      </c>
      <c r="W1110">
        <v>0.372</v>
      </c>
      <c r="X1110">
        <v>7.8E-2</v>
      </c>
      <c r="Y1110" t="s">
        <v>27</v>
      </c>
      <c r="Z1110" t="s">
        <v>27</v>
      </c>
      <c r="AA1110" t="s">
        <v>27</v>
      </c>
      <c r="AB1110" t="s">
        <v>27</v>
      </c>
      <c r="AC1110" t="s">
        <v>27</v>
      </c>
      <c r="AD1110" t="s">
        <v>27</v>
      </c>
      <c r="AE1110" t="s">
        <v>27</v>
      </c>
      <c r="AF1110" t="s">
        <v>27</v>
      </c>
      <c r="AG1110">
        <v>5.63</v>
      </c>
    </row>
    <row r="1111" spans="1:33" x14ac:dyDescent="0.25">
      <c r="A1111" t="s">
        <v>57</v>
      </c>
      <c r="B1111" s="3">
        <v>44572</v>
      </c>
      <c r="C1111">
        <v>2022011</v>
      </c>
      <c r="D1111">
        <v>0.44</v>
      </c>
      <c r="E1111" t="s">
        <v>27</v>
      </c>
      <c r="F1111">
        <v>-3.3</v>
      </c>
      <c r="G1111">
        <v>0.4</v>
      </c>
      <c r="H1111">
        <v>-7.6</v>
      </c>
      <c r="I1111">
        <v>92</v>
      </c>
      <c r="J1111">
        <v>84.8</v>
      </c>
      <c r="K1111">
        <v>0.4</v>
      </c>
      <c r="L1111">
        <v>1.9</v>
      </c>
      <c r="M1111">
        <v>6.5</v>
      </c>
      <c r="N1111">
        <v>0.91500000000000004</v>
      </c>
      <c r="O1111">
        <v>-1</v>
      </c>
      <c r="P1111">
        <v>-4</v>
      </c>
      <c r="Q1111">
        <v>-0.3</v>
      </c>
      <c r="R1111">
        <v>-9</v>
      </c>
      <c r="S1111">
        <v>0</v>
      </c>
      <c r="T1111">
        <v>0.6</v>
      </c>
      <c r="U1111" t="s">
        <v>27</v>
      </c>
      <c r="V1111">
        <v>0.109</v>
      </c>
      <c r="W1111">
        <v>0.53100000000000003</v>
      </c>
      <c r="X1111">
        <v>9.5000000000000001E-2</v>
      </c>
      <c r="Y1111" t="s">
        <v>27</v>
      </c>
      <c r="Z1111" t="s">
        <v>27</v>
      </c>
      <c r="AA1111" t="s">
        <v>27</v>
      </c>
      <c r="AB1111" t="s">
        <v>27</v>
      </c>
      <c r="AC1111" t="s">
        <v>27</v>
      </c>
      <c r="AD1111" t="s">
        <v>27</v>
      </c>
      <c r="AE1111" t="s">
        <v>27</v>
      </c>
      <c r="AF1111" t="s">
        <v>27</v>
      </c>
      <c r="AG1111">
        <v>5.7</v>
      </c>
    </row>
    <row r="1112" spans="1:33" x14ac:dyDescent="0.25">
      <c r="A1112" t="s">
        <v>57</v>
      </c>
      <c r="B1112" s="3">
        <v>44573</v>
      </c>
      <c r="C1112">
        <v>2022012</v>
      </c>
      <c r="D1112">
        <v>1.04</v>
      </c>
      <c r="E1112" t="s">
        <v>27</v>
      </c>
      <c r="F1112">
        <v>0</v>
      </c>
      <c r="G1112">
        <v>1.8</v>
      </c>
      <c r="H1112">
        <v>-2.1</v>
      </c>
      <c r="I1112">
        <v>96.3</v>
      </c>
      <c r="J1112">
        <v>93.4</v>
      </c>
      <c r="K1112">
        <v>0.2</v>
      </c>
      <c r="L1112">
        <v>1.4</v>
      </c>
      <c r="M1112">
        <v>0</v>
      </c>
      <c r="N1112">
        <v>0.90200000000000014</v>
      </c>
      <c r="O1112">
        <v>-0.5</v>
      </c>
      <c r="P1112">
        <v>-0.5</v>
      </c>
      <c r="Q1112">
        <v>1.9</v>
      </c>
      <c r="R1112">
        <v>-2.8</v>
      </c>
      <c r="S1112">
        <v>0</v>
      </c>
      <c r="T1112">
        <v>0.7</v>
      </c>
      <c r="U1112" t="s">
        <v>27</v>
      </c>
      <c r="V1112">
        <v>0.11</v>
      </c>
      <c r="W1112">
        <v>0.65100000000000002</v>
      </c>
      <c r="X1112">
        <v>4.5999999999999999E-2</v>
      </c>
      <c r="Y1112" t="s">
        <v>27</v>
      </c>
      <c r="Z1112" t="s">
        <v>27</v>
      </c>
      <c r="AA1112" t="s">
        <v>27</v>
      </c>
      <c r="AB1112" t="s">
        <v>27</v>
      </c>
      <c r="AC1112" t="s">
        <v>27</v>
      </c>
      <c r="AD1112" t="s">
        <v>27</v>
      </c>
      <c r="AE1112" t="s">
        <v>27</v>
      </c>
      <c r="AF1112" t="s">
        <v>27</v>
      </c>
      <c r="AG1112">
        <v>5.77</v>
      </c>
    </row>
    <row r="1113" spans="1:33" x14ac:dyDescent="0.25">
      <c r="A1113" t="s">
        <v>57</v>
      </c>
      <c r="B1113" s="3">
        <v>44574</v>
      </c>
      <c r="C1113">
        <v>2022013</v>
      </c>
      <c r="D1113">
        <v>6.16</v>
      </c>
      <c r="E1113" t="s">
        <v>27</v>
      </c>
      <c r="F1113">
        <v>0.5</v>
      </c>
      <c r="G1113">
        <v>4.4000000000000004</v>
      </c>
      <c r="H1113">
        <v>-1.7</v>
      </c>
      <c r="I1113">
        <v>97.5</v>
      </c>
      <c r="J1113">
        <v>95.9</v>
      </c>
      <c r="K1113">
        <v>0.3</v>
      </c>
      <c r="L1113">
        <v>2.1</v>
      </c>
      <c r="M1113">
        <v>0</v>
      </c>
      <c r="N1113">
        <v>0.88800000000000012</v>
      </c>
      <c r="O1113">
        <v>-0.2</v>
      </c>
      <c r="P1113">
        <v>-0.1</v>
      </c>
      <c r="Q1113">
        <v>5.6</v>
      </c>
      <c r="R1113">
        <v>-3</v>
      </c>
      <c r="S1113">
        <v>0</v>
      </c>
      <c r="T1113">
        <v>0.6</v>
      </c>
      <c r="U1113" t="s">
        <v>27</v>
      </c>
      <c r="V1113">
        <v>0.113</v>
      </c>
      <c r="W1113">
        <v>0.79900000000000004</v>
      </c>
      <c r="X1113">
        <v>3.4000000000000002E-2</v>
      </c>
      <c r="Y1113" t="s">
        <v>27</v>
      </c>
      <c r="Z1113" t="s">
        <v>27</v>
      </c>
      <c r="AA1113" t="s">
        <v>27</v>
      </c>
      <c r="AB1113" t="s">
        <v>27</v>
      </c>
      <c r="AC1113" t="s">
        <v>27</v>
      </c>
      <c r="AD1113" t="s">
        <v>27</v>
      </c>
      <c r="AE1113" t="s">
        <v>27</v>
      </c>
      <c r="AF1113" t="s">
        <v>27</v>
      </c>
      <c r="AG1113">
        <v>5.85</v>
      </c>
    </row>
    <row r="1114" spans="1:33" x14ac:dyDescent="0.25">
      <c r="A1114" t="s">
        <v>57</v>
      </c>
      <c r="B1114" s="3">
        <v>44575</v>
      </c>
      <c r="C1114">
        <v>2022014</v>
      </c>
      <c r="D1114">
        <v>2.91</v>
      </c>
      <c r="E1114" t="s">
        <v>27</v>
      </c>
      <c r="F1114">
        <v>-1.2</v>
      </c>
      <c r="G1114">
        <v>2.2000000000000002</v>
      </c>
      <c r="H1114">
        <v>-3.9</v>
      </c>
      <c r="I1114">
        <v>95.2</v>
      </c>
      <c r="J1114">
        <v>86.8</v>
      </c>
      <c r="K1114">
        <v>0.4</v>
      </c>
      <c r="L1114">
        <v>2</v>
      </c>
      <c r="M1114">
        <v>0</v>
      </c>
      <c r="N1114">
        <v>0.88200000000000012</v>
      </c>
      <c r="O1114">
        <v>-0.3</v>
      </c>
      <c r="P1114">
        <v>-2.1</v>
      </c>
      <c r="Q1114">
        <v>2.5</v>
      </c>
      <c r="R1114">
        <v>-5.6</v>
      </c>
      <c r="S1114">
        <v>0</v>
      </c>
      <c r="T1114">
        <v>0.6</v>
      </c>
      <c r="U1114" t="s">
        <v>27</v>
      </c>
      <c r="V1114">
        <v>0.11700000000000001</v>
      </c>
      <c r="W1114">
        <v>0.621</v>
      </c>
      <c r="X1114">
        <v>9.4E-2</v>
      </c>
      <c r="Y1114" t="s">
        <v>27</v>
      </c>
      <c r="Z1114" t="s">
        <v>27</v>
      </c>
      <c r="AA1114" t="s">
        <v>27</v>
      </c>
      <c r="AB1114" t="s">
        <v>27</v>
      </c>
      <c r="AC1114" t="s">
        <v>27</v>
      </c>
      <c r="AD1114" t="s">
        <v>27</v>
      </c>
      <c r="AE1114" t="s">
        <v>27</v>
      </c>
      <c r="AF1114" t="s">
        <v>27</v>
      </c>
      <c r="AG1114">
        <v>5.93</v>
      </c>
    </row>
    <row r="1115" spans="1:33" x14ac:dyDescent="0.25">
      <c r="A1115" t="s">
        <v>57</v>
      </c>
      <c r="B1115" s="3">
        <v>44576</v>
      </c>
      <c r="C1115">
        <v>2022015</v>
      </c>
      <c r="D1115">
        <v>5.15</v>
      </c>
      <c r="E1115" t="s">
        <v>27</v>
      </c>
      <c r="F1115">
        <v>-1.7</v>
      </c>
      <c r="G1115">
        <v>2.8</v>
      </c>
      <c r="H1115">
        <v>-6.9</v>
      </c>
      <c r="I1115">
        <v>85.2</v>
      </c>
      <c r="J1115">
        <v>49.4</v>
      </c>
      <c r="K1115">
        <v>0.6</v>
      </c>
      <c r="L1115">
        <v>3.4</v>
      </c>
      <c r="M1115">
        <v>0</v>
      </c>
      <c r="N1115">
        <v>0.87400000000000011</v>
      </c>
      <c r="O1115">
        <v>-0.4</v>
      </c>
      <c r="P1115">
        <v>-2.8</v>
      </c>
      <c r="Q1115">
        <v>2.2999999999999998</v>
      </c>
      <c r="R1115">
        <v>-8.5</v>
      </c>
      <c r="S1115">
        <v>0</v>
      </c>
      <c r="T1115">
        <v>0.6</v>
      </c>
      <c r="U1115" t="s">
        <v>27</v>
      </c>
      <c r="V1115">
        <v>0.121</v>
      </c>
      <c r="W1115">
        <v>0.37</v>
      </c>
      <c r="X1115">
        <v>0.379</v>
      </c>
      <c r="Y1115" t="s">
        <v>27</v>
      </c>
      <c r="Z1115" t="s">
        <v>27</v>
      </c>
      <c r="AA1115" t="s">
        <v>27</v>
      </c>
      <c r="AB1115" t="s">
        <v>27</v>
      </c>
      <c r="AC1115" t="s">
        <v>27</v>
      </c>
      <c r="AD1115" t="s">
        <v>27</v>
      </c>
      <c r="AE1115" t="s">
        <v>27</v>
      </c>
      <c r="AF1115" t="s">
        <v>27</v>
      </c>
      <c r="AG1115">
        <v>6.02</v>
      </c>
    </row>
    <row r="1116" spans="1:33" x14ac:dyDescent="0.25">
      <c r="A1116" t="s">
        <v>57</v>
      </c>
      <c r="B1116" s="3">
        <v>44577</v>
      </c>
      <c r="C1116">
        <v>2022016</v>
      </c>
      <c r="D1116">
        <v>1.46</v>
      </c>
      <c r="E1116" t="s">
        <v>27</v>
      </c>
      <c r="F1116">
        <v>-0.7</v>
      </c>
      <c r="G1116">
        <v>4.0999999999999996</v>
      </c>
      <c r="H1116">
        <v>-7.3</v>
      </c>
      <c r="I1116">
        <v>83.3</v>
      </c>
      <c r="J1116">
        <v>63.6</v>
      </c>
      <c r="K1116">
        <v>0.7</v>
      </c>
      <c r="L1116">
        <v>3</v>
      </c>
      <c r="M1116">
        <v>0</v>
      </c>
      <c r="N1116">
        <v>0.8580000000000001</v>
      </c>
      <c r="O1116">
        <v>-0.4</v>
      </c>
      <c r="P1116">
        <v>-1.8</v>
      </c>
      <c r="Q1116">
        <v>2.8</v>
      </c>
      <c r="R1116">
        <v>-9</v>
      </c>
      <c r="S1116">
        <v>0.1</v>
      </c>
      <c r="T1116">
        <v>0.6</v>
      </c>
      <c r="U1116" t="s">
        <v>27</v>
      </c>
      <c r="V1116">
        <v>0.123</v>
      </c>
      <c r="W1116">
        <v>0.52100000000000002</v>
      </c>
      <c r="X1116">
        <v>0.29799999999999999</v>
      </c>
      <c r="Y1116" t="s">
        <v>27</v>
      </c>
      <c r="Z1116" t="s">
        <v>27</v>
      </c>
      <c r="AA1116" t="s">
        <v>27</v>
      </c>
      <c r="AB1116" t="s">
        <v>27</v>
      </c>
      <c r="AC1116" t="s">
        <v>27</v>
      </c>
      <c r="AD1116" t="s">
        <v>27</v>
      </c>
      <c r="AE1116" t="s">
        <v>27</v>
      </c>
      <c r="AF1116" t="s">
        <v>27</v>
      </c>
      <c r="AG1116">
        <v>6.11</v>
      </c>
    </row>
    <row r="1117" spans="1:33" x14ac:dyDescent="0.25">
      <c r="A1117" t="s">
        <v>57</v>
      </c>
      <c r="B1117" s="3">
        <v>44578</v>
      </c>
      <c r="C1117">
        <v>2022017</v>
      </c>
      <c r="D1117">
        <v>4.93</v>
      </c>
      <c r="E1117" t="s">
        <v>27</v>
      </c>
      <c r="F1117">
        <v>1.2</v>
      </c>
      <c r="G1117">
        <v>5.5</v>
      </c>
      <c r="H1117">
        <v>-2.5</v>
      </c>
      <c r="I1117">
        <v>80.8</v>
      </c>
      <c r="J1117">
        <v>53.2</v>
      </c>
      <c r="K1117">
        <v>1.3</v>
      </c>
      <c r="L1117">
        <v>4.2</v>
      </c>
      <c r="M1117">
        <v>0</v>
      </c>
      <c r="N1117">
        <v>0.84300000000000019</v>
      </c>
      <c r="O1117">
        <v>-0.4</v>
      </c>
      <c r="P1117">
        <v>0.1</v>
      </c>
      <c r="Q1117">
        <v>6.5</v>
      </c>
      <c r="R1117">
        <v>-4.3</v>
      </c>
      <c r="S1117">
        <v>0.1</v>
      </c>
      <c r="T1117">
        <v>0.6</v>
      </c>
      <c r="U1117" t="s">
        <v>27</v>
      </c>
      <c r="V1117">
        <v>0.124</v>
      </c>
      <c r="W1117">
        <v>0.47899999999999998</v>
      </c>
      <c r="X1117">
        <v>0.42099999999999999</v>
      </c>
      <c r="Y1117" t="s">
        <v>27</v>
      </c>
      <c r="Z1117" t="s">
        <v>27</v>
      </c>
      <c r="AA1117" t="s">
        <v>27</v>
      </c>
      <c r="AB1117" t="s">
        <v>27</v>
      </c>
      <c r="AC1117" t="s">
        <v>27</v>
      </c>
      <c r="AD1117" t="s">
        <v>27</v>
      </c>
      <c r="AE1117" t="s">
        <v>27</v>
      </c>
      <c r="AF1117" t="s">
        <v>27</v>
      </c>
      <c r="AG1117">
        <v>6.2</v>
      </c>
    </row>
    <row r="1118" spans="1:33" x14ac:dyDescent="0.25">
      <c r="A1118" t="s">
        <v>57</v>
      </c>
      <c r="B1118" s="3">
        <v>44579</v>
      </c>
      <c r="C1118">
        <v>2022018</v>
      </c>
      <c r="D1118">
        <v>2.71</v>
      </c>
      <c r="E1118" t="s">
        <v>27</v>
      </c>
      <c r="F1118">
        <v>-1.5</v>
      </c>
      <c r="G1118">
        <v>0.6</v>
      </c>
      <c r="H1118">
        <v>-4.0999999999999996</v>
      </c>
      <c r="I1118">
        <v>74.7</v>
      </c>
      <c r="J1118">
        <v>56</v>
      </c>
      <c r="K1118">
        <v>0.6</v>
      </c>
      <c r="L1118">
        <v>2.8</v>
      </c>
      <c r="M1118">
        <v>0</v>
      </c>
      <c r="N1118">
        <v>0.82700000000000018</v>
      </c>
      <c r="O1118">
        <v>-0.4</v>
      </c>
      <c r="P1118">
        <v>-2.2000000000000002</v>
      </c>
      <c r="Q1118">
        <v>1.4</v>
      </c>
      <c r="R1118">
        <v>-5.2</v>
      </c>
      <c r="S1118">
        <v>0</v>
      </c>
      <c r="T1118">
        <v>0.6</v>
      </c>
      <c r="U1118" t="s">
        <v>27</v>
      </c>
      <c r="V1118">
        <v>0.125</v>
      </c>
      <c r="W1118">
        <v>0.35599999999999998</v>
      </c>
      <c r="X1118">
        <v>0.28000000000000003</v>
      </c>
      <c r="Y1118" t="s">
        <v>27</v>
      </c>
      <c r="Z1118" t="s">
        <v>27</v>
      </c>
      <c r="AA1118" t="s">
        <v>27</v>
      </c>
      <c r="AB1118" t="s">
        <v>27</v>
      </c>
      <c r="AC1118" t="s">
        <v>27</v>
      </c>
      <c r="AD1118" t="s">
        <v>27</v>
      </c>
      <c r="AE1118" t="s">
        <v>27</v>
      </c>
      <c r="AF1118" t="s">
        <v>27</v>
      </c>
      <c r="AG1118">
        <v>6.3</v>
      </c>
    </row>
    <row r="1119" spans="1:33" x14ac:dyDescent="0.25">
      <c r="A1119" t="s">
        <v>57</v>
      </c>
      <c r="B1119" s="3">
        <v>44580</v>
      </c>
      <c r="C1119">
        <v>2022019</v>
      </c>
      <c r="D1119">
        <v>3.61</v>
      </c>
      <c r="E1119" t="s">
        <v>27</v>
      </c>
      <c r="F1119">
        <v>-2.8</v>
      </c>
      <c r="G1119">
        <v>1.6</v>
      </c>
      <c r="H1119">
        <v>-4.5</v>
      </c>
      <c r="I1119">
        <v>82.1</v>
      </c>
      <c r="J1119">
        <v>57.3</v>
      </c>
      <c r="K1119">
        <v>0.2</v>
      </c>
      <c r="L1119">
        <v>1.8</v>
      </c>
      <c r="M1119">
        <v>10.3</v>
      </c>
      <c r="N1119">
        <v>0.90600000000000014</v>
      </c>
      <c r="O1119">
        <v>-0.4</v>
      </c>
      <c r="P1119">
        <v>-3.3</v>
      </c>
      <c r="Q1119">
        <v>3.7</v>
      </c>
      <c r="R1119">
        <v>-5.5</v>
      </c>
      <c r="S1119">
        <v>0.1</v>
      </c>
      <c r="T1119">
        <v>0.6</v>
      </c>
      <c r="U1119" t="s">
        <v>27</v>
      </c>
      <c r="V1119">
        <v>0.125</v>
      </c>
      <c r="W1119">
        <v>0.39400000000000002</v>
      </c>
      <c r="X1119">
        <v>0.29399999999999998</v>
      </c>
      <c r="Y1119" t="s">
        <v>27</v>
      </c>
      <c r="Z1119" t="s">
        <v>27</v>
      </c>
      <c r="AA1119" t="s">
        <v>27</v>
      </c>
      <c r="AB1119" t="s">
        <v>27</v>
      </c>
      <c r="AC1119" t="s">
        <v>27</v>
      </c>
      <c r="AD1119" t="s">
        <v>27</v>
      </c>
      <c r="AE1119" t="s">
        <v>27</v>
      </c>
      <c r="AF1119" t="s">
        <v>27</v>
      </c>
      <c r="AG1119">
        <v>6.4</v>
      </c>
    </row>
    <row r="1120" spans="1:33" x14ac:dyDescent="0.25">
      <c r="A1120" t="s">
        <v>57</v>
      </c>
      <c r="B1120" s="3">
        <v>44581</v>
      </c>
      <c r="C1120">
        <v>2022020</v>
      </c>
      <c r="D1120">
        <v>2</v>
      </c>
      <c r="E1120" t="s">
        <v>27</v>
      </c>
      <c r="F1120">
        <v>-1.5</v>
      </c>
      <c r="G1120">
        <v>1.7</v>
      </c>
      <c r="H1120">
        <v>-3.6</v>
      </c>
      <c r="I1120">
        <v>91</v>
      </c>
      <c r="J1120">
        <v>78.900000000000006</v>
      </c>
      <c r="K1120">
        <v>0.5</v>
      </c>
      <c r="L1120">
        <v>4.0999999999999996</v>
      </c>
      <c r="M1120">
        <v>0.8</v>
      </c>
      <c r="N1120">
        <v>0.91200000000000014</v>
      </c>
      <c r="O1120">
        <v>-0.4</v>
      </c>
      <c r="P1120">
        <v>-1.8</v>
      </c>
      <c r="Q1120">
        <v>3.9</v>
      </c>
      <c r="R1120">
        <v>-4.0999999999999996</v>
      </c>
      <c r="S1120">
        <v>0.1</v>
      </c>
      <c r="T1120">
        <v>0.7</v>
      </c>
      <c r="U1120" t="s">
        <v>27</v>
      </c>
      <c r="V1120">
        <v>0.125</v>
      </c>
      <c r="W1120">
        <v>0.54400000000000004</v>
      </c>
      <c r="X1120">
        <v>0.14499999999999999</v>
      </c>
      <c r="Y1120" t="s">
        <v>27</v>
      </c>
      <c r="Z1120" t="s">
        <v>27</v>
      </c>
      <c r="AA1120" t="s">
        <v>27</v>
      </c>
      <c r="AB1120" t="s">
        <v>27</v>
      </c>
      <c r="AC1120" t="s">
        <v>27</v>
      </c>
      <c r="AD1120" t="s">
        <v>27</v>
      </c>
      <c r="AE1120" t="s">
        <v>27</v>
      </c>
      <c r="AF1120" t="s">
        <v>27</v>
      </c>
      <c r="AG1120">
        <v>6.51</v>
      </c>
    </row>
    <row r="1121" spans="1:33" x14ac:dyDescent="0.25">
      <c r="A1121" t="s">
        <v>57</v>
      </c>
      <c r="B1121" s="3">
        <v>44582</v>
      </c>
      <c r="C1121">
        <v>2022021</v>
      </c>
      <c r="D1121">
        <v>5.99</v>
      </c>
      <c r="E1121" t="s">
        <v>27</v>
      </c>
      <c r="F1121">
        <v>-0.8</v>
      </c>
      <c r="G1121">
        <v>4.4000000000000004</v>
      </c>
      <c r="H1121">
        <v>-5.3</v>
      </c>
      <c r="I1121">
        <v>69.7</v>
      </c>
      <c r="J1121">
        <v>42.6</v>
      </c>
      <c r="K1121">
        <v>0</v>
      </c>
      <c r="L1121">
        <v>0</v>
      </c>
      <c r="M1121">
        <v>0</v>
      </c>
      <c r="N1121">
        <v>0.91000000000000014</v>
      </c>
      <c r="O1121">
        <v>-0.4</v>
      </c>
      <c r="P1121">
        <v>-2.2999999999999998</v>
      </c>
      <c r="Q1121">
        <v>5.3</v>
      </c>
      <c r="R1121">
        <v>-7.7</v>
      </c>
      <c r="S1121">
        <v>0.1</v>
      </c>
      <c r="T1121">
        <v>0.6</v>
      </c>
      <c r="U1121" t="s">
        <v>27</v>
      </c>
      <c r="V1121">
        <v>0.125</v>
      </c>
      <c r="W1121">
        <v>0.35599999999999998</v>
      </c>
      <c r="X1121">
        <v>0.48</v>
      </c>
      <c r="Y1121" t="s">
        <v>27</v>
      </c>
      <c r="Z1121" t="s">
        <v>27</v>
      </c>
      <c r="AA1121" t="s">
        <v>27</v>
      </c>
      <c r="AB1121" t="s">
        <v>27</v>
      </c>
      <c r="AC1121" t="s">
        <v>27</v>
      </c>
      <c r="AD1121" t="s">
        <v>27</v>
      </c>
      <c r="AE1121" t="s">
        <v>27</v>
      </c>
      <c r="AF1121" t="s">
        <v>27</v>
      </c>
      <c r="AG1121">
        <v>6.61</v>
      </c>
    </row>
    <row r="1122" spans="1:33" x14ac:dyDescent="0.25">
      <c r="A1122" t="s">
        <v>57</v>
      </c>
      <c r="B1122" s="3">
        <v>44583</v>
      </c>
      <c r="C1122">
        <v>2022022</v>
      </c>
      <c r="D1122">
        <v>5.83</v>
      </c>
      <c r="E1122" t="s">
        <v>27</v>
      </c>
      <c r="F1122">
        <v>-2.1</v>
      </c>
      <c r="G1122">
        <v>7.9</v>
      </c>
      <c r="H1122">
        <v>-8.4</v>
      </c>
      <c r="I1122">
        <v>71.599999999999994</v>
      </c>
      <c r="J1122">
        <v>20.9</v>
      </c>
      <c r="K1122">
        <v>0</v>
      </c>
      <c r="L1122">
        <v>0.5</v>
      </c>
      <c r="M1122">
        <v>0</v>
      </c>
      <c r="N1122">
        <v>0.90300000000000002</v>
      </c>
      <c r="O1122">
        <v>-0.4</v>
      </c>
      <c r="P1122">
        <v>-4</v>
      </c>
      <c r="Q1122">
        <v>9.3000000000000007</v>
      </c>
      <c r="R1122">
        <v>-10.5</v>
      </c>
      <c r="S1122">
        <v>0.1</v>
      </c>
      <c r="T1122">
        <v>0.6</v>
      </c>
      <c r="U1122" t="s">
        <v>27</v>
      </c>
      <c r="V1122">
        <v>0.125</v>
      </c>
      <c r="W1122">
        <v>0.223</v>
      </c>
      <c r="X1122">
        <v>0.84399999999999997</v>
      </c>
      <c r="Y1122" t="s">
        <v>27</v>
      </c>
      <c r="Z1122" t="s">
        <v>27</v>
      </c>
      <c r="AA1122" t="s">
        <v>27</v>
      </c>
      <c r="AB1122" t="s">
        <v>27</v>
      </c>
      <c r="AC1122" t="s">
        <v>27</v>
      </c>
      <c r="AD1122" t="s">
        <v>27</v>
      </c>
      <c r="AE1122" t="s">
        <v>27</v>
      </c>
      <c r="AF1122" t="s">
        <v>27</v>
      </c>
      <c r="AG1122">
        <v>6.73</v>
      </c>
    </row>
    <row r="1123" spans="1:33" x14ac:dyDescent="0.25">
      <c r="A1123" t="s">
        <v>57</v>
      </c>
      <c r="B1123" s="3">
        <v>44584</v>
      </c>
      <c r="C1123">
        <v>2022023</v>
      </c>
      <c r="D1123">
        <v>5.91</v>
      </c>
      <c r="E1123" t="s">
        <v>27</v>
      </c>
      <c r="F1123">
        <v>-1.4</v>
      </c>
      <c r="G1123">
        <v>7.1</v>
      </c>
      <c r="H1123">
        <v>-9</v>
      </c>
      <c r="I1123">
        <v>63.8</v>
      </c>
      <c r="J1123">
        <v>21.5</v>
      </c>
      <c r="K1123">
        <v>0.5</v>
      </c>
      <c r="L1123">
        <v>3.3</v>
      </c>
      <c r="M1123">
        <v>0</v>
      </c>
      <c r="N1123">
        <v>0.90000000000000013</v>
      </c>
      <c r="O1123">
        <v>-0.5</v>
      </c>
      <c r="P1123">
        <v>-3.5</v>
      </c>
      <c r="Q1123">
        <v>8.6</v>
      </c>
      <c r="R1123">
        <v>-10.7</v>
      </c>
      <c r="S1123">
        <v>0.1</v>
      </c>
      <c r="T1123">
        <v>0.6</v>
      </c>
      <c r="U1123" t="s">
        <v>27</v>
      </c>
      <c r="V1123">
        <v>0.125</v>
      </c>
      <c r="W1123">
        <v>0.217</v>
      </c>
      <c r="X1123">
        <v>0.79200000000000004</v>
      </c>
      <c r="Y1123" t="s">
        <v>27</v>
      </c>
      <c r="Z1123" t="s">
        <v>27</v>
      </c>
      <c r="AA1123" t="s">
        <v>27</v>
      </c>
      <c r="AB1123" t="s">
        <v>27</v>
      </c>
      <c r="AC1123" t="s">
        <v>27</v>
      </c>
      <c r="AD1123" t="s">
        <v>27</v>
      </c>
      <c r="AE1123" t="s">
        <v>27</v>
      </c>
      <c r="AF1123" t="s">
        <v>27</v>
      </c>
      <c r="AG1123">
        <v>6.84</v>
      </c>
    </row>
    <row r="1124" spans="1:33" x14ac:dyDescent="0.25">
      <c r="A1124" t="s">
        <v>57</v>
      </c>
      <c r="B1124" s="3">
        <v>44585</v>
      </c>
      <c r="C1124">
        <v>2022024</v>
      </c>
      <c r="D1124">
        <v>5.9</v>
      </c>
      <c r="E1124" t="s">
        <v>27</v>
      </c>
      <c r="F1124">
        <v>-3.8</v>
      </c>
      <c r="G1124">
        <v>0.2</v>
      </c>
      <c r="H1124">
        <v>-12</v>
      </c>
      <c r="I1124">
        <v>81.099999999999994</v>
      </c>
      <c r="J1124">
        <v>63.6</v>
      </c>
      <c r="K1124">
        <v>0.9</v>
      </c>
      <c r="L1124">
        <v>3.7</v>
      </c>
      <c r="M1124">
        <v>0</v>
      </c>
      <c r="N1124">
        <v>0.88800000000000012</v>
      </c>
      <c r="O1124">
        <v>-0.6</v>
      </c>
      <c r="P1124">
        <v>-5.3</v>
      </c>
      <c r="Q1124">
        <v>1.7</v>
      </c>
      <c r="R1124">
        <v>-14.4</v>
      </c>
      <c r="S1124">
        <v>0.1</v>
      </c>
      <c r="T1124">
        <v>0.6</v>
      </c>
      <c r="U1124" t="s">
        <v>27</v>
      </c>
      <c r="V1124">
        <v>0.125</v>
      </c>
      <c r="W1124">
        <v>0.39300000000000002</v>
      </c>
      <c r="X1124">
        <v>0.22500000000000001</v>
      </c>
      <c r="Y1124" t="s">
        <v>27</v>
      </c>
      <c r="Z1124" t="s">
        <v>27</v>
      </c>
      <c r="AA1124" t="s">
        <v>27</v>
      </c>
      <c r="AB1124" t="s">
        <v>27</v>
      </c>
      <c r="AC1124" t="s">
        <v>27</v>
      </c>
      <c r="AD1124" t="s">
        <v>27</v>
      </c>
      <c r="AE1124" t="s">
        <v>27</v>
      </c>
      <c r="AF1124" t="s">
        <v>27</v>
      </c>
      <c r="AG1124">
        <v>6.96</v>
      </c>
    </row>
    <row r="1125" spans="1:33" x14ac:dyDescent="0.25">
      <c r="A1125" t="s">
        <v>57</v>
      </c>
      <c r="B1125" s="3">
        <v>44586</v>
      </c>
      <c r="C1125">
        <v>2022025</v>
      </c>
      <c r="D1125">
        <v>5.26</v>
      </c>
      <c r="E1125" t="s">
        <v>27</v>
      </c>
      <c r="F1125">
        <v>-6.7</v>
      </c>
      <c r="G1125">
        <v>4.5</v>
      </c>
      <c r="H1125">
        <v>-13.5</v>
      </c>
      <c r="I1125">
        <v>75.5</v>
      </c>
      <c r="J1125">
        <v>28.8</v>
      </c>
      <c r="K1125">
        <v>0.2</v>
      </c>
      <c r="L1125">
        <v>1.9</v>
      </c>
      <c r="M1125">
        <v>0</v>
      </c>
      <c r="N1125">
        <v>0.88300000000000001</v>
      </c>
      <c r="O1125">
        <v>-0.7</v>
      </c>
      <c r="P1125">
        <v>-8.1999999999999993</v>
      </c>
      <c r="Q1125">
        <v>5.0999999999999996</v>
      </c>
      <c r="R1125">
        <v>-15.6</v>
      </c>
      <c r="S1125">
        <v>0.1</v>
      </c>
      <c r="T1125">
        <v>0.6</v>
      </c>
      <c r="U1125" t="s">
        <v>27</v>
      </c>
      <c r="V1125">
        <v>0.125</v>
      </c>
      <c r="W1125">
        <v>0.24199999999999999</v>
      </c>
      <c r="X1125">
        <v>0.59799999999999998</v>
      </c>
      <c r="Y1125" t="s">
        <v>27</v>
      </c>
      <c r="Z1125" t="s">
        <v>27</v>
      </c>
      <c r="AA1125" t="s">
        <v>27</v>
      </c>
      <c r="AB1125" t="s">
        <v>27</v>
      </c>
      <c r="AC1125" t="s">
        <v>27</v>
      </c>
      <c r="AD1125" t="s">
        <v>27</v>
      </c>
      <c r="AE1125" t="s">
        <v>27</v>
      </c>
      <c r="AF1125" t="s">
        <v>27</v>
      </c>
      <c r="AG1125">
        <v>7.09</v>
      </c>
    </row>
    <row r="1126" spans="1:33" x14ac:dyDescent="0.25">
      <c r="A1126" t="s">
        <v>57</v>
      </c>
      <c r="B1126" s="3">
        <v>44587</v>
      </c>
      <c r="C1126">
        <v>2022026</v>
      </c>
      <c r="D1126">
        <v>6.45</v>
      </c>
      <c r="E1126" t="s">
        <v>27</v>
      </c>
      <c r="F1126">
        <v>-4.3</v>
      </c>
      <c r="G1126">
        <v>3.6</v>
      </c>
      <c r="H1126">
        <v>-13</v>
      </c>
      <c r="I1126">
        <v>59.8</v>
      </c>
      <c r="J1126">
        <v>26.4</v>
      </c>
      <c r="K1126">
        <v>0.7</v>
      </c>
      <c r="L1126">
        <v>2.6</v>
      </c>
      <c r="M1126">
        <v>0</v>
      </c>
      <c r="N1126">
        <v>0.879</v>
      </c>
      <c r="O1126">
        <v>-0.9</v>
      </c>
      <c r="P1126">
        <v>-6.3</v>
      </c>
      <c r="Q1126">
        <v>4.8</v>
      </c>
      <c r="R1126">
        <v>-15.2</v>
      </c>
      <c r="S1126">
        <v>0.1</v>
      </c>
      <c r="T1126">
        <v>0.6</v>
      </c>
      <c r="U1126" t="s">
        <v>27</v>
      </c>
      <c r="V1126">
        <v>0.125</v>
      </c>
      <c r="W1126">
        <v>0.20899999999999999</v>
      </c>
      <c r="X1126">
        <v>0.58299999999999996</v>
      </c>
      <c r="Y1126" t="s">
        <v>27</v>
      </c>
      <c r="Z1126" t="s">
        <v>27</v>
      </c>
      <c r="AA1126" t="s">
        <v>27</v>
      </c>
      <c r="AB1126" t="s">
        <v>27</v>
      </c>
      <c r="AC1126" t="s">
        <v>27</v>
      </c>
      <c r="AD1126" t="s">
        <v>27</v>
      </c>
      <c r="AE1126" t="s">
        <v>27</v>
      </c>
      <c r="AF1126" t="s">
        <v>27</v>
      </c>
      <c r="AG1126">
        <v>7.21</v>
      </c>
    </row>
    <row r="1127" spans="1:33" x14ac:dyDescent="0.25">
      <c r="A1127" t="s">
        <v>57</v>
      </c>
      <c r="B1127" s="3">
        <v>44588</v>
      </c>
      <c r="C1127">
        <v>2022027</v>
      </c>
      <c r="D1127">
        <v>6.35</v>
      </c>
      <c r="E1127" t="s">
        <v>27</v>
      </c>
      <c r="F1127">
        <v>-8</v>
      </c>
      <c r="G1127">
        <v>1</v>
      </c>
      <c r="H1127">
        <v>-15.6</v>
      </c>
      <c r="I1127">
        <v>69.2</v>
      </c>
      <c r="J1127">
        <v>42.1</v>
      </c>
      <c r="K1127">
        <v>0.2</v>
      </c>
      <c r="L1127">
        <v>1.7</v>
      </c>
      <c r="M1127">
        <v>0</v>
      </c>
      <c r="N1127">
        <v>0.87000000000000011</v>
      </c>
      <c r="O1127">
        <v>-1</v>
      </c>
      <c r="P1127">
        <v>-9.5</v>
      </c>
      <c r="Q1127">
        <v>4.4000000000000004</v>
      </c>
      <c r="R1127">
        <v>-17.600000000000001</v>
      </c>
      <c r="S1127">
        <v>0</v>
      </c>
      <c r="T1127">
        <v>0.6</v>
      </c>
      <c r="U1127" t="s">
        <v>27</v>
      </c>
      <c r="V1127">
        <v>0.124</v>
      </c>
      <c r="W1127">
        <v>0.27500000000000002</v>
      </c>
      <c r="X1127">
        <v>0.378</v>
      </c>
      <c r="Y1127" t="s">
        <v>27</v>
      </c>
      <c r="Z1127" t="s">
        <v>27</v>
      </c>
      <c r="AA1127" t="s">
        <v>27</v>
      </c>
      <c r="AB1127" t="s">
        <v>27</v>
      </c>
      <c r="AC1127" t="s">
        <v>27</v>
      </c>
      <c r="AD1127" t="s">
        <v>27</v>
      </c>
      <c r="AE1127" t="s">
        <v>27</v>
      </c>
      <c r="AF1127" t="s">
        <v>27</v>
      </c>
      <c r="AG1127">
        <v>7.34</v>
      </c>
    </row>
    <row r="1128" spans="1:33" x14ac:dyDescent="0.25">
      <c r="A1128" t="s">
        <v>57</v>
      </c>
      <c r="B1128" s="3">
        <v>44589</v>
      </c>
      <c r="C1128">
        <v>2022028</v>
      </c>
      <c r="D1128">
        <v>3.63</v>
      </c>
      <c r="E1128" t="s">
        <v>27</v>
      </c>
      <c r="F1128">
        <v>-8.3000000000000007</v>
      </c>
      <c r="G1128">
        <v>-4.2</v>
      </c>
      <c r="H1128">
        <v>-13</v>
      </c>
      <c r="I1128">
        <v>74.8</v>
      </c>
      <c r="J1128">
        <v>61.5</v>
      </c>
      <c r="K1128">
        <v>0</v>
      </c>
      <c r="L1128">
        <v>0.5</v>
      </c>
      <c r="M1128">
        <v>0</v>
      </c>
      <c r="N1128">
        <v>0.86499999999999999</v>
      </c>
      <c r="O1128">
        <v>-1.2</v>
      </c>
      <c r="P1128">
        <v>-9.3000000000000007</v>
      </c>
      <c r="Q1128">
        <v>-2.8</v>
      </c>
      <c r="R1128">
        <v>-14.4</v>
      </c>
      <c r="S1128">
        <v>0</v>
      </c>
      <c r="T1128">
        <v>0.6</v>
      </c>
      <c r="U1128" t="s">
        <v>27</v>
      </c>
      <c r="V1128">
        <v>0.123</v>
      </c>
      <c r="W1128">
        <v>0.27500000000000002</v>
      </c>
      <c r="X1128">
        <v>0.17199999999999999</v>
      </c>
      <c r="Y1128" t="s">
        <v>27</v>
      </c>
      <c r="Z1128" t="s">
        <v>27</v>
      </c>
      <c r="AA1128" t="s">
        <v>27</v>
      </c>
      <c r="AB1128" t="s">
        <v>27</v>
      </c>
      <c r="AC1128" t="s">
        <v>27</v>
      </c>
      <c r="AD1128" t="s">
        <v>27</v>
      </c>
      <c r="AE1128" t="s">
        <v>27</v>
      </c>
      <c r="AF1128" t="s">
        <v>27</v>
      </c>
      <c r="AG1128">
        <v>7.47</v>
      </c>
    </row>
    <row r="1129" spans="1:33" x14ac:dyDescent="0.25">
      <c r="A1129" t="s">
        <v>57</v>
      </c>
      <c r="B1129" s="3">
        <v>44590</v>
      </c>
      <c r="C1129">
        <v>2022029</v>
      </c>
      <c r="D1129">
        <v>2.0299999999999998</v>
      </c>
      <c r="E1129" t="s">
        <v>27</v>
      </c>
      <c r="F1129">
        <v>-7.4</v>
      </c>
      <c r="G1129">
        <v>-2.8</v>
      </c>
      <c r="H1129">
        <v>-11.6</v>
      </c>
      <c r="I1129">
        <v>80.3</v>
      </c>
      <c r="J1129">
        <v>60.4</v>
      </c>
      <c r="K1129">
        <v>0.3</v>
      </c>
      <c r="L1129">
        <v>1.8</v>
      </c>
      <c r="M1129">
        <v>0.3</v>
      </c>
      <c r="N1129">
        <v>0.86699999999999999</v>
      </c>
      <c r="O1129">
        <v>-1.3</v>
      </c>
      <c r="P1129">
        <v>-8.1999999999999993</v>
      </c>
      <c r="Q1129">
        <v>-0.6</v>
      </c>
      <c r="R1129">
        <v>-13.3</v>
      </c>
      <c r="S1129">
        <v>0</v>
      </c>
      <c r="T1129">
        <v>0.6</v>
      </c>
      <c r="U1129" t="s">
        <v>27</v>
      </c>
      <c r="V1129">
        <v>0.123</v>
      </c>
      <c r="W1129">
        <v>0.29899999999999999</v>
      </c>
      <c r="X1129">
        <v>0.19600000000000001</v>
      </c>
      <c r="Y1129" t="s">
        <v>27</v>
      </c>
      <c r="Z1129" t="s">
        <v>27</v>
      </c>
      <c r="AA1129" t="s">
        <v>27</v>
      </c>
      <c r="AB1129" t="s">
        <v>27</v>
      </c>
      <c r="AC1129" t="s">
        <v>27</v>
      </c>
      <c r="AD1129" t="s">
        <v>27</v>
      </c>
      <c r="AE1129" t="s">
        <v>27</v>
      </c>
      <c r="AF1129" t="s">
        <v>27</v>
      </c>
      <c r="AG1129">
        <v>7.61</v>
      </c>
    </row>
    <row r="1130" spans="1:33" x14ac:dyDescent="0.25">
      <c r="A1130" t="s">
        <v>57</v>
      </c>
      <c r="B1130" s="3">
        <v>44591</v>
      </c>
      <c r="C1130">
        <v>2022030</v>
      </c>
      <c r="D1130">
        <v>3.45</v>
      </c>
      <c r="E1130" t="s">
        <v>27</v>
      </c>
      <c r="F1130">
        <v>-5.8</v>
      </c>
      <c r="G1130">
        <v>-3.7</v>
      </c>
      <c r="H1130">
        <v>-6.6</v>
      </c>
      <c r="I1130">
        <v>85.4</v>
      </c>
      <c r="J1130">
        <v>72.099999999999994</v>
      </c>
      <c r="K1130">
        <v>0.7</v>
      </c>
      <c r="L1130">
        <v>2.5</v>
      </c>
      <c r="M1130">
        <v>0</v>
      </c>
      <c r="N1130">
        <v>0.85000000000000009</v>
      </c>
      <c r="O1130">
        <v>-1.3</v>
      </c>
      <c r="P1130" t="s">
        <v>27</v>
      </c>
      <c r="Q1130" t="s">
        <v>27</v>
      </c>
      <c r="R1130" t="s">
        <v>27</v>
      </c>
      <c r="S1130">
        <v>0</v>
      </c>
      <c r="T1130">
        <v>0.6</v>
      </c>
      <c r="U1130" t="s">
        <v>27</v>
      </c>
      <c r="V1130">
        <v>0.122</v>
      </c>
      <c r="W1130">
        <v>0.33400000000000002</v>
      </c>
      <c r="X1130">
        <v>0.129</v>
      </c>
      <c r="Y1130" t="s">
        <v>27</v>
      </c>
      <c r="Z1130" t="s">
        <v>27</v>
      </c>
      <c r="AA1130" t="s">
        <v>27</v>
      </c>
      <c r="AB1130" t="s">
        <v>27</v>
      </c>
      <c r="AC1130" t="s">
        <v>27</v>
      </c>
      <c r="AD1130" t="s">
        <v>27</v>
      </c>
      <c r="AE1130" t="s">
        <v>27</v>
      </c>
      <c r="AF1130" t="s">
        <v>27</v>
      </c>
      <c r="AG1130">
        <v>7.75</v>
      </c>
    </row>
    <row r="1131" spans="1:33" x14ac:dyDescent="0.25">
      <c r="A1131" t="s">
        <v>57</v>
      </c>
      <c r="B1131" s="3">
        <v>44592</v>
      </c>
      <c r="C1131">
        <v>2022031</v>
      </c>
      <c r="D1131" t="s">
        <v>27</v>
      </c>
      <c r="E1131" t="s">
        <v>27</v>
      </c>
      <c r="F1131">
        <v>-7</v>
      </c>
      <c r="G1131">
        <v>-5.0999999999999996</v>
      </c>
      <c r="H1131">
        <v>-8.6</v>
      </c>
      <c r="I1131">
        <v>82.2</v>
      </c>
      <c r="J1131">
        <v>69.8</v>
      </c>
      <c r="K1131">
        <v>1.5</v>
      </c>
      <c r="L1131">
        <v>5</v>
      </c>
      <c r="M1131">
        <v>6.2</v>
      </c>
      <c r="N1131">
        <v>0.89800000000000013</v>
      </c>
      <c r="O1131">
        <v>-1.2</v>
      </c>
      <c r="P1131" t="s">
        <v>27</v>
      </c>
      <c r="Q1131" t="s">
        <v>27</v>
      </c>
      <c r="R1131" t="s">
        <v>27</v>
      </c>
      <c r="S1131">
        <v>0</v>
      </c>
      <c r="T1131">
        <v>0.6</v>
      </c>
      <c r="U1131" t="s">
        <v>27</v>
      </c>
      <c r="V1131">
        <v>0.121</v>
      </c>
      <c r="W1131">
        <v>0.29199999999999998</v>
      </c>
      <c r="X1131">
        <v>0.126</v>
      </c>
      <c r="Y1131" t="s">
        <v>27</v>
      </c>
      <c r="Z1131" t="s">
        <v>27</v>
      </c>
      <c r="AA1131" t="s">
        <v>27</v>
      </c>
      <c r="AB1131" t="s">
        <v>27</v>
      </c>
      <c r="AC1131" t="s">
        <v>27</v>
      </c>
      <c r="AD1131" t="s">
        <v>27</v>
      </c>
      <c r="AE1131" t="s">
        <v>27</v>
      </c>
      <c r="AF1131" t="s">
        <v>27</v>
      </c>
      <c r="AG1131">
        <v>7.9</v>
      </c>
    </row>
    <row r="1132" spans="1:33" x14ac:dyDescent="0.25">
      <c r="A1132" t="s">
        <v>57</v>
      </c>
      <c r="B1132" s="3">
        <v>44593</v>
      </c>
      <c r="C1132">
        <v>2022032</v>
      </c>
      <c r="D1132" t="s">
        <v>27</v>
      </c>
      <c r="E1132" t="s">
        <v>27</v>
      </c>
      <c r="F1132">
        <v>-10.199999999999999</v>
      </c>
      <c r="G1132">
        <v>-6.7</v>
      </c>
      <c r="H1132">
        <v>-20.3</v>
      </c>
      <c r="I1132">
        <v>72.900000000000006</v>
      </c>
      <c r="J1132">
        <v>55.6</v>
      </c>
      <c r="K1132">
        <v>1.5</v>
      </c>
      <c r="L1132">
        <v>3.9</v>
      </c>
      <c r="M1132">
        <v>0</v>
      </c>
      <c r="N1132">
        <v>0.8680000000000001</v>
      </c>
      <c r="O1132">
        <v>-1.1000000000000001</v>
      </c>
      <c r="P1132" t="s">
        <v>27</v>
      </c>
      <c r="Q1132" t="s">
        <v>27</v>
      </c>
      <c r="R1132" t="s">
        <v>27</v>
      </c>
      <c r="S1132">
        <v>0</v>
      </c>
      <c r="T1132">
        <v>0.5</v>
      </c>
      <c r="U1132" t="s">
        <v>27</v>
      </c>
      <c r="V1132">
        <v>0.121</v>
      </c>
      <c r="W1132">
        <v>0.20599999999999999</v>
      </c>
      <c r="X1132">
        <v>0.16500000000000001</v>
      </c>
      <c r="Y1132" t="s">
        <v>27</v>
      </c>
      <c r="Z1132" t="s">
        <v>27</v>
      </c>
      <c r="AA1132" t="s">
        <v>27</v>
      </c>
      <c r="AB1132" t="s">
        <v>27</v>
      </c>
      <c r="AC1132" t="s">
        <v>27</v>
      </c>
      <c r="AD1132" t="s">
        <v>27</v>
      </c>
      <c r="AE1132" t="s">
        <v>27</v>
      </c>
      <c r="AF1132" t="s">
        <v>27</v>
      </c>
      <c r="AG1132">
        <v>8.0399999999999991</v>
      </c>
    </row>
    <row r="1133" spans="1:33" x14ac:dyDescent="0.25">
      <c r="A1133" t="s">
        <v>57</v>
      </c>
      <c r="B1133" s="3">
        <v>44594</v>
      </c>
      <c r="C1133">
        <v>2022033</v>
      </c>
      <c r="D1133" t="s">
        <v>27</v>
      </c>
      <c r="E1133" t="s">
        <v>27</v>
      </c>
      <c r="F1133">
        <v>-15.3</v>
      </c>
      <c r="G1133">
        <v>-9.1</v>
      </c>
      <c r="H1133">
        <v>-25.6</v>
      </c>
      <c r="I1133">
        <v>78.7</v>
      </c>
      <c r="J1133">
        <v>48.9</v>
      </c>
      <c r="K1133">
        <v>0.4</v>
      </c>
      <c r="L1133">
        <v>2</v>
      </c>
      <c r="M1133">
        <v>9.9</v>
      </c>
      <c r="N1133">
        <v>0.94400000000000017</v>
      </c>
      <c r="O1133">
        <v>-1</v>
      </c>
      <c r="P1133" t="s">
        <v>27</v>
      </c>
      <c r="Q1133" t="s">
        <v>27</v>
      </c>
      <c r="R1133" t="s">
        <v>27</v>
      </c>
      <c r="S1133">
        <v>0</v>
      </c>
      <c r="T1133">
        <v>0.5</v>
      </c>
      <c r="U1133" t="s">
        <v>27</v>
      </c>
      <c r="V1133">
        <v>0.12</v>
      </c>
      <c r="W1133">
        <v>0.15</v>
      </c>
      <c r="X1133">
        <v>0.157</v>
      </c>
      <c r="Y1133" t="s">
        <v>27</v>
      </c>
      <c r="Z1133" t="s">
        <v>27</v>
      </c>
      <c r="AA1133" t="s">
        <v>27</v>
      </c>
      <c r="AB1133" t="s">
        <v>27</v>
      </c>
      <c r="AC1133" t="s">
        <v>27</v>
      </c>
      <c r="AD1133" t="s">
        <v>27</v>
      </c>
      <c r="AE1133" t="s">
        <v>27</v>
      </c>
      <c r="AF1133" t="s">
        <v>27</v>
      </c>
      <c r="AG1133">
        <v>8.1999999999999993</v>
      </c>
    </row>
    <row r="1134" spans="1:33" x14ac:dyDescent="0.25">
      <c r="A1134" t="s">
        <v>57</v>
      </c>
      <c r="B1134" s="3">
        <v>44595</v>
      </c>
      <c r="C1134">
        <v>2022034</v>
      </c>
      <c r="D1134" t="s">
        <v>27</v>
      </c>
      <c r="E1134" t="s">
        <v>27</v>
      </c>
      <c r="F1134">
        <v>-4.0999999999999996</v>
      </c>
      <c r="G1134">
        <v>-1.2</v>
      </c>
      <c r="H1134">
        <v>-9.1</v>
      </c>
      <c r="I1134">
        <v>87</v>
      </c>
      <c r="J1134">
        <v>80.099999999999994</v>
      </c>
      <c r="K1134">
        <v>1.1000000000000001</v>
      </c>
      <c r="L1134">
        <v>4.4000000000000004</v>
      </c>
      <c r="M1134">
        <v>0</v>
      </c>
      <c r="N1134">
        <v>0.92800000000000016</v>
      </c>
      <c r="O1134">
        <v>-1.1000000000000001</v>
      </c>
      <c r="P1134" t="s">
        <v>27</v>
      </c>
      <c r="Q1134" t="s">
        <v>27</v>
      </c>
      <c r="R1134" t="s">
        <v>27</v>
      </c>
      <c r="S1134">
        <v>0</v>
      </c>
      <c r="T1134">
        <v>0.6</v>
      </c>
      <c r="U1134" t="s">
        <v>27</v>
      </c>
      <c r="V1134">
        <v>0.11899999999999999</v>
      </c>
      <c r="W1134">
        <v>0.44700000000000001</v>
      </c>
      <c r="X1134">
        <v>0.111</v>
      </c>
      <c r="Y1134" t="s">
        <v>27</v>
      </c>
      <c r="Z1134" t="s">
        <v>27</v>
      </c>
      <c r="AA1134" t="s">
        <v>27</v>
      </c>
      <c r="AB1134" t="s">
        <v>27</v>
      </c>
      <c r="AC1134" t="s">
        <v>27</v>
      </c>
      <c r="AD1134" t="s">
        <v>27</v>
      </c>
      <c r="AE1134" t="s">
        <v>27</v>
      </c>
      <c r="AF1134" t="s">
        <v>27</v>
      </c>
      <c r="AG1134">
        <v>8.35</v>
      </c>
    </row>
    <row r="1135" spans="1:33" x14ac:dyDescent="0.25">
      <c r="A1135" t="s">
        <v>57</v>
      </c>
      <c r="B1135" s="3">
        <v>44596</v>
      </c>
      <c r="C1135">
        <v>2022035</v>
      </c>
      <c r="D1135" t="s">
        <v>27</v>
      </c>
      <c r="E1135" t="s">
        <v>27</v>
      </c>
      <c r="F1135">
        <v>-4.9000000000000004</v>
      </c>
      <c r="G1135">
        <v>1</v>
      </c>
      <c r="H1135">
        <v>-9.5</v>
      </c>
      <c r="I1135">
        <v>85.6</v>
      </c>
      <c r="J1135">
        <v>64.599999999999994</v>
      </c>
      <c r="K1135">
        <v>0.3</v>
      </c>
      <c r="L1135">
        <v>2.5</v>
      </c>
      <c r="M1135">
        <v>0</v>
      </c>
      <c r="N1135">
        <v>0.91700000000000004</v>
      </c>
      <c r="O1135">
        <v>-1.1000000000000001</v>
      </c>
      <c r="P1135" t="s">
        <v>27</v>
      </c>
      <c r="Q1135" t="s">
        <v>27</v>
      </c>
      <c r="R1135" t="s">
        <v>27</v>
      </c>
      <c r="S1135">
        <v>0</v>
      </c>
      <c r="T1135">
        <v>0.6</v>
      </c>
      <c r="U1135" t="s">
        <v>27</v>
      </c>
      <c r="V1135">
        <v>0.11899999999999999</v>
      </c>
      <c r="W1135">
        <v>0.42399999999999999</v>
      </c>
      <c r="X1135">
        <v>0.23200000000000001</v>
      </c>
      <c r="Y1135" t="s">
        <v>27</v>
      </c>
      <c r="Z1135" t="s">
        <v>27</v>
      </c>
      <c r="AA1135" t="s">
        <v>27</v>
      </c>
      <c r="AB1135" t="s">
        <v>27</v>
      </c>
      <c r="AC1135" t="s">
        <v>27</v>
      </c>
      <c r="AD1135" t="s">
        <v>27</v>
      </c>
      <c r="AE1135" t="s">
        <v>27</v>
      </c>
      <c r="AF1135" t="s">
        <v>27</v>
      </c>
      <c r="AG1135">
        <v>8.52</v>
      </c>
    </row>
    <row r="1136" spans="1:33" x14ac:dyDescent="0.25">
      <c r="A1136" t="s">
        <v>57</v>
      </c>
      <c r="B1136" s="3">
        <v>44597</v>
      </c>
      <c r="C1136">
        <v>2022036</v>
      </c>
      <c r="D1136" t="s">
        <v>27</v>
      </c>
      <c r="E1136" t="s">
        <v>27</v>
      </c>
      <c r="F1136">
        <v>-0.9</v>
      </c>
      <c r="G1136">
        <v>3.9</v>
      </c>
      <c r="H1136">
        <v>-6</v>
      </c>
      <c r="I1136">
        <v>70.099999999999994</v>
      </c>
      <c r="J1136">
        <v>45.1</v>
      </c>
      <c r="K1136">
        <v>1.3</v>
      </c>
      <c r="L1136">
        <v>4.2</v>
      </c>
      <c r="M1136">
        <v>0</v>
      </c>
      <c r="N1136">
        <v>0.90900000000000003</v>
      </c>
      <c r="O1136">
        <v>-1</v>
      </c>
      <c r="P1136" t="s">
        <v>27</v>
      </c>
      <c r="Q1136" t="s">
        <v>27</v>
      </c>
      <c r="R1136" t="s">
        <v>27</v>
      </c>
      <c r="S1136">
        <v>0</v>
      </c>
      <c r="T1136">
        <v>0.6</v>
      </c>
      <c r="U1136" t="s">
        <v>27</v>
      </c>
      <c r="V1136">
        <v>0.11799999999999999</v>
      </c>
      <c r="W1136">
        <v>0.36399999999999999</v>
      </c>
      <c r="X1136">
        <v>0.443</v>
      </c>
      <c r="Y1136" t="s">
        <v>27</v>
      </c>
      <c r="Z1136" t="s">
        <v>27</v>
      </c>
      <c r="AA1136" t="s">
        <v>27</v>
      </c>
      <c r="AB1136" t="s">
        <v>27</v>
      </c>
      <c r="AC1136" t="s">
        <v>27</v>
      </c>
      <c r="AD1136" t="s">
        <v>27</v>
      </c>
      <c r="AE1136" t="s">
        <v>27</v>
      </c>
      <c r="AF1136" t="s">
        <v>27</v>
      </c>
      <c r="AG1136">
        <v>8.68</v>
      </c>
    </row>
    <row r="1137" spans="1:33" x14ac:dyDescent="0.25">
      <c r="A1137" t="s">
        <v>57</v>
      </c>
      <c r="B1137" s="3">
        <v>44598</v>
      </c>
      <c r="C1137">
        <v>2022037</v>
      </c>
      <c r="D1137" t="s">
        <v>27</v>
      </c>
      <c r="E1137" t="s">
        <v>27</v>
      </c>
      <c r="F1137">
        <v>0.2</v>
      </c>
      <c r="G1137">
        <v>9.1</v>
      </c>
      <c r="H1137">
        <v>-5</v>
      </c>
      <c r="I1137">
        <v>56.4</v>
      </c>
      <c r="J1137">
        <v>20.6</v>
      </c>
      <c r="K1137">
        <v>0.9</v>
      </c>
      <c r="L1137">
        <v>3.6</v>
      </c>
      <c r="M1137">
        <v>0</v>
      </c>
      <c r="N1137">
        <v>0.90100000000000002</v>
      </c>
      <c r="O1137">
        <v>-0.8</v>
      </c>
      <c r="P1137" t="s">
        <v>27</v>
      </c>
      <c r="Q1137" t="s">
        <v>27</v>
      </c>
      <c r="R1137" t="s">
        <v>27</v>
      </c>
      <c r="S1137">
        <v>0</v>
      </c>
      <c r="T1137">
        <v>0.6</v>
      </c>
      <c r="U1137" t="s">
        <v>27</v>
      </c>
      <c r="V1137">
        <v>0.11799999999999999</v>
      </c>
      <c r="W1137">
        <v>0.23699999999999999</v>
      </c>
      <c r="X1137">
        <v>0.91300000000000003</v>
      </c>
      <c r="Y1137" t="s">
        <v>27</v>
      </c>
      <c r="Z1137" t="s">
        <v>27</v>
      </c>
      <c r="AA1137" t="s">
        <v>27</v>
      </c>
      <c r="AB1137" t="s">
        <v>27</v>
      </c>
      <c r="AC1137" t="s">
        <v>27</v>
      </c>
      <c r="AD1137" t="s">
        <v>27</v>
      </c>
      <c r="AE1137" t="s">
        <v>27</v>
      </c>
      <c r="AF1137" t="s">
        <v>27</v>
      </c>
      <c r="AG1137">
        <v>8.85</v>
      </c>
    </row>
    <row r="1138" spans="1:33" x14ac:dyDescent="0.25">
      <c r="A1138" t="s">
        <v>57</v>
      </c>
      <c r="B1138" s="3">
        <v>44599</v>
      </c>
      <c r="C1138">
        <v>2022038</v>
      </c>
      <c r="D1138" t="s">
        <v>27</v>
      </c>
      <c r="E1138" t="s">
        <v>27</v>
      </c>
      <c r="F1138">
        <v>-2.2000000000000002</v>
      </c>
      <c r="G1138">
        <v>3.5</v>
      </c>
      <c r="H1138">
        <v>-9.6</v>
      </c>
      <c r="I1138">
        <v>68.8</v>
      </c>
      <c r="J1138">
        <v>45.1</v>
      </c>
      <c r="K1138">
        <v>1.8</v>
      </c>
      <c r="L1138">
        <v>5.5</v>
      </c>
      <c r="M1138">
        <v>0</v>
      </c>
      <c r="N1138">
        <v>0.89700000000000002</v>
      </c>
      <c r="O1138">
        <v>-0.8</v>
      </c>
      <c r="P1138" t="s">
        <v>27</v>
      </c>
      <c r="Q1138" t="s">
        <v>27</v>
      </c>
      <c r="R1138" t="s">
        <v>27</v>
      </c>
      <c r="S1138">
        <v>0</v>
      </c>
      <c r="T1138">
        <v>0.6</v>
      </c>
      <c r="U1138" t="s">
        <v>27</v>
      </c>
      <c r="V1138">
        <v>0.11799999999999999</v>
      </c>
      <c r="W1138">
        <v>0.35399999999999998</v>
      </c>
      <c r="X1138">
        <v>0.43099999999999999</v>
      </c>
      <c r="Y1138" t="s">
        <v>27</v>
      </c>
      <c r="Z1138" t="s">
        <v>27</v>
      </c>
      <c r="AA1138" t="s">
        <v>27</v>
      </c>
      <c r="AB1138" t="s">
        <v>27</v>
      </c>
      <c r="AC1138" t="s">
        <v>27</v>
      </c>
      <c r="AD1138" t="s">
        <v>27</v>
      </c>
      <c r="AE1138" t="s">
        <v>27</v>
      </c>
      <c r="AF1138" t="s">
        <v>27</v>
      </c>
      <c r="AG1138">
        <v>9.02</v>
      </c>
    </row>
    <row r="1139" spans="1:33" x14ac:dyDescent="0.25">
      <c r="A1139" t="s">
        <v>57</v>
      </c>
      <c r="B1139" s="3">
        <v>44600</v>
      </c>
      <c r="C1139">
        <v>2022039</v>
      </c>
      <c r="D1139" t="s">
        <v>27</v>
      </c>
      <c r="E1139" t="s">
        <v>27</v>
      </c>
      <c r="F1139">
        <v>-1.9</v>
      </c>
      <c r="G1139">
        <v>2.1</v>
      </c>
      <c r="H1139">
        <v>-7.7</v>
      </c>
      <c r="I1139">
        <v>79.8</v>
      </c>
      <c r="J1139">
        <v>57.6</v>
      </c>
      <c r="K1139">
        <v>1.2</v>
      </c>
      <c r="L1139">
        <v>3.9</v>
      </c>
      <c r="M1139">
        <v>0</v>
      </c>
      <c r="N1139">
        <v>0.89300000000000002</v>
      </c>
      <c r="O1139">
        <v>-0.7</v>
      </c>
      <c r="P1139" t="s">
        <v>27</v>
      </c>
      <c r="Q1139" t="s">
        <v>27</v>
      </c>
      <c r="R1139" t="s">
        <v>27</v>
      </c>
      <c r="S1139">
        <v>0</v>
      </c>
      <c r="T1139">
        <v>0.6</v>
      </c>
      <c r="U1139" t="s">
        <v>27</v>
      </c>
      <c r="V1139">
        <v>0.11799999999999999</v>
      </c>
      <c r="W1139">
        <v>0.40899999999999997</v>
      </c>
      <c r="X1139">
        <v>0.30099999999999999</v>
      </c>
      <c r="Y1139" t="s">
        <v>27</v>
      </c>
      <c r="Z1139" t="s">
        <v>27</v>
      </c>
      <c r="AA1139" t="s">
        <v>27</v>
      </c>
      <c r="AB1139" t="s">
        <v>27</v>
      </c>
      <c r="AC1139" t="s">
        <v>27</v>
      </c>
      <c r="AD1139" t="s">
        <v>27</v>
      </c>
      <c r="AE1139" t="s">
        <v>27</v>
      </c>
      <c r="AF1139" t="s">
        <v>27</v>
      </c>
      <c r="AG1139">
        <v>9.19</v>
      </c>
    </row>
    <row r="1140" spans="1:33" x14ac:dyDescent="0.25">
      <c r="A1140" t="s">
        <v>57</v>
      </c>
      <c r="B1140" s="3">
        <v>44601</v>
      </c>
      <c r="C1140">
        <v>2022040</v>
      </c>
      <c r="D1140" t="s">
        <v>27</v>
      </c>
      <c r="E1140" t="s">
        <v>27</v>
      </c>
      <c r="F1140">
        <v>4.0999999999999996</v>
      </c>
      <c r="G1140">
        <v>8.5</v>
      </c>
      <c r="H1140">
        <v>0.5</v>
      </c>
      <c r="I1140">
        <v>74.3</v>
      </c>
      <c r="J1140">
        <v>47.7</v>
      </c>
      <c r="K1140">
        <v>2.1</v>
      </c>
      <c r="L1140">
        <v>4.8</v>
      </c>
      <c r="M1140">
        <v>0</v>
      </c>
      <c r="N1140">
        <v>0.8680000000000001</v>
      </c>
      <c r="O1140">
        <v>-0.7</v>
      </c>
      <c r="P1140" t="s">
        <v>27</v>
      </c>
      <c r="Q1140" t="s">
        <v>27</v>
      </c>
      <c r="R1140" t="s">
        <v>27</v>
      </c>
      <c r="S1140">
        <v>0.1</v>
      </c>
      <c r="T1140">
        <v>0.6</v>
      </c>
      <c r="U1140" t="s">
        <v>27</v>
      </c>
      <c r="V1140">
        <v>0.11799999999999999</v>
      </c>
      <c r="W1140">
        <v>0.52800000000000002</v>
      </c>
      <c r="X1140">
        <v>0.57899999999999996</v>
      </c>
      <c r="Y1140" t="s">
        <v>27</v>
      </c>
      <c r="Z1140" t="s">
        <v>27</v>
      </c>
      <c r="AA1140" t="s">
        <v>27</v>
      </c>
      <c r="AB1140" t="s">
        <v>27</v>
      </c>
      <c r="AC1140" t="s">
        <v>27</v>
      </c>
      <c r="AD1140" t="s">
        <v>27</v>
      </c>
      <c r="AE1140" t="s">
        <v>27</v>
      </c>
      <c r="AF1140" t="s">
        <v>27</v>
      </c>
      <c r="AG1140">
        <v>9.3699999999999992</v>
      </c>
    </row>
    <row r="1141" spans="1:33" x14ac:dyDescent="0.25">
      <c r="A1141" t="s">
        <v>57</v>
      </c>
      <c r="B1141" s="3">
        <v>44602</v>
      </c>
      <c r="C1141">
        <v>2022041</v>
      </c>
      <c r="D1141" t="s">
        <v>27</v>
      </c>
      <c r="E1141" t="s">
        <v>27</v>
      </c>
      <c r="F1141">
        <v>4.0999999999999996</v>
      </c>
      <c r="G1141">
        <v>7.1</v>
      </c>
      <c r="H1141">
        <v>0</v>
      </c>
      <c r="I1141">
        <v>37.9</v>
      </c>
      <c r="J1141">
        <v>26.1</v>
      </c>
      <c r="K1141">
        <v>1.9</v>
      </c>
      <c r="L1141">
        <v>4.0999999999999996</v>
      </c>
      <c r="M1141">
        <v>0</v>
      </c>
      <c r="N1141">
        <v>0.8530000000000002</v>
      </c>
      <c r="O1141">
        <v>-0.5</v>
      </c>
      <c r="P1141" t="s">
        <v>27</v>
      </c>
      <c r="Q1141" t="s">
        <v>27</v>
      </c>
      <c r="R1141" t="s">
        <v>27</v>
      </c>
      <c r="S1141">
        <v>0.1</v>
      </c>
      <c r="T1141">
        <v>0.6</v>
      </c>
      <c r="U1141" t="s">
        <v>27</v>
      </c>
      <c r="V1141">
        <v>0.12</v>
      </c>
      <c r="W1141">
        <v>0.26200000000000001</v>
      </c>
      <c r="X1141">
        <v>0.74199999999999999</v>
      </c>
      <c r="Y1141" t="s">
        <v>27</v>
      </c>
      <c r="Z1141" t="s">
        <v>27</v>
      </c>
      <c r="AA1141" t="s">
        <v>27</v>
      </c>
      <c r="AB1141" t="s">
        <v>27</v>
      </c>
      <c r="AC1141" t="s">
        <v>27</v>
      </c>
      <c r="AD1141" t="s">
        <v>27</v>
      </c>
      <c r="AE1141" t="s">
        <v>27</v>
      </c>
      <c r="AF1141" t="s">
        <v>27</v>
      </c>
      <c r="AG1141">
        <v>9.5500000000000007</v>
      </c>
    </row>
    <row r="1142" spans="1:33" x14ac:dyDescent="0.25">
      <c r="A1142" t="s">
        <v>57</v>
      </c>
      <c r="B1142" s="3">
        <v>44603</v>
      </c>
      <c r="C1142">
        <v>2022042</v>
      </c>
      <c r="D1142" t="s">
        <v>27</v>
      </c>
      <c r="E1142" t="s">
        <v>27</v>
      </c>
      <c r="F1142">
        <v>-2.6</v>
      </c>
      <c r="G1142">
        <v>4.5</v>
      </c>
      <c r="H1142">
        <v>-9.1999999999999993</v>
      </c>
      <c r="I1142">
        <v>36.299999999999997</v>
      </c>
      <c r="J1142">
        <v>10.9</v>
      </c>
      <c r="K1142">
        <v>1.1000000000000001</v>
      </c>
      <c r="L1142">
        <v>3.5</v>
      </c>
      <c r="M1142">
        <v>0.4</v>
      </c>
      <c r="N1142">
        <v>0.85600000000000009</v>
      </c>
      <c r="O1142">
        <v>-0.4</v>
      </c>
      <c r="P1142" t="s">
        <v>27</v>
      </c>
      <c r="Q1142" t="s">
        <v>27</v>
      </c>
      <c r="R1142" t="s">
        <v>27</v>
      </c>
      <c r="S1142">
        <v>0</v>
      </c>
      <c r="T1142">
        <v>0.6</v>
      </c>
      <c r="U1142" t="s">
        <v>27</v>
      </c>
      <c r="V1142">
        <v>0.122</v>
      </c>
      <c r="W1142">
        <v>9.1999999999999998E-2</v>
      </c>
      <c r="X1142">
        <v>0.752</v>
      </c>
      <c r="Y1142" t="s">
        <v>27</v>
      </c>
      <c r="Z1142" t="s">
        <v>27</v>
      </c>
      <c r="AA1142" t="s">
        <v>27</v>
      </c>
      <c r="AB1142" t="s">
        <v>27</v>
      </c>
      <c r="AC1142" t="s">
        <v>27</v>
      </c>
      <c r="AD1142" t="s">
        <v>27</v>
      </c>
      <c r="AE1142" t="s">
        <v>27</v>
      </c>
      <c r="AF1142" t="s">
        <v>27</v>
      </c>
      <c r="AG1142">
        <v>9.74</v>
      </c>
    </row>
    <row r="1143" spans="1:33" x14ac:dyDescent="0.25">
      <c r="A1143" t="s">
        <v>57</v>
      </c>
      <c r="B1143" s="3">
        <v>44604</v>
      </c>
      <c r="C1143">
        <v>2022043</v>
      </c>
      <c r="D1143" t="s">
        <v>27</v>
      </c>
      <c r="E1143" t="s">
        <v>27</v>
      </c>
      <c r="F1143">
        <v>-3</v>
      </c>
      <c r="G1143">
        <v>8.3000000000000007</v>
      </c>
      <c r="H1143">
        <v>-11.3</v>
      </c>
      <c r="I1143">
        <v>56.3</v>
      </c>
      <c r="J1143">
        <v>14</v>
      </c>
      <c r="K1143">
        <v>0.2</v>
      </c>
      <c r="L1143">
        <v>2</v>
      </c>
      <c r="M1143">
        <v>0</v>
      </c>
      <c r="N1143">
        <v>0.8550000000000002</v>
      </c>
      <c r="O1143">
        <v>-0.6</v>
      </c>
      <c r="P1143" t="s">
        <v>27</v>
      </c>
      <c r="Q1143" t="s">
        <v>27</v>
      </c>
      <c r="R1143" t="s">
        <v>27</v>
      </c>
      <c r="S1143">
        <v>0</v>
      </c>
      <c r="T1143">
        <v>0.6</v>
      </c>
      <c r="U1143" t="s">
        <v>27</v>
      </c>
      <c r="V1143">
        <v>0.124</v>
      </c>
      <c r="W1143">
        <v>0.153</v>
      </c>
      <c r="X1143">
        <v>0.94</v>
      </c>
      <c r="Y1143" t="s">
        <v>27</v>
      </c>
      <c r="Z1143" t="s">
        <v>27</v>
      </c>
      <c r="AA1143" t="s">
        <v>27</v>
      </c>
      <c r="AB1143" t="s">
        <v>27</v>
      </c>
      <c r="AC1143" t="s">
        <v>27</v>
      </c>
      <c r="AD1143" t="s">
        <v>27</v>
      </c>
      <c r="AE1143" t="s">
        <v>27</v>
      </c>
      <c r="AF1143" t="s">
        <v>27</v>
      </c>
      <c r="AG1143">
        <v>9.92</v>
      </c>
    </row>
    <row r="1144" spans="1:33" x14ac:dyDescent="0.25">
      <c r="A1144" t="s">
        <v>57</v>
      </c>
      <c r="B1144" s="3">
        <v>44605</v>
      </c>
      <c r="C1144">
        <v>2022044</v>
      </c>
      <c r="D1144" t="s">
        <v>27</v>
      </c>
      <c r="E1144" t="s">
        <v>27</v>
      </c>
      <c r="F1144">
        <v>-1.1000000000000001</v>
      </c>
      <c r="G1144">
        <v>8.6</v>
      </c>
      <c r="H1144">
        <v>-8.1999999999999993</v>
      </c>
      <c r="I1144">
        <v>58.8</v>
      </c>
      <c r="J1144">
        <v>23.2</v>
      </c>
      <c r="K1144">
        <v>0.5</v>
      </c>
      <c r="L1144">
        <v>2.2000000000000002</v>
      </c>
      <c r="M1144">
        <v>0</v>
      </c>
      <c r="N1144">
        <v>0.8530000000000002</v>
      </c>
      <c r="O1144">
        <v>-0.8</v>
      </c>
      <c r="P1144" t="s">
        <v>27</v>
      </c>
      <c r="Q1144" t="s">
        <v>27</v>
      </c>
      <c r="R1144" t="s">
        <v>27</v>
      </c>
      <c r="S1144">
        <v>0</v>
      </c>
      <c r="T1144">
        <v>0.6</v>
      </c>
      <c r="U1144" t="s">
        <v>27</v>
      </c>
      <c r="V1144">
        <v>0.125</v>
      </c>
      <c r="W1144">
        <v>0.25900000000000001</v>
      </c>
      <c r="X1144">
        <v>0.85699999999999998</v>
      </c>
      <c r="Y1144" t="s">
        <v>27</v>
      </c>
      <c r="Z1144" t="s">
        <v>27</v>
      </c>
      <c r="AA1144" t="s">
        <v>27</v>
      </c>
      <c r="AB1144" t="s">
        <v>27</v>
      </c>
      <c r="AC1144" t="s">
        <v>27</v>
      </c>
      <c r="AD1144" t="s">
        <v>27</v>
      </c>
      <c r="AE1144" t="s">
        <v>27</v>
      </c>
      <c r="AF1144" t="s">
        <v>27</v>
      </c>
      <c r="AG1144">
        <v>10.119999999999999</v>
      </c>
    </row>
    <row r="1145" spans="1:33" x14ac:dyDescent="0.25">
      <c r="A1145" t="s">
        <v>57</v>
      </c>
      <c r="B1145" s="3">
        <v>44606</v>
      </c>
      <c r="C1145">
        <v>2022045</v>
      </c>
      <c r="D1145" t="s">
        <v>27</v>
      </c>
      <c r="E1145" t="s">
        <v>27</v>
      </c>
      <c r="F1145">
        <v>-2.5</v>
      </c>
      <c r="G1145">
        <v>-0.9</v>
      </c>
      <c r="H1145">
        <v>-3.2</v>
      </c>
      <c r="I1145">
        <v>78.400000000000006</v>
      </c>
      <c r="J1145">
        <v>46.8</v>
      </c>
      <c r="K1145">
        <v>0.9</v>
      </c>
      <c r="L1145">
        <v>2.6</v>
      </c>
      <c r="M1145">
        <v>4</v>
      </c>
      <c r="N1145">
        <v>0.90900000000000003</v>
      </c>
      <c r="O1145">
        <v>-0.9</v>
      </c>
      <c r="P1145" t="s">
        <v>27</v>
      </c>
      <c r="Q1145" t="s">
        <v>27</v>
      </c>
      <c r="R1145" t="s">
        <v>27</v>
      </c>
      <c r="S1145">
        <v>0</v>
      </c>
      <c r="T1145">
        <v>0.6</v>
      </c>
      <c r="U1145" t="s">
        <v>27</v>
      </c>
      <c r="V1145">
        <v>0.126</v>
      </c>
      <c r="W1145">
        <v>0.26700000000000002</v>
      </c>
      <c r="X1145">
        <v>0.30399999999999999</v>
      </c>
      <c r="Y1145" t="s">
        <v>27</v>
      </c>
      <c r="Z1145" t="s">
        <v>27</v>
      </c>
      <c r="AA1145" t="s">
        <v>27</v>
      </c>
      <c r="AB1145" t="s">
        <v>27</v>
      </c>
      <c r="AC1145" t="s">
        <v>27</v>
      </c>
      <c r="AD1145" t="s">
        <v>27</v>
      </c>
      <c r="AE1145" t="s">
        <v>27</v>
      </c>
      <c r="AF1145" t="s">
        <v>27</v>
      </c>
      <c r="AG1145">
        <v>10.31</v>
      </c>
    </row>
    <row r="1146" spans="1:33" x14ac:dyDescent="0.25">
      <c r="A1146" t="s">
        <v>57</v>
      </c>
      <c r="B1146" s="3">
        <v>44607</v>
      </c>
      <c r="C1146">
        <v>2022046</v>
      </c>
      <c r="D1146" t="s">
        <v>27</v>
      </c>
      <c r="E1146" t="s">
        <v>27</v>
      </c>
      <c r="F1146">
        <v>-2</v>
      </c>
      <c r="G1146">
        <v>2.7</v>
      </c>
      <c r="H1146">
        <v>-3.9</v>
      </c>
      <c r="I1146">
        <v>76.099999999999994</v>
      </c>
      <c r="J1146">
        <v>45.1</v>
      </c>
      <c r="K1146">
        <v>1.6</v>
      </c>
      <c r="L1146">
        <v>3.4</v>
      </c>
      <c r="M1146">
        <v>1.8</v>
      </c>
      <c r="N1146">
        <v>0.89500000000000002</v>
      </c>
      <c r="O1146">
        <v>-0.9</v>
      </c>
      <c r="P1146" t="s">
        <v>27</v>
      </c>
      <c r="Q1146" t="s">
        <v>27</v>
      </c>
      <c r="R1146" t="s">
        <v>27</v>
      </c>
      <c r="S1146">
        <v>0</v>
      </c>
      <c r="T1146">
        <v>0.6</v>
      </c>
      <c r="U1146" t="s">
        <v>27</v>
      </c>
      <c r="V1146">
        <v>0.126</v>
      </c>
      <c r="W1146">
        <v>0.33400000000000002</v>
      </c>
      <c r="X1146">
        <v>0.40699999999999997</v>
      </c>
      <c r="Y1146" t="s">
        <v>27</v>
      </c>
      <c r="Z1146" t="s">
        <v>27</v>
      </c>
      <c r="AA1146" t="s">
        <v>27</v>
      </c>
      <c r="AB1146" t="s">
        <v>27</v>
      </c>
      <c r="AC1146" t="s">
        <v>27</v>
      </c>
      <c r="AD1146" t="s">
        <v>27</v>
      </c>
      <c r="AE1146" t="s">
        <v>27</v>
      </c>
      <c r="AF1146" t="s">
        <v>27</v>
      </c>
      <c r="AG1146">
        <v>10.51</v>
      </c>
    </row>
    <row r="1147" spans="1:33" x14ac:dyDescent="0.25">
      <c r="A1147" t="s">
        <v>57</v>
      </c>
      <c r="B1147" s="3">
        <v>44608</v>
      </c>
      <c r="C1147">
        <v>2022047</v>
      </c>
      <c r="D1147" t="s">
        <v>27</v>
      </c>
      <c r="E1147" t="s">
        <v>27</v>
      </c>
      <c r="F1147">
        <v>-3</v>
      </c>
      <c r="G1147">
        <v>1</v>
      </c>
      <c r="H1147">
        <v>-6.8</v>
      </c>
      <c r="I1147">
        <v>69.400000000000006</v>
      </c>
      <c r="J1147">
        <v>47.6</v>
      </c>
      <c r="K1147">
        <v>1.5</v>
      </c>
      <c r="L1147">
        <v>3.6</v>
      </c>
      <c r="M1147">
        <v>2.2999999999999998</v>
      </c>
      <c r="N1147">
        <v>0.90100000000000002</v>
      </c>
      <c r="O1147">
        <v>-0.7</v>
      </c>
      <c r="P1147" t="s">
        <v>27</v>
      </c>
      <c r="Q1147" t="s">
        <v>27</v>
      </c>
      <c r="R1147" t="s">
        <v>27</v>
      </c>
      <c r="S1147">
        <v>0</v>
      </c>
      <c r="T1147">
        <v>0.6</v>
      </c>
      <c r="U1147" t="s">
        <v>27</v>
      </c>
      <c r="V1147">
        <v>0.127</v>
      </c>
      <c r="W1147">
        <v>0.313</v>
      </c>
      <c r="X1147">
        <v>0.34499999999999997</v>
      </c>
      <c r="Y1147" t="s">
        <v>27</v>
      </c>
      <c r="Z1147" t="s">
        <v>27</v>
      </c>
      <c r="AA1147" t="s">
        <v>27</v>
      </c>
      <c r="AB1147" t="s">
        <v>27</v>
      </c>
      <c r="AC1147" t="s">
        <v>27</v>
      </c>
      <c r="AD1147" t="s">
        <v>27</v>
      </c>
      <c r="AE1147" t="s">
        <v>27</v>
      </c>
      <c r="AF1147" t="s">
        <v>27</v>
      </c>
      <c r="AG1147">
        <v>10.71</v>
      </c>
    </row>
    <row r="1148" spans="1:33" x14ac:dyDescent="0.25">
      <c r="A1148" t="s">
        <v>57</v>
      </c>
      <c r="B1148" s="3">
        <v>44609</v>
      </c>
      <c r="C1148">
        <v>2022048</v>
      </c>
      <c r="D1148" t="s">
        <v>27</v>
      </c>
      <c r="E1148" t="s">
        <v>27</v>
      </c>
      <c r="F1148">
        <v>-1</v>
      </c>
      <c r="G1148">
        <v>3</v>
      </c>
      <c r="H1148">
        <v>-6.7</v>
      </c>
      <c r="I1148">
        <v>73.3</v>
      </c>
      <c r="J1148">
        <v>61</v>
      </c>
      <c r="K1148">
        <v>2.1</v>
      </c>
      <c r="L1148">
        <v>4.9000000000000004</v>
      </c>
      <c r="M1148">
        <v>1</v>
      </c>
      <c r="N1148">
        <v>0.90000000000000013</v>
      </c>
      <c r="O1148">
        <v>-0.6</v>
      </c>
      <c r="P1148" t="s">
        <v>27</v>
      </c>
      <c r="Q1148" t="s">
        <v>27</v>
      </c>
      <c r="R1148" t="s">
        <v>27</v>
      </c>
      <c r="S1148">
        <v>0.1</v>
      </c>
      <c r="T1148">
        <v>0.6</v>
      </c>
      <c r="U1148" t="s">
        <v>27</v>
      </c>
      <c r="V1148">
        <v>0.126</v>
      </c>
      <c r="W1148">
        <v>0.46200000000000002</v>
      </c>
      <c r="X1148">
        <v>0.29499999999999998</v>
      </c>
      <c r="Y1148" t="s">
        <v>27</v>
      </c>
      <c r="Z1148" t="s">
        <v>27</v>
      </c>
      <c r="AA1148" t="s">
        <v>27</v>
      </c>
      <c r="AB1148" t="s">
        <v>27</v>
      </c>
      <c r="AC1148" t="s">
        <v>27</v>
      </c>
      <c r="AD1148" t="s">
        <v>27</v>
      </c>
      <c r="AE1148" t="s">
        <v>27</v>
      </c>
      <c r="AF1148" t="s">
        <v>27</v>
      </c>
      <c r="AG1148">
        <v>10.91</v>
      </c>
    </row>
    <row r="1149" spans="1:33" x14ac:dyDescent="0.25">
      <c r="A1149" t="s">
        <v>57</v>
      </c>
      <c r="B1149" s="3">
        <v>44610</v>
      </c>
      <c r="C1149">
        <v>2022049</v>
      </c>
      <c r="D1149" t="s">
        <v>27</v>
      </c>
      <c r="E1149" t="s">
        <v>27</v>
      </c>
      <c r="F1149">
        <v>0.4</v>
      </c>
      <c r="G1149">
        <v>5.9</v>
      </c>
      <c r="H1149">
        <v>-3.3</v>
      </c>
      <c r="I1149">
        <v>70.900000000000006</v>
      </c>
      <c r="J1149">
        <v>48.7</v>
      </c>
      <c r="K1149">
        <v>1.3</v>
      </c>
      <c r="L1149">
        <v>3.5</v>
      </c>
      <c r="M1149">
        <v>0.8</v>
      </c>
      <c r="N1149">
        <v>0.88500000000000001</v>
      </c>
      <c r="O1149">
        <v>-0.6</v>
      </c>
      <c r="P1149" t="s">
        <v>27</v>
      </c>
      <c r="Q1149" t="s">
        <v>27</v>
      </c>
      <c r="R1149" t="s">
        <v>27</v>
      </c>
      <c r="S1149">
        <v>0.1</v>
      </c>
      <c r="T1149">
        <v>0.6</v>
      </c>
      <c r="U1149" t="s">
        <v>27</v>
      </c>
      <c r="V1149">
        <v>0.126</v>
      </c>
      <c r="W1149">
        <v>0.45300000000000001</v>
      </c>
      <c r="X1149">
        <v>0.47699999999999998</v>
      </c>
      <c r="Y1149" t="s">
        <v>27</v>
      </c>
      <c r="Z1149" t="s">
        <v>27</v>
      </c>
      <c r="AA1149" t="s">
        <v>27</v>
      </c>
      <c r="AB1149" t="s">
        <v>27</v>
      </c>
      <c r="AC1149" t="s">
        <v>27</v>
      </c>
      <c r="AD1149" t="s">
        <v>27</v>
      </c>
      <c r="AE1149" t="s">
        <v>27</v>
      </c>
      <c r="AF1149" t="s">
        <v>27</v>
      </c>
      <c r="AG1149">
        <v>11.13</v>
      </c>
    </row>
    <row r="1150" spans="1:33" x14ac:dyDescent="0.25">
      <c r="A1150" t="s">
        <v>57</v>
      </c>
      <c r="B1150" s="3">
        <v>44611</v>
      </c>
      <c r="C1150">
        <v>2022050</v>
      </c>
      <c r="D1150" t="s">
        <v>27</v>
      </c>
      <c r="E1150" t="s">
        <v>27</v>
      </c>
      <c r="F1150">
        <v>-1</v>
      </c>
      <c r="G1150">
        <v>1.2</v>
      </c>
      <c r="H1150">
        <v>-3.6</v>
      </c>
      <c r="I1150">
        <v>69.599999999999994</v>
      </c>
      <c r="J1150">
        <v>55</v>
      </c>
      <c r="K1150">
        <v>1.7</v>
      </c>
      <c r="L1150">
        <v>6.5</v>
      </c>
      <c r="M1150">
        <v>1.3</v>
      </c>
      <c r="N1150">
        <v>0.89400000000000013</v>
      </c>
      <c r="O1150">
        <v>-0.5</v>
      </c>
      <c r="P1150" t="s">
        <v>27</v>
      </c>
      <c r="Q1150" t="s">
        <v>27</v>
      </c>
      <c r="R1150" t="s">
        <v>27</v>
      </c>
      <c r="S1150">
        <v>0.1</v>
      </c>
      <c r="T1150">
        <v>0.6</v>
      </c>
      <c r="U1150" t="s">
        <v>27</v>
      </c>
      <c r="V1150">
        <v>0.126</v>
      </c>
      <c r="W1150">
        <v>0.36699999999999999</v>
      </c>
      <c r="X1150">
        <v>0.3</v>
      </c>
      <c r="Y1150" t="s">
        <v>27</v>
      </c>
      <c r="Z1150" t="s">
        <v>27</v>
      </c>
      <c r="AA1150" t="s">
        <v>27</v>
      </c>
      <c r="AB1150" t="s">
        <v>27</v>
      </c>
      <c r="AC1150" t="s">
        <v>27</v>
      </c>
      <c r="AD1150" t="s">
        <v>27</v>
      </c>
      <c r="AE1150" t="s">
        <v>27</v>
      </c>
      <c r="AF1150" t="s">
        <v>27</v>
      </c>
      <c r="AG1150">
        <v>11.33</v>
      </c>
    </row>
    <row r="1151" spans="1:33" x14ac:dyDescent="0.25">
      <c r="A1151" t="s">
        <v>57</v>
      </c>
      <c r="B1151" s="3">
        <v>44612</v>
      </c>
      <c r="C1151">
        <v>2022051</v>
      </c>
      <c r="D1151" t="s">
        <v>27</v>
      </c>
      <c r="E1151" t="s">
        <v>27</v>
      </c>
      <c r="F1151">
        <v>-5.6</v>
      </c>
      <c r="G1151">
        <v>-2.2000000000000002</v>
      </c>
      <c r="H1151">
        <v>-12.2</v>
      </c>
      <c r="I1151">
        <v>79.7</v>
      </c>
      <c r="J1151">
        <v>55.8</v>
      </c>
      <c r="K1151">
        <v>1</v>
      </c>
      <c r="L1151">
        <v>3.5</v>
      </c>
      <c r="M1151">
        <v>4</v>
      </c>
      <c r="N1151">
        <v>0.90200000000000014</v>
      </c>
      <c r="O1151">
        <v>-0.5</v>
      </c>
      <c r="P1151" t="s">
        <v>27</v>
      </c>
      <c r="Q1151" t="s">
        <v>27</v>
      </c>
      <c r="R1151" t="s">
        <v>27</v>
      </c>
      <c r="S1151">
        <v>0</v>
      </c>
      <c r="T1151">
        <v>0.5</v>
      </c>
      <c r="U1151" t="s">
        <v>27</v>
      </c>
      <c r="V1151">
        <v>0.126</v>
      </c>
      <c r="W1151">
        <v>0.28899999999999998</v>
      </c>
      <c r="X1151">
        <v>0.22900000000000001</v>
      </c>
      <c r="Y1151" t="s">
        <v>27</v>
      </c>
      <c r="Z1151" t="s">
        <v>27</v>
      </c>
      <c r="AA1151" t="s">
        <v>27</v>
      </c>
      <c r="AB1151" t="s">
        <v>27</v>
      </c>
      <c r="AC1151" t="s">
        <v>27</v>
      </c>
      <c r="AD1151" t="s">
        <v>27</v>
      </c>
      <c r="AE1151" t="s">
        <v>27</v>
      </c>
      <c r="AF1151" t="s">
        <v>27</v>
      </c>
      <c r="AG1151">
        <v>11.55</v>
      </c>
    </row>
    <row r="1152" spans="1:33" x14ac:dyDescent="0.25">
      <c r="A1152" t="s">
        <v>57</v>
      </c>
      <c r="B1152" s="3">
        <v>44613</v>
      </c>
      <c r="C1152">
        <v>2022052</v>
      </c>
      <c r="D1152" t="s">
        <v>27</v>
      </c>
      <c r="E1152" t="s">
        <v>27</v>
      </c>
      <c r="F1152">
        <v>-13.3</v>
      </c>
      <c r="G1152">
        <v>-9.1999999999999993</v>
      </c>
      <c r="H1152">
        <v>-17.600000000000001</v>
      </c>
      <c r="I1152">
        <v>82.5</v>
      </c>
      <c r="J1152">
        <v>75</v>
      </c>
      <c r="K1152">
        <v>1.7</v>
      </c>
      <c r="L1152">
        <v>3.7</v>
      </c>
      <c r="M1152">
        <v>0</v>
      </c>
      <c r="N1152">
        <v>0.92300000000000004</v>
      </c>
      <c r="O1152">
        <v>-0.5</v>
      </c>
      <c r="P1152" t="s">
        <v>27</v>
      </c>
      <c r="Q1152" t="s">
        <v>27</v>
      </c>
      <c r="R1152" t="s">
        <v>27</v>
      </c>
      <c r="S1152">
        <v>0</v>
      </c>
      <c r="T1152">
        <v>0.5</v>
      </c>
      <c r="U1152" t="s">
        <v>27</v>
      </c>
      <c r="V1152">
        <v>0.126</v>
      </c>
      <c r="W1152">
        <v>0.22800000000000001</v>
      </c>
      <c r="X1152">
        <v>7.5999999999999998E-2</v>
      </c>
      <c r="Y1152" t="s">
        <v>27</v>
      </c>
      <c r="Z1152" t="s">
        <v>27</v>
      </c>
      <c r="AA1152" t="s">
        <v>27</v>
      </c>
      <c r="AB1152" t="s">
        <v>27</v>
      </c>
      <c r="AC1152" t="s">
        <v>27</v>
      </c>
      <c r="AD1152" t="s">
        <v>27</v>
      </c>
      <c r="AE1152" t="s">
        <v>27</v>
      </c>
      <c r="AF1152" t="s">
        <v>27</v>
      </c>
      <c r="AG1152">
        <v>11.76</v>
      </c>
    </row>
    <row r="1153" spans="1:33" x14ac:dyDescent="0.25">
      <c r="A1153" t="s">
        <v>57</v>
      </c>
      <c r="B1153" s="3">
        <v>44614</v>
      </c>
      <c r="C1153">
        <v>2022053</v>
      </c>
      <c r="D1153" t="s">
        <v>27</v>
      </c>
      <c r="E1153" t="s">
        <v>27</v>
      </c>
      <c r="F1153">
        <v>-18</v>
      </c>
      <c r="G1153">
        <v>-14.4</v>
      </c>
      <c r="H1153">
        <v>-24.2</v>
      </c>
      <c r="I1153">
        <v>76</v>
      </c>
      <c r="J1153">
        <v>67.599999999999994</v>
      </c>
      <c r="K1153">
        <v>1.5</v>
      </c>
      <c r="L1153">
        <v>3</v>
      </c>
      <c r="M1153">
        <v>1.4</v>
      </c>
      <c r="N1153">
        <v>0.91700000000000004</v>
      </c>
      <c r="O1153">
        <v>-0.6</v>
      </c>
      <c r="P1153" t="s">
        <v>27</v>
      </c>
      <c r="Q1153" t="s">
        <v>27</v>
      </c>
      <c r="R1153" t="s">
        <v>27</v>
      </c>
      <c r="S1153">
        <v>0</v>
      </c>
      <c r="T1153">
        <v>0.5</v>
      </c>
      <c r="U1153" t="s">
        <v>27</v>
      </c>
      <c r="V1153">
        <v>0.125</v>
      </c>
      <c r="W1153">
        <v>0.13500000000000001</v>
      </c>
      <c r="X1153">
        <v>6.5000000000000002E-2</v>
      </c>
      <c r="Y1153" t="s">
        <v>27</v>
      </c>
      <c r="Z1153" t="s">
        <v>27</v>
      </c>
      <c r="AA1153" t="s">
        <v>27</v>
      </c>
      <c r="AB1153" t="s">
        <v>27</v>
      </c>
      <c r="AC1153" t="s">
        <v>27</v>
      </c>
      <c r="AD1153" t="s">
        <v>27</v>
      </c>
      <c r="AE1153" t="s">
        <v>27</v>
      </c>
      <c r="AF1153" t="s">
        <v>27</v>
      </c>
      <c r="AG1153">
        <v>11.98</v>
      </c>
    </row>
    <row r="1154" spans="1:33" x14ac:dyDescent="0.25">
      <c r="A1154" t="s">
        <v>57</v>
      </c>
      <c r="B1154" s="3">
        <v>44615</v>
      </c>
      <c r="C1154">
        <v>2022054</v>
      </c>
      <c r="D1154" t="s">
        <v>27</v>
      </c>
      <c r="E1154" t="s">
        <v>27</v>
      </c>
      <c r="F1154">
        <v>-16</v>
      </c>
      <c r="G1154">
        <v>-9.5</v>
      </c>
      <c r="H1154">
        <v>-26.2</v>
      </c>
      <c r="I1154">
        <v>72.2</v>
      </c>
      <c r="J1154">
        <v>31.5</v>
      </c>
      <c r="K1154">
        <v>0.8</v>
      </c>
      <c r="L1154">
        <v>3</v>
      </c>
      <c r="M1154">
        <v>1.8</v>
      </c>
      <c r="N1154">
        <v>0.94600000000000017</v>
      </c>
      <c r="O1154">
        <v>-0.8</v>
      </c>
      <c r="P1154" t="s">
        <v>27</v>
      </c>
      <c r="Q1154" t="s">
        <v>27</v>
      </c>
      <c r="R1154" t="s">
        <v>27</v>
      </c>
      <c r="S1154">
        <v>0</v>
      </c>
      <c r="T1154">
        <v>0.5</v>
      </c>
      <c r="U1154" t="s">
        <v>27</v>
      </c>
      <c r="V1154">
        <v>0.124</v>
      </c>
      <c r="W1154">
        <v>9.2999999999999999E-2</v>
      </c>
      <c r="X1154">
        <v>0.20200000000000001</v>
      </c>
      <c r="Y1154" t="s">
        <v>27</v>
      </c>
      <c r="Z1154" t="s">
        <v>27</v>
      </c>
      <c r="AA1154" t="s">
        <v>27</v>
      </c>
      <c r="AB1154" t="s">
        <v>27</v>
      </c>
      <c r="AC1154" t="s">
        <v>27</v>
      </c>
      <c r="AD1154" t="s">
        <v>27</v>
      </c>
      <c r="AE1154" t="s">
        <v>27</v>
      </c>
      <c r="AF1154" t="s">
        <v>27</v>
      </c>
      <c r="AG1154">
        <v>12.21</v>
      </c>
    </row>
    <row r="1155" spans="1:33" x14ac:dyDescent="0.25">
      <c r="A1155" t="s">
        <v>57</v>
      </c>
      <c r="B1155" s="3">
        <v>44616</v>
      </c>
      <c r="C1155">
        <v>2022055</v>
      </c>
      <c r="D1155" t="s">
        <v>27</v>
      </c>
      <c r="E1155" t="s">
        <v>27</v>
      </c>
      <c r="F1155">
        <v>-13.6</v>
      </c>
      <c r="G1155">
        <v>-6</v>
      </c>
      <c r="H1155">
        <v>-19.8</v>
      </c>
      <c r="I1155">
        <v>75.3</v>
      </c>
      <c r="J1155">
        <v>53.9</v>
      </c>
      <c r="K1155">
        <v>0.8</v>
      </c>
      <c r="L1155">
        <v>2.6</v>
      </c>
      <c r="M1155">
        <v>0.7</v>
      </c>
      <c r="N1155">
        <v>0.94600000000000017</v>
      </c>
      <c r="O1155">
        <v>-1</v>
      </c>
      <c r="P1155" t="s">
        <v>27</v>
      </c>
      <c r="Q1155" t="s">
        <v>27</v>
      </c>
      <c r="R1155" t="s">
        <v>27</v>
      </c>
      <c r="S1155">
        <v>0</v>
      </c>
      <c r="T1155">
        <v>0.5</v>
      </c>
      <c r="U1155" t="s">
        <v>27</v>
      </c>
      <c r="V1155">
        <v>0.122</v>
      </c>
      <c r="W1155">
        <v>0.21099999999999999</v>
      </c>
      <c r="X1155">
        <v>0.18</v>
      </c>
      <c r="Y1155" t="s">
        <v>27</v>
      </c>
      <c r="Z1155" t="s">
        <v>27</v>
      </c>
      <c r="AA1155" t="s">
        <v>27</v>
      </c>
      <c r="AB1155" t="s">
        <v>27</v>
      </c>
      <c r="AC1155" t="s">
        <v>27</v>
      </c>
      <c r="AD1155" t="s">
        <v>27</v>
      </c>
      <c r="AE1155" t="s">
        <v>27</v>
      </c>
      <c r="AF1155" t="s">
        <v>27</v>
      </c>
      <c r="AG1155">
        <v>12.42</v>
      </c>
    </row>
    <row r="1156" spans="1:33" x14ac:dyDescent="0.25">
      <c r="A1156" t="s">
        <v>57</v>
      </c>
      <c r="B1156" s="3">
        <v>44617</v>
      </c>
      <c r="C1156">
        <v>2022056</v>
      </c>
      <c r="D1156" t="s">
        <v>27</v>
      </c>
      <c r="E1156" t="s">
        <v>27</v>
      </c>
      <c r="F1156">
        <v>-12.2</v>
      </c>
      <c r="G1156">
        <v>-1.2</v>
      </c>
      <c r="H1156">
        <v>-21.5</v>
      </c>
      <c r="I1156">
        <v>72.900000000000006</v>
      </c>
      <c r="J1156">
        <v>46.2</v>
      </c>
      <c r="K1156">
        <v>0.6</v>
      </c>
      <c r="L1156">
        <v>2.2000000000000002</v>
      </c>
      <c r="M1156">
        <v>0</v>
      </c>
      <c r="N1156">
        <v>0.93900000000000006</v>
      </c>
      <c r="O1156">
        <v>-1.2</v>
      </c>
      <c r="P1156" t="s">
        <v>27</v>
      </c>
      <c r="Q1156" t="s">
        <v>27</v>
      </c>
      <c r="R1156" t="s">
        <v>27</v>
      </c>
      <c r="S1156">
        <v>0</v>
      </c>
      <c r="T1156">
        <v>0.5</v>
      </c>
      <c r="U1156" t="s">
        <v>27</v>
      </c>
      <c r="V1156">
        <v>0.12</v>
      </c>
      <c r="W1156">
        <v>0.25800000000000001</v>
      </c>
      <c r="X1156">
        <v>0.3</v>
      </c>
      <c r="Y1156" t="s">
        <v>27</v>
      </c>
      <c r="Z1156" t="s">
        <v>27</v>
      </c>
      <c r="AA1156" t="s">
        <v>27</v>
      </c>
      <c r="AB1156" t="s">
        <v>27</v>
      </c>
      <c r="AC1156" t="s">
        <v>27</v>
      </c>
      <c r="AD1156" t="s">
        <v>27</v>
      </c>
      <c r="AE1156" t="s">
        <v>27</v>
      </c>
      <c r="AF1156" t="s">
        <v>27</v>
      </c>
      <c r="AG1156">
        <v>12.65</v>
      </c>
    </row>
    <row r="1157" spans="1:33" x14ac:dyDescent="0.25">
      <c r="A1157" t="s">
        <v>57</v>
      </c>
      <c r="B1157" s="3">
        <v>44618</v>
      </c>
      <c r="C1157">
        <v>2022057</v>
      </c>
      <c r="D1157" t="s">
        <v>27</v>
      </c>
      <c r="E1157" t="s">
        <v>27</v>
      </c>
      <c r="F1157">
        <v>-8.5</v>
      </c>
      <c r="G1157">
        <v>-3.7</v>
      </c>
      <c r="H1157">
        <v>-13.6</v>
      </c>
      <c r="I1157">
        <v>75.099999999999994</v>
      </c>
      <c r="J1157">
        <v>53.3</v>
      </c>
      <c r="K1157">
        <v>1.2</v>
      </c>
      <c r="L1157">
        <v>2.2999999999999998</v>
      </c>
      <c r="M1157">
        <v>0</v>
      </c>
      <c r="N1157">
        <v>0.93500000000000005</v>
      </c>
      <c r="O1157">
        <v>-1.3</v>
      </c>
      <c r="P1157" t="s">
        <v>27</v>
      </c>
      <c r="Q1157" t="s">
        <v>27</v>
      </c>
      <c r="R1157" t="s">
        <v>27</v>
      </c>
      <c r="S1157">
        <v>0</v>
      </c>
      <c r="T1157">
        <v>0.5</v>
      </c>
      <c r="U1157" t="s">
        <v>27</v>
      </c>
      <c r="V1157">
        <v>0.11899999999999999</v>
      </c>
      <c r="W1157">
        <v>0.247</v>
      </c>
      <c r="X1157">
        <v>0.216</v>
      </c>
      <c r="Y1157" t="s">
        <v>27</v>
      </c>
      <c r="Z1157" t="s">
        <v>27</v>
      </c>
      <c r="AA1157" t="s">
        <v>27</v>
      </c>
      <c r="AB1157" t="s">
        <v>27</v>
      </c>
      <c r="AC1157" t="s">
        <v>27</v>
      </c>
      <c r="AD1157" t="s">
        <v>27</v>
      </c>
      <c r="AE1157" t="s">
        <v>27</v>
      </c>
      <c r="AF1157" t="s">
        <v>27</v>
      </c>
      <c r="AG1157">
        <v>12.88</v>
      </c>
    </row>
    <row r="1158" spans="1:33" x14ac:dyDescent="0.25">
      <c r="A1158" t="s">
        <v>57</v>
      </c>
      <c r="B1158" s="3">
        <v>44619</v>
      </c>
      <c r="C1158">
        <v>2022058</v>
      </c>
      <c r="D1158" t="s">
        <v>27</v>
      </c>
      <c r="E1158" t="s">
        <v>27</v>
      </c>
      <c r="F1158">
        <v>-3.6</v>
      </c>
      <c r="G1158">
        <v>3.9</v>
      </c>
      <c r="H1158">
        <v>-7.3</v>
      </c>
      <c r="I1158">
        <v>84.9</v>
      </c>
      <c r="J1158">
        <v>52.7</v>
      </c>
      <c r="K1158">
        <v>0.8</v>
      </c>
      <c r="L1158">
        <v>2.9</v>
      </c>
      <c r="M1158">
        <v>1.3</v>
      </c>
      <c r="N1158">
        <v>0.92600000000000016</v>
      </c>
      <c r="O1158">
        <v>-1.3</v>
      </c>
      <c r="P1158" t="s">
        <v>27</v>
      </c>
      <c r="Q1158" t="s">
        <v>27</v>
      </c>
      <c r="R1158" t="s">
        <v>27</v>
      </c>
      <c r="S1158">
        <v>0</v>
      </c>
      <c r="T1158">
        <v>0.5</v>
      </c>
      <c r="U1158" t="s">
        <v>27</v>
      </c>
      <c r="V1158">
        <v>0.11700000000000001</v>
      </c>
      <c r="W1158">
        <v>0.42599999999999999</v>
      </c>
      <c r="X1158">
        <v>0.38200000000000001</v>
      </c>
      <c r="Y1158" t="s">
        <v>27</v>
      </c>
      <c r="Z1158" t="s">
        <v>27</v>
      </c>
      <c r="AA1158" t="s">
        <v>27</v>
      </c>
      <c r="AB1158" t="s">
        <v>27</v>
      </c>
      <c r="AC1158" t="s">
        <v>27</v>
      </c>
      <c r="AD1158" t="s">
        <v>27</v>
      </c>
      <c r="AE1158" t="s">
        <v>27</v>
      </c>
      <c r="AF1158" t="s">
        <v>27</v>
      </c>
      <c r="AG1158">
        <v>13.12</v>
      </c>
    </row>
    <row r="1159" spans="1:33" x14ac:dyDescent="0.25">
      <c r="A1159" t="s">
        <v>57</v>
      </c>
      <c r="B1159" s="3">
        <v>44620</v>
      </c>
      <c r="C1159">
        <v>2022059</v>
      </c>
      <c r="D1159" t="s">
        <v>27</v>
      </c>
      <c r="E1159" t="s">
        <v>27</v>
      </c>
      <c r="F1159">
        <v>-0.4</v>
      </c>
      <c r="G1159">
        <v>1.5</v>
      </c>
      <c r="H1159">
        <v>-3.1</v>
      </c>
      <c r="I1159">
        <v>93.3</v>
      </c>
      <c r="J1159">
        <v>85</v>
      </c>
      <c r="K1159">
        <v>0.5</v>
      </c>
      <c r="L1159">
        <v>2.1</v>
      </c>
      <c r="M1159">
        <v>13.2</v>
      </c>
      <c r="N1159">
        <v>1.0230000000000001</v>
      </c>
      <c r="O1159">
        <v>-1.1000000000000001</v>
      </c>
      <c r="P1159" t="s">
        <v>27</v>
      </c>
      <c r="Q1159" t="s">
        <v>27</v>
      </c>
      <c r="R1159" t="s">
        <v>27</v>
      </c>
      <c r="S1159">
        <v>0</v>
      </c>
      <c r="T1159">
        <v>0.5</v>
      </c>
      <c r="U1159" t="s">
        <v>27</v>
      </c>
      <c r="V1159">
        <v>0.11700000000000001</v>
      </c>
      <c r="W1159">
        <v>0.57799999999999996</v>
      </c>
      <c r="X1159">
        <v>0.10199999999999999</v>
      </c>
      <c r="Y1159" t="s">
        <v>27</v>
      </c>
      <c r="Z1159" t="s">
        <v>27</v>
      </c>
      <c r="AA1159" t="s">
        <v>27</v>
      </c>
      <c r="AB1159" t="s">
        <v>27</v>
      </c>
      <c r="AC1159" t="s">
        <v>27</v>
      </c>
      <c r="AD1159" t="s">
        <v>27</v>
      </c>
      <c r="AE1159" t="s">
        <v>27</v>
      </c>
      <c r="AF1159" t="s">
        <v>27</v>
      </c>
      <c r="AG1159">
        <v>13.35</v>
      </c>
    </row>
    <row r="1160" spans="1:33" x14ac:dyDescent="0.25">
      <c r="A1160" t="s">
        <v>57</v>
      </c>
      <c r="B1160" s="3">
        <v>44621</v>
      </c>
      <c r="C1160">
        <v>2022060</v>
      </c>
      <c r="D1160" t="s">
        <v>27</v>
      </c>
      <c r="E1160" t="s">
        <v>27</v>
      </c>
      <c r="F1160">
        <v>0.8</v>
      </c>
      <c r="G1160">
        <v>6.5</v>
      </c>
      <c r="H1160">
        <v>-2.8</v>
      </c>
      <c r="I1160">
        <v>90.6</v>
      </c>
      <c r="J1160">
        <v>67.400000000000006</v>
      </c>
      <c r="K1160">
        <v>0.4</v>
      </c>
      <c r="L1160">
        <v>2.4</v>
      </c>
      <c r="M1160">
        <v>2.6</v>
      </c>
      <c r="N1160">
        <v>0.98799999999999999</v>
      </c>
      <c r="O1160">
        <v>-0.9</v>
      </c>
      <c r="P1160" t="s">
        <v>27</v>
      </c>
      <c r="Q1160" t="s">
        <v>27</v>
      </c>
      <c r="R1160" t="s">
        <v>27</v>
      </c>
      <c r="S1160">
        <v>0</v>
      </c>
      <c r="T1160">
        <v>0.5</v>
      </c>
      <c r="U1160" t="s">
        <v>27</v>
      </c>
      <c r="V1160">
        <v>0.11600000000000001</v>
      </c>
      <c r="W1160">
        <v>0.65200000000000002</v>
      </c>
      <c r="X1160">
        <v>0.315</v>
      </c>
      <c r="Y1160" t="s">
        <v>27</v>
      </c>
      <c r="Z1160" t="s">
        <v>27</v>
      </c>
      <c r="AA1160" t="s">
        <v>27</v>
      </c>
      <c r="AB1160" t="s">
        <v>27</v>
      </c>
      <c r="AC1160" t="s">
        <v>27</v>
      </c>
      <c r="AD1160" t="s">
        <v>27</v>
      </c>
      <c r="AE1160" t="s">
        <v>27</v>
      </c>
      <c r="AF1160" t="s">
        <v>27</v>
      </c>
      <c r="AG1160">
        <v>13.59</v>
      </c>
    </row>
    <row r="1161" spans="1:33" x14ac:dyDescent="0.25">
      <c r="A1161" t="s">
        <v>57</v>
      </c>
      <c r="B1161" s="3">
        <v>44622</v>
      </c>
      <c r="C1161">
        <v>2022061</v>
      </c>
      <c r="D1161" t="s">
        <v>27</v>
      </c>
      <c r="E1161" t="s">
        <v>27</v>
      </c>
      <c r="F1161">
        <v>-0.3</v>
      </c>
      <c r="G1161">
        <v>4.2</v>
      </c>
      <c r="H1161">
        <v>-3.7</v>
      </c>
      <c r="I1161">
        <v>89.6</v>
      </c>
      <c r="J1161">
        <v>66.900000000000006</v>
      </c>
      <c r="K1161">
        <v>0.2</v>
      </c>
      <c r="L1161">
        <v>2.2000000000000002</v>
      </c>
      <c r="M1161">
        <v>4.9000000000000004</v>
      </c>
      <c r="N1161">
        <v>1.046</v>
      </c>
      <c r="O1161">
        <v>-0.7</v>
      </c>
      <c r="P1161" t="s">
        <v>27</v>
      </c>
      <c r="Q1161" t="s">
        <v>27</v>
      </c>
      <c r="R1161" t="s">
        <v>27</v>
      </c>
      <c r="S1161">
        <v>0</v>
      </c>
      <c r="T1161">
        <v>0.5</v>
      </c>
      <c r="U1161" t="s">
        <v>27</v>
      </c>
      <c r="V1161">
        <v>0.11799999999999999</v>
      </c>
      <c r="W1161">
        <v>0.55300000000000005</v>
      </c>
      <c r="X1161">
        <v>0.27400000000000002</v>
      </c>
      <c r="Y1161" t="s">
        <v>27</v>
      </c>
      <c r="Z1161" t="s">
        <v>27</v>
      </c>
      <c r="AA1161" t="s">
        <v>27</v>
      </c>
      <c r="AB1161" t="s">
        <v>27</v>
      </c>
      <c r="AC1161" t="s">
        <v>27</v>
      </c>
      <c r="AD1161" t="s">
        <v>27</v>
      </c>
      <c r="AE1161" t="s">
        <v>27</v>
      </c>
      <c r="AF1161" t="s">
        <v>27</v>
      </c>
      <c r="AG1161">
        <v>13.82</v>
      </c>
    </row>
    <row r="1162" spans="1:33" x14ac:dyDescent="0.25">
      <c r="A1162" t="s">
        <v>57</v>
      </c>
      <c r="B1162" s="3">
        <v>44623</v>
      </c>
      <c r="C1162">
        <v>2022062</v>
      </c>
      <c r="D1162" t="s">
        <v>27</v>
      </c>
      <c r="E1162" t="s">
        <v>27</v>
      </c>
      <c r="F1162">
        <v>-1.1000000000000001</v>
      </c>
      <c r="G1162">
        <v>2.6</v>
      </c>
      <c r="H1162">
        <v>-2.9</v>
      </c>
      <c r="I1162">
        <v>87.2</v>
      </c>
      <c r="J1162">
        <v>66.400000000000006</v>
      </c>
      <c r="K1162">
        <v>0.7</v>
      </c>
      <c r="L1162">
        <v>3</v>
      </c>
      <c r="M1162">
        <v>2.1</v>
      </c>
      <c r="N1162">
        <v>1.0250000000000001</v>
      </c>
      <c r="O1162">
        <v>-0.5</v>
      </c>
      <c r="P1162" t="s">
        <v>27</v>
      </c>
      <c r="Q1162" t="s">
        <v>27</v>
      </c>
      <c r="R1162" t="s">
        <v>27</v>
      </c>
      <c r="S1162">
        <v>0</v>
      </c>
      <c r="T1162">
        <v>0.5</v>
      </c>
      <c r="U1162" t="s">
        <v>27</v>
      </c>
      <c r="V1162">
        <v>0.11899999999999999</v>
      </c>
      <c r="W1162">
        <v>0.49</v>
      </c>
      <c r="X1162">
        <v>0.248</v>
      </c>
      <c r="Y1162" t="s">
        <v>27</v>
      </c>
      <c r="Z1162" t="s">
        <v>27</v>
      </c>
      <c r="AA1162" t="s">
        <v>27</v>
      </c>
      <c r="AB1162" t="s">
        <v>27</v>
      </c>
      <c r="AC1162" t="s">
        <v>27</v>
      </c>
      <c r="AD1162" t="s">
        <v>27</v>
      </c>
      <c r="AE1162" t="s">
        <v>27</v>
      </c>
      <c r="AF1162" t="s">
        <v>27</v>
      </c>
      <c r="AG1162">
        <v>14.07</v>
      </c>
    </row>
    <row r="1163" spans="1:33" x14ac:dyDescent="0.25">
      <c r="A1163" t="s">
        <v>57</v>
      </c>
      <c r="B1163" s="3">
        <v>44624</v>
      </c>
      <c r="C1163">
        <v>2022063</v>
      </c>
      <c r="D1163" t="s">
        <v>27</v>
      </c>
      <c r="E1163" t="s">
        <v>27</v>
      </c>
      <c r="F1163">
        <v>-2.7</v>
      </c>
      <c r="G1163">
        <v>2.2000000000000002</v>
      </c>
      <c r="H1163">
        <v>-9.6</v>
      </c>
      <c r="I1163">
        <v>79.7</v>
      </c>
      <c r="J1163">
        <v>54.4</v>
      </c>
      <c r="K1163">
        <v>1</v>
      </c>
      <c r="L1163">
        <v>3</v>
      </c>
      <c r="M1163">
        <v>0.4</v>
      </c>
      <c r="N1163">
        <v>1.0250000000000001</v>
      </c>
      <c r="O1163">
        <v>-0.4</v>
      </c>
      <c r="P1163" t="s">
        <v>27</v>
      </c>
      <c r="Q1163" t="s">
        <v>27</v>
      </c>
      <c r="R1163" t="s">
        <v>27</v>
      </c>
      <c r="S1163">
        <v>0</v>
      </c>
      <c r="T1163">
        <v>0.5</v>
      </c>
      <c r="U1163" t="s">
        <v>27</v>
      </c>
      <c r="V1163">
        <v>0.12</v>
      </c>
      <c r="W1163">
        <v>0.38800000000000001</v>
      </c>
      <c r="X1163">
        <v>0.32500000000000001</v>
      </c>
      <c r="Y1163" t="s">
        <v>27</v>
      </c>
      <c r="Z1163" t="s">
        <v>27</v>
      </c>
      <c r="AA1163" t="s">
        <v>27</v>
      </c>
      <c r="AB1163" t="s">
        <v>27</v>
      </c>
      <c r="AC1163" t="s">
        <v>27</v>
      </c>
      <c r="AD1163" t="s">
        <v>27</v>
      </c>
      <c r="AE1163" t="s">
        <v>27</v>
      </c>
      <c r="AF1163" t="s">
        <v>27</v>
      </c>
      <c r="AG1163">
        <v>14.31</v>
      </c>
    </row>
    <row r="1164" spans="1:33" x14ac:dyDescent="0.25">
      <c r="A1164" t="s">
        <v>57</v>
      </c>
      <c r="B1164" s="3">
        <v>44625</v>
      </c>
      <c r="C1164">
        <v>2022064</v>
      </c>
      <c r="D1164" t="s">
        <v>27</v>
      </c>
      <c r="E1164" t="s">
        <v>27</v>
      </c>
      <c r="F1164">
        <v>-5.3</v>
      </c>
      <c r="G1164">
        <v>1.4</v>
      </c>
      <c r="H1164">
        <v>-13.7</v>
      </c>
      <c r="I1164">
        <v>69.8</v>
      </c>
      <c r="J1164">
        <v>47</v>
      </c>
      <c r="K1164">
        <v>0</v>
      </c>
      <c r="L1164">
        <v>1.2</v>
      </c>
      <c r="M1164">
        <v>0</v>
      </c>
      <c r="N1164">
        <v>1.0210000000000001</v>
      </c>
      <c r="O1164">
        <v>-0.4</v>
      </c>
      <c r="P1164" t="s">
        <v>27</v>
      </c>
      <c r="Q1164" t="s">
        <v>27</v>
      </c>
      <c r="R1164" t="s">
        <v>27</v>
      </c>
      <c r="S1164">
        <v>0</v>
      </c>
      <c r="T1164">
        <v>0.5</v>
      </c>
      <c r="U1164" t="s">
        <v>27</v>
      </c>
      <c r="V1164">
        <v>0.121</v>
      </c>
      <c r="W1164">
        <v>0.318</v>
      </c>
      <c r="X1164">
        <v>0.35899999999999999</v>
      </c>
      <c r="Y1164" t="s">
        <v>27</v>
      </c>
      <c r="Z1164" t="s">
        <v>27</v>
      </c>
      <c r="AA1164" t="s">
        <v>27</v>
      </c>
      <c r="AB1164" t="s">
        <v>27</v>
      </c>
      <c r="AC1164" t="s">
        <v>27</v>
      </c>
      <c r="AD1164" t="s">
        <v>27</v>
      </c>
      <c r="AE1164" t="s">
        <v>27</v>
      </c>
      <c r="AF1164" t="s">
        <v>27</v>
      </c>
      <c r="AG1164">
        <v>14.55</v>
      </c>
    </row>
    <row r="1165" spans="1:33" x14ac:dyDescent="0.25">
      <c r="A1165" t="s">
        <v>57</v>
      </c>
      <c r="B1165" s="3">
        <v>44626</v>
      </c>
      <c r="C1165">
        <v>2022065</v>
      </c>
      <c r="D1165" t="s">
        <v>27</v>
      </c>
      <c r="E1165" t="s">
        <v>27</v>
      </c>
      <c r="F1165">
        <v>-3.7</v>
      </c>
      <c r="G1165">
        <v>2.7</v>
      </c>
      <c r="H1165">
        <v>-13.9</v>
      </c>
      <c r="I1165">
        <v>62.4</v>
      </c>
      <c r="J1165">
        <v>31.6</v>
      </c>
      <c r="K1165">
        <v>0.9</v>
      </c>
      <c r="L1165">
        <v>3</v>
      </c>
      <c r="M1165">
        <v>0</v>
      </c>
      <c r="N1165">
        <v>1.0150000000000001</v>
      </c>
      <c r="O1165">
        <v>-0.4</v>
      </c>
      <c r="P1165" t="s">
        <v>27</v>
      </c>
      <c r="Q1165" t="s">
        <v>27</v>
      </c>
      <c r="R1165" t="s">
        <v>27</v>
      </c>
      <c r="S1165">
        <v>0</v>
      </c>
      <c r="T1165">
        <v>0.5</v>
      </c>
      <c r="U1165" t="s">
        <v>27</v>
      </c>
      <c r="V1165">
        <v>0.121</v>
      </c>
      <c r="W1165">
        <v>0.23400000000000001</v>
      </c>
      <c r="X1165">
        <v>0.50700000000000001</v>
      </c>
      <c r="Y1165" t="s">
        <v>27</v>
      </c>
      <c r="Z1165" t="s">
        <v>27</v>
      </c>
      <c r="AA1165" t="s">
        <v>27</v>
      </c>
      <c r="AB1165" t="s">
        <v>27</v>
      </c>
      <c r="AC1165" t="s">
        <v>27</v>
      </c>
      <c r="AD1165" t="s">
        <v>27</v>
      </c>
      <c r="AE1165" t="s">
        <v>27</v>
      </c>
      <c r="AF1165" t="s">
        <v>27</v>
      </c>
      <c r="AG1165">
        <v>14.8</v>
      </c>
    </row>
    <row r="1166" spans="1:33" x14ac:dyDescent="0.25">
      <c r="A1166" t="s">
        <v>57</v>
      </c>
      <c r="B1166" s="3">
        <v>44627</v>
      </c>
      <c r="C1166">
        <v>2022066</v>
      </c>
      <c r="D1166" t="s">
        <v>27</v>
      </c>
      <c r="E1166" t="s">
        <v>27</v>
      </c>
      <c r="F1166">
        <v>0.6</v>
      </c>
      <c r="G1166">
        <v>4.2</v>
      </c>
      <c r="H1166">
        <v>-3.1</v>
      </c>
      <c r="I1166">
        <v>59.9</v>
      </c>
      <c r="J1166">
        <v>44.2</v>
      </c>
      <c r="K1166">
        <v>1.9</v>
      </c>
      <c r="L1166">
        <v>4.5999999999999996</v>
      </c>
      <c r="M1166">
        <v>0</v>
      </c>
      <c r="N1166">
        <v>0.99700000000000011</v>
      </c>
      <c r="O1166">
        <v>-0.4</v>
      </c>
      <c r="P1166" t="s">
        <v>27</v>
      </c>
      <c r="Q1166" t="s">
        <v>27</v>
      </c>
      <c r="R1166" t="s">
        <v>27</v>
      </c>
      <c r="S1166">
        <v>0.1</v>
      </c>
      <c r="T1166">
        <v>0.5</v>
      </c>
      <c r="U1166" t="s">
        <v>27</v>
      </c>
      <c r="V1166">
        <v>0.121</v>
      </c>
      <c r="W1166">
        <v>0.36599999999999999</v>
      </c>
      <c r="X1166">
        <v>0.46200000000000002</v>
      </c>
      <c r="Y1166" t="s">
        <v>27</v>
      </c>
      <c r="Z1166" t="s">
        <v>27</v>
      </c>
      <c r="AA1166" t="s">
        <v>27</v>
      </c>
      <c r="AB1166" t="s">
        <v>27</v>
      </c>
      <c r="AC1166" t="s">
        <v>27</v>
      </c>
      <c r="AD1166" t="s">
        <v>27</v>
      </c>
      <c r="AE1166" t="s">
        <v>27</v>
      </c>
      <c r="AF1166" t="s">
        <v>27</v>
      </c>
      <c r="AG1166">
        <v>15.04</v>
      </c>
    </row>
    <row r="1167" spans="1:33" x14ac:dyDescent="0.25">
      <c r="A1167" t="s">
        <v>57</v>
      </c>
      <c r="B1167" s="3">
        <v>44628</v>
      </c>
      <c r="C1167">
        <v>2022067</v>
      </c>
      <c r="D1167" t="s">
        <v>27</v>
      </c>
      <c r="E1167" t="s">
        <v>27</v>
      </c>
      <c r="F1167">
        <v>-6.1</v>
      </c>
      <c r="G1167">
        <v>-2.1</v>
      </c>
      <c r="H1167">
        <v>-11.2</v>
      </c>
      <c r="I1167">
        <v>47.8</v>
      </c>
      <c r="J1167">
        <v>30</v>
      </c>
      <c r="K1167">
        <v>1.4</v>
      </c>
      <c r="L1167">
        <v>3.2</v>
      </c>
      <c r="M1167">
        <v>0</v>
      </c>
      <c r="N1167">
        <v>1</v>
      </c>
      <c r="O1167">
        <v>-0.4</v>
      </c>
      <c r="P1167" t="s">
        <v>27</v>
      </c>
      <c r="Q1167" t="s">
        <v>27</v>
      </c>
      <c r="R1167" t="s">
        <v>27</v>
      </c>
      <c r="S1167">
        <v>0</v>
      </c>
      <c r="T1167">
        <v>0.5</v>
      </c>
      <c r="U1167" t="s">
        <v>27</v>
      </c>
      <c r="V1167">
        <v>0.122</v>
      </c>
      <c r="W1167">
        <v>0.157</v>
      </c>
      <c r="X1167">
        <v>0.36599999999999999</v>
      </c>
      <c r="Y1167" t="s">
        <v>27</v>
      </c>
      <c r="Z1167" t="s">
        <v>27</v>
      </c>
      <c r="AA1167" t="s">
        <v>27</v>
      </c>
      <c r="AB1167" t="s">
        <v>27</v>
      </c>
      <c r="AC1167" t="s">
        <v>27</v>
      </c>
      <c r="AD1167" t="s">
        <v>27</v>
      </c>
      <c r="AE1167" t="s">
        <v>27</v>
      </c>
      <c r="AF1167" t="s">
        <v>27</v>
      </c>
      <c r="AG1167">
        <v>15.29</v>
      </c>
    </row>
    <row r="1168" spans="1:33" x14ac:dyDescent="0.25">
      <c r="A1168" t="s">
        <v>57</v>
      </c>
      <c r="B1168" s="3">
        <v>44629</v>
      </c>
      <c r="C1168">
        <v>2022068</v>
      </c>
      <c r="D1168" t="s">
        <v>27</v>
      </c>
      <c r="E1168" t="s">
        <v>27</v>
      </c>
      <c r="F1168">
        <v>-13.4</v>
      </c>
      <c r="G1168">
        <v>-5.9</v>
      </c>
      <c r="H1168">
        <v>-21.4</v>
      </c>
      <c r="I1168">
        <v>51</v>
      </c>
      <c r="J1168">
        <v>24.9</v>
      </c>
      <c r="K1168">
        <v>0.3</v>
      </c>
      <c r="L1168">
        <v>2.2000000000000002</v>
      </c>
      <c r="M1168">
        <v>0</v>
      </c>
      <c r="N1168">
        <v>0.99900000000000011</v>
      </c>
      <c r="O1168">
        <v>-0.5</v>
      </c>
      <c r="P1168" t="s">
        <v>27</v>
      </c>
      <c r="Q1168" t="s">
        <v>27</v>
      </c>
      <c r="R1168" t="s">
        <v>27</v>
      </c>
      <c r="S1168">
        <v>0</v>
      </c>
      <c r="T1168">
        <v>0.4</v>
      </c>
      <c r="U1168" t="s">
        <v>27</v>
      </c>
      <c r="V1168">
        <v>0.121</v>
      </c>
      <c r="W1168">
        <v>9.8000000000000004E-2</v>
      </c>
      <c r="X1168">
        <v>0.29599999999999999</v>
      </c>
      <c r="Y1168" t="s">
        <v>27</v>
      </c>
      <c r="Z1168" t="s">
        <v>27</v>
      </c>
      <c r="AA1168" t="s">
        <v>27</v>
      </c>
      <c r="AB1168" t="s">
        <v>27</v>
      </c>
      <c r="AC1168" t="s">
        <v>27</v>
      </c>
      <c r="AD1168" t="s">
        <v>27</v>
      </c>
      <c r="AE1168" t="s">
        <v>27</v>
      </c>
      <c r="AF1168" t="s">
        <v>27</v>
      </c>
      <c r="AG1168">
        <v>15.55</v>
      </c>
    </row>
    <row r="1169" spans="1:33" x14ac:dyDescent="0.25">
      <c r="A1169" t="s">
        <v>57</v>
      </c>
      <c r="B1169" s="3">
        <v>44630</v>
      </c>
      <c r="C1169">
        <v>2022069</v>
      </c>
      <c r="D1169" t="s">
        <v>27</v>
      </c>
      <c r="E1169" t="s">
        <v>27</v>
      </c>
      <c r="F1169">
        <v>-8.1</v>
      </c>
      <c r="G1169">
        <v>-0.1</v>
      </c>
      <c r="H1169">
        <v>-21.4</v>
      </c>
      <c r="I1169">
        <v>42.8</v>
      </c>
      <c r="J1169">
        <v>18.100000000000001</v>
      </c>
      <c r="K1169">
        <v>0.4</v>
      </c>
      <c r="L1169">
        <v>2.7</v>
      </c>
      <c r="M1169">
        <v>0</v>
      </c>
      <c r="N1169">
        <v>0.99500000000000011</v>
      </c>
      <c r="O1169">
        <v>-0.6</v>
      </c>
      <c r="P1169" t="s">
        <v>27</v>
      </c>
      <c r="Q1169" t="s">
        <v>27</v>
      </c>
      <c r="R1169" t="s">
        <v>27</v>
      </c>
      <c r="S1169">
        <v>0</v>
      </c>
      <c r="T1169">
        <v>0.5</v>
      </c>
      <c r="U1169" t="s">
        <v>27</v>
      </c>
      <c r="V1169">
        <v>0.121</v>
      </c>
      <c r="W1169">
        <v>0.109</v>
      </c>
      <c r="X1169">
        <v>0.49299999999999999</v>
      </c>
      <c r="Y1169" t="s">
        <v>27</v>
      </c>
      <c r="Z1169" t="s">
        <v>27</v>
      </c>
      <c r="AA1169" t="s">
        <v>27</v>
      </c>
      <c r="AB1169" t="s">
        <v>27</v>
      </c>
      <c r="AC1169" t="s">
        <v>27</v>
      </c>
      <c r="AD1169" t="s">
        <v>27</v>
      </c>
      <c r="AE1169" t="s">
        <v>27</v>
      </c>
      <c r="AF1169" t="s">
        <v>27</v>
      </c>
      <c r="AG1169">
        <v>15.8</v>
      </c>
    </row>
    <row r="1170" spans="1:33" x14ac:dyDescent="0.25">
      <c r="A1170" t="s">
        <v>57</v>
      </c>
      <c r="B1170" s="3">
        <v>44631</v>
      </c>
      <c r="C1170">
        <v>2022070</v>
      </c>
      <c r="D1170" t="s">
        <v>27</v>
      </c>
      <c r="E1170" t="s">
        <v>27</v>
      </c>
      <c r="F1170">
        <v>-6</v>
      </c>
      <c r="G1170">
        <v>-1.1000000000000001</v>
      </c>
      <c r="H1170">
        <v>-12.3</v>
      </c>
      <c r="I1170">
        <v>82.1</v>
      </c>
      <c r="J1170">
        <v>55.3</v>
      </c>
      <c r="K1170">
        <v>0.4</v>
      </c>
      <c r="L1170">
        <v>2</v>
      </c>
      <c r="M1170">
        <v>1.4</v>
      </c>
      <c r="N1170">
        <v>1.008</v>
      </c>
      <c r="O1170">
        <v>-0.8</v>
      </c>
      <c r="P1170" t="s">
        <v>27</v>
      </c>
      <c r="Q1170" t="s">
        <v>27</v>
      </c>
      <c r="R1170" t="s">
        <v>27</v>
      </c>
      <c r="S1170">
        <v>0</v>
      </c>
      <c r="T1170">
        <v>0.5</v>
      </c>
      <c r="U1170" t="s">
        <v>27</v>
      </c>
      <c r="V1170">
        <v>0.12</v>
      </c>
      <c r="W1170">
        <v>0.312</v>
      </c>
      <c r="X1170">
        <v>0.252</v>
      </c>
      <c r="Y1170" t="s">
        <v>27</v>
      </c>
      <c r="Z1170" t="s">
        <v>27</v>
      </c>
      <c r="AA1170" t="s">
        <v>27</v>
      </c>
      <c r="AB1170" t="s">
        <v>27</v>
      </c>
      <c r="AC1170" t="s">
        <v>27</v>
      </c>
      <c r="AD1170" t="s">
        <v>27</v>
      </c>
      <c r="AE1170" t="s">
        <v>27</v>
      </c>
      <c r="AF1170" t="s">
        <v>27</v>
      </c>
      <c r="AG1170">
        <v>16.05</v>
      </c>
    </row>
    <row r="1171" spans="1:33" x14ac:dyDescent="0.25">
      <c r="A1171" t="s">
        <v>57</v>
      </c>
      <c r="B1171" s="3">
        <v>44632</v>
      </c>
      <c r="C1171">
        <v>2022071</v>
      </c>
      <c r="D1171" t="s">
        <v>27</v>
      </c>
      <c r="E1171" t="s">
        <v>27</v>
      </c>
      <c r="F1171">
        <v>-2.2000000000000002</v>
      </c>
      <c r="G1171">
        <v>2.7</v>
      </c>
      <c r="H1171">
        <v>-5.8</v>
      </c>
      <c r="I1171">
        <v>88.3</v>
      </c>
      <c r="J1171">
        <v>72.400000000000006</v>
      </c>
      <c r="K1171">
        <v>0.3</v>
      </c>
      <c r="L1171">
        <v>1.7</v>
      </c>
      <c r="M1171">
        <v>4.5999999999999996</v>
      </c>
      <c r="N1171">
        <v>1.052</v>
      </c>
      <c r="O1171">
        <v>-0.9</v>
      </c>
      <c r="P1171" t="s">
        <v>27</v>
      </c>
      <c r="Q1171" t="s">
        <v>27</v>
      </c>
      <c r="R1171" t="s">
        <v>27</v>
      </c>
      <c r="S1171">
        <v>0</v>
      </c>
      <c r="T1171">
        <v>0.5</v>
      </c>
      <c r="U1171" t="s">
        <v>27</v>
      </c>
      <c r="V1171">
        <v>0.11899999999999999</v>
      </c>
      <c r="W1171">
        <v>0.53800000000000003</v>
      </c>
      <c r="X1171">
        <v>0.20499999999999999</v>
      </c>
      <c r="Y1171" t="s">
        <v>27</v>
      </c>
      <c r="Z1171" t="s">
        <v>27</v>
      </c>
      <c r="AA1171" t="s">
        <v>27</v>
      </c>
      <c r="AB1171" t="s">
        <v>27</v>
      </c>
      <c r="AC1171" t="s">
        <v>27</v>
      </c>
      <c r="AD1171" t="s">
        <v>27</v>
      </c>
      <c r="AE1171" t="s">
        <v>27</v>
      </c>
      <c r="AF1171" t="s">
        <v>27</v>
      </c>
      <c r="AG1171">
        <v>16.309999999999999</v>
      </c>
    </row>
    <row r="1172" spans="1:33" x14ac:dyDescent="0.25">
      <c r="A1172" t="s">
        <v>57</v>
      </c>
      <c r="B1172" s="3">
        <v>44633</v>
      </c>
      <c r="C1172">
        <v>2022072</v>
      </c>
      <c r="D1172" t="s">
        <v>27</v>
      </c>
      <c r="E1172" t="s">
        <v>27</v>
      </c>
      <c r="F1172">
        <v>-1.3</v>
      </c>
      <c r="G1172">
        <v>7.5</v>
      </c>
      <c r="H1172">
        <v>-11.4</v>
      </c>
      <c r="I1172">
        <v>76.8</v>
      </c>
      <c r="J1172">
        <v>42</v>
      </c>
      <c r="K1172">
        <v>0.6</v>
      </c>
      <c r="L1172">
        <v>2.7</v>
      </c>
      <c r="M1172">
        <v>1.2</v>
      </c>
      <c r="N1172">
        <v>1.006</v>
      </c>
      <c r="O1172">
        <v>-0.8</v>
      </c>
      <c r="P1172" t="s">
        <v>27</v>
      </c>
      <c r="Q1172" t="s">
        <v>27</v>
      </c>
      <c r="R1172" t="s">
        <v>27</v>
      </c>
      <c r="S1172">
        <v>0</v>
      </c>
      <c r="T1172">
        <v>0.5</v>
      </c>
      <c r="U1172" t="s">
        <v>27</v>
      </c>
      <c r="V1172">
        <v>0.11799999999999999</v>
      </c>
      <c r="W1172">
        <v>0.434</v>
      </c>
      <c r="X1172">
        <v>0.59899999999999998</v>
      </c>
      <c r="Y1172" t="s">
        <v>27</v>
      </c>
      <c r="Z1172" t="s">
        <v>27</v>
      </c>
      <c r="AA1172" t="s">
        <v>27</v>
      </c>
      <c r="AB1172" t="s">
        <v>27</v>
      </c>
      <c r="AC1172" t="s">
        <v>27</v>
      </c>
      <c r="AD1172" t="s">
        <v>27</v>
      </c>
      <c r="AE1172" t="s">
        <v>27</v>
      </c>
      <c r="AF1172" t="s">
        <v>27</v>
      </c>
      <c r="AG1172">
        <v>16.559999999999999</v>
      </c>
    </row>
    <row r="1173" spans="1:33" x14ac:dyDescent="0.25">
      <c r="A1173" t="s">
        <v>57</v>
      </c>
      <c r="B1173" s="3">
        <v>44634</v>
      </c>
      <c r="C1173">
        <v>2022073</v>
      </c>
      <c r="D1173" t="s">
        <v>27</v>
      </c>
      <c r="E1173" t="s">
        <v>27</v>
      </c>
      <c r="F1173">
        <v>0.6</v>
      </c>
      <c r="G1173">
        <v>5</v>
      </c>
      <c r="H1173">
        <v>-1.5</v>
      </c>
      <c r="I1173">
        <v>84.7</v>
      </c>
      <c r="J1173">
        <v>55.3</v>
      </c>
      <c r="K1173">
        <v>0.6</v>
      </c>
      <c r="L1173">
        <v>3.3</v>
      </c>
      <c r="M1173">
        <v>13.6</v>
      </c>
      <c r="N1173">
        <v>1.163</v>
      </c>
      <c r="O1173">
        <v>-0.7</v>
      </c>
      <c r="P1173" t="s">
        <v>27</v>
      </c>
      <c r="Q1173" t="s">
        <v>27</v>
      </c>
      <c r="R1173" t="s">
        <v>27</v>
      </c>
      <c r="S1173">
        <v>0.1</v>
      </c>
      <c r="T1173">
        <v>0.5</v>
      </c>
      <c r="U1173" t="s">
        <v>27</v>
      </c>
      <c r="V1173">
        <v>0.11799999999999999</v>
      </c>
      <c r="W1173">
        <v>0.48299999999999998</v>
      </c>
      <c r="X1173">
        <v>0.39</v>
      </c>
      <c r="Y1173" t="s">
        <v>27</v>
      </c>
      <c r="Z1173" t="s">
        <v>27</v>
      </c>
      <c r="AA1173" t="s">
        <v>27</v>
      </c>
      <c r="AB1173" t="s">
        <v>27</v>
      </c>
      <c r="AC1173" t="s">
        <v>27</v>
      </c>
      <c r="AD1173" t="s">
        <v>27</v>
      </c>
      <c r="AE1173" t="s">
        <v>27</v>
      </c>
      <c r="AF1173" t="s">
        <v>27</v>
      </c>
      <c r="AG1173">
        <v>16.82</v>
      </c>
    </row>
    <row r="1174" spans="1:33" x14ac:dyDescent="0.25">
      <c r="A1174" t="s">
        <v>57</v>
      </c>
      <c r="B1174" s="3">
        <v>44635</v>
      </c>
      <c r="C1174">
        <v>2022074</v>
      </c>
      <c r="D1174" t="s">
        <v>27</v>
      </c>
      <c r="E1174" t="s">
        <v>27</v>
      </c>
      <c r="F1174">
        <v>-0.9</v>
      </c>
      <c r="G1174">
        <v>2.2000000000000002</v>
      </c>
      <c r="H1174">
        <v>-2.8</v>
      </c>
      <c r="I1174">
        <v>80.400000000000006</v>
      </c>
      <c r="J1174">
        <v>58.1</v>
      </c>
      <c r="K1174">
        <v>1.3</v>
      </c>
      <c r="L1174">
        <v>4</v>
      </c>
      <c r="M1174">
        <v>1.9</v>
      </c>
      <c r="N1174">
        <v>1.0750000000000002</v>
      </c>
      <c r="O1174">
        <v>-0.6</v>
      </c>
      <c r="P1174" t="s">
        <v>27</v>
      </c>
      <c r="Q1174" t="s">
        <v>27</v>
      </c>
      <c r="R1174" t="s">
        <v>27</v>
      </c>
      <c r="S1174">
        <v>0.1</v>
      </c>
      <c r="T1174">
        <v>0.5</v>
      </c>
      <c r="U1174" t="s">
        <v>27</v>
      </c>
      <c r="V1174">
        <v>0.11799999999999999</v>
      </c>
      <c r="W1174">
        <v>0.41599999999999998</v>
      </c>
      <c r="X1174">
        <v>0.3</v>
      </c>
      <c r="Y1174" t="s">
        <v>27</v>
      </c>
      <c r="Z1174" t="s">
        <v>27</v>
      </c>
      <c r="AA1174" t="s">
        <v>27</v>
      </c>
      <c r="AB1174" t="s">
        <v>27</v>
      </c>
      <c r="AC1174" t="s">
        <v>27</v>
      </c>
      <c r="AD1174" t="s">
        <v>27</v>
      </c>
      <c r="AE1174" t="s">
        <v>27</v>
      </c>
      <c r="AF1174" t="s">
        <v>27</v>
      </c>
      <c r="AG1174">
        <v>17.079999999999998</v>
      </c>
    </row>
    <row r="1175" spans="1:33" x14ac:dyDescent="0.25">
      <c r="A1175" t="s">
        <v>57</v>
      </c>
      <c r="B1175" s="3">
        <v>44636</v>
      </c>
      <c r="C1175">
        <v>2022075</v>
      </c>
      <c r="D1175" t="s">
        <v>27</v>
      </c>
      <c r="E1175" t="s">
        <v>27</v>
      </c>
      <c r="F1175">
        <v>-2.4</v>
      </c>
      <c r="G1175">
        <v>4.2</v>
      </c>
      <c r="H1175">
        <v>-9.1</v>
      </c>
      <c r="I1175">
        <v>69.3</v>
      </c>
      <c r="J1175">
        <v>42.1</v>
      </c>
      <c r="K1175">
        <v>1.4</v>
      </c>
      <c r="L1175">
        <v>3.9</v>
      </c>
      <c r="M1175">
        <v>0.7</v>
      </c>
      <c r="N1175">
        <v>1.0640000000000001</v>
      </c>
      <c r="O1175">
        <v>-0.4</v>
      </c>
      <c r="P1175" t="s">
        <v>27</v>
      </c>
      <c r="Q1175" t="s">
        <v>27</v>
      </c>
      <c r="R1175" t="s">
        <v>27</v>
      </c>
      <c r="S1175">
        <v>0.1</v>
      </c>
      <c r="T1175">
        <v>0.5</v>
      </c>
      <c r="U1175" t="s">
        <v>27</v>
      </c>
      <c r="V1175">
        <v>0.11899999999999999</v>
      </c>
      <c r="W1175">
        <v>0.34599999999999997</v>
      </c>
      <c r="X1175">
        <v>0.47599999999999998</v>
      </c>
      <c r="Y1175" t="s">
        <v>27</v>
      </c>
      <c r="Z1175" t="s">
        <v>27</v>
      </c>
      <c r="AA1175" t="s">
        <v>27</v>
      </c>
      <c r="AB1175" t="s">
        <v>27</v>
      </c>
      <c r="AC1175" t="s">
        <v>27</v>
      </c>
      <c r="AD1175" t="s">
        <v>27</v>
      </c>
      <c r="AE1175" t="s">
        <v>27</v>
      </c>
      <c r="AF1175" t="s">
        <v>27</v>
      </c>
      <c r="AG1175">
        <v>17.34</v>
      </c>
    </row>
    <row r="1176" spans="1:33" x14ac:dyDescent="0.25">
      <c r="A1176" t="s">
        <v>57</v>
      </c>
      <c r="B1176" s="3">
        <v>44637</v>
      </c>
      <c r="C1176">
        <v>2022076</v>
      </c>
      <c r="D1176" t="s">
        <v>27</v>
      </c>
      <c r="E1176" t="s">
        <v>27</v>
      </c>
      <c r="F1176">
        <v>-2.6</v>
      </c>
      <c r="G1176">
        <v>1</v>
      </c>
      <c r="H1176">
        <v>-8.5</v>
      </c>
      <c r="I1176">
        <v>87.2</v>
      </c>
      <c r="J1176">
        <v>67.400000000000006</v>
      </c>
      <c r="K1176">
        <v>0.6</v>
      </c>
      <c r="L1176">
        <v>2.6</v>
      </c>
      <c r="M1176">
        <v>2.1</v>
      </c>
      <c r="N1176">
        <v>1.0920000000000001</v>
      </c>
      <c r="O1176">
        <v>-0.2</v>
      </c>
      <c r="P1176" t="s">
        <v>27</v>
      </c>
      <c r="Q1176" t="s">
        <v>27</v>
      </c>
      <c r="R1176" t="s">
        <v>27</v>
      </c>
      <c r="S1176">
        <v>0.1</v>
      </c>
      <c r="T1176">
        <v>0.5</v>
      </c>
      <c r="U1176" t="s">
        <v>27</v>
      </c>
      <c r="V1176">
        <v>0.11899999999999999</v>
      </c>
      <c r="W1176">
        <v>0.443</v>
      </c>
      <c r="X1176">
        <v>0.214</v>
      </c>
      <c r="Y1176" t="s">
        <v>27</v>
      </c>
      <c r="Z1176" t="s">
        <v>27</v>
      </c>
      <c r="AA1176" t="s">
        <v>27</v>
      </c>
      <c r="AB1176" t="s">
        <v>27</v>
      </c>
      <c r="AC1176" t="s">
        <v>27</v>
      </c>
      <c r="AD1176" t="s">
        <v>27</v>
      </c>
      <c r="AE1176" t="s">
        <v>27</v>
      </c>
      <c r="AF1176" t="s">
        <v>27</v>
      </c>
      <c r="AG1176">
        <v>17.600000000000001</v>
      </c>
    </row>
    <row r="1177" spans="1:33" x14ac:dyDescent="0.25">
      <c r="A1177" t="s">
        <v>57</v>
      </c>
      <c r="B1177" s="3">
        <v>44638</v>
      </c>
      <c r="C1177">
        <v>2022077</v>
      </c>
      <c r="D1177" t="s">
        <v>27</v>
      </c>
      <c r="E1177" t="s">
        <v>27</v>
      </c>
      <c r="F1177">
        <v>-0.9</v>
      </c>
      <c r="G1177">
        <v>5</v>
      </c>
      <c r="H1177">
        <v>-6.9</v>
      </c>
      <c r="I1177">
        <v>82.2</v>
      </c>
      <c r="J1177">
        <v>48.5</v>
      </c>
      <c r="K1177">
        <v>0.7</v>
      </c>
      <c r="L1177">
        <v>2.7</v>
      </c>
      <c r="M1177">
        <v>0.7</v>
      </c>
      <c r="N1177">
        <v>1.0640000000000001</v>
      </c>
      <c r="O1177">
        <v>-0.2</v>
      </c>
      <c r="P1177" t="s">
        <v>27</v>
      </c>
      <c r="Q1177" t="s">
        <v>27</v>
      </c>
      <c r="R1177" t="s">
        <v>27</v>
      </c>
      <c r="S1177">
        <v>0.1</v>
      </c>
      <c r="T1177">
        <v>0.5</v>
      </c>
      <c r="U1177" t="s">
        <v>27</v>
      </c>
      <c r="V1177">
        <v>0.12</v>
      </c>
      <c r="W1177">
        <v>0.42399999999999999</v>
      </c>
      <c r="X1177">
        <v>0.45</v>
      </c>
      <c r="Y1177" t="s">
        <v>27</v>
      </c>
      <c r="Z1177" t="s">
        <v>27</v>
      </c>
      <c r="AA1177" t="s">
        <v>27</v>
      </c>
      <c r="AB1177" t="s">
        <v>27</v>
      </c>
      <c r="AC1177" t="s">
        <v>27</v>
      </c>
      <c r="AD1177" t="s">
        <v>27</v>
      </c>
      <c r="AE1177" t="s">
        <v>27</v>
      </c>
      <c r="AF1177" t="s">
        <v>27</v>
      </c>
      <c r="AG1177">
        <v>17.850000000000001</v>
      </c>
    </row>
    <row r="1178" spans="1:33" x14ac:dyDescent="0.25">
      <c r="A1178" t="s">
        <v>57</v>
      </c>
      <c r="B1178" s="3">
        <v>44639</v>
      </c>
      <c r="C1178">
        <v>2022078</v>
      </c>
      <c r="D1178" t="s">
        <v>27</v>
      </c>
      <c r="E1178" t="s">
        <v>27</v>
      </c>
      <c r="F1178">
        <v>-2</v>
      </c>
      <c r="G1178">
        <v>1.6</v>
      </c>
      <c r="H1178">
        <v>-7</v>
      </c>
      <c r="I1178">
        <v>81</v>
      </c>
      <c r="J1178">
        <v>51</v>
      </c>
      <c r="K1178">
        <v>1.3</v>
      </c>
      <c r="L1178">
        <v>4.3</v>
      </c>
      <c r="M1178">
        <v>5.4</v>
      </c>
      <c r="N1178">
        <v>1.1010000000000002</v>
      </c>
      <c r="O1178">
        <v>-0.2</v>
      </c>
      <c r="P1178" t="s">
        <v>27</v>
      </c>
      <c r="Q1178" t="s">
        <v>27</v>
      </c>
      <c r="R1178" t="s">
        <v>27</v>
      </c>
      <c r="S1178">
        <v>0.1</v>
      </c>
      <c r="T1178">
        <v>0.5</v>
      </c>
      <c r="U1178" t="s">
        <v>27</v>
      </c>
      <c r="V1178">
        <v>0.12</v>
      </c>
      <c r="W1178">
        <v>0.34899999999999998</v>
      </c>
      <c r="X1178">
        <v>0.33500000000000002</v>
      </c>
      <c r="Y1178" t="s">
        <v>27</v>
      </c>
      <c r="Z1178" t="s">
        <v>27</v>
      </c>
      <c r="AA1178" t="s">
        <v>27</v>
      </c>
      <c r="AB1178" t="s">
        <v>27</v>
      </c>
      <c r="AC1178" t="s">
        <v>27</v>
      </c>
      <c r="AD1178" t="s">
        <v>27</v>
      </c>
      <c r="AE1178" t="s">
        <v>27</v>
      </c>
      <c r="AF1178" t="s">
        <v>27</v>
      </c>
      <c r="AG1178">
        <v>18.12</v>
      </c>
    </row>
    <row r="1179" spans="1:33" x14ac:dyDescent="0.25">
      <c r="A1179" t="s">
        <v>57</v>
      </c>
      <c r="B1179" s="3">
        <v>44640</v>
      </c>
      <c r="C1179">
        <v>2022079</v>
      </c>
      <c r="D1179" t="s">
        <v>27</v>
      </c>
      <c r="E1179" t="s">
        <v>27</v>
      </c>
      <c r="F1179">
        <v>-4.2</v>
      </c>
      <c r="G1179">
        <v>0.7</v>
      </c>
      <c r="H1179">
        <v>-9.3000000000000007</v>
      </c>
      <c r="I1179">
        <v>73.3</v>
      </c>
      <c r="J1179">
        <v>41.7</v>
      </c>
      <c r="K1179">
        <v>1.2</v>
      </c>
      <c r="L1179">
        <v>3.7</v>
      </c>
      <c r="M1179">
        <v>2.1</v>
      </c>
      <c r="N1179">
        <v>1.121</v>
      </c>
      <c r="O1179">
        <v>-0.2</v>
      </c>
      <c r="P1179" t="s">
        <v>27</v>
      </c>
      <c r="Q1179" t="s">
        <v>27</v>
      </c>
      <c r="R1179" t="s">
        <v>27</v>
      </c>
      <c r="S1179">
        <v>0.1</v>
      </c>
      <c r="T1179">
        <v>0.5</v>
      </c>
      <c r="U1179" t="s">
        <v>27</v>
      </c>
      <c r="V1179">
        <v>0.121</v>
      </c>
      <c r="W1179">
        <v>0.26800000000000002</v>
      </c>
      <c r="X1179">
        <v>0.375</v>
      </c>
      <c r="Y1179" t="s">
        <v>27</v>
      </c>
      <c r="Z1179" t="s">
        <v>27</v>
      </c>
      <c r="AA1179" t="s">
        <v>27</v>
      </c>
      <c r="AB1179" t="s">
        <v>27</v>
      </c>
      <c r="AC1179" t="s">
        <v>27</v>
      </c>
      <c r="AD1179" t="s">
        <v>27</v>
      </c>
      <c r="AE1179" t="s">
        <v>27</v>
      </c>
      <c r="AF1179" t="s">
        <v>27</v>
      </c>
      <c r="AG1179">
        <v>18.38</v>
      </c>
    </row>
    <row r="1180" spans="1:33" x14ac:dyDescent="0.25">
      <c r="A1180" t="s">
        <v>57</v>
      </c>
      <c r="B1180" s="3">
        <v>44641</v>
      </c>
      <c r="C1180">
        <v>2022080</v>
      </c>
      <c r="D1180" t="s">
        <v>27</v>
      </c>
      <c r="E1180" t="s">
        <v>27</v>
      </c>
      <c r="F1180">
        <v>-1.1000000000000001</v>
      </c>
      <c r="G1180">
        <v>3.4</v>
      </c>
      <c r="H1180">
        <v>-4.8</v>
      </c>
      <c r="I1180">
        <v>87.7</v>
      </c>
      <c r="J1180">
        <v>67.900000000000006</v>
      </c>
      <c r="K1180">
        <v>0.3</v>
      </c>
      <c r="L1180">
        <v>2</v>
      </c>
      <c r="M1180">
        <v>0.9</v>
      </c>
      <c r="N1180">
        <v>1.0970000000000002</v>
      </c>
      <c r="O1180">
        <v>-0.2</v>
      </c>
      <c r="P1180" t="s">
        <v>27</v>
      </c>
      <c r="Q1180" t="s">
        <v>27</v>
      </c>
      <c r="R1180" t="s">
        <v>27</v>
      </c>
      <c r="S1180">
        <v>0.1</v>
      </c>
      <c r="T1180">
        <v>0.5</v>
      </c>
      <c r="U1180" t="s">
        <v>27</v>
      </c>
      <c r="V1180">
        <v>0.121</v>
      </c>
      <c r="W1180">
        <v>0.52800000000000002</v>
      </c>
      <c r="X1180">
        <v>0.25</v>
      </c>
      <c r="Y1180" t="s">
        <v>27</v>
      </c>
      <c r="Z1180" t="s">
        <v>27</v>
      </c>
      <c r="AA1180" t="s">
        <v>27</v>
      </c>
      <c r="AB1180" t="s">
        <v>27</v>
      </c>
      <c r="AC1180" t="s">
        <v>27</v>
      </c>
      <c r="AD1180" t="s">
        <v>27</v>
      </c>
      <c r="AE1180" t="s">
        <v>27</v>
      </c>
      <c r="AF1180" t="s">
        <v>27</v>
      </c>
      <c r="AG1180">
        <v>18.649999999999999</v>
      </c>
    </row>
    <row r="1181" spans="1:33" x14ac:dyDescent="0.25">
      <c r="A1181" t="s">
        <v>57</v>
      </c>
      <c r="B1181" s="3">
        <v>44642</v>
      </c>
      <c r="C1181">
        <v>2022081</v>
      </c>
      <c r="D1181" t="s">
        <v>27</v>
      </c>
      <c r="E1181" t="s">
        <v>27</v>
      </c>
      <c r="F1181">
        <v>1.3</v>
      </c>
      <c r="G1181">
        <v>8.5</v>
      </c>
      <c r="H1181">
        <v>-1.2</v>
      </c>
      <c r="I1181">
        <v>92.4</v>
      </c>
      <c r="J1181">
        <v>72.7</v>
      </c>
      <c r="K1181">
        <v>0</v>
      </c>
      <c r="L1181">
        <v>1.6</v>
      </c>
      <c r="M1181">
        <v>4.5999999999999996</v>
      </c>
      <c r="N1181">
        <v>1.0860000000000001</v>
      </c>
      <c r="O1181">
        <v>-0.2</v>
      </c>
      <c r="P1181" t="s">
        <v>27</v>
      </c>
      <c r="Q1181" t="s">
        <v>27</v>
      </c>
      <c r="R1181" t="s">
        <v>27</v>
      </c>
      <c r="S1181">
        <v>0.1</v>
      </c>
      <c r="T1181">
        <v>0.5</v>
      </c>
      <c r="U1181" t="s">
        <v>27</v>
      </c>
      <c r="V1181">
        <v>0.121</v>
      </c>
      <c r="W1181">
        <v>0.80600000000000005</v>
      </c>
      <c r="X1181">
        <v>0.30299999999999999</v>
      </c>
      <c r="Y1181" t="s">
        <v>27</v>
      </c>
      <c r="Z1181" t="s">
        <v>27</v>
      </c>
      <c r="AA1181" t="s">
        <v>27</v>
      </c>
      <c r="AB1181" t="s">
        <v>27</v>
      </c>
      <c r="AC1181" t="s">
        <v>27</v>
      </c>
      <c r="AD1181" t="s">
        <v>27</v>
      </c>
      <c r="AE1181" t="s">
        <v>27</v>
      </c>
      <c r="AF1181" t="s">
        <v>27</v>
      </c>
      <c r="AG1181">
        <v>18.91</v>
      </c>
    </row>
    <row r="1182" spans="1:33" x14ac:dyDescent="0.25">
      <c r="A1182" t="s">
        <v>57</v>
      </c>
      <c r="B1182" s="3">
        <v>44643</v>
      </c>
      <c r="C1182">
        <v>2022082</v>
      </c>
      <c r="D1182" t="s">
        <v>27</v>
      </c>
      <c r="E1182" t="s">
        <v>27</v>
      </c>
      <c r="F1182">
        <v>2.1</v>
      </c>
      <c r="G1182">
        <v>7.7</v>
      </c>
      <c r="H1182">
        <v>-2.7</v>
      </c>
      <c r="I1182">
        <v>89.8</v>
      </c>
      <c r="J1182">
        <v>64.099999999999994</v>
      </c>
      <c r="K1182">
        <v>0.8</v>
      </c>
      <c r="L1182">
        <v>4.0999999999999996</v>
      </c>
      <c r="M1182">
        <v>3</v>
      </c>
      <c r="N1182">
        <v>1.0610000000000002</v>
      </c>
      <c r="O1182">
        <v>-0.2</v>
      </c>
      <c r="P1182" t="s">
        <v>27</v>
      </c>
      <c r="Q1182" t="s">
        <v>27</v>
      </c>
      <c r="R1182" t="s">
        <v>27</v>
      </c>
      <c r="S1182">
        <v>0.1</v>
      </c>
      <c r="T1182">
        <v>0.5</v>
      </c>
      <c r="U1182" t="s">
        <v>27</v>
      </c>
      <c r="V1182">
        <v>0.122</v>
      </c>
      <c r="W1182">
        <v>0.67400000000000004</v>
      </c>
      <c r="X1182">
        <v>0.377</v>
      </c>
      <c r="Y1182" t="s">
        <v>27</v>
      </c>
      <c r="Z1182" t="s">
        <v>27</v>
      </c>
      <c r="AA1182" t="s">
        <v>27</v>
      </c>
      <c r="AB1182" t="s">
        <v>27</v>
      </c>
      <c r="AC1182" t="s">
        <v>27</v>
      </c>
      <c r="AD1182" t="s">
        <v>27</v>
      </c>
      <c r="AE1182" t="s">
        <v>27</v>
      </c>
      <c r="AF1182" t="s">
        <v>27</v>
      </c>
      <c r="AG1182">
        <v>19.170000000000002</v>
      </c>
    </row>
    <row r="1183" spans="1:33" x14ac:dyDescent="0.25">
      <c r="A1183" t="s">
        <v>57</v>
      </c>
      <c r="B1183" s="3">
        <v>44644</v>
      </c>
      <c r="C1183">
        <v>2022083</v>
      </c>
      <c r="D1183" t="s">
        <v>27</v>
      </c>
      <c r="E1183" t="s">
        <v>27</v>
      </c>
      <c r="F1183">
        <v>-0.9</v>
      </c>
      <c r="G1183">
        <v>4.7</v>
      </c>
      <c r="H1183">
        <v>-8.5</v>
      </c>
      <c r="I1183">
        <v>55.3</v>
      </c>
      <c r="J1183">
        <v>20</v>
      </c>
      <c r="K1183">
        <v>0.9</v>
      </c>
      <c r="L1183">
        <v>3.6</v>
      </c>
      <c r="M1183">
        <v>0</v>
      </c>
      <c r="N1183">
        <v>1.0530000000000002</v>
      </c>
      <c r="O1183">
        <v>-0.1</v>
      </c>
      <c r="P1183" t="s">
        <v>27</v>
      </c>
      <c r="Q1183" t="s">
        <v>27</v>
      </c>
      <c r="R1183" t="s">
        <v>27</v>
      </c>
      <c r="S1183">
        <v>0.1</v>
      </c>
      <c r="T1183">
        <v>0.5</v>
      </c>
      <c r="U1183" t="s">
        <v>27</v>
      </c>
      <c r="V1183">
        <v>0.123</v>
      </c>
      <c r="W1183">
        <v>0.17100000000000001</v>
      </c>
      <c r="X1183">
        <v>0.68400000000000005</v>
      </c>
      <c r="Y1183" t="s">
        <v>27</v>
      </c>
      <c r="Z1183" t="s">
        <v>27</v>
      </c>
      <c r="AA1183" t="s">
        <v>27</v>
      </c>
      <c r="AB1183" t="s">
        <v>27</v>
      </c>
      <c r="AC1183" t="s">
        <v>27</v>
      </c>
      <c r="AD1183" t="s">
        <v>27</v>
      </c>
      <c r="AE1183" t="s">
        <v>27</v>
      </c>
      <c r="AF1183" t="s">
        <v>27</v>
      </c>
      <c r="AG1183">
        <v>19.43</v>
      </c>
    </row>
    <row r="1184" spans="1:33" x14ac:dyDescent="0.25">
      <c r="A1184" t="s">
        <v>57</v>
      </c>
      <c r="B1184" s="3">
        <v>44645</v>
      </c>
      <c r="C1184">
        <v>2022084</v>
      </c>
      <c r="D1184" t="s">
        <v>27</v>
      </c>
      <c r="E1184" t="s">
        <v>27</v>
      </c>
      <c r="F1184">
        <v>1.5</v>
      </c>
      <c r="G1184">
        <v>7.9</v>
      </c>
      <c r="H1184">
        <v>-2.8</v>
      </c>
      <c r="I1184">
        <v>54.7</v>
      </c>
      <c r="J1184">
        <v>32.299999999999997</v>
      </c>
      <c r="K1184">
        <v>0.5</v>
      </c>
      <c r="L1184">
        <v>2.5</v>
      </c>
      <c r="M1184">
        <v>0</v>
      </c>
      <c r="N1184">
        <v>1.044</v>
      </c>
      <c r="O1184">
        <v>-0.1</v>
      </c>
      <c r="P1184" t="s">
        <v>27</v>
      </c>
      <c r="Q1184" t="s">
        <v>27</v>
      </c>
      <c r="R1184" t="s">
        <v>27</v>
      </c>
      <c r="S1184">
        <v>0.1</v>
      </c>
      <c r="T1184">
        <v>0.5</v>
      </c>
      <c r="U1184" t="s">
        <v>27</v>
      </c>
      <c r="V1184">
        <v>0.124</v>
      </c>
      <c r="W1184">
        <v>0.34499999999999997</v>
      </c>
      <c r="X1184">
        <v>0.72299999999999998</v>
      </c>
      <c r="Y1184" t="s">
        <v>27</v>
      </c>
      <c r="Z1184" t="s">
        <v>27</v>
      </c>
      <c r="AA1184" t="s">
        <v>27</v>
      </c>
      <c r="AB1184" t="s">
        <v>27</v>
      </c>
      <c r="AC1184" t="s">
        <v>27</v>
      </c>
      <c r="AD1184" t="s">
        <v>27</v>
      </c>
      <c r="AE1184" t="s">
        <v>27</v>
      </c>
      <c r="AF1184" t="s">
        <v>27</v>
      </c>
      <c r="AG1184">
        <v>19.7</v>
      </c>
    </row>
    <row r="1185" spans="1:33" x14ac:dyDescent="0.25">
      <c r="A1185" t="s">
        <v>57</v>
      </c>
      <c r="B1185" s="3">
        <v>44646</v>
      </c>
      <c r="C1185">
        <v>2022085</v>
      </c>
      <c r="D1185" t="s">
        <v>27</v>
      </c>
      <c r="E1185" t="s">
        <v>27</v>
      </c>
      <c r="F1185">
        <v>2.2000000000000002</v>
      </c>
      <c r="G1185">
        <v>9.6</v>
      </c>
      <c r="H1185">
        <v>-3.1</v>
      </c>
      <c r="I1185">
        <v>74.900000000000006</v>
      </c>
      <c r="J1185">
        <v>44</v>
      </c>
      <c r="K1185">
        <v>0.6</v>
      </c>
      <c r="L1185">
        <v>2.8</v>
      </c>
      <c r="M1185">
        <v>0</v>
      </c>
      <c r="N1185">
        <v>1.0070000000000001</v>
      </c>
      <c r="O1185">
        <v>-0.1</v>
      </c>
      <c r="P1185" t="s">
        <v>27</v>
      </c>
      <c r="Q1185" t="s">
        <v>27</v>
      </c>
      <c r="R1185" t="s">
        <v>27</v>
      </c>
      <c r="S1185">
        <v>0.1</v>
      </c>
      <c r="T1185">
        <v>0.5</v>
      </c>
      <c r="U1185" t="s">
        <v>27</v>
      </c>
      <c r="V1185">
        <v>0.125</v>
      </c>
      <c r="W1185">
        <v>0.52400000000000002</v>
      </c>
      <c r="X1185">
        <v>0.66700000000000004</v>
      </c>
      <c r="Y1185" t="s">
        <v>27</v>
      </c>
      <c r="Z1185" t="s">
        <v>27</v>
      </c>
      <c r="AA1185" t="s">
        <v>27</v>
      </c>
      <c r="AB1185" t="s">
        <v>27</v>
      </c>
      <c r="AC1185" t="s">
        <v>27</v>
      </c>
      <c r="AD1185" t="s">
        <v>27</v>
      </c>
      <c r="AE1185" t="s">
        <v>27</v>
      </c>
      <c r="AF1185" t="s">
        <v>27</v>
      </c>
      <c r="AG1185">
        <v>19.96</v>
      </c>
    </row>
    <row r="1186" spans="1:33" x14ac:dyDescent="0.25">
      <c r="A1186" t="s">
        <v>57</v>
      </c>
      <c r="B1186" s="3">
        <v>44647</v>
      </c>
      <c r="C1186">
        <v>2022086</v>
      </c>
      <c r="D1186" t="s">
        <v>27</v>
      </c>
      <c r="E1186" t="s">
        <v>27</v>
      </c>
      <c r="F1186">
        <v>4.5</v>
      </c>
      <c r="G1186">
        <v>11.4</v>
      </c>
      <c r="H1186">
        <v>-1.3</v>
      </c>
      <c r="I1186">
        <v>72.8</v>
      </c>
      <c r="J1186">
        <v>42</v>
      </c>
      <c r="K1186">
        <v>0.6</v>
      </c>
      <c r="L1186">
        <v>2.7</v>
      </c>
      <c r="M1186">
        <v>0</v>
      </c>
      <c r="N1186">
        <v>0.97100000000000009</v>
      </c>
      <c r="O1186">
        <v>0</v>
      </c>
      <c r="P1186" t="s">
        <v>27</v>
      </c>
      <c r="Q1186" t="s">
        <v>27</v>
      </c>
      <c r="R1186" t="s">
        <v>27</v>
      </c>
      <c r="S1186">
        <v>0.1</v>
      </c>
      <c r="T1186">
        <v>0.5</v>
      </c>
      <c r="U1186" t="s">
        <v>27</v>
      </c>
      <c r="V1186">
        <v>0.128</v>
      </c>
      <c r="W1186">
        <v>0.56499999999999995</v>
      </c>
      <c r="X1186">
        <v>0.78</v>
      </c>
      <c r="Y1186" t="s">
        <v>27</v>
      </c>
      <c r="Z1186" t="s">
        <v>27</v>
      </c>
      <c r="AA1186" t="s">
        <v>27</v>
      </c>
      <c r="AB1186" t="s">
        <v>27</v>
      </c>
      <c r="AC1186" t="s">
        <v>27</v>
      </c>
      <c r="AD1186" t="s">
        <v>27</v>
      </c>
      <c r="AE1186" t="s">
        <v>27</v>
      </c>
      <c r="AF1186" t="s">
        <v>27</v>
      </c>
      <c r="AG1186">
        <v>20.22</v>
      </c>
    </row>
    <row r="1187" spans="1:33" x14ac:dyDescent="0.25">
      <c r="A1187" t="s">
        <v>57</v>
      </c>
      <c r="B1187" s="3">
        <v>44648</v>
      </c>
      <c r="C1187">
        <v>2022087</v>
      </c>
      <c r="D1187" t="s">
        <v>27</v>
      </c>
      <c r="E1187" t="s">
        <v>27</v>
      </c>
      <c r="F1187">
        <v>2.6</v>
      </c>
      <c r="G1187">
        <v>8.3000000000000007</v>
      </c>
      <c r="H1187">
        <v>-2.2000000000000002</v>
      </c>
      <c r="I1187">
        <v>80.3</v>
      </c>
      <c r="J1187">
        <v>55</v>
      </c>
      <c r="K1187">
        <v>0.8</v>
      </c>
      <c r="L1187">
        <v>3</v>
      </c>
      <c r="M1187">
        <v>2.4</v>
      </c>
      <c r="N1187">
        <v>0.94900000000000007</v>
      </c>
      <c r="O1187">
        <v>0</v>
      </c>
      <c r="P1187" t="s">
        <v>27</v>
      </c>
      <c r="Q1187" t="s">
        <v>27</v>
      </c>
      <c r="R1187" t="s">
        <v>27</v>
      </c>
      <c r="S1187">
        <v>0.1</v>
      </c>
      <c r="T1187">
        <v>0.5</v>
      </c>
      <c r="U1187" t="s">
        <v>27</v>
      </c>
      <c r="V1187">
        <v>0.13</v>
      </c>
      <c r="W1187">
        <v>0.60199999999999998</v>
      </c>
      <c r="X1187">
        <v>0.49299999999999999</v>
      </c>
      <c r="Y1187" t="s">
        <v>27</v>
      </c>
      <c r="Z1187" t="s">
        <v>27</v>
      </c>
      <c r="AA1187" t="s">
        <v>27</v>
      </c>
      <c r="AB1187" t="s">
        <v>27</v>
      </c>
      <c r="AC1187" t="s">
        <v>27</v>
      </c>
      <c r="AD1187" t="s">
        <v>27</v>
      </c>
      <c r="AE1187" t="s">
        <v>27</v>
      </c>
      <c r="AF1187" t="s">
        <v>27</v>
      </c>
      <c r="AG1187">
        <v>20.48</v>
      </c>
    </row>
    <row r="1188" spans="1:33" x14ac:dyDescent="0.25">
      <c r="A1188" t="s">
        <v>57</v>
      </c>
      <c r="B1188" s="3">
        <v>44649</v>
      </c>
      <c r="C1188">
        <v>2022088</v>
      </c>
      <c r="D1188" t="s">
        <v>27</v>
      </c>
      <c r="E1188" t="s">
        <v>27</v>
      </c>
      <c r="F1188">
        <v>2.1</v>
      </c>
      <c r="G1188">
        <v>12.5</v>
      </c>
      <c r="H1188">
        <v>-6.8</v>
      </c>
      <c r="I1188">
        <v>59.3</v>
      </c>
      <c r="J1188">
        <v>26.9</v>
      </c>
      <c r="K1188">
        <v>0.7</v>
      </c>
      <c r="L1188">
        <v>2.6</v>
      </c>
      <c r="M1188">
        <v>0</v>
      </c>
      <c r="N1188">
        <v>0.90500000000000003</v>
      </c>
      <c r="O1188">
        <v>0</v>
      </c>
      <c r="P1188" t="s">
        <v>27</v>
      </c>
      <c r="Q1188" t="s">
        <v>27</v>
      </c>
      <c r="R1188" t="s">
        <v>27</v>
      </c>
      <c r="S1188">
        <v>0.1</v>
      </c>
      <c r="T1188">
        <v>0.5</v>
      </c>
      <c r="U1188" t="s">
        <v>27</v>
      </c>
      <c r="V1188">
        <v>0.13400000000000001</v>
      </c>
      <c r="W1188">
        <v>0.39</v>
      </c>
      <c r="X1188">
        <v>1.06</v>
      </c>
      <c r="Y1188" t="s">
        <v>27</v>
      </c>
      <c r="Z1188" t="s">
        <v>27</v>
      </c>
      <c r="AA1188" t="s">
        <v>27</v>
      </c>
      <c r="AB1188" t="s">
        <v>27</v>
      </c>
      <c r="AC1188" t="s">
        <v>27</v>
      </c>
      <c r="AD1188" t="s">
        <v>27</v>
      </c>
      <c r="AE1188" t="s">
        <v>27</v>
      </c>
      <c r="AF1188" t="s">
        <v>27</v>
      </c>
      <c r="AG1188">
        <v>20.74</v>
      </c>
    </row>
    <row r="1189" spans="1:33" x14ac:dyDescent="0.25">
      <c r="A1189" t="s">
        <v>57</v>
      </c>
      <c r="B1189" s="3">
        <v>44650</v>
      </c>
      <c r="C1189">
        <v>2022089</v>
      </c>
      <c r="D1189" t="s">
        <v>27</v>
      </c>
      <c r="E1189" t="s">
        <v>27</v>
      </c>
      <c r="F1189">
        <v>-0.3</v>
      </c>
      <c r="G1189">
        <v>5.0999999999999996</v>
      </c>
      <c r="H1189">
        <v>-3.3</v>
      </c>
      <c r="I1189">
        <v>66.3</v>
      </c>
      <c r="J1189">
        <v>35.6</v>
      </c>
      <c r="K1189">
        <v>1.5</v>
      </c>
      <c r="L1189">
        <v>5.3</v>
      </c>
      <c r="M1189">
        <v>0</v>
      </c>
      <c r="N1189">
        <v>0.89300000000000002</v>
      </c>
      <c r="O1189">
        <v>0</v>
      </c>
      <c r="P1189" t="s">
        <v>27</v>
      </c>
      <c r="Q1189" t="s">
        <v>27</v>
      </c>
      <c r="R1189" t="s">
        <v>27</v>
      </c>
      <c r="S1189">
        <v>0.1</v>
      </c>
      <c r="T1189">
        <v>0.5</v>
      </c>
      <c r="U1189" t="s">
        <v>27</v>
      </c>
      <c r="V1189">
        <v>0.13800000000000001</v>
      </c>
      <c r="W1189">
        <v>0.312</v>
      </c>
      <c r="X1189">
        <v>0.56399999999999995</v>
      </c>
      <c r="Y1189" t="s">
        <v>27</v>
      </c>
      <c r="Z1189" t="s">
        <v>27</v>
      </c>
      <c r="AA1189" t="s">
        <v>27</v>
      </c>
      <c r="AB1189" t="s">
        <v>27</v>
      </c>
      <c r="AC1189" t="s">
        <v>27</v>
      </c>
      <c r="AD1189" t="s">
        <v>27</v>
      </c>
      <c r="AE1189" t="s">
        <v>27</v>
      </c>
      <c r="AF1189" t="s">
        <v>27</v>
      </c>
      <c r="AG1189">
        <v>21</v>
      </c>
    </row>
    <row r="1190" spans="1:33" x14ac:dyDescent="0.25">
      <c r="A1190" t="s">
        <v>57</v>
      </c>
      <c r="B1190" s="3">
        <v>44651</v>
      </c>
      <c r="C1190">
        <v>2022090</v>
      </c>
      <c r="D1190" t="s">
        <v>27</v>
      </c>
      <c r="E1190" t="s">
        <v>27</v>
      </c>
      <c r="F1190">
        <v>-2.7</v>
      </c>
      <c r="G1190">
        <v>2.9</v>
      </c>
      <c r="H1190">
        <v>-8.6999999999999993</v>
      </c>
      <c r="I1190">
        <v>79.8</v>
      </c>
      <c r="J1190">
        <v>57.9</v>
      </c>
      <c r="K1190">
        <v>0.9</v>
      </c>
      <c r="L1190">
        <v>2.8</v>
      </c>
      <c r="M1190">
        <v>6.2</v>
      </c>
      <c r="N1190">
        <v>0.91300000000000003</v>
      </c>
      <c r="O1190">
        <v>0.1</v>
      </c>
      <c r="P1190" t="s">
        <v>27</v>
      </c>
      <c r="Q1190" t="s">
        <v>27</v>
      </c>
      <c r="R1190" t="s">
        <v>27</v>
      </c>
      <c r="S1190">
        <v>0.1</v>
      </c>
      <c r="T1190">
        <v>0.5</v>
      </c>
      <c r="U1190" t="s">
        <v>27</v>
      </c>
      <c r="V1190">
        <v>0.14199999999999999</v>
      </c>
      <c r="W1190">
        <v>0.437</v>
      </c>
      <c r="X1190">
        <v>0.318</v>
      </c>
      <c r="Y1190" t="s">
        <v>27</v>
      </c>
      <c r="Z1190" t="s">
        <v>27</v>
      </c>
      <c r="AA1190" t="s">
        <v>27</v>
      </c>
      <c r="AB1190" t="s">
        <v>27</v>
      </c>
      <c r="AC1190" t="s">
        <v>27</v>
      </c>
      <c r="AD1190" t="s">
        <v>27</v>
      </c>
      <c r="AE1190" t="s">
        <v>27</v>
      </c>
      <c r="AF1190" t="s">
        <v>27</v>
      </c>
      <c r="AG1190">
        <v>21.27</v>
      </c>
    </row>
    <row r="1191" spans="1:33" x14ac:dyDescent="0.25">
      <c r="A1191" t="s">
        <v>57</v>
      </c>
      <c r="B1191" s="3">
        <v>44652</v>
      </c>
      <c r="C1191">
        <v>2022091</v>
      </c>
      <c r="D1191" t="s">
        <v>27</v>
      </c>
      <c r="E1191" t="s">
        <v>27</v>
      </c>
      <c r="F1191">
        <v>-2</v>
      </c>
      <c r="G1191">
        <v>4.9000000000000004</v>
      </c>
      <c r="H1191">
        <v>-11.3</v>
      </c>
      <c r="I1191">
        <v>68.3</v>
      </c>
      <c r="J1191">
        <v>42.2</v>
      </c>
      <c r="K1191">
        <v>0.8</v>
      </c>
      <c r="L1191">
        <v>2.6</v>
      </c>
      <c r="M1191">
        <v>0</v>
      </c>
      <c r="N1191">
        <v>0.90000000000000013</v>
      </c>
      <c r="O1191">
        <v>0.1</v>
      </c>
      <c r="P1191" t="s">
        <v>27</v>
      </c>
      <c r="Q1191" t="s">
        <v>27</v>
      </c>
      <c r="R1191" t="s">
        <v>27</v>
      </c>
      <c r="S1191">
        <v>0.1</v>
      </c>
      <c r="T1191">
        <v>0.5</v>
      </c>
      <c r="U1191" t="s">
        <v>27</v>
      </c>
      <c r="V1191">
        <v>0.14399999999999999</v>
      </c>
      <c r="W1191">
        <v>0.36599999999999999</v>
      </c>
      <c r="X1191">
        <v>0.501</v>
      </c>
      <c r="Y1191" t="s">
        <v>27</v>
      </c>
      <c r="Z1191" t="s">
        <v>27</v>
      </c>
      <c r="AA1191" t="s">
        <v>27</v>
      </c>
      <c r="AB1191" t="s">
        <v>27</v>
      </c>
      <c r="AC1191" t="s">
        <v>27</v>
      </c>
      <c r="AD1191" t="s">
        <v>27</v>
      </c>
      <c r="AE1191" t="s">
        <v>27</v>
      </c>
      <c r="AF1191" t="s">
        <v>27</v>
      </c>
      <c r="AG1191">
        <v>21.52</v>
      </c>
    </row>
    <row r="1192" spans="1:33" x14ac:dyDescent="0.25">
      <c r="A1192" t="s">
        <v>57</v>
      </c>
      <c r="B1192" s="3">
        <v>44653</v>
      </c>
      <c r="C1192">
        <v>2022092</v>
      </c>
      <c r="D1192" t="s">
        <v>27</v>
      </c>
      <c r="E1192" t="s">
        <v>27</v>
      </c>
      <c r="F1192">
        <v>-1.1000000000000001</v>
      </c>
      <c r="G1192">
        <v>3.1</v>
      </c>
      <c r="H1192">
        <v>-5</v>
      </c>
      <c r="I1192">
        <v>65</v>
      </c>
      <c r="J1192">
        <v>39.4</v>
      </c>
      <c r="K1192">
        <v>1.6</v>
      </c>
      <c r="L1192">
        <v>4.5999999999999996</v>
      </c>
      <c r="M1192">
        <v>0</v>
      </c>
      <c r="N1192">
        <v>0.90100000000000002</v>
      </c>
      <c r="O1192">
        <v>0.1</v>
      </c>
      <c r="P1192" t="s">
        <v>27</v>
      </c>
      <c r="Q1192" t="s">
        <v>27</v>
      </c>
      <c r="R1192" t="s">
        <v>27</v>
      </c>
      <c r="S1192">
        <v>0.1</v>
      </c>
      <c r="T1192">
        <v>0.5</v>
      </c>
      <c r="U1192" t="s">
        <v>27</v>
      </c>
      <c r="V1192">
        <v>0.14499999999999999</v>
      </c>
      <c r="W1192">
        <v>0.30099999999999999</v>
      </c>
      <c r="X1192">
        <v>0.46300000000000002</v>
      </c>
      <c r="Y1192" t="s">
        <v>27</v>
      </c>
      <c r="Z1192" t="s">
        <v>27</v>
      </c>
      <c r="AA1192" t="s">
        <v>27</v>
      </c>
      <c r="AB1192" t="s">
        <v>27</v>
      </c>
      <c r="AC1192" t="s">
        <v>27</v>
      </c>
      <c r="AD1192" t="s">
        <v>27</v>
      </c>
      <c r="AE1192" t="s">
        <v>27</v>
      </c>
      <c r="AF1192" t="s">
        <v>27</v>
      </c>
      <c r="AG1192">
        <v>21.78</v>
      </c>
    </row>
    <row r="1193" spans="1:33" x14ac:dyDescent="0.25">
      <c r="A1193" t="s">
        <v>57</v>
      </c>
      <c r="B1193" s="3">
        <v>44654</v>
      </c>
      <c r="C1193">
        <v>2022093</v>
      </c>
      <c r="D1193" t="s">
        <v>27</v>
      </c>
      <c r="E1193" t="s">
        <v>27</v>
      </c>
      <c r="F1193">
        <v>0.9</v>
      </c>
      <c r="G1193">
        <v>6.7</v>
      </c>
      <c r="H1193">
        <v>-4.4000000000000004</v>
      </c>
      <c r="I1193">
        <v>60.5</v>
      </c>
      <c r="J1193">
        <v>38.299999999999997</v>
      </c>
      <c r="K1193">
        <v>1.6</v>
      </c>
      <c r="L1193">
        <v>4.0999999999999996</v>
      </c>
      <c r="M1193">
        <v>0</v>
      </c>
      <c r="N1193">
        <v>0.88300000000000001</v>
      </c>
      <c r="O1193">
        <v>0.1</v>
      </c>
      <c r="P1193" t="s">
        <v>27</v>
      </c>
      <c r="Q1193" t="s">
        <v>27</v>
      </c>
      <c r="R1193" t="s">
        <v>27</v>
      </c>
      <c r="S1193">
        <v>0.1</v>
      </c>
      <c r="T1193">
        <v>0.5</v>
      </c>
      <c r="U1193" t="s">
        <v>27</v>
      </c>
      <c r="V1193">
        <v>0.14499999999999999</v>
      </c>
      <c r="W1193">
        <v>0.376</v>
      </c>
      <c r="X1193">
        <v>0.60599999999999998</v>
      </c>
      <c r="Y1193" t="s">
        <v>27</v>
      </c>
      <c r="Z1193" t="s">
        <v>27</v>
      </c>
      <c r="AA1193" t="s">
        <v>27</v>
      </c>
      <c r="AB1193" t="s">
        <v>27</v>
      </c>
      <c r="AC1193" t="s">
        <v>27</v>
      </c>
      <c r="AD1193" t="s">
        <v>27</v>
      </c>
      <c r="AE1193" t="s">
        <v>27</v>
      </c>
      <c r="AF1193" t="s">
        <v>27</v>
      </c>
      <c r="AG1193">
        <v>22.03</v>
      </c>
    </row>
    <row r="1194" spans="1:33" x14ac:dyDescent="0.25">
      <c r="A1194" t="s">
        <v>57</v>
      </c>
      <c r="B1194" s="3">
        <v>44655</v>
      </c>
      <c r="C1194">
        <v>2022094</v>
      </c>
      <c r="D1194" t="s">
        <v>27</v>
      </c>
      <c r="E1194" t="s">
        <v>27</v>
      </c>
      <c r="F1194">
        <v>-1.3</v>
      </c>
      <c r="G1194">
        <v>1.3</v>
      </c>
      <c r="H1194">
        <v>-4.2</v>
      </c>
      <c r="I1194">
        <v>69.599999999999994</v>
      </c>
      <c r="J1194">
        <v>43.2</v>
      </c>
      <c r="K1194">
        <v>2.5</v>
      </c>
      <c r="L1194">
        <v>5.5</v>
      </c>
      <c r="M1194">
        <v>5.9</v>
      </c>
      <c r="N1194">
        <v>0.92100000000000004</v>
      </c>
      <c r="O1194">
        <v>0.1</v>
      </c>
      <c r="P1194" t="s">
        <v>27</v>
      </c>
      <c r="Q1194" t="s">
        <v>27</v>
      </c>
      <c r="R1194" t="s">
        <v>27</v>
      </c>
      <c r="S1194">
        <v>0.1</v>
      </c>
      <c r="T1194">
        <v>0.5</v>
      </c>
      <c r="U1194" t="s">
        <v>27</v>
      </c>
      <c r="V1194">
        <v>0.14499999999999999</v>
      </c>
      <c r="W1194">
        <v>0.28899999999999998</v>
      </c>
      <c r="X1194">
        <v>0.38</v>
      </c>
      <c r="Y1194" t="s">
        <v>27</v>
      </c>
      <c r="Z1194" t="s">
        <v>27</v>
      </c>
      <c r="AA1194" t="s">
        <v>27</v>
      </c>
      <c r="AB1194" t="s">
        <v>27</v>
      </c>
      <c r="AC1194" t="s">
        <v>27</v>
      </c>
      <c r="AD1194" t="s">
        <v>27</v>
      </c>
      <c r="AE1194" t="s">
        <v>27</v>
      </c>
      <c r="AF1194" t="s">
        <v>27</v>
      </c>
      <c r="AG1194">
        <v>22.29</v>
      </c>
    </row>
    <row r="1195" spans="1:33" x14ac:dyDescent="0.25">
      <c r="A1195" t="s">
        <v>57</v>
      </c>
      <c r="B1195" s="3">
        <v>44656</v>
      </c>
      <c r="C1195">
        <v>2022095</v>
      </c>
      <c r="D1195" t="s">
        <v>27</v>
      </c>
      <c r="E1195" t="s">
        <v>27</v>
      </c>
      <c r="F1195">
        <v>-2.6</v>
      </c>
      <c r="G1195">
        <v>1.8</v>
      </c>
      <c r="H1195">
        <v>-4.9000000000000004</v>
      </c>
      <c r="I1195">
        <v>64</v>
      </c>
      <c r="J1195">
        <v>41</v>
      </c>
      <c r="K1195">
        <v>2.2000000000000002</v>
      </c>
      <c r="L1195">
        <v>5.0999999999999996</v>
      </c>
      <c r="M1195">
        <v>1.9</v>
      </c>
      <c r="N1195">
        <v>0.92800000000000016</v>
      </c>
      <c r="O1195">
        <v>0.1</v>
      </c>
      <c r="P1195" t="s">
        <v>27</v>
      </c>
      <c r="Q1195" t="s">
        <v>27</v>
      </c>
      <c r="R1195" t="s">
        <v>27</v>
      </c>
      <c r="S1195">
        <v>0.1</v>
      </c>
      <c r="T1195">
        <v>0.5</v>
      </c>
      <c r="U1195" t="s">
        <v>27</v>
      </c>
      <c r="V1195">
        <v>0.14499999999999999</v>
      </c>
      <c r="W1195">
        <v>0.28599999999999998</v>
      </c>
      <c r="X1195">
        <v>0.41199999999999998</v>
      </c>
      <c r="Y1195" t="s">
        <v>27</v>
      </c>
      <c r="Z1195" t="s">
        <v>27</v>
      </c>
      <c r="AA1195" t="s">
        <v>27</v>
      </c>
      <c r="AB1195" t="s">
        <v>27</v>
      </c>
      <c r="AC1195" t="s">
        <v>27</v>
      </c>
      <c r="AD1195" t="s">
        <v>27</v>
      </c>
      <c r="AE1195" t="s">
        <v>27</v>
      </c>
      <c r="AF1195" t="s">
        <v>27</v>
      </c>
      <c r="AG1195">
        <v>22.55</v>
      </c>
    </row>
    <row r="1196" spans="1:33" x14ac:dyDescent="0.25">
      <c r="A1196" t="s">
        <v>57</v>
      </c>
      <c r="B1196" s="3">
        <v>44657</v>
      </c>
      <c r="C1196">
        <v>2022096</v>
      </c>
      <c r="D1196" t="s">
        <v>27</v>
      </c>
      <c r="E1196" t="s">
        <v>27</v>
      </c>
      <c r="F1196">
        <v>-1.8</v>
      </c>
      <c r="G1196">
        <v>6.5</v>
      </c>
      <c r="H1196">
        <v>-12.7</v>
      </c>
      <c r="I1196">
        <v>58.8</v>
      </c>
      <c r="J1196">
        <v>28.1</v>
      </c>
      <c r="K1196">
        <v>0.7</v>
      </c>
      <c r="L1196">
        <v>2.7</v>
      </c>
      <c r="M1196">
        <v>0</v>
      </c>
      <c r="N1196">
        <v>0.90100000000000002</v>
      </c>
      <c r="O1196">
        <v>0</v>
      </c>
      <c r="P1196" t="s">
        <v>27</v>
      </c>
      <c r="Q1196" t="s">
        <v>27</v>
      </c>
      <c r="R1196" t="s">
        <v>27</v>
      </c>
      <c r="S1196">
        <v>0.1</v>
      </c>
      <c r="T1196">
        <v>0.5</v>
      </c>
      <c r="U1196" t="s">
        <v>27</v>
      </c>
      <c r="V1196">
        <v>0.14499999999999999</v>
      </c>
      <c r="W1196">
        <v>0.27200000000000002</v>
      </c>
      <c r="X1196">
        <v>0.69599999999999995</v>
      </c>
      <c r="Y1196" t="s">
        <v>27</v>
      </c>
      <c r="Z1196" t="s">
        <v>27</v>
      </c>
      <c r="AA1196" t="s">
        <v>27</v>
      </c>
      <c r="AB1196" t="s">
        <v>27</v>
      </c>
      <c r="AC1196" t="s">
        <v>27</v>
      </c>
      <c r="AD1196" t="s">
        <v>27</v>
      </c>
      <c r="AE1196" t="s">
        <v>27</v>
      </c>
      <c r="AF1196" t="s">
        <v>27</v>
      </c>
      <c r="AG1196">
        <v>22.8</v>
      </c>
    </row>
    <row r="1197" spans="1:33" x14ac:dyDescent="0.25">
      <c r="A1197" t="s">
        <v>57</v>
      </c>
      <c r="B1197" s="3">
        <v>44658</v>
      </c>
      <c r="C1197">
        <v>2022097</v>
      </c>
      <c r="D1197" t="s">
        <v>27</v>
      </c>
      <c r="E1197" t="s">
        <v>27</v>
      </c>
      <c r="F1197">
        <v>4.2</v>
      </c>
      <c r="G1197">
        <v>12.4</v>
      </c>
      <c r="H1197">
        <v>-2.9</v>
      </c>
      <c r="I1197">
        <v>43.5</v>
      </c>
      <c r="J1197">
        <v>21.6</v>
      </c>
      <c r="K1197">
        <v>1.1000000000000001</v>
      </c>
      <c r="L1197">
        <v>2.7</v>
      </c>
      <c r="M1197">
        <v>0</v>
      </c>
      <c r="N1197">
        <v>0.875</v>
      </c>
      <c r="O1197">
        <v>0.1</v>
      </c>
      <c r="P1197" t="s">
        <v>27</v>
      </c>
      <c r="Q1197" t="s">
        <v>27</v>
      </c>
      <c r="R1197" t="s">
        <v>27</v>
      </c>
      <c r="S1197">
        <v>0.1</v>
      </c>
      <c r="T1197">
        <v>0.5</v>
      </c>
      <c r="U1197" t="s">
        <v>27</v>
      </c>
      <c r="V1197">
        <v>0.14499999999999999</v>
      </c>
      <c r="W1197">
        <v>0.31</v>
      </c>
      <c r="X1197">
        <v>1.125</v>
      </c>
      <c r="Y1197" t="s">
        <v>27</v>
      </c>
      <c r="Z1197" t="s">
        <v>27</v>
      </c>
      <c r="AA1197" t="s">
        <v>27</v>
      </c>
      <c r="AB1197" t="s">
        <v>27</v>
      </c>
      <c r="AC1197" t="s">
        <v>27</v>
      </c>
      <c r="AD1197" t="s">
        <v>27</v>
      </c>
      <c r="AE1197" t="s">
        <v>27</v>
      </c>
      <c r="AF1197" t="s">
        <v>27</v>
      </c>
      <c r="AG1197">
        <v>23.06</v>
      </c>
    </row>
    <row r="1198" spans="1:33" x14ac:dyDescent="0.25">
      <c r="A1198" t="s">
        <v>57</v>
      </c>
      <c r="B1198" s="3">
        <v>44659</v>
      </c>
      <c r="C1198">
        <v>2022098</v>
      </c>
      <c r="D1198" t="s">
        <v>27</v>
      </c>
      <c r="E1198" t="s">
        <v>27</v>
      </c>
      <c r="F1198">
        <v>2.2000000000000002</v>
      </c>
      <c r="G1198">
        <v>6.4</v>
      </c>
      <c r="H1198">
        <v>-4.0999999999999996</v>
      </c>
      <c r="I1198">
        <v>55.6</v>
      </c>
      <c r="J1198">
        <v>30.9</v>
      </c>
      <c r="K1198">
        <v>2.2000000000000002</v>
      </c>
      <c r="L1198">
        <v>5</v>
      </c>
      <c r="M1198">
        <v>0</v>
      </c>
      <c r="N1198">
        <v>0.88800000000000012</v>
      </c>
      <c r="O1198">
        <v>0.1</v>
      </c>
      <c r="P1198" t="s">
        <v>27</v>
      </c>
      <c r="Q1198" t="s">
        <v>27</v>
      </c>
      <c r="R1198" t="s">
        <v>27</v>
      </c>
      <c r="S1198">
        <v>0.1</v>
      </c>
      <c r="T1198">
        <v>0.5</v>
      </c>
      <c r="U1198" t="s">
        <v>27</v>
      </c>
      <c r="V1198">
        <v>0.14799999999999999</v>
      </c>
      <c r="W1198">
        <v>0.29699999999999999</v>
      </c>
      <c r="X1198">
        <v>0.66400000000000003</v>
      </c>
      <c r="Y1198" t="s">
        <v>27</v>
      </c>
      <c r="Z1198" t="s">
        <v>27</v>
      </c>
      <c r="AA1198" t="s">
        <v>27</v>
      </c>
      <c r="AB1198" t="s">
        <v>27</v>
      </c>
      <c r="AC1198" t="s">
        <v>27</v>
      </c>
      <c r="AD1198" t="s">
        <v>27</v>
      </c>
      <c r="AE1198" t="s">
        <v>27</v>
      </c>
      <c r="AF1198" t="s">
        <v>27</v>
      </c>
      <c r="AG1198">
        <v>23.31</v>
      </c>
    </row>
    <row r="1199" spans="1:33" x14ac:dyDescent="0.25">
      <c r="A1199" t="s">
        <v>57</v>
      </c>
      <c r="B1199" s="3">
        <v>44660</v>
      </c>
      <c r="C1199">
        <v>2022099</v>
      </c>
      <c r="D1199" t="s">
        <v>27</v>
      </c>
      <c r="E1199" t="s">
        <v>27</v>
      </c>
      <c r="F1199">
        <v>-4.5</v>
      </c>
      <c r="G1199">
        <v>-0.2</v>
      </c>
      <c r="H1199">
        <v>-7.4</v>
      </c>
      <c r="I1199">
        <v>79.5</v>
      </c>
      <c r="J1199">
        <v>50</v>
      </c>
      <c r="K1199">
        <v>1.5</v>
      </c>
      <c r="L1199">
        <v>4.4000000000000004</v>
      </c>
      <c r="M1199">
        <v>7.2</v>
      </c>
      <c r="N1199">
        <v>0.94200000000000017</v>
      </c>
      <c r="O1199">
        <v>0</v>
      </c>
      <c r="P1199" t="s">
        <v>27</v>
      </c>
      <c r="Q1199" t="s">
        <v>27</v>
      </c>
      <c r="R1199" t="s">
        <v>27</v>
      </c>
      <c r="S1199">
        <v>0.1</v>
      </c>
      <c r="T1199">
        <v>0.5</v>
      </c>
      <c r="U1199" t="s">
        <v>27</v>
      </c>
      <c r="V1199">
        <v>0.152</v>
      </c>
      <c r="W1199">
        <v>0.3</v>
      </c>
      <c r="X1199">
        <v>0.3</v>
      </c>
      <c r="Y1199" t="s">
        <v>27</v>
      </c>
      <c r="Z1199" t="s">
        <v>27</v>
      </c>
      <c r="AA1199" t="s">
        <v>27</v>
      </c>
      <c r="AB1199" t="s">
        <v>27</v>
      </c>
      <c r="AC1199" t="s">
        <v>27</v>
      </c>
      <c r="AD1199" t="s">
        <v>27</v>
      </c>
      <c r="AE1199" t="s">
        <v>27</v>
      </c>
      <c r="AF1199" t="s">
        <v>27</v>
      </c>
      <c r="AG1199">
        <v>23.56</v>
      </c>
    </row>
    <row r="1200" spans="1:33" x14ac:dyDescent="0.25">
      <c r="A1200" t="s">
        <v>57</v>
      </c>
      <c r="B1200" s="3">
        <v>44661</v>
      </c>
      <c r="C1200">
        <v>2022100</v>
      </c>
      <c r="D1200" t="s">
        <v>27</v>
      </c>
      <c r="E1200" t="s">
        <v>27</v>
      </c>
      <c r="F1200">
        <v>-5.7</v>
      </c>
      <c r="G1200">
        <v>0.4</v>
      </c>
      <c r="H1200">
        <v>-11.9</v>
      </c>
      <c r="I1200">
        <v>73.2</v>
      </c>
      <c r="J1200">
        <v>38.4</v>
      </c>
      <c r="K1200">
        <v>0.7</v>
      </c>
      <c r="L1200">
        <v>2.5</v>
      </c>
      <c r="M1200">
        <v>0.3</v>
      </c>
      <c r="N1200">
        <v>0.90000000000000013</v>
      </c>
      <c r="O1200">
        <v>0</v>
      </c>
      <c r="P1200" t="s">
        <v>27</v>
      </c>
      <c r="Q1200" t="s">
        <v>27</v>
      </c>
      <c r="R1200" t="s">
        <v>27</v>
      </c>
      <c r="S1200">
        <v>0.1</v>
      </c>
      <c r="T1200">
        <v>0.5</v>
      </c>
      <c r="U1200" t="s">
        <v>27</v>
      </c>
      <c r="V1200">
        <v>0.152</v>
      </c>
      <c r="W1200">
        <v>0.24099999999999999</v>
      </c>
      <c r="X1200">
        <v>0.38700000000000001</v>
      </c>
      <c r="Y1200" t="s">
        <v>27</v>
      </c>
      <c r="Z1200" t="s">
        <v>27</v>
      </c>
      <c r="AA1200" t="s">
        <v>27</v>
      </c>
      <c r="AB1200" t="s">
        <v>27</v>
      </c>
      <c r="AC1200" t="s">
        <v>27</v>
      </c>
      <c r="AD1200" t="s">
        <v>27</v>
      </c>
      <c r="AE1200" t="s">
        <v>27</v>
      </c>
      <c r="AF1200" t="s">
        <v>27</v>
      </c>
      <c r="AG1200">
        <v>23.81</v>
      </c>
    </row>
    <row r="1201" spans="1:33" x14ac:dyDescent="0.25">
      <c r="A1201" t="s">
        <v>57</v>
      </c>
      <c r="B1201" s="3">
        <v>44662</v>
      </c>
      <c r="C1201">
        <v>2022101</v>
      </c>
      <c r="D1201" t="s">
        <v>27</v>
      </c>
      <c r="E1201" t="s">
        <v>27</v>
      </c>
      <c r="F1201">
        <v>-6.2</v>
      </c>
      <c r="G1201">
        <v>0.5</v>
      </c>
      <c r="H1201">
        <v>-14</v>
      </c>
      <c r="I1201">
        <v>67.3</v>
      </c>
      <c r="J1201">
        <v>31.5</v>
      </c>
      <c r="K1201">
        <v>0.9</v>
      </c>
      <c r="L1201">
        <v>2.7</v>
      </c>
      <c r="M1201">
        <v>0.1</v>
      </c>
      <c r="N1201">
        <v>0.89600000000000013</v>
      </c>
      <c r="O1201">
        <v>0</v>
      </c>
      <c r="P1201" t="s">
        <v>27</v>
      </c>
      <c r="Q1201" t="s">
        <v>27</v>
      </c>
      <c r="R1201" t="s">
        <v>27</v>
      </c>
      <c r="S1201">
        <v>0.1</v>
      </c>
      <c r="T1201">
        <v>0.5</v>
      </c>
      <c r="U1201" t="s">
        <v>27</v>
      </c>
      <c r="V1201">
        <v>0.152</v>
      </c>
      <c r="W1201">
        <v>0.2</v>
      </c>
      <c r="X1201">
        <v>0.435</v>
      </c>
      <c r="Y1201" t="s">
        <v>27</v>
      </c>
      <c r="Z1201" t="s">
        <v>27</v>
      </c>
      <c r="AA1201" t="s">
        <v>27</v>
      </c>
      <c r="AB1201" t="s">
        <v>27</v>
      </c>
      <c r="AC1201" t="s">
        <v>27</v>
      </c>
      <c r="AD1201" t="s">
        <v>27</v>
      </c>
      <c r="AE1201" t="s">
        <v>27</v>
      </c>
      <c r="AF1201" t="s">
        <v>27</v>
      </c>
      <c r="AG1201">
        <v>24.05</v>
      </c>
    </row>
    <row r="1202" spans="1:33" x14ac:dyDescent="0.25">
      <c r="A1202" t="s">
        <v>57</v>
      </c>
      <c r="B1202" s="3">
        <v>44663</v>
      </c>
      <c r="C1202">
        <v>2022102</v>
      </c>
      <c r="D1202" t="s">
        <v>27</v>
      </c>
      <c r="E1202" t="s">
        <v>27</v>
      </c>
      <c r="F1202">
        <v>-6.2</v>
      </c>
      <c r="G1202">
        <v>0.8</v>
      </c>
      <c r="H1202">
        <v>-13.9</v>
      </c>
      <c r="I1202">
        <v>61.2</v>
      </c>
      <c r="J1202">
        <v>25.2</v>
      </c>
      <c r="K1202">
        <v>0.9</v>
      </c>
      <c r="L1202">
        <v>2.7</v>
      </c>
      <c r="M1202">
        <v>0</v>
      </c>
      <c r="N1202">
        <v>0.88800000000000012</v>
      </c>
      <c r="O1202">
        <v>0</v>
      </c>
      <c r="P1202" t="s">
        <v>27</v>
      </c>
      <c r="Q1202" t="s">
        <v>27</v>
      </c>
      <c r="R1202" t="s">
        <v>27</v>
      </c>
      <c r="S1202">
        <v>0.1</v>
      </c>
      <c r="T1202">
        <v>0.5</v>
      </c>
      <c r="U1202" t="s">
        <v>27</v>
      </c>
      <c r="V1202">
        <v>0.151</v>
      </c>
      <c r="W1202">
        <v>0.16300000000000001</v>
      </c>
      <c r="X1202">
        <v>0.48399999999999999</v>
      </c>
      <c r="Y1202" t="s">
        <v>27</v>
      </c>
      <c r="Z1202" t="s">
        <v>27</v>
      </c>
      <c r="AA1202" t="s">
        <v>27</v>
      </c>
      <c r="AB1202" t="s">
        <v>27</v>
      </c>
      <c r="AC1202" t="s">
        <v>27</v>
      </c>
      <c r="AD1202" t="s">
        <v>27</v>
      </c>
      <c r="AE1202" t="s">
        <v>27</v>
      </c>
      <c r="AF1202" t="s">
        <v>27</v>
      </c>
      <c r="AG1202">
        <v>24.3</v>
      </c>
    </row>
    <row r="1203" spans="1:33" x14ac:dyDescent="0.25">
      <c r="A1203" t="s">
        <v>57</v>
      </c>
      <c r="B1203" s="3">
        <v>44664</v>
      </c>
      <c r="C1203">
        <v>2022103</v>
      </c>
      <c r="D1203" t="s">
        <v>27</v>
      </c>
      <c r="E1203" t="s">
        <v>27</v>
      </c>
      <c r="F1203">
        <v>-7.1</v>
      </c>
      <c r="G1203">
        <v>-0.1</v>
      </c>
      <c r="H1203">
        <v>-14.5</v>
      </c>
      <c r="I1203">
        <v>57.3</v>
      </c>
      <c r="J1203">
        <v>23.9</v>
      </c>
      <c r="K1203">
        <v>0.7</v>
      </c>
      <c r="L1203">
        <v>2.2000000000000002</v>
      </c>
      <c r="M1203">
        <v>0</v>
      </c>
      <c r="N1203">
        <v>0.88600000000000012</v>
      </c>
      <c r="O1203">
        <v>0</v>
      </c>
      <c r="P1203" t="s">
        <v>27</v>
      </c>
      <c r="Q1203" t="s">
        <v>27</v>
      </c>
      <c r="R1203" t="s">
        <v>27</v>
      </c>
      <c r="S1203">
        <v>0.1</v>
      </c>
      <c r="T1203">
        <v>0.5</v>
      </c>
      <c r="U1203" t="s">
        <v>27</v>
      </c>
      <c r="V1203">
        <v>0.15</v>
      </c>
      <c r="W1203">
        <v>0.14499999999999999</v>
      </c>
      <c r="X1203">
        <v>0.46200000000000002</v>
      </c>
      <c r="Y1203" t="s">
        <v>27</v>
      </c>
      <c r="Z1203" t="s">
        <v>27</v>
      </c>
      <c r="AA1203" t="s">
        <v>27</v>
      </c>
      <c r="AB1203" t="s">
        <v>27</v>
      </c>
      <c r="AC1203" t="s">
        <v>27</v>
      </c>
      <c r="AD1203" t="s">
        <v>27</v>
      </c>
      <c r="AE1203" t="s">
        <v>27</v>
      </c>
      <c r="AF1203" t="s">
        <v>27</v>
      </c>
      <c r="AG1203">
        <v>24.53</v>
      </c>
    </row>
    <row r="1204" spans="1:33" x14ac:dyDescent="0.25">
      <c r="A1204" t="s">
        <v>57</v>
      </c>
      <c r="B1204" s="3">
        <v>44665</v>
      </c>
      <c r="C1204">
        <v>2022104</v>
      </c>
      <c r="D1204" t="s">
        <v>27</v>
      </c>
      <c r="E1204" t="s">
        <v>27</v>
      </c>
      <c r="F1204">
        <v>-7.9</v>
      </c>
      <c r="G1204">
        <v>0.1</v>
      </c>
      <c r="H1204">
        <v>-16.899999999999999</v>
      </c>
      <c r="I1204">
        <v>57.2</v>
      </c>
      <c r="J1204">
        <v>21.8</v>
      </c>
      <c r="K1204">
        <v>0.7</v>
      </c>
      <c r="L1204">
        <v>2.2999999999999998</v>
      </c>
      <c r="M1204">
        <v>0</v>
      </c>
      <c r="N1204">
        <v>0.88100000000000001</v>
      </c>
      <c r="O1204">
        <v>0</v>
      </c>
      <c r="P1204" t="s">
        <v>27</v>
      </c>
      <c r="Q1204" t="s">
        <v>27</v>
      </c>
      <c r="R1204" t="s">
        <v>27</v>
      </c>
      <c r="S1204">
        <v>0.1</v>
      </c>
      <c r="T1204">
        <v>0.5</v>
      </c>
      <c r="U1204" t="s">
        <v>27</v>
      </c>
      <c r="V1204">
        <v>0.14899999999999999</v>
      </c>
      <c r="W1204">
        <v>0.13400000000000001</v>
      </c>
      <c r="X1204">
        <v>0.48099999999999998</v>
      </c>
      <c r="Y1204" t="s">
        <v>27</v>
      </c>
      <c r="Z1204" t="s">
        <v>27</v>
      </c>
      <c r="AA1204" t="s">
        <v>27</v>
      </c>
      <c r="AB1204" t="s">
        <v>27</v>
      </c>
      <c r="AC1204" t="s">
        <v>27</v>
      </c>
      <c r="AD1204" t="s">
        <v>27</v>
      </c>
      <c r="AE1204" t="s">
        <v>27</v>
      </c>
      <c r="AF1204" t="s">
        <v>27</v>
      </c>
      <c r="AG1204">
        <v>24.78</v>
      </c>
    </row>
    <row r="1205" spans="1:33" x14ac:dyDescent="0.25">
      <c r="A1205" t="s">
        <v>57</v>
      </c>
      <c r="B1205" s="3">
        <v>44666</v>
      </c>
      <c r="C1205">
        <v>2022105</v>
      </c>
      <c r="D1205" t="s">
        <v>27</v>
      </c>
      <c r="E1205" t="s">
        <v>27</v>
      </c>
      <c r="F1205">
        <v>-8.1</v>
      </c>
      <c r="G1205">
        <v>-0.2</v>
      </c>
      <c r="H1205">
        <v>-15.6</v>
      </c>
      <c r="I1205">
        <v>79.099999999999994</v>
      </c>
      <c r="J1205">
        <v>44.1</v>
      </c>
      <c r="K1205">
        <v>0.5</v>
      </c>
      <c r="L1205">
        <v>2.4</v>
      </c>
      <c r="M1205">
        <v>1.2</v>
      </c>
      <c r="N1205">
        <v>0.90100000000000002</v>
      </c>
      <c r="O1205">
        <v>-0.2</v>
      </c>
      <c r="P1205" t="s">
        <v>27</v>
      </c>
      <c r="Q1205" t="s">
        <v>27</v>
      </c>
      <c r="R1205" t="s">
        <v>27</v>
      </c>
      <c r="S1205">
        <v>0.1</v>
      </c>
      <c r="T1205">
        <v>0.4</v>
      </c>
      <c r="U1205" t="s">
        <v>27</v>
      </c>
      <c r="V1205">
        <v>0.14699999999999999</v>
      </c>
      <c r="W1205">
        <v>0.26400000000000001</v>
      </c>
      <c r="X1205">
        <v>0.33500000000000002</v>
      </c>
      <c r="Y1205" t="s">
        <v>27</v>
      </c>
      <c r="Z1205" t="s">
        <v>27</v>
      </c>
      <c r="AA1205" t="s">
        <v>27</v>
      </c>
      <c r="AB1205" t="s">
        <v>27</v>
      </c>
      <c r="AC1205" t="s">
        <v>27</v>
      </c>
      <c r="AD1205" t="s">
        <v>27</v>
      </c>
      <c r="AE1205" t="s">
        <v>27</v>
      </c>
      <c r="AF1205" t="s">
        <v>27</v>
      </c>
      <c r="AG1205">
        <v>25.02</v>
      </c>
    </row>
    <row r="1206" spans="1:33" x14ac:dyDescent="0.25">
      <c r="A1206" t="s">
        <v>57</v>
      </c>
      <c r="B1206" s="3">
        <v>44667</v>
      </c>
      <c r="C1206">
        <v>2022106</v>
      </c>
      <c r="D1206" t="s">
        <v>27</v>
      </c>
      <c r="E1206" t="s">
        <v>27</v>
      </c>
      <c r="F1206">
        <v>-4.3</v>
      </c>
      <c r="G1206">
        <v>2.2000000000000002</v>
      </c>
      <c r="H1206">
        <v>-12.9</v>
      </c>
      <c r="I1206">
        <v>63.5</v>
      </c>
      <c r="J1206">
        <v>28.2</v>
      </c>
      <c r="K1206">
        <v>0.7</v>
      </c>
      <c r="L1206">
        <v>2.5</v>
      </c>
      <c r="M1206">
        <v>1</v>
      </c>
      <c r="N1206">
        <v>0.89500000000000002</v>
      </c>
      <c r="O1206">
        <v>-0.4</v>
      </c>
      <c r="P1206" t="s">
        <v>27</v>
      </c>
      <c r="Q1206" t="s">
        <v>27</v>
      </c>
      <c r="R1206" t="s">
        <v>27</v>
      </c>
      <c r="S1206">
        <v>0.1</v>
      </c>
      <c r="T1206">
        <v>0.5</v>
      </c>
      <c r="U1206" t="s">
        <v>27</v>
      </c>
      <c r="V1206">
        <v>0.14499999999999999</v>
      </c>
      <c r="W1206">
        <v>0.20100000000000001</v>
      </c>
      <c r="X1206">
        <v>0.51200000000000001</v>
      </c>
      <c r="Y1206" t="s">
        <v>27</v>
      </c>
      <c r="Z1206" t="s">
        <v>27</v>
      </c>
      <c r="AA1206" t="s">
        <v>27</v>
      </c>
      <c r="AB1206" t="s">
        <v>27</v>
      </c>
      <c r="AC1206" t="s">
        <v>27</v>
      </c>
      <c r="AD1206" t="s">
        <v>27</v>
      </c>
      <c r="AE1206" t="s">
        <v>27</v>
      </c>
      <c r="AF1206" t="s">
        <v>27</v>
      </c>
      <c r="AG1206">
        <v>25.26</v>
      </c>
    </row>
    <row r="1207" spans="1:33" x14ac:dyDescent="0.25">
      <c r="A1207" t="s">
        <v>57</v>
      </c>
      <c r="B1207" s="3">
        <v>44668</v>
      </c>
      <c r="C1207">
        <v>2022107</v>
      </c>
      <c r="D1207" t="s">
        <v>27</v>
      </c>
      <c r="E1207" t="s">
        <v>27</v>
      </c>
      <c r="F1207">
        <v>-2.8</v>
      </c>
      <c r="G1207">
        <v>6.8</v>
      </c>
      <c r="H1207">
        <v>-14.3</v>
      </c>
      <c r="I1207">
        <v>58.6</v>
      </c>
      <c r="J1207">
        <v>16.2</v>
      </c>
      <c r="K1207">
        <v>1.1000000000000001</v>
      </c>
      <c r="L1207">
        <v>3.2</v>
      </c>
      <c r="M1207">
        <v>0</v>
      </c>
      <c r="N1207">
        <v>0.85900000000000021</v>
      </c>
      <c r="O1207">
        <v>-0.5</v>
      </c>
      <c r="P1207" t="s">
        <v>27</v>
      </c>
      <c r="Q1207" t="s">
        <v>27</v>
      </c>
      <c r="R1207" t="s">
        <v>27</v>
      </c>
      <c r="S1207">
        <v>0.1</v>
      </c>
      <c r="T1207">
        <v>0.5</v>
      </c>
      <c r="U1207" t="s">
        <v>27</v>
      </c>
      <c r="V1207">
        <v>0.14399999999999999</v>
      </c>
      <c r="W1207">
        <v>0.16</v>
      </c>
      <c r="X1207">
        <v>0.82799999999999996</v>
      </c>
      <c r="Y1207" t="s">
        <v>27</v>
      </c>
      <c r="Z1207" t="s">
        <v>27</v>
      </c>
      <c r="AA1207" t="s">
        <v>27</v>
      </c>
      <c r="AB1207" t="s">
        <v>27</v>
      </c>
      <c r="AC1207" t="s">
        <v>27</v>
      </c>
      <c r="AD1207" t="s">
        <v>27</v>
      </c>
      <c r="AE1207" t="s">
        <v>27</v>
      </c>
      <c r="AF1207" t="s">
        <v>27</v>
      </c>
      <c r="AG1207">
        <v>25.49</v>
      </c>
    </row>
    <row r="1208" spans="1:33" x14ac:dyDescent="0.25">
      <c r="A1208" t="s">
        <v>57</v>
      </c>
      <c r="B1208" s="3">
        <v>44669</v>
      </c>
      <c r="C1208">
        <v>2022108</v>
      </c>
      <c r="D1208" t="s">
        <v>27</v>
      </c>
      <c r="E1208" t="s">
        <v>27</v>
      </c>
      <c r="F1208">
        <v>-0.9</v>
      </c>
      <c r="G1208">
        <v>1.7</v>
      </c>
      <c r="H1208">
        <v>-3.9</v>
      </c>
      <c r="I1208">
        <v>73.2</v>
      </c>
      <c r="J1208">
        <v>52.5</v>
      </c>
      <c r="K1208">
        <v>1.4</v>
      </c>
      <c r="L1208">
        <v>4.7</v>
      </c>
      <c r="M1208">
        <v>3.9</v>
      </c>
      <c r="N1208">
        <v>0.91600000000000015</v>
      </c>
      <c r="O1208">
        <v>-0.4</v>
      </c>
      <c r="P1208" t="s">
        <v>27</v>
      </c>
      <c r="Q1208" t="s">
        <v>27</v>
      </c>
      <c r="R1208" t="s">
        <v>27</v>
      </c>
      <c r="S1208">
        <v>0.1</v>
      </c>
      <c r="T1208">
        <v>0.5</v>
      </c>
      <c r="U1208" t="s">
        <v>27</v>
      </c>
      <c r="V1208">
        <v>0.14299999999999999</v>
      </c>
      <c r="W1208">
        <v>0.36099999999999999</v>
      </c>
      <c r="X1208">
        <v>0.32700000000000001</v>
      </c>
      <c r="Y1208" t="s">
        <v>27</v>
      </c>
      <c r="Z1208" t="s">
        <v>27</v>
      </c>
      <c r="AA1208" t="s">
        <v>27</v>
      </c>
      <c r="AB1208" t="s">
        <v>27</v>
      </c>
      <c r="AC1208" t="s">
        <v>27</v>
      </c>
      <c r="AD1208" t="s">
        <v>27</v>
      </c>
      <c r="AE1208" t="s">
        <v>27</v>
      </c>
      <c r="AF1208" t="s">
        <v>27</v>
      </c>
      <c r="AG1208">
        <v>25.73</v>
      </c>
    </row>
    <row r="1209" spans="1:33" x14ac:dyDescent="0.25">
      <c r="A1209" t="s">
        <v>57</v>
      </c>
      <c r="B1209" s="3">
        <v>44670</v>
      </c>
      <c r="C1209">
        <v>2022109</v>
      </c>
      <c r="D1209" t="s">
        <v>27</v>
      </c>
      <c r="E1209" t="s">
        <v>27</v>
      </c>
      <c r="F1209">
        <v>-2.4</v>
      </c>
      <c r="G1209">
        <v>2.6</v>
      </c>
      <c r="H1209">
        <v>-9.6999999999999993</v>
      </c>
      <c r="I1209">
        <v>59.7</v>
      </c>
      <c r="J1209">
        <v>27.6</v>
      </c>
      <c r="K1209">
        <v>1.7</v>
      </c>
      <c r="L1209">
        <v>4.2</v>
      </c>
      <c r="M1209">
        <v>1.5</v>
      </c>
      <c r="N1209">
        <v>0.88100000000000001</v>
      </c>
      <c r="O1209">
        <v>-0.2</v>
      </c>
      <c r="P1209" t="s">
        <v>27</v>
      </c>
      <c r="Q1209" t="s">
        <v>27</v>
      </c>
      <c r="R1209" t="s">
        <v>27</v>
      </c>
      <c r="S1209">
        <v>0.1</v>
      </c>
      <c r="T1209">
        <v>0.5</v>
      </c>
      <c r="U1209" t="s">
        <v>27</v>
      </c>
      <c r="V1209">
        <v>0.14199999999999999</v>
      </c>
      <c r="W1209">
        <v>0.20300000000000001</v>
      </c>
      <c r="X1209">
        <v>0.53300000000000003</v>
      </c>
      <c r="Y1209" t="s">
        <v>27</v>
      </c>
      <c r="Z1209" t="s">
        <v>27</v>
      </c>
      <c r="AA1209" t="s">
        <v>27</v>
      </c>
      <c r="AB1209" t="s">
        <v>27</v>
      </c>
      <c r="AC1209" t="s">
        <v>27</v>
      </c>
      <c r="AD1209" t="s">
        <v>27</v>
      </c>
      <c r="AE1209" t="s">
        <v>27</v>
      </c>
      <c r="AF1209" t="s">
        <v>27</v>
      </c>
      <c r="AG1209">
        <v>25.96</v>
      </c>
    </row>
    <row r="1210" spans="1:33" x14ac:dyDescent="0.25">
      <c r="A1210" t="s">
        <v>57</v>
      </c>
      <c r="B1210" s="3">
        <v>44671</v>
      </c>
      <c r="C1210">
        <v>2022110</v>
      </c>
      <c r="D1210" t="s">
        <v>27</v>
      </c>
      <c r="E1210" t="s">
        <v>27</v>
      </c>
      <c r="F1210">
        <v>-2.1</v>
      </c>
      <c r="G1210">
        <v>5.6</v>
      </c>
      <c r="H1210">
        <v>-13.4</v>
      </c>
      <c r="I1210">
        <v>60.2</v>
      </c>
      <c r="J1210">
        <v>27.7</v>
      </c>
      <c r="K1210">
        <v>1.2</v>
      </c>
      <c r="L1210">
        <v>3.8</v>
      </c>
      <c r="M1210">
        <v>0</v>
      </c>
      <c r="N1210">
        <v>0.873</v>
      </c>
      <c r="O1210">
        <v>-0.2</v>
      </c>
      <c r="P1210" t="s">
        <v>27</v>
      </c>
      <c r="Q1210" t="s">
        <v>27</v>
      </c>
      <c r="R1210" t="s">
        <v>27</v>
      </c>
      <c r="S1210">
        <v>0.1</v>
      </c>
      <c r="T1210">
        <v>0.5</v>
      </c>
      <c r="U1210" t="s">
        <v>27</v>
      </c>
      <c r="V1210">
        <v>0.14199999999999999</v>
      </c>
      <c r="W1210">
        <v>0.252</v>
      </c>
      <c r="X1210">
        <v>0.65800000000000003</v>
      </c>
      <c r="Y1210" t="s">
        <v>27</v>
      </c>
      <c r="Z1210" t="s">
        <v>27</v>
      </c>
      <c r="AA1210" t="s">
        <v>27</v>
      </c>
      <c r="AB1210" t="s">
        <v>27</v>
      </c>
      <c r="AC1210" t="s">
        <v>27</v>
      </c>
      <c r="AD1210" t="s">
        <v>27</v>
      </c>
      <c r="AE1210" t="s">
        <v>27</v>
      </c>
      <c r="AF1210" t="s">
        <v>27</v>
      </c>
      <c r="AG1210">
        <v>26.18</v>
      </c>
    </row>
    <row r="1211" spans="1:33" x14ac:dyDescent="0.25">
      <c r="A1211" t="s">
        <v>57</v>
      </c>
      <c r="B1211" s="3">
        <v>44672</v>
      </c>
      <c r="C1211">
        <v>2022111</v>
      </c>
      <c r="D1211" t="s">
        <v>27</v>
      </c>
      <c r="E1211" t="s">
        <v>27</v>
      </c>
      <c r="F1211">
        <v>-0.2</v>
      </c>
      <c r="G1211">
        <v>4.3</v>
      </c>
      <c r="H1211">
        <v>-4</v>
      </c>
      <c r="I1211">
        <v>84.1</v>
      </c>
      <c r="J1211">
        <v>58.8</v>
      </c>
      <c r="K1211">
        <v>1</v>
      </c>
      <c r="L1211">
        <v>3.1</v>
      </c>
      <c r="M1211">
        <v>3.6</v>
      </c>
      <c r="N1211">
        <v>0.88600000000000012</v>
      </c>
      <c r="O1211">
        <v>-0.2</v>
      </c>
      <c r="P1211" t="s">
        <v>27</v>
      </c>
      <c r="Q1211" t="s">
        <v>27</v>
      </c>
      <c r="R1211" t="s">
        <v>27</v>
      </c>
      <c r="S1211">
        <v>0.1</v>
      </c>
      <c r="T1211">
        <v>0.5</v>
      </c>
      <c r="U1211" t="s">
        <v>27</v>
      </c>
      <c r="V1211">
        <v>0.14099999999999999</v>
      </c>
      <c r="W1211">
        <v>0.48699999999999999</v>
      </c>
      <c r="X1211">
        <v>0.34100000000000003</v>
      </c>
      <c r="Y1211" t="s">
        <v>27</v>
      </c>
      <c r="Z1211" t="s">
        <v>27</v>
      </c>
      <c r="AA1211" t="s">
        <v>27</v>
      </c>
      <c r="AB1211" t="s">
        <v>27</v>
      </c>
      <c r="AC1211" t="s">
        <v>27</v>
      </c>
      <c r="AD1211" t="s">
        <v>27</v>
      </c>
      <c r="AE1211" t="s">
        <v>27</v>
      </c>
      <c r="AF1211" t="s">
        <v>27</v>
      </c>
      <c r="AG1211">
        <v>26.41</v>
      </c>
    </row>
    <row r="1212" spans="1:33" x14ac:dyDescent="0.25">
      <c r="A1212" t="s">
        <v>57</v>
      </c>
      <c r="B1212" s="3">
        <v>44673</v>
      </c>
      <c r="C1212">
        <v>2022112</v>
      </c>
      <c r="D1212" t="s">
        <v>27</v>
      </c>
      <c r="E1212" t="s">
        <v>27</v>
      </c>
      <c r="F1212">
        <v>-0.1</v>
      </c>
      <c r="G1212">
        <v>8.1999999999999993</v>
      </c>
      <c r="H1212">
        <v>-7.6</v>
      </c>
      <c r="I1212">
        <v>72.3</v>
      </c>
      <c r="J1212">
        <v>30.5</v>
      </c>
      <c r="K1212">
        <v>0.7</v>
      </c>
      <c r="L1212">
        <v>3</v>
      </c>
      <c r="M1212">
        <v>0.6</v>
      </c>
      <c r="N1212">
        <v>0.86100000000000021</v>
      </c>
      <c r="O1212">
        <v>-0.1</v>
      </c>
      <c r="P1212" t="s">
        <v>27</v>
      </c>
      <c r="Q1212" t="s">
        <v>27</v>
      </c>
      <c r="R1212" t="s">
        <v>27</v>
      </c>
      <c r="S1212">
        <v>0.1</v>
      </c>
      <c r="T1212">
        <v>0.5</v>
      </c>
      <c r="U1212" t="s">
        <v>27</v>
      </c>
      <c r="V1212">
        <v>0.14099999999999999</v>
      </c>
      <c r="W1212">
        <v>0.33100000000000002</v>
      </c>
      <c r="X1212">
        <v>0.754</v>
      </c>
      <c r="Y1212" t="s">
        <v>27</v>
      </c>
      <c r="Z1212" t="s">
        <v>27</v>
      </c>
      <c r="AA1212" t="s">
        <v>27</v>
      </c>
      <c r="AB1212" t="s">
        <v>27</v>
      </c>
      <c r="AC1212" t="s">
        <v>27</v>
      </c>
      <c r="AD1212" t="s">
        <v>27</v>
      </c>
      <c r="AE1212" t="s">
        <v>27</v>
      </c>
      <c r="AF1212" t="s">
        <v>27</v>
      </c>
      <c r="AG1212">
        <v>26.63</v>
      </c>
    </row>
    <row r="1213" spans="1:33" x14ac:dyDescent="0.25">
      <c r="A1213" t="s">
        <v>57</v>
      </c>
      <c r="B1213" s="3">
        <v>44674</v>
      </c>
      <c r="C1213">
        <v>2022113</v>
      </c>
      <c r="D1213" t="s">
        <v>27</v>
      </c>
      <c r="E1213" t="s">
        <v>27</v>
      </c>
      <c r="F1213">
        <v>1.7</v>
      </c>
      <c r="G1213">
        <v>10.8</v>
      </c>
      <c r="H1213">
        <v>-7.1</v>
      </c>
      <c r="I1213">
        <v>63.3</v>
      </c>
      <c r="J1213">
        <v>24.5</v>
      </c>
      <c r="K1213">
        <v>0.6</v>
      </c>
      <c r="L1213">
        <v>2.8</v>
      </c>
      <c r="M1213">
        <v>0</v>
      </c>
      <c r="N1213">
        <v>0.83200000000000007</v>
      </c>
      <c r="O1213">
        <v>0.1</v>
      </c>
      <c r="P1213" t="s">
        <v>27</v>
      </c>
      <c r="Q1213" t="s">
        <v>27</v>
      </c>
      <c r="R1213" t="s">
        <v>27</v>
      </c>
      <c r="S1213">
        <v>0.1</v>
      </c>
      <c r="T1213">
        <v>0.5</v>
      </c>
      <c r="U1213" t="s">
        <v>27</v>
      </c>
      <c r="V1213">
        <v>0.14099999999999999</v>
      </c>
      <c r="W1213">
        <v>0.317</v>
      </c>
      <c r="X1213">
        <v>0.97699999999999998</v>
      </c>
      <c r="Y1213" t="s">
        <v>27</v>
      </c>
      <c r="Z1213" t="s">
        <v>27</v>
      </c>
      <c r="AA1213" t="s">
        <v>27</v>
      </c>
      <c r="AB1213" t="s">
        <v>27</v>
      </c>
      <c r="AC1213" t="s">
        <v>27</v>
      </c>
      <c r="AD1213" t="s">
        <v>27</v>
      </c>
      <c r="AE1213" t="s">
        <v>27</v>
      </c>
      <c r="AF1213" t="s">
        <v>27</v>
      </c>
      <c r="AG1213">
        <v>26.85</v>
      </c>
    </row>
    <row r="1214" spans="1:33" x14ac:dyDescent="0.25">
      <c r="A1214" t="s">
        <v>57</v>
      </c>
      <c r="B1214" s="3">
        <v>44675</v>
      </c>
      <c r="C1214">
        <v>2022114</v>
      </c>
      <c r="D1214" t="s">
        <v>27</v>
      </c>
      <c r="E1214" t="s">
        <v>27</v>
      </c>
      <c r="F1214">
        <v>4.0999999999999996</v>
      </c>
      <c r="G1214">
        <v>12.3</v>
      </c>
      <c r="H1214">
        <v>-5.9</v>
      </c>
      <c r="I1214">
        <v>53.5</v>
      </c>
      <c r="J1214">
        <v>18.600000000000001</v>
      </c>
      <c r="K1214">
        <v>1.3</v>
      </c>
      <c r="L1214">
        <v>3.7</v>
      </c>
      <c r="M1214">
        <v>0</v>
      </c>
      <c r="N1214">
        <v>0.78100000000000014</v>
      </c>
      <c r="O1214">
        <v>0.1</v>
      </c>
      <c r="P1214" t="s">
        <v>27</v>
      </c>
      <c r="Q1214" t="s">
        <v>27</v>
      </c>
      <c r="R1214" t="s">
        <v>27</v>
      </c>
      <c r="S1214">
        <v>0.1</v>
      </c>
      <c r="T1214">
        <v>0.5</v>
      </c>
      <c r="U1214" t="s">
        <v>27</v>
      </c>
      <c r="V1214">
        <v>0.14199999999999999</v>
      </c>
      <c r="W1214">
        <v>0.26600000000000001</v>
      </c>
      <c r="X1214">
        <v>1.1639999999999999</v>
      </c>
      <c r="Y1214" t="s">
        <v>27</v>
      </c>
      <c r="Z1214" t="s">
        <v>27</v>
      </c>
      <c r="AA1214" t="s">
        <v>27</v>
      </c>
      <c r="AB1214" t="s">
        <v>27</v>
      </c>
      <c r="AC1214" t="s">
        <v>27</v>
      </c>
      <c r="AD1214" t="s">
        <v>27</v>
      </c>
      <c r="AE1214" t="s">
        <v>27</v>
      </c>
      <c r="AF1214" t="s">
        <v>27</v>
      </c>
      <c r="AG1214">
        <v>27.07</v>
      </c>
    </row>
    <row r="1215" spans="1:33" x14ac:dyDescent="0.25">
      <c r="A1215" t="s">
        <v>57</v>
      </c>
      <c r="B1215" s="3">
        <v>44676</v>
      </c>
      <c r="C1215">
        <v>2022115</v>
      </c>
      <c r="D1215" t="s">
        <v>27</v>
      </c>
      <c r="E1215" t="s">
        <v>27</v>
      </c>
      <c r="F1215">
        <v>4.5999999999999996</v>
      </c>
      <c r="G1215">
        <v>11.3</v>
      </c>
      <c r="H1215">
        <v>-0.5</v>
      </c>
      <c r="I1215">
        <v>62.8</v>
      </c>
      <c r="J1215">
        <v>32.5</v>
      </c>
      <c r="K1215">
        <v>1.4</v>
      </c>
      <c r="L1215">
        <v>4.5</v>
      </c>
      <c r="M1215">
        <v>0</v>
      </c>
      <c r="N1215">
        <v>0.7430000000000001</v>
      </c>
      <c r="O1215">
        <v>0.1</v>
      </c>
      <c r="P1215" t="s">
        <v>27</v>
      </c>
      <c r="Q1215" t="s">
        <v>27</v>
      </c>
      <c r="R1215" t="s">
        <v>27</v>
      </c>
      <c r="S1215">
        <v>0.1</v>
      </c>
      <c r="T1215">
        <v>0.5</v>
      </c>
      <c r="U1215" t="s">
        <v>27</v>
      </c>
      <c r="V1215">
        <v>0.14799999999999999</v>
      </c>
      <c r="W1215">
        <v>0.436</v>
      </c>
      <c r="X1215">
        <v>0.90600000000000003</v>
      </c>
      <c r="Y1215" t="s">
        <v>27</v>
      </c>
      <c r="Z1215" t="s">
        <v>27</v>
      </c>
      <c r="AA1215" t="s">
        <v>27</v>
      </c>
      <c r="AB1215" t="s">
        <v>27</v>
      </c>
      <c r="AC1215" t="s">
        <v>27</v>
      </c>
      <c r="AD1215" t="s">
        <v>27</v>
      </c>
      <c r="AE1215" t="s">
        <v>27</v>
      </c>
      <c r="AF1215" t="s">
        <v>27</v>
      </c>
      <c r="AG1215">
        <v>27.29</v>
      </c>
    </row>
    <row r="1216" spans="1:33" x14ac:dyDescent="0.25">
      <c r="A1216" t="s">
        <v>57</v>
      </c>
      <c r="B1216" s="3">
        <v>44677</v>
      </c>
      <c r="C1216">
        <v>2022116</v>
      </c>
      <c r="D1216" t="s">
        <v>27</v>
      </c>
      <c r="E1216" t="s">
        <v>27</v>
      </c>
      <c r="F1216">
        <v>-0.3</v>
      </c>
      <c r="G1216">
        <v>3.4</v>
      </c>
      <c r="H1216">
        <v>-5.9</v>
      </c>
      <c r="I1216">
        <v>80.5</v>
      </c>
      <c r="J1216">
        <v>49.3</v>
      </c>
      <c r="K1216">
        <v>0.8</v>
      </c>
      <c r="L1216">
        <v>3.9</v>
      </c>
      <c r="M1216">
        <v>4</v>
      </c>
      <c r="N1216">
        <v>0.75900000000000012</v>
      </c>
      <c r="O1216">
        <v>0.1</v>
      </c>
      <c r="P1216" t="s">
        <v>27</v>
      </c>
      <c r="Q1216" t="s">
        <v>27</v>
      </c>
      <c r="R1216" t="s">
        <v>27</v>
      </c>
      <c r="S1216">
        <v>0.1</v>
      </c>
      <c r="T1216">
        <v>0.5</v>
      </c>
      <c r="U1216" t="s">
        <v>27</v>
      </c>
      <c r="V1216">
        <v>0.155</v>
      </c>
      <c r="W1216">
        <v>0.38500000000000001</v>
      </c>
      <c r="X1216">
        <v>0.39600000000000002</v>
      </c>
      <c r="Y1216" t="s">
        <v>27</v>
      </c>
      <c r="Z1216" t="s">
        <v>27</v>
      </c>
      <c r="AA1216" t="s">
        <v>27</v>
      </c>
      <c r="AB1216" t="s">
        <v>27</v>
      </c>
      <c r="AC1216" t="s">
        <v>27</v>
      </c>
      <c r="AD1216" t="s">
        <v>27</v>
      </c>
      <c r="AE1216" t="s">
        <v>27</v>
      </c>
      <c r="AF1216" t="s">
        <v>27</v>
      </c>
      <c r="AG1216">
        <v>27.5</v>
      </c>
    </row>
    <row r="1217" spans="1:33" x14ac:dyDescent="0.25">
      <c r="A1217" t="s">
        <v>57</v>
      </c>
      <c r="B1217" s="3">
        <v>44678</v>
      </c>
      <c r="C1217">
        <v>2022117</v>
      </c>
      <c r="D1217" t="s">
        <v>27</v>
      </c>
      <c r="E1217" t="s">
        <v>27</v>
      </c>
      <c r="F1217">
        <v>-1.9</v>
      </c>
      <c r="G1217">
        <v>5.2</v>
      </c>
      <c r="H1217">
        <v>-8.5</v>
      </c>
      <c r="I1217">
        <v>57.4</v>
      </c>
      <c r="J1217">
        <v>23.2</v>
      </c>
      <c r="K1217">
        <v>1</v>
      </c>
      <c r="L1217">
        <v>3.7</v>
      </c>
      <c r="M1217">
        <v>0</v>
      </c>
      <c r="N1217">
        <v>0.75</v>
      </c>
      <c r="O1217">
        <v>0</v>
      </c>
      <c r="P1217" t="s">
        <v>27</v>
      </c>
      <c r="Q1217" t="s">
        <v>27</v>
      </c>
      <c r="R1217" t="s">
        <v>27</v>
      </c>
      <c r="S1217">
        <v>0.1</v>
      </c>
      <c r="T1217">
        <v>0.4</v>
      </c>
      <c r="U1217" t="s">
        <v>27</v>
      </c>
      <c r="V1217">
        <v>0.157</v>
      </c>
      <c r="W1217">
        <v>0.20499999999999999</v>
      </c>
      <c r="X1217">
        <v>0.67900000000000005</v>
      </c>
      <c r="Y1217" t="s">
        <v>27</v>
      </c>
      <c r="Z1217" t="s">
        <v>27</v>
      </c>
      <c r="AA1217" t="s">
        <v>27</v>
      </c>
      <c r="AB1217" t="s">
        <v>27</v>
      </c>
      <c r="AC1217" t="s">
        <v>27</v>
      </c>
      <c r="AD1217" t="s">
        <v>27</v>
      </c>
      <c r="AE1217" t="s">
        <v>27</v>
      </c>
      <c r="AF1217" t="s">
        <v>27</v>
      </c>
      <c r="AG1217">
        <v>27.71</v>
      </c>
    </row>
    <row r="1218" spans="1:33" x14ac:dyDescent="0.25">
      <c r="A1218" t="s">
        <v>57</v>
      </c>
      <c r="B1218" s="3">
        <v>44679</v>
      </c>
      <c r="C1218">
        <v>2022118</v>
      </c>
      <c r="D1218" t="s">
        <v>27</v>
      </c>
      <c r="E1218" t="s">
        <v>27</v>
      </c>
      <c r="F1218">
        <v>-0.5</v>
      </c>
      <c r="G1218">
        <v>6.9</v>
      </c>
      <c r="H1218">
        <v>-8.6</v>
      </c>
      <c r="I1218">
        <v>56.6</v>
      </c>
      <c r="J1218">
        <v>23.3</v>
      </c>
      <c r="K1218">
        <v>0.7</v>
      </c>
      <c r="L1218">
        <v>2.9</v>
      </c>
      <c r="M1218">
        <v>0</v>
      </c>
      <c r="N1218">
        <v>0.7260000000000002</v>
      </c>
      <c r="O1218">
        <v>0</v>
      </c>
      <c r="P1218" t="s">
        <v>27</v>
      </c>
      <c r="Q1218" t="s">
        <v>27</v>
      </c>
      <c r="R1218" t="s">
        <v>27</v>
      </c>
      <c r="S1218">
        <v>0.1</v>
      </c>
      <c r="T1218">
        <v>0.4</v>
      </c>
      <c r="U1218" t="s">
        <v>27</v>
      </c>
      <c r="V1218">
        <v>0.158</v>
      </c>
      <c r="W1218">
        <v>0.23200000000000001</v>
      </c>
      <c r="X1218">
        <v>0.76400000000000001</v>
      </c>
      <c r="Y1218" t="s">
        <v>27</v>
      </c>
      <c r="Z1218" t="s">
        <v>27</v>
      </c>
      <c r="AA1218" t="s">
        <v>27</v>
      </c>
      <c r="AB1218" t="s">
        <v>27</v>
      </c>
      <c r="AC1218" t="s">
        <v>27</v>
      </c>
      <c r="AD1218" t="s">
        <v>27</v>
      </c>
      <c r="AE1218" t="s">
        <v>27</v>
      </c>
      <c r="AF1218" t="s">
        <v>27</v>
      </c>
      <c r="AG1218">
        <v>27.92</v>
      </c>
    </row>
    <row r="1219" spans="1:33" x14ac:dyDescent="0.25">
      <c r="A1219" t="s">
        <v>57</v>
      </c>
      <c r="B1219" s="3">
        <v>44680</v>
      </c>
      <c r="C1219">
        <v>2022119</v>
      </c>
      <c r="D1219" t="s">
        <v>27</v>
      </c>
      <c r="E1219" t="s">
        <v>27</v>
      </c>
      <c r="F1219">
        <v>1.2</v>
      </c>
      <c r="G1219">
        <v>9.3000000000000007</v>
      </c>
      <c r="H1219">
        <v>-4.9000000000000004</v>
      </c>
      <c r="I1219">
        <v>67.099999999999994</v>
      </c>
      <c r="J1219">
        <v>30.7</v>
      </c>
      <c r="K1219">
        <v>0.9</v>
      </c>
      <c r="L1219">
        <v>2.9</v>
      </c>
      <c r="M1219">
        <v>0</v>
      </c>
      <c r="N1219">
        <v>0.69700000000000006</v>
      </c>
      <c r="O1219">
        <v>0.1</v>
      </c>
      <c r="P1219" t="s">
        <v>27</v>
      </c>
      <c r="Q1219" t="s">
        <v>27</v>
      </c>
      <c r="R1219" t="s">
        <v>27</v>
      </c>
      <c r="S1219">
        <v>0.1</v>
      </c>
      <c r="T1219">
        <v>0.4</v>
      </c>
      <c r="U1219" t="s">
        <v>27</v>
      </c>
      <c r="V1219">
        <v>0.159</v>
      </c>
      <c r="W1219">
        <v>0.35899999999999999</v>
      </c>
      <c r="X1219">
        <v>0.81</v>
      </c>
      <c r="Y1219" t="s">
        <v>27</v>
      </c>
      <c r="Z1219" t="s">
        <v>27</v>
      </c>
      <c r="AA1219" t="s">
        <v>27</v>
      </c>
      <c r="AB1219" t="s">
        <v>27</v>
      </c>
      <c r="AC1219" t="s">
        <v>27</v>
      </c>
      <c r="AD1219" t="s">
        <v>27</v>
      </c>
      <c r="AE1219" t="s">
        <v>27</v>
      </c>
      <c r="AF1219" t="s">
        <v>27</v>
      </c>
      <c r="AG1219">
        <v>28.12</v>
      </c>
    </row>
    <row r="1220" spans="1:33" x14ac:dyDescent="0.25">
      <c r="A1220" t="s">
        <v>57</v>
      </c>
      <c r="B1220" s="3">
        <v>44681</v>
      </c>
      <c r="C1220">
        <v>2022120</v>
      </c>
      <c r="D1220" t="s">
        <v>27</v>
      </c>
      <c r="E1220" t="s">
        <v>27</v>
      </c>
      <c r="F1220">
        <v>1.5</v>
      </c>
      <c r="G1220">
        <v>5.6</v>
      </c>
      <c r="H1220">
        <v>-2.2000000000000002</v>
      </c>
      <c r="I1220">
        <v>85.8</v>
      </c>
      <c r="J1220">
        <v>67.8</v>
      </c>
      <c r="K1220">
        <v>0.8</v>
      </c>
      <c r="L1220">
        <v>2.7</v>
      </c>
      <c r="M1220">
        <v>4.8</v>
      </c>
      <c r="N1220">
        <v>0.69000000000000017</v>
      </c>
      <c r="O1220">
        <v>0.1</v>
      </c>
      <c r="P1220" t="s">
        <v>27</v>
      </c>
      <c r="Q1220" t="s">
        <v>27</v>
      </c>
      <c r="R1220" t="s">
        <v>27</v>
      </c>
      <c r="S1220">
        <v>0.1</v>
      </c>
      <c r="T1220">
        <v>0.4</v>
      </c>
      <c r="U1220" t="s">
        <v>27</v>
      </c>
      <c r="V1220">
        <v>0.16</v>
      </c>
      <c r="W1220">
        <v>0.61499999999999999</v>
      </c>
      <c r="X1220">
        <v>0.29199999999999998</v>
      </c>
      <c r="Y1220" t="s">
        <v>27</v>
      </c>
      <c r="Z1220" t="s">
        <v>27</v>
      </c>
      <c r="AA1220" t="s">
        <v>27</v>
      </c>
      <c r="AB1220" t="s">
        <v>27</v>
      </c>
      <c r="AC1220" t="s">
        <v>27</v>
      </c>
      <c r="AD1220" t="s">
        <v>27</v>
      </c>
      <c r="AE1220" t="s">
        <v>27</v>
      </c>
      <c r="AF1220" t="s">
        <v>27</v>
      </c>
      <c r="AG1220">
        <v>28.32</v>
      </c>
    </row>
    <row r="1221" spans="1:33" x14ac:dyDescent="0.25">
      <c r="A1221" t="s">
        <v>57</v>
      </c>
      <c r="B1221" s="3">
        <v>44682</v>
      </c>
      <c r="C1221">
        <v>2022121</v>
      </c>
      <c r="D1221" t="s">
        <v>27</v>
      </c>
      <c r="E1221" t="s">
        <v>27</v>
      </c>
      <c r="F1221">
        <v>4.3</v>
      </c>
      <c r="G1221">
        <v>12.3</v>
      </c>
      <c r="H1221">
        <v>-4.4000000000000004</v>
      </c>
      <c r="I1221">
        <v>65.400000000000006</v>
      </c>
      <c r="J1221">
        <v>30.1</v>
      </c>
      <c r="K1221">
        <v>0.7</v>
      </c>
      <c r="L1221">
        <v>2.9</v>
      </c>
      <c r="M1221">
        <v>0</v>
      </c>
      <c r="N1221">
        <v>0.65600000000000014</v>
      </c>
      <c r="O1221">
        <v>0.1</v>
      </c>
      <c r="P1221" t="s">
        <v>27</v>
      </c>
      <c r="Q1221" t="s">
        <v>27</v>
      </c>
      <c r="R1221" t="s">
        <v>27</v>
      </c>
      <c r="S1221">
        <v>0.1</v>
      </c>
      <c r="T1221">
        <v>0.4</v>
      </c>
      <c r="U1221" t="s">
        <v>27</v>
      </c>
      <c r="V1221">
        <v>0.16300000000000001</v>
      </c>
      <c r="W1221">
        <v>0.43099999999999999</v>
      </c>
      <c r="X1221">
        <v>1.0009999999999999</v>
      </c>
      <c r="Y1221" t="s">
        <v>27</v>
      </c>
      <c r="Z1221" t="s">
        <v>27</v>
      </c>
      <c r="AA1221" t="s">
        <v>27</v>
      </c>
      <c r="AB1221" t="s">
        <v>27</v>
      </c>
      <c r="AC1221" t="s">
        <v>27</v>
      </c>
      <c r="AD1221" t="s">
        <v>27</v>
      </c>
      <c r="AE1221" t="s">
        <v>27</v>
      </c>
      <c r="AF1221" t="s">
        <v>27</v>
      </c>
      <c r="AG1221">
        <v>28.52</v>
      </c>
    </row>
    <row r="1222" spans="1:33" x14ac:dyDescent="0.25">
      <c r="A1222" t="s">
        <v>57</v>
      </c>
      <c r="B1222" s="3">
        <v>44683</v>
      </c>
      <c r="C1222">
        <v>2022122</v>
      </c>
      <c r="D1222" t="s">
        <v>27</v>
      </c>
      <c r="E1222" t="s">
        <v>27</v>
      </c>
      <c r="F1222">
        <v>5.2</v>
      </c>
      <c r="G1222">
        <v>11.8</v>
      </c>
      <c r="H1222">
        <v>-1.2</v>
      </c>
      <c r="I1222">
        <v>69.400000000000006</v>
      </c>
      <c r="J1222">
        <v>39.299999999999997</v>
      </c>
      <c r="K1222">
        <v>0.5</v>
      </c>
      <c r="L1222">
        <v>2.1</v>
      </c>
      <c r="M1222">
        <v>0</v>
      </c>
      <c r="N1222">
        <v>0.625</v>
      </c>
      <c r="O1222">
        <v>0.1</v>
      </c>
      <c r="P1222" t="s">
        <v>27</v>
      </c>
      <c r="Q1222" t="s">
        <v>27</v>
      </c>
      <c r="R1222" t="s">
        <v>27</v>
      </c>
      <c r="S1222">
        <v>0.1</v>
      </c>
      <c r="T1222">
        <v>0.4</v>
      </c>
      <c r="U1222" t="s">
        <v>27</v>
      </c>
      <c r="V1222">
        <v>0.17</v>
      </c>
      <c r="W1222">
        <v>0.54400000000000004</v>
      </c>
      <c r="X1222">
        <v>0.84</v>
      </c>
      <c r="Y1222" t="s">
        <v>27</v>
      </c>
      <c r="Z1222" t="s">
        <v>27</v>
      </c>
      <c r="AA1222" t="s">
        <v>27</v>
      </c>
      <c r="AB1222" t="s">
        <v>27</v>
      </c>
      <c r="AC1222" t="s">
        <v>27</v>
      </c>
      <c r="AD1222" t="s">
        <v>27</v>
      </c>
      <c r="AE1222" t="s">
        <v>27</v>
      </c>
      <c r="AF1222" t="s">
        <v>27</v>
      </c>
      <c r="AG1222">
        <v>28.7</v>
      </c>
    </row>
    <row r="1223" spans="1:33" x14ac:dyDescent="0.25">
      <c r="A1223" t="s">
        <v>57</v>
      </c>
      <c r="B1223" s="3">
        <v>44684</v>
      </c>
      <c r="C1223">
        <v>2022123</v>
      </c>
      <c r="D1223" t="s">
        <v>27</v>
      </c>
      <c r="E1223" t="s">
        <v>27</v>
      </c>
      <c r="F1223">
        <v>5</v>
      </c>
      <c r="G1223">
        <v>11.7</v>
      </c>
      <c r="H1223">
        <v>-1.4</v>
      </c>
      <c r="I1223">
        <v>69.900000000000006</v>
      </c>
      <c r="J1223">
        <v>40.200000000000003</v>
      </c>
      <c r="K1223">
        <v>1.2</v>
      </c>
      <c r="L1223">
        <v>3.7</v>
      </c>
      <c r="M1223">
        <v>0</v>
      </c>
      <c r="N1223">
        <v>0.57100000000000017</v>
      </c>
      <c r="O1223">
        <v>0.1</v>
      </c>
      <c r="P1223" t="s">
        <v>27</v>
      </c>
      <c r="Q1223" t="s">
        <v>27</v>
      </c>
      <c r="R1223" t="s">
        <v>27</v>
      </c>
      <c r="S1223">
        <v>0.1</v>
      </c>
      <c r="T1223">
        <v>0.4</v>
      </c>
      <c r="U1223" t="s">
        <v>27</v>
      </c>
      <c r="V1223">
        <v>0.18</v>
      </c>
      <c r="W1223">
        <v>0.55400000000000005</v>
      </c>
      <c r="X1223">
        <v>0.82399999999999995</v>
      </c>
      <c r="Y1223" t="s">
        <v>27</v>
      </c>
      <c r="Z1223" t="s">
        <v>27</v>
      </c>
      <c r="AA1223" t="s">
        <v>27</v>
      </c>
      <c r="AB1223" t="s">
        <v>27</v>
      </c>
      <c r="AC1223" t="s">
        <v>27</v>
      </c>
      <c r="AD1223" t="s">
        <v>27</v>
      </c>
      <c r="AE1223" t="s">
        <v>27</v>
      </c>
      <c r="AF1223" t="s">
        <v>27</v>
      </c>
      <c r="AG1223">
        <v>28.89</v>
      </c>
    </row>
    <row r="1224" spans="1:33" x14ac:dyDescent="0.25">
      <c r="A1224" t="s">
        <v>57</v>
      </c>
      <c r="B1224" s="3">
        <v>44685</v>
      </c>
      <c r="C1224">
        <v>2022124</v>
      </c>
      <c r="D1224" t="s">
        <v>27</v>
      </c>
      <c r="E1224" t="s">
        <v>27</v>
      </c>
      <c r="F1224">
        <v>5.6</v>
      </c>
      <c r="G1224">
        <v>10</v>
      </c>
      <c r="H1224">
        <v>1.7</v>
      </c>
      <c r="I1224">
        <v>79.900000000000006</v>
      </c>
      <c r="J1224">
        <v>50.6</v>
      </c>
      <c r="K1224">
        <v>0.6</v>
      </c>
      <c r="L1224">
        <v>2.4</v>
      </c>
      <c r="M1224">
        <v>1.2</v>
      </c>
      <c r="N1224">
        <v>0.52700000000000014</v>
      </c>
      <c r="O1224">
        <v>0.1</v>
      </c>
      <c r="P1224" t="s">
        <v>27</v>
      </c>
      <c r="Q1224" t="s">
        <v>27</v>
      </c>
      <c r="R1224" t="s">
        <v>27</v>
      </c>
      <c r="S1224">
        <v>0.1</v>
      </c>
      <c r="T1224">
        <v>0.4</v>
      </c>
      <c r="U1224" t="s">
        <v>27</v>
      </c>
      <c r="V1224">
        <v>0.189</v>
      </c>
      <c r="W1224">
        <v>0.621</v>
      </c>
      <c r="X1224">
        <v>0.60599999999999998</v>
      </c>
      <c r="Y1224" t="s">
        <v>27</v>
      </c>
      <c r="Z1224" t="s">
        <v>27</v>
      </c>
      <c r="AA1224" t="s">
        <v>27</v>
      </c>
      <c r="AB1224" t="s">
        <v>27</v>
      </c>
      <c r="AC1224" t="s">
        <v>27</v>
      </c>
      <c r="AD1224" t="s">
        <v>27</v>
      </c>
      <c r="AE1224" t="s">
        <v>27</v>
      </c>
      <c r="AF1224" t="s">
        <v>27</v>
      </c>
      <c r="AG1224">
        <v>29.07</v>
      </c>
    </row>
    <row r="1225" spans="1:33" x14ac:dyDescent="0.25">
      <c r="A1225" t="s">
        <v>57</v>
      </c>
      <c r="B1225" s="3">
        <v>44686</v>
      </c>
      <c r="C1225">
        <v>2022125</v>
      </c>
      <c r="D1225" t="s">
        <v>27</v>
      </c>
      <c r="E1225" t="s">
        <v>27</v>
      </c>
      <c r="F1225">
        <v>3.6</v>
      </c>
      <c r="G1225">
        <v>7.3</v>
      </c>
      <c r="H1225">
        <v>0.4</v>
      </c>
      <c r="I1225">
        <v>89.3</v>
      </c>
      <c r="J1225">
        <v>65.099999999999994</v>
      </c>
      <c r="K1225">
        <v>0.8</v>
      </c>
      <c r="L1225">
        <v>5</v>
      </c>
      <c r="M1225">
        <v>15.6</v>
      </c>
      <c r="N1225">
        <v>0.52200000000000002</v>
      </c>
      <c r="O1225">
        <v>0.1</v>
      </c>
      <c r="P1225" t="s">
        <v>27</v>
      </c>
      <c r="Q1225" t="s">
        <v>27</v>
      </c>
      <c r="R1225" t="s">
        <v>27</v>
      </c>
      <c r="S1225">
        <v>0.1</v>
      </c>
      <c r="T1225">
        <v>0.4</v>
      </c>
      <c r="U1225" t="s">
        <v>27</v>
      </c>
      <c r="V1225">
        <v>0.19700000000000001</v>
      </c>
      <c r="W1225">
        <v>0.66500000000000004</v>
      </c>
      <c r="X1225">
        <v>0.35699999999999998</v>
      </c>
      <c r="Y1225" t="s">
        <v>27</v>
      </c>
      <c r="Z1225" t="s">
        <v>27</v>
      </c>
      <c r="AA1225" t="s">
        <v>27</v>
      </c>
      <c r="AB1225" t="s">
        <v>27</v>
      </c>
      <c r="AC1225" t="s">
        <v>27</v>
      </c>
      <c r="AD1225" t="s">
        <v>27</v>
      </c>
      <c r="AE1225" t="s">
        <v>27</v>
      </c>
      <c r="AF1225" t="s">
        <v>27</v>
      </c>
      <c r="AG1225">
        <v>29.25</v>
      </c>
    </row>
    <row r="1226" spans="1:33" x14ac:dyDescent="0.25">
      <c r="A1226" t="s">
        <v>57</v>
      </c>
      <c r="B1226" s="3">
        <v>44687</v>
      </c>
      <c r="C1226">
        <v>2022126</v>
      </c>
      <c r="D1226" t="s">
        <v>27</v>
      </c>
      <c r="E1226" t="s">
        <v>27</v>
      </c>
      <c r="F1226">
        <v>1.9</v>
      </c>
      <c r="G1226">
        <v>7</v>
      </c>
      <c r="H1226">
        <v>-1.6</v>
      </c>
      <c r="I1226">
        <v>77.099999999999994</v>
      </c>
      <c r="J1226">
        <v>43.9</v>
      </c>
      <c r="K1226">
        <v>1.1000000000000001</v>
      </c>
      <c r="L1226">
        <v>3.1</v>
      </c>
      <c r="M1226">
        <v>2.2999999999999998</v>
      </c>
      <c r="N1226">
        <v>0.502</v>
      </c>
      <c r="O1226">
        <v>0.1</v>
      </c>
      <c r="P1226" t="s">
        <v>27</v>
      </c>
      <c r="Q1226" t="s">
        <v>27</v>
      </c>
      <c r="R1226" t="s">
        <v>27</v>
      </c>
      <c r="S1226">
        <v>0.1</v>
      </c>
      <c r="T1226">
        <v>0.4</v>
      </c>
      <c r="U1226" t="s">
        <v>27</v>
      </c>
      <c r="V1226">
        <v>0.20499999999999999</v>
      </c>
      <c r="W1226">
        <v>0.439</v>
      </c>
      <c r="X1226">
        <v>0.56100000000000005</v>
      </c>
      <c r="Y1226" t="s">
        <v>27</v>
      </c>
      <c r="Z1226" t="s">
        <v>27</v>
      </c>
      <c r="AA1226" t="s">
        <v>27</v>
      </c>
      <c r="AB1226" t="s">
        <v>27</v>
      </c>
      <c r="AC1226" t="s">
        <v>27</v>
      </c>
      <c r="AD1226" t="s">
        <v>27</v>
      </c>
      <c r="AE1226" t="s">
        <v>27</v>
      </c>
      <c r="AF1226" t="s">
        <v>27</v>
      </c>
      <c r="AG1226">
        <v>29.43</v>
      </c>
    </row>
    <row r="1227" spans="1:33" x14ac:dyDescent="0.25">
      <c r="A1227" t="s">
        <v>57</v>
      </c>
      <c r="B1227" s="3">
        <v>44688</v>
      </c>
      <c r="C1227">
        <v>2022127</v>
      </c>
      <c r="D1227" t="s">
        <v>27</v>
      </c>
      <c r="E1227" t="s">
        <v>27</v>
      </c>
      <c r="F1227">
        <v>0.6</v>
      </c>
      <c r="G1227">
        <v>5.9</v>
      </c>
      <c r="H1227">
        <v>-3.3</v>
      </c>
      <c r="I1227">
        <v>75.400000000000006</v>
      </c>
      <c r="J1227">
        <v>36.799999999999997</v>
      </c>
      <c r="K1227">
        <v>1.3</v>
      </c>
      <c r="L1227">
        <v>4.4000000000000004</v>
      </c>
      <c r="M1227">
        <v>2.2000000000000002</v>
      </c>
      <c r="N1227">
        <v>0.48600000000000021</v>
      </c>
      <c r="O1227">
        <v>0.1</v>
      </c>
      <c r="P1227" t="s">
        <v>27</v>
      </c>
      <c r="Q1227" t="s">
        <v>27</v>
      </c>
      <c r="R1227" t="s">
        <v>27</v>
      </c>
      <c r="S1227">
        <v>0.1</v>
      </c>
      <c r="T1227">
        <v>0.4</v>
      </c>
      <c r="U1227" t="s">
        <v>27</v>
      </c>
      <c r="V1227">
        <v>0.19700000000000001</v>
      </c>
      <c r="W1227">
        <v>0.34200000000000003</v>
      </c>
      <c r="X1227">
        <v>0.58699999999999997</v>
      </c>
      <c r="Y1227" t="s">
        <v>27</v>
      </c>
      <c r="Z1227" t="s">
        <v>27</v>
      </c>
      <c r="AA1227" t="s">
        <v>27</v>
      </c>
      <c r="AB1227" t="s">
        <v>27</v>
      </c>
      <c r="AC1227" t="s">
        <v>27</v>
      </c>
      <c r="AD1227" t="s">
        <v>27</v>
      </c>
      <c r="AE1227" t="s">
        <v>27</v>
      </c>
      <c r="AF1227" t="s">
        <v>27</v>
      </c>
      <c r="AG1227">
        <v>29.61</v>
      </c>
    </row>
    <row r="1228" spans="1:33" x14ac:dyDescent="0.25">
      <c r="A1228" t="s">
        <v>57</v>
      </c>
      <c r="B1228" s="3">
        <v>44689</v>
      </c>
      <c r="C1228">
        <v>2022128</v>
      </c>
      <c r="D1228" t="s">
        <v>27</v>
      </c>
      <c r="E1228" t="s">
        <v>27</v>
      </c>
      <c r="F1228">
        <v>-1.2</v>
      </c>
      <c r="G1228">
        <v>4.4000000000000004</v>
      </c>
      <c r="H1228">
        <v>-6.1</v>
      </c>
      <c r="I1228">
        <v>73.900000000000006</v>
      </c>
      <c r="J1228">
        <v>45.2</v>
      </c>
      <c r="K1228">
        <v>1.1000000000000001</v>
      </c>
      <c r="L1228">
        <v>3</v>
      </c>
      <c r="M1228">
        <v>0</v>
      </c>
      <c r="N1228">
        <v>0.47199999999999998</v>
      </c>
      <c r="O1228">
        <v>0.1</v>
      </c>
      <c r="P1228" t="s">
        <v>27</v>
      </c>
      <c r="Q1228" t="s">
        <v>27</v>
      </c>
      <c r="R1228" t="s">
        <v>27</v>
      </c>
      <c r="S1228">
        <v>0.1</v>
      </c>
      <c r="T1228">
        <v>0.4</v>
      </c>
      <c r="U1228" t="s">
        <v>27</v>
      </c>
      <c r="V1228">
        <v>0.192</v>
      </c>
      <c r="W1228">
        <v>0.378</v>
      </c>
      <c r="X1228">
        <v>0.45800000000000002</v>
      </c>
      <c r="Y1228" t="s">
        <v>27</v>
      </c>
      <c r="Z1228" t="s">
        <v>27</v>
      </c>
      <c r="AA1228" t="s">
        <v>27</v>
      </c>
      <c r="AB1228" t="s">
        <v>27</v>
      </c>
      <c r="AC1228" t="s">
        <v>27</v>
      </c>
      <c r="AD1228" t="s">
        <v>27</v>
      </c>
      <c r="AE1228" t="s">
        <v>27</v>
      </c>
      <c r="AF1228" t="s">
        <v>27</v>
      </c>
      <c r="AG1228">
        <v>29.77</v>
      </c>
    </row>
    <row r="1229" spans="1:33" x14ac:dyDescent="0.25">
      <c r="A1229" t="s">
        <v>57</v>
      </c>
      <c r="B1229" s="3">
        <v>44690</v>
      </c>
      <c r="C1229">
        <v>2022129</v>
      </c>
      <c r="D1229" t="s">
        <v>27</v>
      </c>
      <c r="E1229" t="s">
        <v>27</v>
      </c>
      <c r="F1229">
        <v>-0.2</v>
      </c>
      <c r="G1229">
        <v>4.0999999999999996</v>
      </c>
      <c r="H1229">
        <v>-5.0999999999999996</v>
      </c>
      <c r="I1229">
        <v>73.099999999999994</v>
      </c>
      <c r="J1229">
        <v>44.3</v>
      </c>
      <c r="K1229">
        <v>1.5</v>
      </c>
      <c r="L1229">
        <v>4.5</v>
      </c>
      <c r="M1229">
        <v>2.2000000000000002</v>
      </c>
      <c r="N1229">
        <v>0.4650000000000003</v>
      </c>
      <c r="O1229">
        <v>0.1</v>
      </c>
      <c r="P1229" t="s">
        <v>27</v>
      </c>
      <c r="Q1229" t="s">
        <v>27</v>
      </c>
      <c r="R1229" t="s">
        <v>27</v>
      </c>
      <c r="S1229">
        <v>0.1</v>
      </c>
      <c r="T1229">
        <v>0.4</v>
      </c>
      <c r="U1229" t="s">
        <v>27</v>
      </c>
      <c r="V1229">
        <v>0.185</v>
      </c>
      <c r="W1229">
        <v>0.36399999999999999</v>
      </c>
      <c r="X1229">
        <v>0.45800000000000002</v>
      </c>
      <c r="Y1229" t="s">
        <v>27</v>
      </c>
      <c r="Z1229" t="s">
        <v>27</v>
      </c>
      <c r="AA1229" t="s">
        <v>27</v>
      </c>
      <c r="AB1229" t="s">
        <v>27</v>
      </c>
      <c r="AC1229" t="s">
        <v>27</v>
      </c>
      <c r="AD1229" t="s">
        <v>27</v>
      </c>
      <c r="AE1229" t="s">
        <v>27</v>
      </c>
      <c r="AF1229" t="s">
        <v>27</v>
      </c>
      <c r="AG1229">
        <v>29.94</v>
      </c>
    </row>
    <row r="1230" spans="1:33" x14ac:dyDescent="0.25">
      <c r="A1230" t="s">
        <v>57</v>
      </c>
      <c r="B1230" s="3">
        <v>44691</v>
      </c>
      <c r="C1230">
        <v>2022130</v>
      </c>
      <c r="D1230" t="s">
        <v>27</v>
      </c>
      <c r="E1230" t="s">
        <v>27</v>
      </c>
      <c r="F1230">
        <v>1.4</v>
      </c>
      <c r="G1230">
        <v>6.9</v>
      </c>
      <c r="H1230">
        <v>-2.8</v>
      </c>
      <c r="I1230">
        <v>58.2</v>
      </c>
      <c r="J1230">
        <v>33</v>
      </c>
      <c r="K1230">
        <v>1.8</v>
      </c>
      <c r="L1230">
        <v>5.0999999999999996</v>
      </c>
      <c r="M1230">
        <v>0</v>
      </c>
      <c r="N1230">
        <v>0.43900000000000006</v>
      </c>
      <c r="O1230">
        <v>0.1</v>
      </c>
      <c r="P1230" t="s">
        <v>27</v>
      </c>
      <c r="Q1230" t="s">
        <v>27</v>
      </c>
      <c r="R1230" t="s">
        <v>27</v>
      </c>
      <c r="S1230">
        <v>0.1</v>
      </c>
      <c r="T1230">
        <v>0.4</v>
      </c>
      <c r="U1230" t="s">
        <v>27</v>
      </c>
      <c r="V1230">
        <v>0.182</v>
      </c>
      <c r="W1230">
        <v>0.32900000000000001</v>
      </c>
      <c r="X1230">
        <v>0.66800000000000004</v>
      </c>
      <c r="Y1230" t="s">
        <v>27</v>
      </c>
      <c r="Z1230" t="s">
        <v>27</v>
      </c>
      <c r="AA1230" t="s">
        <v>27</v>
      </c>
      <c r="AB1230" t="s">
        <v>27</v>
      </c>
      <c r="AC1230" t="s">
        <v>27</v>
      </c>
      <c r="AD1230" t="s">
        <v>27</v>
      </c>
      <c r="AE1230" t="s">
        <v>27</v>
      </c>
      <c r="AF1230" t="s">
        <v>27</v>
      </c>
      <c r="AG1230">
        <v>30.1</v>
      </c>
    </row>
    <row r="1231" spans="1:33" x14ac:dyDescent="0.25">
      <c r="A1231" t="s">
        <v>57</v>
      </c>
      <c r="B1231" s="3">
        <v>44692</v>
      </c>
      <c r="C1231">
        <v>2022131</v>
      </c>
      <c r="D1231" t="s">
        <v>27</v>
      </c>
      <c r="E1231" t="s">
        <v>27</v>
      </c>
      <c r="F1231">
        <v>2.5</v>
      </c>
      <c r="G1231">
        <v>10.3</v>
      </c>
      <c r="H1231">
        <v>-6.6</v>
      </c>
      <c r="I1231">
        <v>47.9</v>
      </c>
      <c r="J1231">
        <v>17.600000000000001</v>
      </c>
      <c r="K1231">
        <v>1.1000000000000001</v>
      </c>
      <c r="L1231">
        <v>3.6</v>
      </c>
      <c r="M1231">
        <v>0</v>
      </c>
      <c r="N1231">
        <v>0.39999999999999991</v>
      </c>
      <c r="O1231">
        <v>0.1</v>
      </c>
      <c r="P1231" t="s">
        <v>27</v>
      </c>
      <c r="Q1231" t="s">
        <v>27</v>
      </c>
      <c r="R1231" t="s">
        <v>27</v>
      </c>
      <c r="S1231">
        <v>0.1</v>
      </c>
      <c r="T1231">
        <v>0.3</v>
      </c>
      <c r="U1231" t="s">
        <v>27</v>
      </c>
      <c r="V1231">
        <v>0.185</v>
      </c>
      <c r="W1231">
        <v>0.22</v>
      </c>
      <c r="X1231">
        <v>1.03</v>
      </c>
      <c r="Y1231" t="s">
        <v>27</v>
      </c>
      <c r="Z1231" t="s">
        <v>27</v>
      </c>
      <c r="AA1231" t="s">
        <v>27</v>
      </c>
      <c r="AB1231" t="s">
        <v>27</v>
      </c>
      <c r="AC1231" t="s">
        <v>27</v>
      </c>
      <c r="AD1231" t="s">
        <v>27</v>
      </c>
      <c r="AE1231" t="s">
        <v>27</v>
      </c>
      <c r="AF1231" t="s">
        <v>27</v>
      </c>
      <c r="AG1231">
        <v>30.26</v>
      </c>
    </row>
    <row r="1232" spans="1:33" x14ac:dyDescent="0.25">
      <c r="A1232" t="s">
        <v>57</v>
      </c>
      <c r="B1232" s="3">
        <v>44693</v>
      </c>
      <c r="C1232">
        <v>2022132</v>
      </c>
      <c r="D1232" t="s">
        <v>27</v>
      </c>
      <c r="E1232" t="s">
        <v>27</v>
      </c>
      <c r="F1232">
        <v>1.1000000000000001</v>
      </c>
      <c r="G1232">
        <v>5.3</v>
      </c>
      <c r="H1232">
        <v>-2.4</v>
      </c>
      <c r="I1232">
        <v>70.599999999999994</v>
      </c>
      <c r="J1232">
        <v>43.2</v>
      </c>
      <c r="K1232">
        <v>1.3</v>
      </c>
      <c r="L1232">
        <v>3.5</v>
      </c>
      <c r="M1232">
        <v>5.2</v>
      </c>
      <c r="N1232">
        <v>0.4930000000000001</v>
      </c>
      <c r="O1232">
        <v>0.1</v>
      </c>
      <c r="P1232" t="s">
        <v>27</v>
      </c>
      <c r="Q1232" t="s">
        <v>27</v>
      </c>
      <c r="R1232" t="s">
        <v>27</v>
      </c>
      <c r="S1232">
        <v>0.1</v>
      </c>
      <c r="T1232">
        <v>0.3</v>
      </c>
      <c r="U1232" t="s">
        <v>27</v>
      </c>
      <c r="V1232">
        <v>0.187</v>
      </c>
      <c r="W1232">
        <v>0.38400000000000001</v>
      </c>
      <c r="X1232">
        <v>0.505</v>
      </c>
      <c r="Y1232" t="s">
        <v>27</v>
      </c>
      <c r="Z1232" t="s">
        <v>27</v>
      </c>
      <c r="AA1232" t="s">
        <v>27</v>
      </c>
      <c r="AB1232" t="s">
        <v>27</v>
      </c>
      <c r="AC1232" t="s">
        <v>27</v>
      </c>
      <c r="AD1232" t="s">
        <v>27</v>
      </c>
      <c r="AE1232" t="s">
        <v>27</v>
      </c>
      <c r="AF1232" t="s">
        <v>27</v>
      </c>
      <c r="AG1232">
        <v>30.41</v>
      </c>
    </row>
    <row r="1233" spans="1:33" x14ac:dyDescent="0.25">
      <c r="A1233" t="s">
        <v>57</v>
      </c>
      <c r="B1233" s="3">
        <v>44694</v>
      </c>
      <c r="C1233">
        <v>2022133</v>
      </c>
      <c r="D1233" t="s">
        <v>27</v>
      </c>
      <c r="E1233" t="s">
        <v>27</v>
      </c>
      <c r="F1233">
        <v>-1.2</v>
      </c>
      <c r="G1233">
        <v>4.5</v>
      </c>
      <c r="H1233">
        <v>-4.5999999999999996</v>
      </c>
      <c r="I1233">
        <v>77.8</v>
      </c>
      <c r="J1233">
        <v>48.5</v>
      </c>
      <c r="K1233">
        <v>1.2</v>
      </c>
      <c r="L1233">
        <v>3.5</v>
      </c>
      <c r="M1233">
        <v>2.8</v>
      </c>
      <c r="N1233">
        <v>0.43100000000000005</v>
      </c>
      <c r="O1233">
        <v>0.1</v>
      </c>
      <c r="P1233" t="s">
        <v>27</v>
      </c>
      <c r="Q1233" t="s">
        <v>27</v>
      </c>
      <c r="R1233" t="s">
        <v>27</v>
      </c>
      <c r="S1233">
        <v>0.1</v>
      </c>
      <c r="T1233">
        <v>0.4</v>
      </c>
      <c r="U1233" t="s">
        <v>27</v>
      </c>
      <c r="V1233">
        <v>0.184</v>
      </c>
      <c r="W1233">
        <v>0.40699999999999997</v>
      </c>
      <c r="X1233">
        <v>0.432</v>
      </c>
      <c r="Y1233" t="s">
        <v>27</v>
      </c>
      <c r="Z1233" t="s">
        <v>27</v>
      </c>
      <c r="AA1233" t="s">
        <v>27</v>
      </c>
      <c r="AB1233" t="s">
        <v>27</v>
      </c>
      <c r="AC1233" t="s">
        <v>27</v>
      </c>
      <c r="AD1233" t="s">
        <v>27</v>
      </c>
      <c r="AE1233" t="s">
        <v>27</v>
      </c>
      <c r="AF1233" t="s">
        <v>27</v>
      </c>
      <c r="AG1233">
        <v>30.57</v>
      </c>
    </row>
    <row r="1234" spans="1:33" x14ac:dyDescent="0.25">
      <c r="A1234" t="s">
        <v>57</v>
      </c>
      <c r="B1234" s="3">
        <v>44695</v>
      </c>
      <c r="C1234">
        <v>2022134</v>
      </c>
      <c r="D1234" t="s">
        <v>27</v>
      </c>
      <c r="E1234" t="s">
        <v>27</v>
      </c>
      <c r="F1234">
        <v>0.7</v>
      </c>
      <c r="G1234">
        <v>5.7</v>
      </c>
      <c r="H1234">
        <v>-2.8</v>
      </c>
      <c r="I1234">
        <v>86.2</v>
      </c>
      <c r="J1234">
        <v>66.8</v>
      </c>
      <c r="K1234">
        <v>0.8</v>
      </c>
      <c r="L1234">
        <v>2.4</v>
      </c>
      <c r="M1234">
        <v>2.8</v>
      </c>
      <c r="N1234">
        <v>0.43100000000000005</v>
      </c>
      <c r="O1234">
        <v>0.1</v>
      </c>
      <c r="P1234" t="s">
        <v>27</v>
      </c>
      <c r="Q1234" t="s">
        <v>27</v>
      </c>
      <c r="R1234" t="s">
        <v>27</v>
      </c>
      <c r="S1234">
        <v>0.1</v>
      </c>
      <c r="T1234">
        <v>0.4</v>
      </c>
      <c r="U1234" t="s">
        <v>27</v>
      </c>
      <c r="V1234">
        <v>0.18</v>
      </c>
      <c r="W1234">
        <v>0.61</v>
      </c>
      <c r="X1234">
        <v>0.30299999999999999</v>
      </c>
      <c r="Y1234" t="s">
        <v>27</v>
      </c>
      <c r="Z1234" t="s">
        <v>27</v>
      </c>
      <c r="AA1234" t="s">
        <v>27</v>
      </c>
      <c r="AB1234" t="s">
        <v>27</v>
      </c>
      <c r="AC1234" t="s">
        <v>27</v>
      </c>
      <c r="AD1234" t="s">
        <v>27</v>
      </c>
      <c r="AE1234" t="s">
        <v>27</v>
      </c>
      <c r="AF1234" t="s">
        <v>27</v>
      </c>
      <c r="AG1234">
        <v>30.71</v>
      </c>
    </row>
    <row r="1235" spans="1:33" x14ac:dyDescent="0.25">
      <c r="A1235" t="s">
        <v>57</v>
      </c>
      <c r="B1235" s="3">
        <v>44696</v>
      </c>
      <c r="C1235">
        <v>2022135</v>
      </c>
      <c r="D1235" t="s">
        <v>27</v>
      </c>
      <c r="E1235" t="s">
        <v>27</v>
      </c>
      <c r="F1235">
        <v>3.4</v>
      </c>
      <c r="G1235">
        <v>6.5</v>
      </c>
      <c r="H1235">
        <v>-0.3</v>
      </c>
      <c r="I1235">
        <v>94.8</v>
      </c>
      <c r="J1235">
        <v>86.4</v>
      </c>
      <c r="K1235">
        <v>0.6</v>
      </c>
      <c r="L1235">
        <v>2.2000000000000002</v>
      </c>
      <c r="M1235">
        <v>12</v>
      </c>
      <c r="N1235">
        <v>0.40799999999999992</v>
      </c>
      <c r="O1235">
        <v>0.1</v>
      </c>
      <c r="P1235" t="s">
        <v>27</v>
      </c>
      <c r="Q1235" t="s">
        <v>27</v>
      </c>
      <c r="R1235" t="s">
        <v>27</v>
      </c>
      <c r="S1235">
        <v>0.1</v>
      </c>
      <c r="T1235">
        <v>0.4</v>
      </c>
      <c r="U1235" t="s">
        <v>27</v>
      </c>
      <c r="V1235">
        <v>0.184</v>
      </c>
      <c r="W1235">
        <v>0.83799999999999997</v>
      </c>
      <c r="X1235">
        <v>0.13200000000000001</v>
      </c>
      <c r="Y1235" t="s">
        <v>27</v>
      </c>
      <c r="Z1235" t="s">
        <v>27</v>
      </c>
      <c r="AA1235" t="s">
        <v>27</v>
      </c>
      <c r="AB1235" t="s">
        <v>27</v>
      </c>
      <c r="AC1235" t="s">
        <v>27</v>
      </c>
      <c r="AD1235" t="s">
        <v>27</v>
      </c>
      <c r="AE1235" t="s">
        <v>27</v>
      </c>
      <c r="AF1235" t="s">
        <v>27</v>
      </c>
      <c r="AG1235">
        <v>30.86</v>
      </c>
    </row>
    <row r="1236" spans="1:33" x14ac:dyDescent="0.25">
      <c r="A1236" t="s">
        <v>57</v>
      </c>
      <c r="B1236" s="3">
        <v>44697</v>
      </c>
      <c r="C1236">
        <v>2022136</v>
      </c>
      <c r="D1236" t="s">
        <v>27</v>
      </c>
      <c r="E1236" t="s">
        <v>27</v>
      </c>
      <c r="F1236">
        <v>5.3</v>
      </c>
      <c r="G1236">
        <v>12.3</v>
      </c>
      <c r="H1236">
        <v>-0.8</v>
      </c>
      <c r="I1236">
        <v>72.8</v>
      </c>
      <c r="J1236">
        <v>36.4</v>
      </c>
      <c r="K1236">
        <v>1.1000000000000001</v>
      </c>
      <c r="L1236">
        <v>3.9</v>
      </c>
      <c r="M1236">
        <v>0.4</v>
      </c>
      <c r="N1236">
        <v>0.35200000000000031</v>
      </c>
      <c r="O1236">
        <v>0.1</v>
      </c>
      <c r="P1236" t="s">
        <v>27</v>
      </c>
      <c r="Q1236" t="s">
        <v>27</v>
      </c>
      <c r="R1236" t="s">
        <v>27</v>
      </c>
      <c r="S1236">
        <v>0.1</v>
      </c>
      <c r="T1236">
        <v>0.3</v>
      </c>
      <c r="U1236" t="s">
        <v>27</v>
      </c>
      <c r="V1236">
        <v>0.20399999999999999</v>
      </c>
      <c r="W1236">
        <v>0.52100000000000002</v>
      </c>
      <c r="X1236">
        <v>0.91</v>
      </c>
      <c r="Y1236" t="s">
        <v>27</v>
      </c>
      <c r="Z1236" t="s">
        <v>27</v>
      </c>
      <c r="AA1236" t="s">
        <v>27</v>
      </c>
      <c r="AB1236" t="s">
        <v>27</v>
      </c>
      <c r="AC1236" t="s">
        <v>27</v>
      </c>
      <c r="AD1236" t="s">
        <v>27</v>
      </c>
      <c r="AE1236" t="s">
        <v>27</v>
      </c>
      <c r="AF1236" t="s">
        <v>27</v>
      </c>
      <c r="AG1236">
        <v>31</v>
      </c>
    </row>
    <row r="1237" spans="1:33" x14ac:dyDescent="0.25">
      <c r="A1237" t="s">
        <v>57</v>
      </c>
      <c r="B1237" s="3">
        <v>44698</v>
      </c>
      <c r="C1237">
        <v>2022137</v>
      </c>
      <c r="D1237" t="s">
        <v>27</v>
      </c>
      <c r="E1237" t="s">
        <v>27</v>
      </c>
      <c r="F1237">
        <v>1.6</v>
      </c>
      <c r="G1237">
        <v>7.2</v>
      </c>
      <c r="H1237">
        <v>-2.7</v>
      </c>
      <c r="I1237">
        <v>61.6</v>
      </c>
      <c r="J1237">
        <v>35.799999999999997</v>
      </c>
      <c r="K1237">
        <v>1.1000000000000001</v>
      </c>
      <c r="L1237">
        <v>3.6</v>
      </c>
      <c r="M1237">
        <v>0</v>
      </c>
      <c r="N1237">
        <v>0.33499999999999996</v>
      </c>
      <c r="O1237">
        <v>0.1</v>
      </c>
      <c r="P1237" t="s">
        <v>27</v>
      </c>
      <c r="Q1237" t="s">
        <v>27</v>
      </c>
      <c r="R1237" t="s">
        <v>27</v>
      </c>
      <c r="S1237">
        <v>0.1</v>
      </c>
      <c r="T1237">
        <v>0.3</v>
      </c>
      <c r="U1237" t="s">
        <v>27</v>
      </c>
      <c r="V1237">
        <v>0.20399999999999999</v>
      </c>
      <c r="W1237">
        <v>0.36299999999999999</v>
      </c>
      <c r="X1237">
        <v>0.65100000000000002</v>
      </c>
      <c r="Y1237" t="s">
        <v>27</v>
      </c>
      <c r="Z1237" t="s">
        <v>27</v>
      </c>
      <c r="AA1237" t="s">
        <v>27</v>
      </c>
      <c r="AB1237" t="s">
        <v>27</v>
      </c>
      <c r="AC1237" t="s">
        <v>27</v>
      </c>
      <c r="AD1237" t="s">
        <v>27</v>
      </c>
      <c r="AE1237" t="s">
        <v>27</v>
      </c>
      <c r="AF1237" t="s">
        <v>27</v>
      </c>
      <c r="AG1237">
        <v>31.14</v>
      </c>
    </row>
    <row r="1238" spans="1:33" x14ac:dyDescent="0.25">
      <c r="A1238" t="s">
        <v>57</v>
      </c>
      <c r="B1238" s="3">
        <v>44699</v>
      </c>
      <c r="C1238">
        <v>2022138</v>
      </c>
      <c r="D1238" t="s">
        <v>27</v>
      </c>
      <c r="E1238" t="s">
        <v>27</v>
      </c>
      <c r="F1238">
        <v>3.3</v>
      </c>
      <c r="G1238">
        <v>8.3000000000000007</v>
      </c>
      <c r="H1238">
        <v>-0.9</v>
      </c>
      <c r="I1238">
        <v>56.5</v>
      </c>
      <c r="J1238">
        <v>32.299999999999997</v>
      </c>
      <c r="K1238">
        <v>2.6</v>
      </c>
      <c r="L1238">
        <v>5.4</v>
      </c>
      <c r="M1238">
        <v>0</v>
      </c>
      <c r="N1238">
        <v>0.29800000000000004</v>
      </c>
      <c r="O1238">
        <v>0.2</v>
      </c>
      <c r="P1238" t="s">
        <v>27</v>
      </c>
      <c r="Q1238" t="s">
        <v>27</v>
      </c>
      <c r="R1238" t="s">
        <v>27</v>
      </c>
      <c r="S1238">
        <v>0.1</v>
      </c>
      <c r="T1238">
        <v>0.3</v>
      </c>
      <c r="U1238" t="s">
        <v>27</v>
      </c>
      <c r="V1238">
        <v>0.19900000000000001</v>
      </c>
      <c r="W1238">
        <v>0.35299999999999998</v>
      </c>
      <c r="X1238">
        <v>0.74</v>
      </c>
      <c r="Y1238" t="s">
        <v>27</v>
      </c>
      <c r="Z1238" t="s">
        <v>27</v>
      </c>
      <c r="AA1238" t="s">
        <v>27</v>
      </c>
      <c r="AB1238" t="s">
        <v>27</v>
      </c>
      <c r="AC1238" t="s">
        <v>27</v>
      </c>
      <c r="AD1238" t="s">
        <v>27</v>
      </c>
      <c r="AE1238" t="s">
        <v>27</v>
      </c>
      <c r="AF1238" t="s">
        <v>27</v>
      </c>
      <c r="AG1238">
        <v>31.27</v>
      </c>
    </row>
    <row r="1239" spans="1:33" x14ac:dyDescent="0.25">
      <c r="A1239" t="s">
        <v>57</v>
      </c>
      <c r="B1239" s="3">
        <v>44700</v>
      </c>
      <c r="C1239">
        <v>2022139</v>
      </c>
      <c r="D1239" t="s">
        <v>27</v>
      </c>
      <c r="E1239" t="s">
        <v>27</v>
      </c>
      <c r="F1239">
        <v>-0.2</v>
      </c>
      <c r="G1239">
        <v>2.7</v>
      </c>
      <c r="H1239">
        <v>-3</v>
      </c>
      <c r="I1239">
        <v>93.8</v>
      </c>
      <c r="J1239">
        <v>64.099999999999994</v>
      </c>
      <c r="K1239">
        <v>1.6</v>
      </c>
      <c r="L1239">
        <v>4.5999999999999996</v>
      </c>
      <c r="M1239">
        <v>10.199999999999999</v>
      </c>
      <c r="N1239">
        <v>0.35499999999999998</v>
      </c>
      <c r="O1239">
        <v>0.1</v>
      </c>
      <c r="P1239" t="s">
        <v>27</v>
      </c>
      <c r="Q1239" t="s">
        <v>27</v>
      </c>
      <c r="R1239" t="s">
        <v>27</v>
      </c>
      <c r="S1239">
        <v>0.1</v>
      </c>
      <c r="T1239">
        <v>0.3</v>
      </c>
      <c r="U1239" t="s">
        <v>27</v>
      </c>
      <c r="V1239">
        <v>0.19500000000000001</v>
      </c>
      <c r="W1239">
        <v>0.47499999999999998</v>
      </c>
      <c r="X1239">
        <v>0.26600000000000001</v>
      </c>
      <c r="Y1239" t="s">
        <v>27</v>
      </c>
      <c r="Z1239" t="s">
        <v>27</v>
      </c>
      <c r="AA1239" t="s">
        <v>27</v>
      </c>
      <c r="AB1239" t="s">
        <v>27</v>
      </c>
      <c r="AC1239" t="s">
        <v>27</v>
      </c>
      <c r="AD1239" t="s">
        <v>27</v>
      </c>
      <c r="AE1239" t="s">
        <v>27</v>
      </c>
      <c r="AF1239" t="s">
        <v>27</v>
      </c>
      <c r="AG1239">
        <v>31.4</v>
      </c>
    </row>
    <row r="1240" spans="1:33" x14ac:dyDescent="0.25">
      <c r="A1240" t="s">
        <v>57</v>
      </c>
      <c r="B1240" s="3">
        <v>44701</v>
      </c>
      <c r="C1240">
        <v>2022140</v>
      </c>
      <c r="D1240" t="s">
        <v>27</v>
      </c>
      <c r="E1240" t="s">
        <v>27</v>
      </c>
      <c r="F1240">
        <v>2.4</v>
      </c>
      <c r="G1240">
        <v>8.1</v>
      </c>
      <c r="H1240">
        <v>-0.6</v>
      </c>
      <c r="I1240">
        <v>82.5</v>
      </c>
      <c r="J1240">
        <v>44.2</v>
      </c>
      <c r="K1240">
        <v>0.9</v>
      </c>
      <c r="L1240">
        <v>2.7</v>
      </c>
      <c r="M1240">
        <v>0.8</v>
      </c>
      <c r="N1240">
        <v>0.30299999999999994</v>
      </c>
      <c r="O1240">
        <v>0.1</v>
      </c>
      <c r="P1240" t="s">
        <v>27</v>
      </c>
      <c r="Q1240" t="s">
        <v>27</v>
      </c>
      <c r="R1240" t="s">
        <v>27</v>
      </c>
      <c r="S1240">
        <v>0.1</v>
      </c>
      <c r="T1240">
        <v>0.3</v>
      </c>
      <c r="U1240" t="s">
        <v>27</v>
      </c>
      <c r="V1240">
        <v>0.192</v>
      </c>
      <c r="W1240">
        <v>0.47699999999999998</v>
      </c>
      <c r="X1240">
        <v>0.60199999999999998</v>
      </c>
      <c r="Y1240" t="s">
        <v>27</v>
      </c>
      <c r="Z1240" t="s">
        <v>27</v>
      </c>
      <c r="AA1240" t="s">
        <v>27</v>
      </c>
      <c r="AB1240" t="s">
        <v>27</v>
      </c>
      <c r="AC1240" t="s">
        <v>27</v>
      </c>
      <c r="AD1240" t="s">
        <v>27</v>
      </c>
      <c r="AE1240" t="s">
        <v>27</v>
      </c>
      <c r="AF1240" t="s">
        <v>27</v>
      </c>
      <c r="AG1240">
        <v>31.52</v>
      </c>
    </row>
    <row r="1241" spans="1:33" x14ac:dyDescent="0.25">
      <c r="A1241" t="s">
        <v>57</v>
      </c>
      <c r="B1241" s="3">
        <v>44702</v>
      </c>
      <c r="C1241">
        <v>2022141</v>
      </c>
      <c r="D1241" t="s">
        <v>27</v>
      </c>
      <c r="E1241" t="s">
        <v>27</v>
      </c>
      <c r="F1241">
        <v>2</v>
      </c>
      <c r="G1241">
        <v>8.1</v>
      </c>
      <c r="H1241">
        <v>-2.1</v>
      </c>
      <c r="I1241">
        <v>89.8</v>
      </c>
      <c r="J1241">
        <v>60.7</v>
      </c>
      <c r="K1241">
        <v>0.4</v>
      </c>
      <c r="L1241">
        <v>2.4</v>
      </c>
      <c r="M1241">
        <v>12.2</v>
      </c>
      <c r="N1241">
        <v>0.33300000000000018</v>
      </c>
      <c r="O1241">
        <v>0.1</v>
      </c>
      <c r="P1241" t="s">
        <v>27</v>
      </c>
      <c r="Q1241" t="s">
        <v>27</v>
      </c>
      <c r="R1241" t="s">
        <v>27</v>
      </c>
      <c r="S1241">
        <v>0.1</v>
      </c>
      <c r="T1241">
        <v>0.3</v>
      </c>
      <c r="U1241" t="s">
        <v>27</v>
      </c>
      <c r="V1241">
        <v>0.19600000000000001</v>
      </c>
      <c r="W1241">
        <v>0.65600000000000003</v>
      </c>
      <c r="X1241">
        <v>0.42499999999999999</v>
      </c>
      <c r="Y1241" t="s">
        <v>27</v>
      </c>
      <c r="Z1241" t="s">
        <v>27</v>
      </c>
      <c r="AA1241" t="s">
        <v>27</v>
      </c>
      <c r="AB1241" t="s">
        <v>27</v>
      </c>
      <c r="AC1241" t="s">
        <v>27</v>
      </c>
      <c r="AD1241" t="s">
        <v>27</v>
      </c>
      <c r="AE1241" t="s">
        <v>27</v>
      </c>
      <c r="AF1241" t="s">
        <v>27</v>
      </c>
      <c r="AG1241">
        <v>31.65</v>
      </c>
    </row>
    <row r="1242" spans="1:33" x14ac:dyDescent="0.25">
      <c r="A1242" t="s">
        <v>57</v>
      </c>
      <c r="B1242" s="3">
        <v>44703</v>
      </c>
      <c r="C1242">
        <v>2022142</v>
      </c>
      <c r="D1242" t="s">
        <v>27</v>
      </c>
      <c r="E1242" t="s">
        <v>27</v>
      </c>
      <c r="F1242">
        <v>4.7</v>
      </c>
      <c r="G1242">
        <v>13.4</v>
      </c>
      <c r="H1242">
        <v>-3.9</v>
      </c>
      <c r="I1242">
        <v>62.3</v>
      </c>
      <c r="J1242">
        <v>24.4</v>
      </c>
      <c r="K1242">
        <v>0.7</v>
      </c>
      <c r="L1242">
        <v>3.4</v>
      </c>
      <c r="M1242">
        <v>0</v>
      </c>
      <c r="N1242">
        <v>0.28400000000000025</v>
      </c>
      <c r="O1242">
        <v>0.2</v>
      </c>
      <c r="P1242" t="s">
        <v>27</v>
      </c>
      <c r="Q1242" t="s">
        <v>27</v>
      </c>
      <c r="R1242" t="s">
        <v>27</v>
      </c>
      <c r="S1242">
        <v>0.1</v>
      </c>
      <c r="T1242">
        <v>0.3</v>
      </c>
      <c r="U1242" t="s">
        <v>27</v>
      </c>
      <c r="V1242">
        <v>0.20200000000000001</v>
      </c>
      <c r="W1242">
        <v>0.375</v>
      </c>
      <c r="X1242">
        <v>1.1619999999999999</v>
      </c>
      <c r="Y1242" t="s">
        <v>27</v>
      </c>
      <c r="Z1242" t="s">
        <v>27</v>
      </c>
      <c r="AA1242" t="s">
        <v>27</v>
      </c>
      <c r="AB1242" t="s">
        <v>27</v>
      </c>
      <c r="AC1242" t="s">
        <v>27</v>
      </c>
      <c r="AD1242" t="s">
        <v>27</v>
      </c>
      <c r="AE1242" t="s">
        <v>27</v>
      </c>
      <c r="AF1242" t="s">
        <v>27</v>
      </c>
      <c r="AG1242">
        <v>31.76</v>
      </c>
    </row>
    <row r="1243" spans="1:33" x14ac:dyDescent="0.25">
      <c r="A1243" t="s">
        <v>57</v>
      </c>
      <c r="B1243" s="3">
        <v>44704</v>
      </c>
      <c r="C1243">
        <v>2022143</v>
      </c>
      <c r="D1243" t="s">
        <v>27</v>
      </c>
      <c r="E1243" t="s">
        <v>27</v>
      </c>
      <c r="F1243">
        <v>4</v>
      </c>
      <c r="G1243">
        <v>9.6999999999999993</v>
      </c>
      <c r="H1243">
        <v>-1.7</v>
      </c>
      <c r="I1243">
        <v>76.3</v>
      </c>
      <c r="J1243">
        <v>44.7</v>
      </c>
      <c r="K1243">
        <v>1</v>
      </c>
      <c r="L1243">
        <v>3.2</v>
      </c>
      <c r="M1243">
        <v>0</v>
      </c>
      <c r="N1243">
        <v>0.24199999999999999</v>
      </c>
      <c r="O1243">
        <v>0.1</v>
      </c>
      <c r="P1243" t="s">
        <v>27</v>
      </c>
      <c r="Q1243" t="s">
        <v>27</v>
      </c>
      <c r="R1243" t="s">
        <v>27</v>
      </c>
      <c r="S1243">
        <v>0.1</v>
      </c>
      <c r="T1243">
        <v>0.3</v>
      </c>
      <c r="U1243" t="s">
        <v>27</v>
      </c>
      <c r="V1243">
        <v>0.20499999999999999</v>
      </c>
      <c r="W1243">
        <v>0.53800000000000003</v>
      </c>
      <c r="X1243">
        <v>0.66600000000000004</v>
      </c>
      <c r="Y1243" t="s">
        <v>27</v>
      </c>
      <c r="Z1243" t="s">
        <v>27</v>
      </c>
      <c r="AA1243" t="s">
        <v>27</v>
      </c>
      <c r="AB1243" t="s">
        <v>27</v>
      </c>
      <c r="AC1243" t="s">
        <v>27</v>
      </c>
      <c r="AD1243" t="s">
        <v>27</v>
      </c>
      <c r="AE1243" t="s">
        <v>27</v>
      </c>
      <c r="AF1243" t="s">
        <v>27</v>
      </c>
      <c r="AG1243">
        <v>31.88</v>
      </c>
    </row>
    <row r="1244" spans="1:33" x14ac:dyDescent="0.25">
      <c r="A1244" t="s">
        <v>57</v>
      </c>
      <c r="B1244" s="3">
        <v>44705</v>
      </c>
      <c r="C1244">
        <v>2022144</v>
      </c>
      <c r="D1244" t="s">
        <v>27</v>
      </c>
      <c r="E1244" t="s">
        <v>27</v>
      </c>
      <c r="F1244">
        <v>5.0999999999999996</v>
      </c>
      <c r="G1244">
        <v>12.3</v>
      </c>
      <c r="H1244">
        <v>-0.5</v>
      </c>
      <c r="I1244">
        <v>76</v>
      </c>
      <c r="J1244">
        <v>33.799999999999997</v>
      </c>
      <c r="K1244">
        <v>0.7</v>
      </c>
      <c r="L1244">
        <v>3</v>
      </c>
      <c r="M1244">
        <v>0</v>
      </c>
      <c r="N1244">
        <v>0.19100000000000028</v>
      </c>
      <c r="O1244">
        <v>0.1</v>
      </c>
      <c r="P1244" t="s">
        <v>27</v>
      </c>
      <c r="Q1244" t="s">
        <v>27</v>
      </c>
      <c r="R1244" t="s">
        <v>27</v>
      </c>
      <c r="S1244">
        <v>0.1</v>
      </c>
      <c r="T1244">
        <v>0.3</v>
      </c>
      <c r="U1244" t="s">
        <v>27</v>
      </c>
      <c r="V1244">
        <v>0.21</v>
      </c>
      <c r="W1244">
        <v>0.48399999999999999</v>
      </c>
      <c r="X1244">
        <v>0.94799999999999995</v>
      </c>
      <c r="Y1244" t="s">
        <v>27</v>
      </c>
      <c r="Z1244" t="s">
        <v>27</v>
      </c>
      <c r="AA1244" t="s">
        <v>27</v>
      </c>
      <c r="AB1244" t="s">
        <v>27</v>
      </c>
      <c r="AC1244" t="s">
        <v>27</v>
      </c>
      <c r="AD1244" t="s">
        <v>27</v>
      </c>
      <c r="AE1244" t="s">
        <v>27</v>
      </c>
      <c r="AF1244" t="s">
        <v>27</v>
      </c>
      <c r="AG1244">
        <v>31.99</v>
      </c>
    </row>
    <row r="1245" spans="1:33" x14ac:dyDescent="0.25">
      <c r="A1245" t="s">
        <v>57</v>
      </c>
      <c r="B1245" s="3">
        <v>44706</v>
      </c>
      <c r="C1245">
        <v>2022145</v>
      </c>
      <c r="D1245" t="s">
        <v>27</v>
      </c>
      <c r="E1245" t="s">
        <v>27</v>
      </c>
      <c r="F1245">
        <v>5.6</v>
      </c>
      <c r="G1245">
        <v>13.7</v>
      </c>
      <c r="H1245">
        <v>-1.3</v>
      </c>
      <c r="I1245">
        <v>72.8</v>
      </c>
      <c r="J1245">
        <v>34.799999999999997</v>
      </c>
      <c r="K1245">
        <v>0.8</v>
      </c>
      <c r="L1245">
        <v>3.6</v>
      </c>
      <c r="M1245">
        <v>0</v>
      </c>
      <c r="N1245">
        <v>0.14599999999999991</v>
      </c>
      <c r="O1245">
        <v>0.1</v>
      </c>
      <c r="P1245" t="s">
        <v>27</v>
      </c>
      <c r="Q1245" t="s">
        <v>27</v>
      </c>
      <c r="R1245" t="s">
        <v>27</v>
      </c>
      <c r="S1245">
        <v>0.1</v>
      </c>
      <c r="T1245">
        <v>0.4</v>
      </c>
      <c r="U1245" t="s">
        <v>27</v>
      </c>
      <c r="V1245">
        <v>0.20799999999999999</v>
      </c>
      <c r="W1245">
        <v>0.54600000000000004</v>
      </c>
      <c r="X1245">
        <v>1.0229999999999999</v>
      </c>
      <c r="Y1245" t="s">
        <v>27</v>
      </c>
      <c r="Z1245" t="s">
        <v>27</v>
      </c>
      <c r="AA1245" t="s">
        <v>27</v>
      </c>
      <c r="AB1245" t="s">
        <v>27</v>
      </c>
      <c r="AC1245" t="s">
        <v>27</v>
      </c>
      <c r="AD1245" t="s">
        <v>27</v>
      </c>
      <c r="AE1245" t="s">
        <v>27</v>
      </c>
      <c r="AF1245" t="s">
        <v>27</v>
      </c>
      <c r="AG1245">
        <v>32.090000000000003</v>
      </c>
    </row>
    <row r="1246" spans="1:33" x14ac:dyDescent="0.25">
      <c r="A1246" t="s">
        <v>57</v>
      </c>
      <c r="B1246" s="3">
        <v>44707</v>
      </c>
      <c r="C1246">
        <v>2022146</v>
      </c>
      <c r="D1246" t="s">
        <v>27</v>
      </c>
      <c r="E1246" t="s">
        <v>27</v>
      </c>
      <c r="F1246">
        <v>7</v>
      </c>
      <c r="G1246">
        <v>15.1</v>
      </c>
      <c r="H1246">
        <v>-2.8</v>
      </c>
      <c r="I1246">
        <v>62</v>
      </c>
      <c r="J1246">
        <v>23.5</v>
      </c>
      <c r="K1246">
        <v>0.7</v>
      </c>
      <c r="L1246">
        <v>3</v>
      </c>
      <c r="M1246">
        <v>0</v>
      </c>
      <c r="N1246">
        <v>6.4999999999999947E-2</v>
      </c>
      <c r="O1246">
        <v>0.2</v>
      </c>
      <c r="P1246" t="s">
        <v>27</v>
      </c>
      <c r="Q1246" t="s">
        <v>27</v>
      </c>
      <c r="R1246" t="s">
        <v>27</v>
      </c>
      <c r="S1246">
        <v>0.2</v>
      </c>
      <c r="T1246">
        <v>0.5</v>
      </c>
      <c r="U1246" t="s">
        <v>27</v>
      </c>
      <c r="V1246">
        <v>0.20499999999999999</v>
      </c>
      <c r="W1246">
        <v>0.40300000000000002</v>
      </c>
      <c r="X1246">
        <v>1.3120000000000001</v>
      </c>
      <c r="Y1246" t="s">
        <v>27</v>
      </c>
      <c r="Z1246" t="s">
        <v>27</v>
      </c>
      <c r="AA1246" t="s">
        <v>27</v>
      </c>
      <c r="AB1246" t="s">
        <v>27</v>
      </c>
      <c r="AC1246" t="s">
        <v>27</v>
      </c>
      <c r="AD1246" t="s">
        <v>27</v>
      </c>
      <c r="AE1246" t="s">
        <v>27</v>
      </c>
      <c r="AF1246" t="s">
        <v>27</v>
      </c>
      <c r="AG1246">
        <v>32.200000000000003</v>
      </c>
    </row>
    <row r="1247" spans="1:33" x14ac:dyDescent="0.25">
      <c r="A1247" t="s">
        <v>57</v>
      </c>
      <c r="B1247" s="3">
        <v>44708</v>
      </c>
      <c r="C1247">
        <v>2022147</v>
      </c>
      <c r="D1247" t="s">
        <v>27</v>
      </c>
      <c r="E1247" t="s">
        <v>27</v>
      </c>
      <c r="F1247">
        <v>5.4</v>
      </c>
      <c r="G1247">
        <v>10.1</v>
      </c>
      <c r="H1247">
        <v>-2</v>
      </c>
      <c r="I1247">
        <v>76</v>
      </c>
      <c r="J1247">
        <v>38.6</v>
      </c>
      <c r="K1247">
        <v>1.1000000000000001</v>
      </c>
      <c r="L1247">
        <v>3.9</v>
      </c>
      <c r="M1247">
        <v>3.7</v>
      </c>
      <c r="N1247">
        <v>0</v>
      </c>
      <c r="O1247" t="s">
        <v>27</v>
      </c>
      <c r="P1247" t="s">
        <v>27</v>
      </c>
      <c r="Q1247" t="s">
        <v>27</v>
      </c>
      <c r="R1247" t="s">
        <v>27</v>
      </c>
      <c r="S1247">
        <v>2.5</v>
      </c>
      <c r="T1247">
        <v>1.5</v>
      </c>
      <c r="U1247" t="s">
        <v>27</v>
      </c>
      <c r="V1247">
        <v>0.20200000000000001</v>
      </c>
      <c r="W1247">
        <v>0.47799999999999998</v>
      </c>
      <c r="X1247">
        <v>0.76</v>
      </c>
      <c r="Y1247" t="s">
        <v>27</v>
      </c>
      <c r="Z1247" t="s">
        <v>27</v>
      </c>
      <c r="AA1247" t="s">
        <v>27</v>
      </c>
      <c r="AB1247" t="s">
        <v>27</v>
      </c>
      <c r="AC1247" t="s">
        <v>27</v>
      </c>
      <c r="AD1247" t="s">
        <v>27</v>
      </c>
      <c r="AE1247" t="s">
        <v>27</v>
      </c>
      <c r="AF1247" t="s">
        <v>27</v>
      </c>
      <c r="AG1247">
        <v>32.29</v>
      </c>
    </row>
    <row r="1248" spans="1:33" x14ac:dyDescent="0.25">
      <c r="A1248" t="s">
        <v>57</v>
      </c>
      <c r="B1248" s="3">
        <v>44709</v>
      </c>
      <c r="C1248">
        <v>2022148</v>
      </c>
      <c r="D1248" t="s">
        <v>27</v>
      </c>
      <c r="E1248" t="s">
        <v>27</v>
      </c>
      <c r="F1248">
        <v>4.2</v>
      </c>
      <c r="G1248">
        <v>11.1</v>
      </c>
      <c r="H1248">
        <v>-2.4</v>
      </c>
      <c r="I1248">
        <v>66.8</v>
      </c>
      <c r="J1248">
        <v>35.5</v>
      </c>
      <c r="K1248">
        <v>0.6</v>
      </c>
      <c r="L1248">
        <v>2.9</v>
      </c>
      <c r="M1248">
        <v>0</v>
      </c>
      <c r="N1248">
        <v>0</v>
      </c>
      <c r="O1248" t="s">
        <v>27</v>
      </c>
      <c r="P1248" t="s">
        <v>27</v>
      </c>
      <c r="Q1248" t="s">
        <v>27</v>
      </c>
      <c r="R1248" t="s">
        <v>27</v>
      </c>
      <c r="S1248">
        <v>6.1</v>
      </c>
      <c r="T1248">
        <v>2.9</v>
      </c>
      <c r="U1248" t="s">
        <v>27</v>
      </c>
      <c r="V1248">
        <v>0.19400000000000001</v>
      </c>
      <c r="W1248">
        <v>0.46800000000000003</v>
      </c>
      <c r="X1248">
        <v>0.85</v>
      </c>
      <c r="Y1248" t="s">
        <v>27</v>
      </c>
      <c r="Z1248" t="s">
        <v>27</v>
      </c>
      <c r="AA1248" t="s">
        <v>27</v>
      </c>
      <c r="AB1248" t="s">
        <v>27</v>
      </c>
      <c r="AC1248" t="s">
        <v>27</v>
      </c>
      <c r="AD1248" t="s">
        <v>27</v>
      </c>
      <c r="AE1248" t="s">
        <v>27</v>
      </c>
      <c r="AF1248" t="s">
        <v>27</v>
      </c>
      <c r="AG1248">
        <v>32.39</v>
      </c>
    </row>
    <row r="1249" spans="1:33" x14ac:dyDescent="0.25">
      <c r="A1249" t="s">
        <v>57</v>
      </c>
      <c r="B1249" s="3">
        <v>44710</v>
      </c>
      <c r="C1249">
        <v>2022149</v>
      </c>
      <c r="D1249" t="s">
        <v>27</v>
      </c>
      <c r="E1249" t="s">
        <v>27</v>
      </c>
      <c r="F1249">
        <v>6.3</v>
      </c>
      <c r="G1249">
        <v>13.3</v>
      </c>
      <c r="H1249">
        <v>-0.3</v>
      </c>
      <c r="I1249">
        <v>68.400000000000006</v>
      </c>
      <c r="J1249">
        <v>32.6</v>
      </c>
      <c r="K1249">
        <v>0.8</v>
      </c>
      <c r="L1249">
        <v>3.4</v>
      </c>
      <c r="M1249">
        <v>0</v>
      </c>
      <c r="N1249">
        <v>0</v>
      </c>
      <c r="O1249" t="s">
        <v>27</v>
      </c>
      <c r="P1249" t="s">
        <v>27</v>
      </c>
      <c r="Q1249" t="s">
        <v>27</v>
      </c>
      <c r="R1249" t="s">
        <v>27</v>
      </c>
      <c r="S1249">
        <v>11.1</v>
      </c>
      <c r="T1249">
        <v>5.3</v>
      </c>
      <c r="U1249" t="s">
        <v>27</v>
      </c>
      <c r="V1249">
        <v>0.186</v>
      </c>
      <c r="W1249">
        <v>0.496</v>
      </c>
      <c r="X1249">
        <v>1.0249999999999999</v>
      </c>
      <c r="Y1249" t="s">
        <v>27</v>
      </c>
      <c r="Z1249" t="s">
        <v>27</v>
      </c>
      <c r="AA1249" t="s">
        <v>27</v>
      </c>
      <c r="AB1249" t="s">
        <v>27</v>
      </c>
      <c r="AC1249" t="s">
        <v>27</v>
      </c>
      <c r="AD1249" t="s">
        <v>27</v>
      </c>
      <c r="AE1249" t="s">
        <v>27</v>
      </c>
      <c r="AF1249" t="s">
        <v>27</v>
      </c>
      <c r="AG1249">
        <v>32.479999999999997</v>
      </c>
    </row>
    <row r="1250" spans="1:33" x14ac:dyDescent="0.25">
      <c r="A1250" t="s">
        <v>57</v>
      </c>
      <c r="B1250" s="3">
        <v>44711</v>
      </c>
      <c r="C1250">
        <v>2022150</v>
      </c>
      <c r="D1250" t="s">
        <v>27</v>
      </c>
      <c r="E1250" t="s">
        <v>27</v>
      </c>
      <c r="F1250">
        <v>6.5</v>
      </c>
      <c r="G1250">
        <v>12.2</v>
      </c>
      <c r="H1250">
        <v>2.4</v>
      </c>
      <c r="I1250">
        <v>79.7</v>
      </c>
      <c r="J1250">
        <v>54.4</v>
      </c>
      <c r="K1250">
        <v>0.6</v>
      </c>
      <c r="L1250">
        <v>1.7</v>
      </c>
      <c r="M1250">
        <v>1.1000000000000001</v>
      </c>
      <c r="N1250">
        <v>0</v>
      </c>
      <c r="O1250" t="s">
        <v>27</v>
      </c>
      <c r="P1250" t="s">
        <v>27</v>
      </c>
      <c r="Q1250" t="s">
        <v>27</v>
      </c>
      <c r="R1250" t="s">
        <v>27</v>
      </c>
      <c r="S1250">
        <v>9</v>
      </c>
      <c r="T1250">
        <v>6</v>
      </c>
      <c r="U1250" t="s">
        <v>27</v>
      </c>
      <c r="V1250">
        <v>0.17799999999999999</v>
      </c>
      <c r="W1250">
        <v>0.77400000000000002</v>
      </c>
      <c r="X1250">
        <v>0.64900000000000002</v>
      </c>
      <c r="Y1250" t="s">
        <v>27</v>
      </c>
      <c r="Z1250" t="s">
        <v>27</v>
      </c>
      <c r="AA1250" t="s">
        <v>27</v>
      </c>
      <c r="AB1250" t="s">
        <v>27</v>
      </c>
      <c r="AC1250" t="s">
        <v>27</v>
      </c>
      <c r="AD1250" t="s">
        <v>27</v>
      </c>
      <c r="AE1250" t="s">
        <v>27</v>
      </c>
      <c r="AF1250" t="s">
        <v>27</v>
      </c>
      <c r="AG1250">
        <v>32.56</v>
      </c>
    </row>
    <row r="1251" spans="1:33" x14ac:dyDescent="0.25">
      <c r="A1251" t="s">
        <v>57</v>
      </c>
      <c r="B1251" s="3">
        <v>44712</v>
      </c>
      <c r="C1251">
        <v>2022151</v>
      </c>
      <c r="D1251" t="s">
        <v>27</v>
      </c>
      <c r="E1251" t="s">
        <v>27</v>
      </c>
      <c r="F1251">
        <v>6.8</v>
      </c>
      <c r="G1251">
        <v>13.1</v>
      </c>
      <c r="H1251">
        <v>0.1</v>
      </c>
      <c r="I1251">
        <v>80.099999999999994</v>
      </c>
      <c r="J1251">
        <v>49</v>
      </c>
      <c r="K1251">
        <v>0.7</v>
      </c>
      <c r="L1251">
        <v>3.3</v>
      </c>
      <c r="M1251">
        <v>0.2</v>
      </c>
      <c r="N1251">
        <v>0</v>
      </c>
      <c r="O1251" t="s">
        <v>27</v>
      </c>
      <c r="P1251" t="s">
        <v>27</v>
      </c>
      <c r="Q1251" t="s">
        <v>27</v>
      </c>
      <c r="R1251" t="s">
        <v>27</v>
      </c>
      <c r="S1251">
        <v>9.8000000000000007</v>
      </c>
      <c r="T1251">
        <v>6.4</v>
      </c>
      <c r="U1251" t="s">
        <v>27</v>
      </c>
      <c r="V1251">
        <v>0.17199999999999999</v>
      </c>
      <c r="W1251">
        <v>0.73799999999999999</v>
      </c>
      <c r="X1251">
        <v>0.76800000000000002</v>
      </c>
      <c r="Y1251" t="s">
        <v>27</v>
      </c>
      <c r="Z1251" t="s">
        <v>27</v>
      </c>
      <c r="AA1251" t="s">
        <v>27</v>
      </c>
      <c r="AB1251" t="s">
        <v>27</v>
      </c>
      <c r="AC1251" t="s">
        <v>27</v>
      </c>
      <c r="AD1251" t="s">
        <v>27</v>
      </c>
      <c r="AE1251" t="s">
        <v>27</v>
      </c>
      <c r="AF1251" t="s">
        <v>27</v>
      </c>
      <c r="AG1251">
        <v>32.64</v>
      </c>
    </row>
    <row r="1252" spans="1:33" x14ac:dyDescent="0.25">
      <c r="A1252" t="s">
        <v>57</v>
      </c>
      <c r="B1252" s="3">
        <v>44713</v>
      </c>
      <c r="C1252">
        <v>2022152</v>
      </c>
      <c r="D1252" t="s">
        <v>27</v>
      </c>
      <c r="E1252" t="s">
        <v>27</v>
      </c>
      <c r="F1252">
        <v>8.6</v>
      </c>
      <c r="G1252">
        <v>15.2</v>
      </c>
      <c r="H1252">
        <v>-1</v>
      </c>
      <c r="I1252">
        <v>63.8</v>
      </c>
      <c r="J1252">
        <v>32.799999999999997</v>
      </c>
      <c r="K1252">
        <v>0.6</v>
      </c>
      <c r="L1252">
        <v>2.2000000000000002</v>
      </c>
      <c r="M1252">
        <v>0</v>
      </c>
      <c r="N1252">
        <v>0</v>
      </c>
      <c r="O1252" t="s">
        <v>27</v>
      </c>
      <c r="P1252" t="s">
        <v>27</v>
      </c>
      <c r="Q1252" t="s">
        <v>27</v>
      </c>
      <c r="R1252" t="s">
        <v>27</v>
      </c>
      <c r="S1252">
        <v>9.3000000000000007</v>
      </c>
      <c r="T1252">
        <v>6.5</v>
      </c>
      <c r="U1252" t="s">
        <v>27</v>
      </c>
      <c r="V1252">
        <v>0.16700000000000001</v>
      </c>
      <c r="W1252">
        <v>0.56699999999999995</v>
      </c>
      <c r="X1252">
        <v>1.1619999999999999</v>
      </c>
      <c r="Y1252" t="s">
        <v>27</v>
      </c>
      <c r="Z1252" t="s">
        <v>27</v>
      </c>
      <c r="AA1252" t="s">
        <v>27</v>
      </c>
      <c r="AB1252" t="s">
        <v>27</v>
      </c>
      <c r="AC1252" t="s">
        <v>27</v>
      </c>
      <c r="AD1252" t="s">
        <v>27</v>
      </c>
      <c r="AE1252" t="s">
        <v>27</v>
      </c>
      <c r="AF1252" t="s">
        <v>27</v>
      </c>
      <c r="AG1252">
        <v>32.71</v>
      </c>
    </row>
    <row r="1253" spans="1:33" x14ac:dyDescent="0.25">
      <c r="A1253" t="s">
        <v>57</v>
      </c>
      <c r="B1253" s="3">
        <v>44714</v>
      </c>
      <c r="C1253">
        <v>2022153</v>
      </c>
      <c r="D1253" t="s">
        <v>27</v>
      </c>
      <c r="E1253" t="s">
        <v>27</v>
      </c>
      <c r="F1253">
        <v>8</v>
      </c>
      <c r="G1253">
        <v>13.4</v>
      </c>
      <c r="H1253">
        <v>4.4000000000000004</v>
      </c>
      <c r="I1253">
        <v>89.1</v>
      </c>
      <c r="J1253">
        <v>63.6</v>
      </c>
      <c r="K1253">
        <v>0.5</v>
      </c>
      <c r="L1253">
        <v>2.8</v>
      </c>
      <c r="M1253">
        <v>8.6999999999999993</v>
      </c>
      <c r="N1253">
        <v>0</v>
      </c>
      <c r="O1253" t="s">
        <v>27</v>
      </c>
      <c r="P1253" t="s">
        <v>27</v>
      </c>
      <c r="Q1253" t="s">
        <v>27</v>
      </c>
      <c r="R1253" t="s">
        <v>27</v>
      </c>
      <c r="S1253">
        <v>11.1</v>
      </c>
      <c r="T1253">
        <v>7.5</v>
      </c>
      <c r="U1253" t="s">
        <v>27</v>
      </c>
      <c r="V1253">
        <v>0.16600000000000001</v>
      </c>
      <c r="W1253">
        <v>0.97499999999999998</v>
      </c>
      <c r="X1253">
        <v>0.55800000000000005</v>
      </c>
      <c r="Y1253" t="s">
        <v>27</v>
      </c>
      <c r="Z1253" t="s">
        <v>27</v>
      </c>
      <c r="AA1253" t="s">
        <v>27</v>
      </c>
      <c r="AB1253" t="s">
        <v>27</v>
      </c>
      <c r="AC1253" t="s">
        <v>27</v>
      </c>
      <c r="AD1253" t="s">
        <v>27</v>
      </c>
      <c r="AE1253" t="s">
        <v>27</v>
      </c>
      <c r="AF1253" t="s">
        <v>27</v>
      </c>
      <c r="AG1253">
        <v>32.78</v>
      </c>
    </row>
    <row r="1254" spans="1:33" x14ac:dyDescent="0.25">
      <c r="A1254" t="s">
        <v>57</v>
      </c>
      <c r="B1254" s="3">
        <v>44715</v>
      </c>
      <c r="C1254">
        <v>2022154</v>
      </c>
      <c r="D1254" t="s">
        <v>27</v>
      </c>
      <c r="E1254" t="s">
        <v>27</v>
      </c>
      <c r="F1254">
        <v>7.2</v>
      </c>
      <c r="G1254">
        <v>12.7</v>
      </c>
      <c r="H1254">
        <v>2.7</v>
      </c>
      <c r="I1254">
        <v>94.6</v>
      </c>
      <c r="J1254">
        <v>76.7</v>
      </c>
      <c r="K1254">
        <v>0.4</v>
      </c>
      <c r="L1254">
        <v>2.2999999999999998</v>
      </c>
      <c r="M1254">
        <v>29.1</v>
      </c>
      <c r="N1254">
        <v>0</v>
      </c>
      <c r="O1254" t="s">
        <v>27</v>
      </c>
      <c r="P1254" t="s">
        <v>27</v>
      </c>
      <c r="Q1254" t="s">
        <v>27</v>
      </c>
      <c r="R1254" t="s">
        <v>27</v>
      </c>
      <c r="S1254">
        <v>9.1999999999999993</v>
      </c>
      <c r="T1254">
        <v>7.6</v>
      </c>
      <c r="U1254" t="s">
        <v>27</v>
      </c>
      <c r="V1254">
        <v>0.215</v>
      </c>
      <c r="W1254">
        <v>1.123</v>
      </c>
      <c r="X1254">
        <v>0.34100000000000003</v>
      </c>
      <c r="Y1254" t="s">
        <v>27</v>
      </c>
      <c r="Z1254" t="s">
        <v>27</v>
      </c>
      <c r="AA1254" t="s">
        <v>27</v>
      </c>
      <c r="AB1254" t="s">
        <v>27</v>
      </c>
      <c r="AC1254" t="s">
        <v>27</v>
      </c>
      <c r="AD1254" t="s">
        <v>27</v>
      </c>
      <c r="AE1254" t="s">
        <v>27</v>
      </c>
      <c r="AF1254" t="s">
        <v>27</v>
      </c>
      <c r="AG1254">
        <v>32.86</v>
      </c>
    </row>
    <row r="1255" spans="1:33" x14ac:dyDescent="0.25">
      <c r="A1255" t="s">
        <v>57</v>
      </c>
      <c r="B1255" s="3">
        <v>44716</v>
      </c>
      <c r="C1255">
        <v>2022155</v>
      </c>
      <c r="D1255" t="s">
        <v>27</v>
      </c>
      <c r="E1255" t="s">
        <v>27</v>
      </c>
      <c r="F1255">
        <v>6.6</v>
      </c>
      <c r="G1255">
        <v>10</v>
      </c>
      <c r="H1255">
        <v>1.2</v>
      </c>
      <c r="I1255">
        <v>95.1</v>
      </c>
      <c r="J1255">
        <v>83.7</v>
      </c>
      <c r="K1255">
        <v>0.4</v>
      </c>
      <c r="L1255">
        <v>2</v>
      </c>
      <c r="M1255">
        <v>3.6</v>
      </c>
      <c r="N1255">
        <v>0</v>
      </c>
      <c r="O1255" t="s">
        <v>27</v>
      </c>
      <c r="P1255" t="s">
        <v>27</v>
      </c>
      <c r="Q1255" t="s">
        <v>27</v>
      </c>
      <c r="R1255" t="s">
        <v>27</v>
      </c>
      <c r="S1255">
        <v>10</v>
      </c>
      <c r="T1255">
        <v>7.5</v>
      </c>
      <c r="U1255" t="s">
        <v>27</v>
      </c>
      <c r="V1255">
        <v>0.23699999999999999</v>
      </c>
      <c r="W1255">
        <v>1.0289999999999999</v>
      </c>
      <c r="X1255">
        <v>0.2</v>
      </c>
      <c r="Y1255" t="s">
        <v>27</v>
      </c>
      <c r="Z1255" t="s">
        <v>27</v>
      </c>
      <c r="AA1255" t="s">
        <v>27</v>
      </c>
      <c r="AB1255" t="s">
        <v>27</v>
      </c>
      <c r="AC1255" t="s">
        <v>27</v>
      </c>
      <c r="AD1255" t="s">
        <v>27</v>
      </c>
      <c r="AE1255" t="s">
        <v>27</v>
      </c>
      <c r="AF1255" t="s">
        <v>27</v>
      </c>
      <c r="AG1255">
        <v>32.909999999999997</v>
      </c>
    </row>
    <row r="1256" spans="1:33" x14ac:dyDescent="0.25">
      <c r="A1256" t="s">
        <v>57</v>
      </c>
      <c r="B1256" s="3">
        <v>44717</v>
      </c>
      <c r="C1256">
        <v>2022156</v>
      </c>
      <c r="D1256" t="s">
        <v>27</v>
      </c>
      <c r="E1256" t="s">
        <v>27</v>
      </c>
      <c r="F1256">
        <v>6.8</v>
      </c>
      <c r="G1256">
        <v>12.9</v>
      </c>
      <c r="H1256">
        <v>3.1</v>
      </c>
      <c r="I1256">
        <v>91.2</v>
      </c>
      <c r="J1256">
        <v>62.8</v>
      </c>
      <c r="K1256">
        <v>0.6</v>
      </c>
      <c r="L1256">
        <v>2.7</v>
      </c>
      <c r="M1256">
        <v>9</v>
      </c>
      <c r="N1256">
        <v>0</v>
      </c>
      <c r="O1256" t="s">
        <v>27</v>
      </c>
      <c r="P1256" t="s">
        <v>27</v>
      </c>
      <c r="Q1256" t="s">
        <v>27</v>
      </c>
      <c r="R1256" t="s">
        <v>27</v>
      </c>
      <c r="S1256">
        <v>10.6</v>
      </c>
      <c r="T1256">
        <v>8.1999999999999993</v>
      </c>
      <c r="U1256" t="s">
        <v>27</v>
      </c>
      <c r="V1256">
        <v>0.219</v>
      </c>
      <c r="W1256">
        <v>0.93500000000000005</v>
      </c>
      <c r="X1256">
        <v>0.55400000000000005</v>
      </c>
      <c r="Y1256" t="s">
        <v>27</v>
      </c>
      <c r="Z1256" t="s">
        <v>27</v>
      </c>
      <c r="AA1256" t="s">
        <v>27</v>
      </c>
      <c r="AB1256" t="s">
        <v>27</v>
      </c>
      <c r="AC1256" t="s">
        <v>27</v>
      </c>
      <c r="AD1256" t="s">
        <v>27</v>
      </c>
      <c r="AE1256" t="s">
        <v>27</v>
      </c>
      <c r="AF1256" t="s">
        <v>27</v>
      </c>
      <c r="AG1256">
        <v>32.97</v>
      </c>
    </row>
    <row r="1257" spans="1:33" x14ac:dyDescent="0.25">
      <c r="A1257" t="s">
        <v>57</v>
      </c>
      <c r="B1257" s="3">
        <v>44718</v>
      </c>
      <c r="C1257">
        <v>2022157</v>
      </c>
      <c r="D1257" t="s">
        <v>27</v>
      </c>
      <c r="E1257" t="s">
        <v>27</v>
      </c>
      <c r="F1257">
        <v>6.5</v>
      </c>
      <c r="G1257">
        <v>12.9</v>
      </c>
      <c r="H1257">
        <v>-0.7</v>
      </c>
      <c r="I1257">
        <v>74.099999999999994</v>
      </c>
      <c r="J1257">
        <v>42.9</v>
      </c>
      <c r="K1257">
        <v>1</v>
      </c>
      <c r="L1257">
        <v>3.4</v>
      </c>
      <c r="M1257">
        <v>0</v>
      </c>
      <c r="N1257">
        <v>0</v>
      </c>
      <c r="O1257" t="s">
        <v>27</v>
      </c>
      <c r="P1257" t="s">
        <v>27</v>
      </c>
      <c r="Q1257" t="s">
        <v>27</v>
      </c>
      <c r="R1257" t="s">
        <v>27</v>
      </c>
      <c r="S1257">
        <v>12.3</v>
      </c>
      <c r="T1257">
        <v>8.8000000000000007</v>
      </c>
      <c r="U1257" t="s">
        <v>27</v>
      </c>
      <c r="V1257">
        <v>0.20699999999999999</v>
      </c>
      <c r="W1257">
        <v>0.63900000000000001</v>
      </c>
      <c r="X1257">
        <v>0.85099999999999998</v>
      </c>
      <c r="Y1257" t="s">
        <v>27</v>
      </c>
      <c r="Z1257" t="s">
        <v>27</v>
      </c>
      <c r="AA1257" t="s">
        <v>27</v>
      </c>
      <c r="AB1257" t="s">
        <v>27</v>
      </c>
      <c r="AC1257" t="s">
        <v>27</v>
      </c>
      <c r="AD1257" t="s">
        <v>27</v>
      </c>
      <c r="AE1257" t="s">
        <v>27</v>
      </c>
      <c r="AF1257" t="s">
        <v>27</v>
      </c>
      <c r="AG1257">
        <v>33.03</v>
      </c>
    </row>
    <row r="1258" spans="1:33" x14ac:dyDescent="0.25">
      <c r="A1258" t="s">
        <v>57</v>
      </c>
      <c r="B1258" s="3">
        <v>44719</v>
      </c>
      <c r="C1258">
        <v>2022158</v>
      </c>
      <c r="D1258" t="s">
        <v>27</v>
      </c>
      <c r="E1258" t="s">
        <v>27</v>
      </c>
      <c r="F1258">
        <v>8.6999999999999993</v>
      </c>
      <c r="G1258">
        <v>16.8</v>
      </c>
      <c r="H1258">
        <v>-1.5</v>
      </c>
      <c r="I1258">
        <v>66.8</v>
      </c>
      <c r="J1258">
        <v>40.4</v>
      </c>
      <c r="K1258">
        <v>0.9</v>
      </c>
      <c r="L1258">
        <v>2.8</v>
      </c>
      <c r="M1258">
        <v>0</v>
      </c>
      <c r="N1258">
        <v>0</v>
      </c>
      <c r="O1258" t="s">
        <v>27</v>
      </c>
      <c r="P1258" t="s">
        <v>27</v>
      </c>
      <c r="Q1258" t="s">
        <v>27</v>
      </c>
      <c r="R1258" t="s">
        <v>27</v>
      </c>
      <c r="S1258">
        <v>10.6</v>
      </c>
      <c r="T1258">
        <v>8.5</v>
      </c>
      <c r="U1258" t="s">
        <v>27</v>
      </c>
      <c r="V1258">
        <v>0.19</v>
      </c>
      <c r="W1258">
        <v>0.77</v>
      </c>
      <c r="X1258">
        <v>1.1359999999999999</v>
      </c>
      <c r="Y1258" t="s">
        <v>27</v>
      </c>
      <c r="Z1258" t="s">
        <v>27</v>
      </c>
      <c r="AA1258" t="s">
        <v>27</v>
      </c>
      <c r="AB1258" t="s">
        <v>27</v>
      </c>
      <c r="AC1258" t="s">
        <v>27</v>
      </c>
      <c r="AD1258" t="s">
        <v>27</v>
      </c>
      <c r="AE1258" t="s">
        <v>27</v>
      </c>
      <c r="AF1258" t="s">
        <v>27</v>
      </c>
      <c r="AG1258">
        <v>33.08</v>
      </c>
    </row>
    <row r="1259" spans="1:33" x14ac:dyDescent="0.25">
      <c r="A1259" t="s">
        <v>57</v>
      </c>
      <c r="B1259" s="3">
        <v>44720</v>
      </c>
      <c r="C1259">
        <v>2022159</v>
      </c>
      <c r="D1259" t="s">
        <v>27</v>
      </c>
      <c r="E1259" t="s">
        <v>27</v>
      </c>
      <c r="F1259">
        <v>9.8000000000000007</v>
      </c>
      <c r="G1259">
        <v>15.9</v>
      </c>
      <c r="H1259">
        <v>1.5</v>
      </c>
      <c r="I1259">
        <v>67.8</v>
      </c>
      <c r="J1259">
        <v>38.299999999999997</v>
      </c>
      <c r="K1259">
        <v>0.9</v>
      </c>
      <c r="L1259">
        <v>4</v>
      </c>
      <c r="M1259">
        <v>1.6</v>
      </c>
      <c r="N1259">
        <v>0</v>
      </c>
      <c r="O1259" t="s">
        <v>27</v>
      </c>
      <c r="P1259" t="s">
        <v>27</v>
      </c>
      <c r="Q1259" t="s">
        <v>27</v>
      </c>
      <c r="R1259" t="s">
        <v>27</v>
      </c>
      <c r="S1259">
        <v>12.9</v>
      </c>
      <c r="T1259">
        <v>9.6999999999999993</v>
      </c>
      <c r="U1259" t="s">
        <v>27</v>
      </c>
      <c r="V1259">
        <v>0.18</v>
      </c>
      <c r="W1259">
        <v>0.69099999999999995</v>
      </c>
      <c r="X1259">
        <v>1.113</v>
      </c>
      <c r="Y1259" t="s">
        <v>27</v>
      </c>
      <c r="Z1259" t="s">
        <v>27</v>
      </c>
      <c r="AA1259" t="s">
        <v>27</v>
      </c>
      <c r="AB1259" t="s">
        <v>27</v>
      </c>
      <c r="AC1259" t="s">
        <v>27</v>
      </c>
      <c r="AD1259" t="s">
        <v>27</v>
      </c>
      <c r="AE1259" t="s">
        <v>27</v>
      </c>
      <c r="AF1259" t="s">
        <v>27</v>
      </c>
      <c r="AG1259">
        <v>33.130000000000003</v>
      </c>
    </row>
    <row r="1260" spans="1:33" x14ac:dyDescent="0.25">
      <c r="A1260" t="s">
        <v>57</v>
      </c>
      <c r="B1260" s="3">
        <v>44721</v>
      </c>
      <c r="C1260">
        <v>2022160</v>
      </c>
      <c r="D1260" t="s">
        <v>27</v>
      </c>
      <c r="E1260" t="s">
        <v>27</v>
      </c>
      <c r="F1260">
        <v>5.4</v>
      </c>
      <c r="G1260">
        <v>11.3</v>
      </c>
      <c r="H1260">
        <v>-0.2</v>
      </c>
      <c r="I1260">
        <v>87.7</v>
      </c>
      <c r="J1260">
        <v>54.1</v>
      </c>
      <c r="K1260">
        <v>0.7</v>
      </c>
      <c r="L1260">
        <v>3.7</v>
      </c>
      <c r="M1260">
        <v>12</v>
      </c>
      <c r="N1260">
        <v>0</v>
      </c>
      <c r="O1260" t="s">
        <v>27</v>
      </c>
      <c r="P1260" t="s">
        <v>27</v>
      </c>
      <c r="Q1260" t="s">
        <v>27</v>
      </c>
      <c r="R1260" t="s">
        <v>27</v>
      </c>
      <c r="S1260">
        <v>7.8</v>
      </c>
      <c r="T1260">
        <v>8.3000000000000007</v>
      </c>
      <c r="U1260" t="s">
        <v>27</v>
      </c>
      <c r="V1260">
        <v>0.17799999999999999</v>
      </c>
      <c r="W1260">
        <v>0.72299999999999998</v>
      </c>
      <c r="X1260">
        <v>0.61299999999999999</v>
      </c>
      <c r="Y1260" t="s">
        <v>27</v>
      </c>
      <c r="Z1260" t="s">
        <v>27</v>
      </c>
      <c r="AA1260" t="s">
        <v>27</v>
      </c>
      <c r="AB1260" t="s">
        <v>27</v>
      </c>
      <c r="AC1260" t="s">
        <v>27</v>
      </c>
      <c r="AD1260" t="s">
        <v>27</v>
      </c>
      <c r="AE1260" t="s">
        <v>27</v>
      </c>
      <c r="AF1260" t="s">
        <v>27</v>
      </c>
      <c r="AG1260">
        <v>33.159999999999997</v>
      </c>
    </row>
    <row r="1261" spans="1:33" x14ac:dyDescent="0.25">
      <c r="A1261" t="s">
        <v>57</v>
      </c>
      <c r="B1261" s="3">
        <v>44722</v>
      </c>
      <c r="C1261">
        <v>2022161</v>
      </c>
      <c r="D1261" t="s">
        <v>27</v>
      </c>
      <c r="E1261" t="s">
        <v>27</v>
      </c>
      <c r="F1261">
        <v>9.4</v>
      </c>
      <c r="G1261">
        <v>17.8</v>
      </c>
      <c r="H1261">
        <v>1.6</v>
      </c>
      <c r="I1261">
        <v>78.3</v>
      </c>
      <c r="J1261">
        <v>34.200000000000003</v>
      </c>
      <c r="K1261">
        <v>0.7</v>
      </c>
      <c r="L1261">
        <v>3</v>
      </c>
      <c r="M1261">
        <v>1</v>
      </c>
      <c r="N1261">
        <v>0</v>
      </c>
      <c r="O1261" t="s">
        <v>27</v>
      </c>
      <c r="P1261" t="s">
        <v>27</v>
      </c>
      <c r="Q1261" t="s">
        <v>27</v>
      </c>
      <c r="R1261" t="s">
        <v>27</v>
      </c>
      <c r="S1261">
        <v>13.7</v>
      </c>
      <c r="T1261">
        <v>9.1999999999999993</v>
      </c>
      <c r="U1261" t="s">
        <v>27</v>
      </c>
      <c r="V1261">
        <v>0.186</v>
      </c>
      <c r="W1261">
        <v>0.69699999999999995</v>
      </c>
      <c r="X1261">
        <v>1.341</v>
      </c>
      <c r="Y1261" t="s">
        <v>27</v>
      </c>
      <c r="Z1261" t="s">
        <v>27</v>
      </c>
      <c r="AA1261" t="s">
        <v>27</v>
      </c>
      <c r="AB1261" t="s">
        <v>27</v>
      </c>
      <c r="AC1261" t="s">
        <v>27</v>
      </c>
      <c r="AD1261" t="s">
        <v>27</v>
      </c>
      <c r="AE1261" t="s">
        <v>27</v>
      </c>
      <c r="AF1261" t="s">
        <v>27</v>
      </c>
      <c r="AG1261">
        <v>33.200000000000003</v>
      </c>
    </row>
    <row r="1262" spans="1:33" x14ac:dyDescent="0.25">
      <c r="A1262" t="s">
        <v>57</v>
      </c>
      <c r="B1262" s="3">
        <v>44723</v>
      </c>
      <c r="C1262">
        <v>2022162</v>
      </c>
      <c r="D1262" t="s">
        <v>27</v>
      </c>
      <c r="E1262" t="s">
        <v>27</v>
      </c>
      <c r="F1262">
        <v>8.9</v>
      </c>
      <c r="G1262">
        <v>15.1</v>
      </c>
      <c r="H1262">
        <v>2.4</v>
      </c>
      <c r="I1262">
        <v>70.900000000000006</v>
      </c>
      <c r="J1262">
        <v>40.200000000000003</v>
      </c>
      <c r="K1262">
        <v>0.9</v>
      </c>
      <c r="L1262">
        <v>3.6</v>
      </c>
      <c r="M1262">
        <v>0</v>
      </c>
      <c r="N1262">
        <v>0</v>
      </c>
      <c r="O1262" t="s">
        <v>27</v>
      </c>
      <c r="P1262" t="s">
        <v>27</v>
      </c>
      <c r="Q1262" t="s">
        <v>27</v>
      </c>
      <c r="R1262" t="s">
        <v>27</v>
      </c>
      <c r="S1262">
        <v>13</v>
      </c>
      <c r="T1262">
        <v>10.4</v>
      </c>
      <c r="U1262" t="s">
        <v>27</v>
      </c>
      <c r="V1262">
        <v>0.17699999999999999</v>
      </c>
      <c r="W1262">
        <v>0.69</v>
      </c>
      <c r="X1262">
        <v>1.026</v>
      </c>
      <c r="Y1262" t="s">
        <v>27</v>
      </c>
      <c r="Z1262" t="s">
        <v>27</v>
      </c>
      <c r="AA1262" t="s">
        <v>27</v>
      </c>
      <c r="AB1262" t="s">
        <v>27</v>
      </c>
      <c r="AC1262" t="s">
        <v>27</v>
      </c>
      <c r="AD1262" t="s">
        <v>27</v>
      </c>
      <c r="AE1262" t="s">
        <v>27</v>
      </c>
      <c r="AF1262" t="s">
        <v>27</v>
      </c>
      <c r="AG1262">
        <v>33.229999999999997</v>
      </c>
    </row>
    <row r="1263" spans="1:33" x14ac:dyDescent="0.25">
      <c r="A1263" t="s">
        <v>57</v>
      </c>
      <c r="B1263" s="3">
        <v>44724</v>
      </c>
      <c r="C1263">
        <v>2022163</v>
      </c>
      <c r="D1263" t="s">
        <v>27</v>
      </c>
      <c r="E1263" t="s">
        <v>27</v>
      </c>
      <c r="F1263">
        <v>6.8</v>
      </c>
      <c r="G1263">
        <v>15</v>
      </c>
      <c r="H1263">
        <v>-0.6</v>
      </c>
      <c r="I1263">
        <v>75.8</v>
      </c>
      <c r="J1263">
        <v>35.700000000000003</v>
      </c>
      <c r="K1263">
        <v>0.5</v>
      </c>
      <c r="L1263">
        <v>2.8</v>
      </c>
      <c r="M1263">
        <v>1.4</v>
      </c>
      <c r="N1263">
        <v>0</v>
      </c>
      <c r="O1263" t="s">
        <v>27</v>
      </c>
      <c r="P1263" t="s">
        <v>27</v>
      </c>
      <c r="Q1263" t="s">
        <v>27</v>
      </c>
      <c r="R1263" t="s">
        <v>27</v>
      </c>
      <c r="S1263">
        <v>10.6</v>
      </c>
      <c r="T1263">
        <v>9.4</v>
      </c>
      <c r="U1263" t="s">
        <v>27</v>
      </c>
      <c r="V1263">
        <v>0.16900000000000001</v>
      </c>
      <c r="W1263">
        <v>0.60899999999999999</v>
      </c>
      <c r="X1263">
        <v>1.097</v>
      </c>
      <c r="Y1263" t="s">
        <v>27</v>
      </c>
      <c r="Z1263" t="s">
        <v>27</v>
      </c>
      <c r="AA1263" t="s">
        <v>27</v>
      </c>
      <c r="AB1263" t="s">
        <v>27</v>
      </c>
      <c r="AC1263" t="s">
        <v>27</v>
      </c>
      <c r="AD1263" t="s">
        <v>27</v>
      </c>
      <c r="AE1263" t="s">
        <v>27</v>
      </c>
      <c r="AF1263" t="s">
        <v>27</v>
      </c>
      <c r="AG1263">
        <v>33.26</v>
      </c>
    </row>
    <row r="1264" spans="1:33" x14ac:dyDescent="0.25">
      <c r="A1264" t="s">
        <v>57</v>
      </c>
      <c r="B1264" s="3">
        <v>44725</v>
      </c>
      <c r="C1264">
        <v>2022164</v>
      </c>
      <c r="D1264" t="s">
        <v>27</v>
      </c>
      <c r="E1264" t="s">
        <v>27</v>
      </c>
      <c r="F1264">
        <v>3.3</v>
      </c>
      <c r="G1264">
        <v>5.2</v>
      </c>
      <c r="H1264">
        <v>0.6</v>
      </c>
      <c r="I1264">
        <v>93.7</v>
      </c>
      <c r="J1264">
        <v>89.8</v>
      </c>
      <c r="K1264">
        <v>1.6</v>
      </c>
      <c r="L1264">
        <v>3.8</v>
      </c>
      <c r="M1264">
        <v>59.7</v>
      </c>
      <c r="N1264">
        <v>0</v>
      </c>
      <c r="O1264" t="s">
        <v>27</v>
      </c>
      <c r="P1264" t="s">
        <v>27</v>
      </c>
      <c r="Q1264" t="s">
        <v>27</v>
      </c>
      <c r="R1264" t="s">
        <v>27</v>
      </c>
      <c r="S1264">
        <v>6.6</v>
      </c>
      <c r="T1264">
        <v>8.1999999999999993</v>
      </c>
      <c r="U1264" t="s">
        <v>27</v>
      </c>
      <c r="V1264">
        <v>0.21299999999999999</v>
      </c>
      <c r="W1264">
        <v>0.79600000000000004</v>
      </c>
      <c r="X1264">
        <v>0.09</v>
      </c>
      <c r="Y1264" t="s">
        <v>27</v>
      </c>
      <c r="Z1264" t="s">
        <v>27</v>
      </c>
      <c r="AA1264" t="s">
        <v>27</v>
      </c>
      <c r="AB1264" t="s">
        <v>27</v>
      </c>
      <c r="AC1264" t="s">
        <v>27</v>
      </c>
      <c r="AD1264" t="s">
        <v>27</v>
      </c>
      <c r="AE1264" t="s">
        <v>27</v>
      </c>
      <c r="AF1264" t="s">
        <v>27</v>
      </c>
      <c r="AG1264">
        <v>33.29</v>
      </c>
    </row>
    <row r="1265" spans="1:33" x14ac:dyDescent="0.25">
      <c r="A1265" t="s">
        <v>57</v>
      </c>
      <c r="B1265" s="3">
        <v>44726</v>
      </c>
      <c r="C1265">
        <v>2022165</v>
      </c>
      <c r="D1265" t="s">
        <v>27</v>
      </c>
      <c r="E1265" t="s">
        <v>27</v>
      </c>
      <c r="F1265">
        <v>3.7</v>
      </c>
      <c r="G1265">
        <v>9.1999999999999993</v>
      </c>
      <c r="H1265">
        <v>0.5</v>
      </c>
      <c r="I1265">
        <v>89.9</v>
      </c>
      <c r="J1265">
        <v>73.8</v>
      </c>
      <c r="K1265">
        <v>1.4</v>
      </c>
      <c r="L1265">
        <v>3.5</v>
      </c>
      <c r="M1265">
        <v>38.700000000000003</v>
      </c>
      <c r="N1265">
        <v>0</v>
      </c>
      <c r="O1265" t="s">
        <v>27</v>
      </c>
      <c r="P1265" t="s">
        <v>27</v>
      </c>
      <c r="Q1265" t="s">
        <v>27</v>
      </c>
      <c r="R1265" t="s">
        <v>27</v>
      </c>
      <c r="S1265">
        <v>1.1000000000000001</v>
      </c>
      <c r="T1265">
        <v>5.2</v>
      </c>
      <c r="U1265" t="s">
        <v>27</v>
      </c>
      <c r="V1265">
        <v>0.255</v>
      </c>
      <c r="W1265">
        <v>0.86</v>
      </c>
      <c r="X1265">
        <v>0.30499999999999999</v>
      </c>
      <c r="Y1265" t="s">
        <v>27</v>
      </c>
      <c r="Z1265" t="s">
        <v>27</v>
      </c>
      <c r="AA1265" t="s">
        <v>27</v>
      </c>
      <c r="AB1265" t="s">
        <v>27</v>
      </c>
      <c r="AC1265" t="s">
        <v>27</v>
      </c>
      <c r="AD1265" t="s">
        <v>27</v>
      </c>
      <c r="AE1265" t="s">
        <v>27</v>
      </c>
      <c r="AF1265" t="s">
        <v>27</v>
      </c>
      <c r="AG1265">
        <v>33.31</v>
      </c>
    </row>
    <row r="1266" spans="1:33" x14ac:dyDescent="0.25">
      <c r="A1266" t="s">
        <v>57</v>
      </c>
      <c r="B1266" s="3">
        <v>44727</v>
      </c>
      <c r="C1266">
        <v>2022166</v>
      </c>
      <c r="D1266" t="s">
        <v>27</v>
      </c>
      <c r="E1266" t="s">
        <v>27</v>
      </c>
      <c r="F1266">
        <v>8.1</v>
      </c>
      <c r="G1266">
        <v>16.7</v>
      </c>
      <c r="H1266">
        <v>-1.2</v>
      </c>
      <c r="I1266">
        <v>75.599999999999994</v>
      </c>
      <c r="J1266">
        <v>45.2</v>
      </c>
      <c r="K1266">
        <v>0.8</v>
      </c>
      <c r="L1266">
        <v>2.9</v>
      </c>
      <c r="M1266">
        <v>0</v>
      </c>
      <c r="N1266">
        <v>0</v>
      </c>
      <c r="O1266" t="s">
        <v>27</v>
      </c>
      <c r="P1266" t="s">
        <v>27</v>
      </c>
      <c r="Q1266" t="s">
        <v>27</v>
      </c>
      <c r="R1266" t="s">
        <v>27</v>
      </c>
      <c r="S1266">
        <v>9.9</v>
      </c>
      <c r="T1266">
        <v>6.1</v>
      </c>
      <c r="U1266" t="s">
        <v>27</v>
      </c>
      <c r="V1266">
        <v>0.217</v>
      </c>
      <c r="W1266">
        <v>0.86</v>
      </c>
      <c r="X1266">
        <v>1.0429999999999999</v>
      </c>
      <c r="Y1266" t="s">
        <v>27</v>
      </c>
      <c r="Z1266" t="s">
        <v>27</v>
      </c>
      <c r="AA1266" t="s">
        <v>27</v>
      </c>
      <c r="AB1266" t="s">
        <v>27</v>
      </c>
      <c r="AC1266" t="s">
        <v>27</v>
      </c>
      <c r="AD1266" t="s">
        <v>27</v>
      </c>
      <c r="AE1266" t="s">
        <v>27</v>
      </c>
      <c r="AF1266" t="s">
        <v>27</v>
      </c>
      <c r="AG1266">
        <v>33.32</v>
      </c>
    </row>
    <row r="1267" spans="1:33" x14ac:dyDescent="0.25">
      <c r="A1267" t="s">
        <v>57</v>
      </c>
      <c r="B1267" s="3">
        <v>44728</v>
      </c>
      <c r="C1267">
        <v>2022167</v>
      </c>
      <c r="D1267" t="s">
        <v>27</v>
      </c>
      <c r="E1267" t="s">
        <v>27</v>
      </c>
      <c r="F1267">
        <v>7</v>
      </c>
      <c r="G1267">
        <v>12.4</v>
      </c>
      <c r="H1267">
        <v>2.7</v>
      </c>
      <c r="I1267">
        <v>88.4</v>
      </c>
      <c r="J1267">
        <v>65.7</v>
      </c>
      <c r="K1267">
        <v>0.5</v>
      </c>
      <c r="L1267">
        <v>2.4</v>
      </c>
      <c r="M1267">
        <v>12.1</v>
      </c>
      <c r="N1267">
        <v>0</v>
      </c>
      <c r="O1267" t="s">
        <v>27</v>
      </c>
      <c r="P1267" t="s">
        <v>27</v>
      </c>
      <c r="Q1267" t="s">
        <v>27</v>
      </c>
      <c r="R1267" t="s">
        <v>27</v>
      </c>
      <c r="S1267">
        <v>9.4</v>
      </c>
      <c r="T1267">
        <v>8</v>
      </c>
      <c r="U1267" t="s">
        <v>27</v>
      </c>
      <c r="V1267">
        <v>0.20899999999999999</v>
      </c>
      <c r="W1267">
        <v>0.94499999999999995</v>
      </c>
      <c r="X1267">
        <v>0.49299999999999999</v>
      </c>
      <c r="Y1267" t="s">
        <v>27</v>
      </c>
      <c r="Z1267" t="s">
        <v>27</v>
      </c>
      <c r="AA1267" t="s">
        <v>27</v>
      </c>
      <c r="AB1267" t="s">
        <v>27</v>
      </c>
      <c r="AC1267" t="s">
        <v>27</v>
      </c>
      <c r="AD1267" t="s">
        <v>27</v>
      </c>
      <c r="AE1267" t="s">
        <v>27</v>
      </c>
      <c r="AF1267" t="s">
        <v>27</v>
      </c>
      <c r="AG1267">
        <v>33.33</v>
      </c>
    </row>
    <row r="1268" spans="1:33" x14ac:dyDescent="0.25">
      <c r="A1268" t="s">
        <v>57</v>
      </c>
      <c r="B1268" s="3">
        <v>44729</v>
      </c>
      <c r="C1268">
        <v>2022168</v>
      </c>
      <c r="D1268" t="s">
        <v>27</v>
      </c>
      <c r="E1268" t="s">
        <v>27</v>
      </c>
      <c r="F1268">
        <v>6.5</v>
      </c>
      <c r="G1268">
        <v>10.7</v>
      </c>
      <c r="H1268">
        <v>2.6</v>
      </c>
      <c r="I1268">
        <v>89.4</v>
      </c>
      <c r="J1268">
        <v>71.099999999999994</v>
      </c>
      <c r="K1268">
        <v>0.8</v>
      </c>
      <c r="L1268">
        <v>2.8</v>
      </c>
      <c r="M1268">
        <v>2.4</v>
      </c>
      <c r="N1268">
        <v>0</v>
      </c>
      <c r="O1268" t="s">
        <v>27</v>
      </c>
      <c r="P1268" t="s">
        <v>27</v>
      </c>
      <c r="Q1268" t="s">
        <v>27</v>
      </c>
      <c r="R1268" t="s">
        <v>27</v>
      </c>
      <c r="S1268">
        <v>8.6999999999999993</v>
      </c>
      <c r="T1268">
        <v>7.6</v>
      </c>
      <c r="U1268" t="s">
        <v>27</v>
      </c>
      <c r="V1268">
        <v>0.20599999999999999</v>
      </c>
      <c r="W1268">
        <v>0.91500000000000004</v>
      </c>
      <c r="X1268">
        <v>0.372</v>
      </c>
      <c r="Y1268" t="s">
        <v>27</v>
      </c>
      <c r="Z1268" t="s">
        <v>27</v>
      </c>
      <c r="AA1268" t="s">
        <v>27</v>
      </c>
      <c r="AB1268" t="s">
        <v>27</v>
      </c>
      <c r="AC1268" t="s">
        <v>27</v>
      </c>
      <c r="AD1268" t="s">
        <v>27</v>
      </c>
      <c r="AE1268" t="s">
        <v>27</v>
      </c>
      <c r="AF1268" t="s">
        <v>27</v>
      </c>
      <c r="AG1268">
        <v>33.340000000000003</v>
      </c>
    </row>
    <row r="1269" spans="1:33" x14ac:dyDescent="0.25">
      <c r="A1269" t="s">
        <v>57</v>
      </c>
      <c r="B1269" s="3">
        <v>44730</v>
      </c>
      <c r="C1269">
        <v>2022169</v>
      </c>
      <c r="D1269" t="s">
        <v>27</v>
      </c>
      <c r="E1269" t="s">
        <v>27</v>
      </c>
      <c r="F1269">
        <v>7.9</v>
      </c>
      <c r="G1269">
        <v>13.2</v>
      </c>
      <c r="H1269">
        <v>2.9</v>
      </c>
      <c r="I1269">
        <v>79.400000000000006</v>
      </c>
      <c r="J1269">
        <v>49.1</v>
      </c>
      <c r="K1269">
        <v>0.8</v>
      </c>
      <c r="L1269">
        <v>3.3</v>
      </c>
      <c r="M1269">
        <v>2.5</v>
      </c>
      <c r="N1269">
        <v>0</v>
      </c>
      <c r="O1269" t="s">
        <v>27</v>
      </c>
      <c r="P1269" t="s">
        <v>27</v>
      </c>
      <c r="Q1269" t="s">
        <v>27</v>
      </c>
      <c r="R1269" t="s">
        <v>27</v>
      </c>
      <c r="S1269">
        <v>11.5</v>
      </c>
      <c r="T1269">
        <v>8.6</v>
      </c>
      <c r="U1269" t="s">
        <v>27</v>
      </c>
      <c r="V1269">
        <v>0.193</v>
      </c>
      <c r="W1269">
        <v>0.746</v>
      </c>
      <c r="X1269">
        <v>0.77300000000000002</v>
      </c>
      <c r="Y1269" t="s">
        <v>27</v>
      </c>
      <c r="Z1269" t="s">
        <v>27</v>
      </c>
      <c r="AA1269" t="s">
        <v>27</v>
      </c>
      <c r="AB1269" t="s">
        <v>27</v>
      </c>
      <c r="AC1269" t="s">
        <v>27</v>
      </c>
      <c r="AD1269" t="s">
        <v>27</v>
      </c>
      <c r="AE1269" t="s">
        <v>27</v>
      </c>
      <c r="AF1269" t="s">
        <v>27</v>
      </c>
      <c r="AG1269">
        <v>33.35</v>
      </c>
    </row>
    <row r="1270" spans="1:33" x14ac:dyDescent="0.25">
      <c r="A1270" t="s">
        <v>57</v>
      </c>
      <c r="B1270" s="3">
        <v>44731</v>
      </c>
      <c r="C1270">
        <v>2022170</v>
      </c>
      <c r="D1270" t="s">
        <v>27</v>
      </c>
      <c r="E1270" t="s">
        <v>27</v>
      </c>
      <c r="F1270">
        <v>5.9</v>
      </c>
      <c r="G1270">
        <v>10.3</v>
      </c>
      <c r="H1270">
        <v>2.4</v>
      </c>
      <c r="I1270">
        <v>94.2</v>
      </c>
      <c r="J1270">
        <v>80.400000000000006</v>
      </c>
      <c r="K1270">
        <v>0.6</v>
      </c>
      <c r="L1270">
        <v>3.1</v>
      </c>
      <c r="M1270">
        <v>27.9</v>
      </c>
      <c r="N1270">
        <v>0</v>
      </c>
      <c r="O1270" t="s">
        <v>27</v>
      </c>
      <c r="P1270" t="s">
        <v>27</v>
      </c>
      <c r="Q1270" t="s">
        <v>27</v>
      </c>
      <c r="R1270" t="s">
        <v>27</v>
      </c>
      <c r="S1270">
        <v>9</v>
      </c>
      <c r="T1270">
        <v>8.5</v>
      </c>
      <c r="U1270" t="s">
        <v>27</v>
      </c>
      <c r="V1270">
        <v>0.21299999999999999</v>
      </c>
      <c r="W1270">
        <v>1.0049999999999999</v>
      </c>
      <c r="X1270">
        <v>0.245</v>
      </c>
      <c r="Y1270" t="s">
        <v>27</v>
      </c>
      <c r="Z1270" t="s">
        <v>27</v>
      </c>
      <c r="AA1270" t="s">
        <v>27</v>
      </c>
      <c r="AB1270" t="s">
        <v>27</v>
      </c>
      <c r="AC1270" t="s">
        <v>27</v>
      </c>
      <c r="AD1270" t="s">
        <v>27</v>
      </c>
      <c r="AE1270" t="s">
        <v>27</v>
      </c>
      <c r="AF1270" t="s">
        <v>27</v>
      </c>
      <c r="AG1270">
        <v>33.35</v>
      </c>
    </row>
    <row r="1271" spans="1:33" x14ac:dyDescent="0.25">
      <c r="A1271" t="s">
        <v>57</v>
      </c>
      <c r="B1271" s="3">
        <v>44732</v>
      </c>
      <c r="C1271">
        <v>2022171</v>
      </c>
      <c r="D1271" t="s">
        <v>27</v>
      </c>
      <c r="E1271" t="s">
        <v>27</v>
      </c>
      <c r="F1271">
        <v>8.3000000000000007</v>
      </c>
      <c r="G1271">
        <v>16.899999999999999</v>
      </c>
      <c r="H1271">
        <v>0.8</v>
      </c>
      <c r="I1271">
        <v>82.4</v>
      </c>
      <c r="J1271">
        <v>41.3</v>
      </c>
      <c r="K1271">
        <v>0.6</v>
      </c>
      <c r="L1271">
        <v>2.8</v>
      </c>
      <c r="M1271">
        <v>1.3</v>
      </c>
      <c r="N1271">
        <v>0</v>
      </c>
      <c r="O1271" t="s">
        <v>27</v>
      </c>
      <c r="P1271" t="s">
        <v>27</v>
      </c>
      <c r="Q1271" t="s">
        <v>27</v>
      </c>
      <c r="R1271" t="s">
        <v>27</v>
      </c>
      <c r="S1271">
        <v>11.9</v>
      </c>
      <c r="T1271">
        <v>9</v>
      </c>
      <c r="U1271" t="s">
        <v>27</v>
      </c>
      <c r="V1271">
        <v>0.21099999999999999</v>
      </c>
      <c r="W1271">
        <v>0.79400000000000004</v>
      </c>
      <c r="X1271">
        <v>1.129</v>
      </c>
      <c r="Y1271" t="s">
        <v>27</v>
      </c>
      <c r="Z1271" t="s">
        <v>27</v>
      </c>
      <c r="AA1271" t="s">
        <v>27</v>
      </c>
      <c r="AB1271" t="s">
        <v>27</v>
      </c>
      <c r="AC1271" t="s">
        <v>27</v>
      </c>
      <c r="AD1271" t="s">
        <v>27</v>
      </c>
      <c r="AE1271" t="s">
        <v>27</v>
      </c>
      <c r="AF1271" t="s">
        <v>27</v>
      </c>
      <c r="AG1271">
        <v>33.340000000000003</v>
      </c>
    </row>
    <row r="1272" spans="1:33" x14ac:dyDescent="0.25">
      <c r="A1272" t="s">
        <v>57</v>
      </c>
      <c r="B1272" s="3">
        <v>44733</v>
      </c>
      <c r="C1272">
        <v>2022172</v>
      </c>
      <c r="D1272" t="s">
        <v>27</v>
      </c>
      <c r="E1272" t="s">
        <v>27</v>
      </c>
      <c r="F1272">
        <v>10</v>
      </c>
      <c r="G1272">
        <v>17.100000000000001</v>
      </c>
      <c r="H1272">
        <v>1</v>
      </c>
      <c r="I1272">
        <v>79.8</v>
      </c>
      <c r="J1272">
        <v>42.3</v>
      </c>
      <c r="K1272">
        <v>0.7</v>
      </c>
      <c r="L1272">
        <v>3.4</v>
      </c>
      <c r="M1272">
        <v>1</v>
      </c>
      <c r="N1272">
        <v>0</v>
      </c>
      <c r="O1272" t="s">
        <v>27</v>
      </c>
      <c r="P1272" t="s">
        <v>27</v>
      </c>
      <c r="Q1272" t="s">
        <v>27</v>
      </c>
      <c r="R1272" t="s">
        <v>27</v>
      </c>
      <c r="S1272">
        <v>13.2</v>
      </c>
      <c r="T1272">
        <v>10</v>
      </c>
      <c r="U1272" t="s">
        <v>27</v>
      </c>
      <c r="V1272">
        <v>0.19400000000000001</v>
      </c>
      <c r="W1272">
        <v>0.82599999999999996</v>
      </c>
      <c r="X1272">
        <v>1.127</v>
      </c>
      <c r="Y1272" t="s">
        <v>27</v>
      </c>
      <c r="Z1272" t="s">
        <v>27</v>
      </c>
      <c r="AA1272" t="s">
        <v>27</v>
      </c>
      <c r="AB1272" t="s">
        <v>27</v>
      </c>
      <c r="AC1272" t="s">
        <v>27</v>
      </c>
      <c r="AD1272" t="s">
        <v>27</v>
      </c>
      <c r="AE1272" t="s">
        <v>27</v>
      </c>
      <c r="AF1272" t="s">
        <v>27</v>
      </c>
      <c r="AG1272">
        <v>33.33</v>
      </c>
    </row>
    <row r="1273" spans="1:33" x14ac:dyDescent="0.25">
      <c r="A1273" t="s">
        <v>57</v>
      </c>
      <c r="B1273" s="3">
        <v>44734</v>
      </c>
      <c r="C1273">
        <v>2022173</v>
      </c>
      <c r="D1273" t="s">
        <v>27</v>
      </c>
      <c r="E1273" t="s">
        <v>27</v>
      </c>
      <c r="F1273">
        <v>11.4</v>
      </c>
      <c r="G1273">
        <v>18.100000000000001</v>
      </c>
      <c r="H1273">
        <v>5.4</v>
      </c>
      <c r="I1273">
        <v>65.400000000000006</v>
      </c>
      <c r="J1273">
        <v>33.5</v>
      </c>
      <c r="K1273">
        <v>1.3</v>
      </c>
      <c r="L1273">
        <v>3.8</v>
      </c>
      <c r="M1273">
        <v>0</v>
      </c>
      <c r="N1273">
        <v>0</v>
      </c>
      <c r="O1273" t="s">
        <v>27</v>
      </c>
      <c r="P1273" t="s">
        <v>27</v>
      </c>
      <c r="Q1273" t="s">
        <v>27</v>
      </c>
      <c r="R1273" t="s">
        <v>27</v>
      </c>
      <c r="S1273">
        <v>14.4</v>
      </c>
      <c r="T1273">
        <v>11.3</v>
      </c>
      <c r="U1273" t="s">
        <v>27</v>
      </c>
      <c r="V1273">
        <v>0.183</v>
      </c>
      <c r="W1273">
        <v>0.69699999999999995</v>
      </c>
      <c r="X1273">
        <v>1.3839999999999999</v>
      </c>
      <c r="Y1273" t="s">
        <v>27</v>
      </c>
      <c r="Z1273" t="s">
        <v>27</v>
      </c>
      <c r="AA1273" t="s">
        <v>27</v>
      </c>
      <c r="AB1273" t="s">
        <v>27</v>
      </c>
      <c r="AC1273" t="s">
        <v>27</v>
      </c>
      <c r="AD1273" t="s">
        <v>27</v>
      </c>
      <c r="AE1273" t="s">
        <v>27</v>
      </c>
      <c r="AF1273" t="s">
        <v>27</v>
      </c>
      <c r="AG1273">
        <v>33.32</v>
      </c>
    </row>
    <row r="1274" spans="1:33" x14ac:dyDescent="0.25">
      <c r="A1274" t="s">
        <v>57</v>
      </c>
      <c r="B1274" s="3">
        <v>44735</v>
      </c>
      <c r="C1274">
        <v>2022174</v>
      </c>
      <c r="D1274" t="s">
        <v>27</v>
      </c>
      <c r="E1274" t="s">
        <v>27</v>
      </c>
      <c r="F1274">
        <v>6</v>
      </c>
      <c r="G1274">
        <v>12</v>
      </c>
      <c r="H1274">
        <v>1.3</v>
      </c>
      <c r="I1274">
        <v>60.6</v>
      </c>
      <c r="J1274">
        <v>29.3</v>
      </c>
      <c r="K1274">
        <v>1.3</v>
      </c>
      <c r="L1274">
        <v>3.2</v>
      </c>
      <c r="M1274">
        <v>0</v>
      </c>
      <c r="N1274">
        <v>0</v>
      </c>
      <c r="O1274" t="s">
        <v>27</v>
      </c>
      <c r="P1274" t="s">
        <v>27</v>
      </c>
      <c r="Q1274" t="s">
        <v>27</v>
      </c>
      <c r="R1274" t="s">
        <v>27</v>
      </c>
      <c r="S1274">
        <v>12</v>
      </c>
      <c r="T1274">
        <v>10.6</v>
      </c>
      <c r="U1274" t="s">
        <v>27</v>
      </c>
      <c r="V1274">
        <v>0.17399999999999999</v>
      </c>
      <c r="W1274">
        <v>0.40899999999999997</v>
      </c>
      <c r="X1274">
        <v>0.98699999999999999</v>
      </c>
      <c r="Y1274" t="s">
        <v>27</v>
      </c>
      <c r="Z1274" t="s">
        <v>27</v>
      </c>
      <c r="AA1274" t="s">
        <v>27</v>
      </c>
      <c r="AB1274" t="s">
        <v>27</v>
      </c>
      <c r="AC1274" t="s">
        <v>27</v>
      </c>
      <c r="AD1274" t="s">
        <v>27</v>
      </c>
      <c r="AE1274" t="s">
        <v>27</v>
      </c>
      <c r="AF1274" t="s">
        <v>27</v>
      </c>
      <c r="AG1274">
        <v>33.299999999999997</v>
      </c>
    </row>
    <row r="1275" spans="1:33" x14ac:dyDescent="0.25">
      <c r="A1275" t="s">
        <v>57</v>
      </c>
      <c r="B1275" s="3">
        <v>44736</v>
      </c>
      <c r="C1275">
        <v>2022175</v>
      </c>
      <c r="D1275" t="s">
        <v>27</v>
      </c>
      <c r="E1275" t="s">
        <v>27</v>
      </c>
      <c r="F1275">
        <v>7.7</v>
      </c>
      <c r="G1275">
        <v>15.2</v>
      </c>
      <c r="H1275">
        <v>2.2000000000000002</v>
      </c>
      <c r="I1275">
        <v>77.2</v>
      </c>
      <c r="J1275">
        <v>45.5</v>
      </c>
      <c r="K1275">
        <v>1.2</v>
      </c>
      <c r="L1275">
        <v>3.2</v>
      </c>
      <c r="M1275">
        <v>4.7</v>
      </c>
      <c r="N1275">
        <v>0</v>
      </c>
      <c r="O1275" t="s">
        <v>27</v>
      </c>
      <c r="P1275" t="s">
        <v>27</v>
      </c>
      <c r="Q1275" t="s">
        <v>27</v>
      </c>
      <c r="R1275" t="s">
        <v>27</v>
      </c>
      <c r="S1275">
        <v>13.5</v>
      </c>
      <c r="T1275">
        <v>10.7</v>
      </c>
      <c r="U1275" t="s">
        <v>27</v>
      </c>
      <c r="V1275">
        <v>0.17199999999999999</v>
      </c>
      <c r="W1275">
        <v>0.78600000000000003</v>
      </c>
      <c r="X1275">
        <v>0.94099999999999995</v>
      </c>
      <c r="Y1275" t="s">
        <v>27</v>
      </c>
      <c r="Z1275" t="s">
        <v>27</v>
      </c>
      <c r="AA1275" t="s">
        <v>27</v>
      </c>
      <c r="AB1275" t="s">
        <v>27</v>
      </c>
      <c r="AC1275" t="s">
        <v>27</v>
      </c>
      <c r="AD1275" t="s">
        <v>27</v>
      </c>
      <c r="AE1275" t="s">
        <v>27</v>
      </c>
      <c r="AF1275" t="s">
        <v>27</v>
      </c>
      <c r="AG1275">
        <v>33.270000000000003</v>
      </c>
    </row>
    <row r="1276" spans="1:33" x14ac:dyDescent="0.25">
      <c r="A1276" t="s">
        <v>57</v>
      </c>
      <c r="B1276" s="3">
        <v>44737</v>
      </c>
      <c r="C1276">
        <v>2022176</v>
      </c>
      <c r="D1276" t="s">
        <v>27</v>
      </c>
      <c r="E1276" t="s">
        <v>27</v>
      </c>
      <c r="F1276">
        <v>11.1</v>
      </c>
      <c r="G1276">
        <v>20.399999999999999</v>
      </c>
      <c r="H1276">
        <v>0.2</v>
      </c>
      <c r="I1276">
        <v>64.5</v>
      </c>
      <c r="J1276">
        <v>32.9</v>
      </c>
      <c r="K1276">
        <v>0.6</v>
      </c>
      <c r="L1276">
        <v>2.5</v>
      </c>
      <c r="M1276">
        <v>0</v>
      </c>
      <c r="N1276">
        <v>0</v>
      </c>
      <c r="O1276" t="s">
        <v>27</v>
      </c>
      <c r="P1276" t="s">
        <v>27</v>
      </c>
      <c r="Q1276" t="s">
        <v>27</v>
      </c>
      <c r="R1276" t="s">
        <v>27</v>
      </c>
      <c r="S1276">
        <v>14</v>
      </c>
      <c r="T1276">
        <v>11.2</v>
      </c>
      <c r="U1276" t="s">
        <v>27</v>
      </c>
      <c r="V1276">
        <v>0.16600000000000001</v>
      </c>
      <c r="W1276">
        <v>0.78800000000000003</v>
      </c>
      <c r="X1276">
        <v>1.607</v>
      </c>
      <c r="Y1276" t="s">
        <v>27</v>
      </c>
      <c r="Z1276" t="s">
        <v>27</v>
      </c>
      <c r="AA1276" t="s">
        <v>27</v>
      </c>
      <c r="AB1276" t="s">
        <v>27</v>
      </c>
      <c r="AC1276" t="s">
        <v>27</v>
      </c>
      <c r="AD1276" t="s">
        <v>27</v>
      </c>
      <c r="AE1276" t="s">
        <v>27</v>
      </c>
      <c r="AF1276" t="s">
        <v>27</v>
      </c>
      <c r="AG1276">
        <v>33.25</v>
      </c>
    </row>
    <row r="1277" spans="1:33" x14ac:dyDescent="0.25">
      <c r="A1277" t="s">
        <v>57</v>
      </c>
      <c r="B1277" s="3">
        <v>44738</v>
      </c>
      <c r="C1277">
        <v>2022177</v>
      </c>
      <c r="D1277" t="s">
        <v>27</v>
      </c>
      <c r="E1277" t="s">
        <v>27</v>
      </c>
      <c r="F1277">
        <v>14.4</v>
      </c>
      <c r="G1277">
        <v>24</v>
      </c>
      <c r="H1277">
        <v>2.9</v>
      </c>
      <c r="I1277">
        <v>58.4</v>
      </c>
      <c r="J1277">
        <v>25</v>
      </c>
      <c r="K1277">
        <v>0.6</v>
      </c>
      <c r="L1277">
        <v>2.7</v>
      </c>
      <c r="M1277">
        <v>0</v>
      </c>
      <c r="N1277">
        <v>0</v>
      </c>
      <c r="O1277" t="s">
        <v>27</v>
      </c>
      <c r="P1277" t="s">
        <v>27</v>
      </c>
      <c r="Q1277" t="s">
        <v>27</v>
      </c>
      <c r="R1277" t="s">
        <v>27</v>
      </c>
      <c r="S1277">
        <v>17.3</v>
      </c>
      <c r="T1277">
        <v>12.5</v>
      </c>
      <c r="U1277" t="s">
        <v>27</v>
      </c>
      <c r="V1277">
        <v>0.159</v>
      </c>
      <c r="W1277">
        <v>0.747</v>
      </c>
      <c r="X1277">
        <v>2.2410000000000001</v>
      </c>
      <c r="Y1277" t="s">
        <v>27</v>
      </c>
      <c r="Z1277" t="s">
        <v>27</v>
      </c>
      <c r="AA1277" t="s">
        <v>27</v>
      </c>
      <c r="AB1277" t="s">
        <v>27</v>
      </c>
      <c r="AC1277" t="s">
        <v>27</v>
      </c>
      <c r="AD1277" t="s">
        <v>27</v>
      </c>
      <c r="AE1277" t="s">
        <v>27</v>
      </c>
      <c r="AF1277" t="s">
        <v>27</v>
      </c>
      <c r="AG1277">
        <v>33.22</v>
      </c>
    </row>
    <row r="1278" spans="1:33" x14ac:dyDescent="0.25">
      <c r="A1278" t="s">
        <v>57</v>
      </c>
      <c r="B1278" s="3">
        <v>44739</v>
      </c>
      <c r="C1278">
        <v>2022178</v>
      </c>
      <c r="D1278" t="s">
        <v>27</v>
      </c>
      <c r="E1278" t="s">
        <v>27</v>
      </c>
      <c r="F1278">
        <v>17.5</v>
      </c>
      <c r="G1278">
        <v>27.9</v>
      </c>
      <c r="H1278">
        <v>4.8</v>
      </c>
      <c r="I1278">
        <v>52.5</v>
      </c>
      <c r="J1278">
        <v>12.8</v>
      </c>
      <c r="K1278">
        <v>0.6</v>
      </c>
      <c r="L1278">
        <v>2.4</v>
      </c>
      <c r="M1278">
        <v>0</v>
      </c>
      <c r="N1278">
        <v>0</v>
      </c>
      <c r="O1278" t="s">
        <v>27</v>
      </c>
      <c r="P1278" t="s">
        <v>27</v>
      </c>
      <c r="Q1278" t="s">
        <v>27</v>
      </c>
      <c r="R1278" t="s">
        <v>27</v>
      </c>
      <c r="S1278">
        <v>19.5</v>
      </c>
      <c r="T1278">
        <v>13.7</v>
      </c>
      <c r="U1278" t="s">
        <v>27</v>
      </c>
      <c r="V1278">
        <v>0.151</v>
      </c>
      <c r="W1278">
        <v>0.48099999999999998</v>
      </c>
      <c r="X1278">
        <v>3.2770000000000001</v>
      </c>
      <c r="Y1278" t="s">
        <v>27</v>
      </c>
      <c r="Z1278" t="s">
        <v>27</v>
      </c>
      <c r="AA1278" t="s">
        <v>27</v>
      </c>
      <c r="AB1278" t="s">
        <v>27</v>
      </c>
      <c r="AC1278" t="s">
        <v>27</v>
      </c>
      <c r="AD1278" t="s">
        <v>27</v>
      </c>
      <c r="AE1278" t="s">
        <v>27</v>
      </c>
      <c r="AF1278" t="s">
        <v>27</v>
      </c>
      <c r="AG1278">
        <v>33.18</v>
      </c>
    </row>
    <row r="1279" spans="1:33" x14ac:dyDescent="0.25">
      <c r="A1279" t="s">
        <v>57</v>
      </c>
      <c r="B1279" s="3">
        <v>44740</v>
      </c>
      <c r="C1279">
        <v>2022179</v>
      </c>
      <c r="D1279" t="s">
        <v>27</v>
      </c>
      <c r="E1279" t="s">
        <v>27</v>
      </c>
      <c r="F1279">
        <v>12</v>
      </c>
      <c r="G1279">
        <v>19.8</v>
      </c>
      <c r="H1279">
        <v>6.1</v>
      </c>
      <c r="I1279">
        <v>77.099999999999994</v>
      </c>
      <c r="J1279">
        <v>42.7</v>
      </c>
      <c r="K1279">
        <v>0.9</v>
      </c>
      <c r="L1279">
        <v>3.4</v>
      </c>
      <c r="M1279">
        <v>7</v>
      </c>
      <c r="N1279">
        <v>0</v>
      </c>
      <c r="O1279" t="s">
        <v>27</v>
      </c>
      <c r="P1279" t="s">
        <v>27</v>
      </c>
      <c r="Q1279" t="s">
        <v>27</v>
      </c>
      <c r="R1279" t="s">
        <v>27</v>
      </c>
      <c r="S1279">
        <v>14.6</v>
      </c>
      <c r="T1279">
        <v>13.5</v>
      </c>
      <c r="U1279" t="s">
        <v>27</v>
      </c>
      <c r="V1279">
        <v>0.152</v>
      </c>
      <c r="W1279">
        <v>0.98299999999999998</v>
      </c>
      <c r="X1279">
        <v>1.319</v>
      </c>
      <c r="Y1279" t="s">
        <v>27</v>
      </c>
      <c r="Z1279" t="s">
        <v>27</v>
      </c>
      <c r="AA1279" t="s">
        <v>27</v>
      </c>
      <c r="AB1279" t="s">
        <v>27</v>
      </c>
      <c r="AC1279" t="s">
        <v>27</v>
      </c>
      <c r="AD1279" t="s">
        <v>27</v>
      </c>
      <c r="AE1279" t="s">
        <v>27</v>
      </c>
      <c r="AF1279" t="s">
        <v>27</v>
      </c>
      <c r="AG1279">
        <v>33.14</v>
      </c>
    </row>
    <row r="1280" spans="1:33" x14ac:dyDescent="0.25">
      <c r="A1280" t="s">
        <v>57</v>
      </c>
      <c r="B1280" s="3">
        <v>44741</v>
      </c>
      <c r="C1280">
        <v>2022180</v>
      </c>
      <c r="D1280" t="s">
        <v>27</v>
      </c>
      <c r="E1280" t="s">
        <v>27</v>
      </c>
      <c r="F1280">
        <v>8.1999999999999993</v>
      </c>
      <c r="G1280">
        <v>13.1</v>
      </c>
      <c r="H1280">
        <v>3.9</v>
      </c>
      <c r="I1280">
        <v>77.400000000000006</v>
      </c>
      <c r="J1280">
        <v>57.3</v>
      </c>
      <c r="K1280">
        <v>1.2</v>
      </c>
      <c r="L1280">
        <v>3.4</v>
      </c>
      <c r="M1280">
        <v>0.6</v>
      </c>
      <c r="N1280">
        <v>0</v>
      </c>
      <c r="O1280" t="s">
        <v>27</v>
      </c>
      <c r="P1280" t="s">
        <v>27</v>
      </c>
      <c r="Q1280" t="s">
        <v>27</v>
      </c>
      <c r="R1280" t="s">
        <v>27</v>
      </c>
      <c r="S1280">
        <v>11.7</v>
      </c>
      <c r="T1280">
        <v>11.6</v>
      </c>
      <c r="U1280" t="s">
        <v>27</v>
      </c>
      <c r="V1280">
        <v>0.14899999999999999</v>
      </c>
      <c r="W1280">
        <v>0.86499999999999999</v>
      </c>
      <c r="X1280">
        <v>0.64500000000000002</v>
      </c>
      <c r="Y1280" t="s">
        <v>27</v>
      </c>
      <c r="Z1280" t="s">
        <v>27</v>
      </c>
      <c r="AA1280" t="s">
        <v>27</v>
      </c>
      <c r="AB1280" t="s">
        <v>27</v>
      </c>
      <c r="AC1280" t="s">
        <v>27</v>
      </c>
      <c r="AD1280" t="s">
        <v>27</v>
      </c>
      <c r="AE1280" t="s">
        <v>27</v>
      </c>
      <c r="AF1280" t="s">
        <v>27</v>
      </c>
      <c r="AG1280">
        <v>33.1</v>
      </c>
    </row>
    <row r="1281" spans="1:33" x14ac:dyDescent="0.25">
      <c r="A1281" t="s">
        <v>57</v>
      </c>
      <c r="B1281" s="3">
        <v>44742</v>
      </c>
      <c r="C1281">
        <v>2022181</v>
      </c>
      <c r="D1281" t="s">
        <v>27</v>
      </c>
      <c r="E1281" t="s">
        <v>27</v>
      </c>
      <c r="F1281">
        <v>10.5</v>
      </c>
      <c r="G1281">
        <v>17</v>
      </c>
      <c r="H1281">
        <v>2.2000000000000002</v>
      </c>
      <c r="I1281">
        <v>76.900000000000006</v>
      </c>
      <c r="J1281">
        <v>45.3</v>
      </c>
      <c r="K1281">
        <v>0.4</v>
      </c>
      <c r="L1281">
        <v>2</v>
      </c>
      <c r="M1281">
        <v>0.2</v>
      </c>
      <c r="N1281">
        <v>0</v>
      </c>
      <c r="O1281" t="s">
        <v>27</v>
      </c>
      <c r="P1281" t="s">
        <v>27</v>
      </c>
      <c r="Q1281" t="s">
        <v>27</v>
      </c>
      <c r="R1281" t="s">
        <v>27</v>
      </c>
      <c r="S1281">
        <v>11.9</v>
      </c>
      <c r="T1281">
        <v>11</v>
      </c>
      <c r="U1281" t="s">
        <v>27</v>
      </c>
      <c r="V1281">
        <v>0.14499999999999999</v>
      </c>
      <c r="W1281">
        <v>0.875</v>
      </c>
      <c r="X1281">
        <v>1.0569999999999999</v>
      </c>
      <c r="Y1281" t="s">
        <v>27</v>
      </c>
      <c r="Z1281" t="s">
        <v>27</v>
      </c>
      <c r="AA1281" t="s">
        <v>27</v>
      </c>
      <c r="AB1281" t="s">
        <v>27</v>
      </c>
      <c r="AC1281" t="s">
        <v>27</v>
      </c>
      <c r="AD1281" t="s">
        <v>27</v>
      </c>
      <c r="AE1281" t="s">
        <v>27</v>
      </c>
      <c r="AF1281" t="s">
        <v>27</v>
      </c>
      <c r="AG1281">
        <v>33.049999999999997</v>
      </c>
    </row>
    <row r="1282" spans="1:33" x14ac:dyDescent="0.25">
      <c r="A1282" t="s">
        <v>57</v>
      </c>
      <c r="B1282" s="3">
        <v>44743</v>
      </c>
      <c r="C1282">
        <v>2022182</v>
      </c>
      <c r="D1282" t="s">
        <v>27</v>
      </c>
      <c r="E1282" t="s">
        <v>27</v>
      </c>
      <c r="F1282">
        <v>12.6</v>
      </c>
      <c r="G1282">
        <v>21</v>
      </c>
      <c r="H1282">
        <v>3.5</v>
      </c>
      <c r="I1282">
        <v>66.8</v>
      </c>
      <c r="J1282">
        <v>32.200000000000003</v>
      </c>
      <c r="K1282">
        <v>0.6</v>
      </c>
      <c r="L1282">
        <v>3.1</v>
      </c>
      <c r="M1282">
        <v>0</v>
      </c>
      <c r="N1282">
        <v>0</v>
      </c>
      <c r="O1282" t="s">
        <v>27</v>
      </c>
      <c r="P1282" t="s">
        <v>27</v>
      </c>
      <c r="Q1282" t="s">
        <v>27</v>
      </c>
      <c r="R1282" t="s">
        <v>27</v>
      </c>
      <c r="S1282">
        <v>14.7</v>
      </c>
      <c r="T1282">
        <v>12.1</v>
      </c>
      <c r="U1282" t="s">
        <v>27</v>
      </c>
      <c r="V1282">
        <v>0.14000000000000001</v>
      </c>
      <c r="W1282">
        <v>0.79900000000000004</v>
      </c>
      <c r="X1282">
        <v>1.6819999999999999</v>
      </c>
      <c r="Y1282" t="s">
        <v>27</v>
      </c>
      <c r="Z1282" t="s">
        <v>27</v>
      </c>
      <c r="AA1282" t="s">
        <v>27</v>
      </c>
      <c r="AB1282" t="s">
        <v>27</v>
      </c>
      <c r="AC1282" t="s">
        <v>27</v>
      </c>
      <c r="AD1282" t="s">
        <v>27</v>
      </c>
      <c r="AE1282" t="s">
        <v>27</v>
      </c>
      <c r="AF1282" t="s">
        <v>27</v>
      </c>
      <c r="AG1282">
        <v>33</v>
      </c>
    </row>
    <row r="1283" spans="1:33" x14ac:dyDescent="0.25">
      <c r="A1283" t="s">
        <v>57</v>
      </c>
      <c r="B1283" s="3">
        <v>44744</v>
      </c>
      <c r="C1283">
        <v>2022183</v>
      </c>
      <c r="D1283" t="s">
        <v>27</v>
      </c>
      <c r="E1283" t="s">
        <v>27</v>
      </c>
      <c r="F1283">
        <v>12.7</v>
      </c>
      <c r="G1283">
        <v>22.8</v>
      </c>
      <c r="H1283">
        <v>3.6</v>
      </c>
      <c r="I1283">
        <v>71.3</v>
      </c>
      <c r="J1283">
        <v>31.1</v>
      </c>
      <c r="K1283">
        <v>0.4</v>
      </c>
      <c r="L1283">
        <v>2.8</v>
      </c>
      <c r="M1283">
        <v>1.1000000000000001</v>
      </c>
      <c r="N1283">
        <v>0</v>
      </c>
      <c r="O1283" t="s">
        <v>27</v>
      </c>
      <c r="P1283" t="s">
        <v>27</v>
      </c>
      <c r="Q1283" t="s">
        <v>27</v>
      </c>
      <c r="R1283" t="s">
        <v>27</v>
      </c>
      <c r="S1283">
        <v>13.4</v>
      </c>
      <c r="T1283">
        <v>12</v>
      </c>
      <c r="U1283" t="s">
        <v>27</v>
      </c>
      <c r="V1283">
        <v>0.13500000000000001</v>
      </c>
      <c r="W1283">
        <v>0.86399999999999999</v>
      </c>
      <c r="X1283">
        <v>1.9139999999999999</v>
      </c>
      <c r="Y1283" t="s">
        <v>27</v>
      </c>
      <c r="Z1283" t="s">
        <v>27</v>
      </c>
      <c r="AA1283" t="s">
        <v>27</v>
      </c>
      <c r="AB1283" t="s">
        <v>27</v>
      </c>
      <c r="AC1283" t="s">
        <v>27</v>
      </c>
      <c r="AD1283" t="s">
        <v>27</v>
      </c>
      <c r="AE1283" t="s">
        <v>27</v>
      </c>
      <c r="AF1283" t="s">
        <v>27</v>
      </c>
      <c r="AG1283">
        <v>32.950000000000003</v>
      </c>
    </row>
    <row r="1284" spans="1:33" x14ac:dyDescent="0.25">
      <c r="A1284" t="s">
        <v>57</v>
      </c>
      <c r="B1284" s="3">
        <v>44745</v>
      </c>
      <c r="C1284">
        <v>2022184</v>
      </c>
      <c r="D1284" t="s">
        <v>27</v>
      </c>
      <c r="E1284" t="s">
        <v>27</v>
      </c>
      <c r="F1284">
        <v>10.4</v>
      </c>
      <c r="G1284">
        <v>16.3</v>
      </c>
      <c r="H1284">
        <v>4.8</v>
      </c>
      <c r="I1284">
        <v>87.9</v>
      </c>
      <c r="J1284">
        <v>58.8</v>
      </c>
      <c r="K1284">
        <v>0.3</v>
      </c>
      <c r="L1284">
        <v>2.6</v>
      </c>
      <c r="M1284">
        <v>6.9</v>
      </c>
      <c r="N1284">
        <v>0</v>
      </c>
      <c r="O1284" t="s">
        <v>27</v>
      </c>
      <c r="P1284" t="s">
        <v>27</v>
      </c>
      <c r="Q1284" t="s">
        <v>27</v>
      </c>
      <c r="R1284" t="s">
        <v>27</v>
      </c>
      <c r="S1284">
        <v>11.5</v>
      </c>
      <c r="T1284">
        <v>11.5</v>
      </c>
      <c r="U1284" t="s">
        <v>27</v>
      </c>
      <c r="V1284">
        <v>0.13500000000000001</v>
      </c>
      <c r="W1284">
        <v>1.089</v>
      </c>
      <c r="X1284">
        <v>0.76300000000000001</v>
      </c>
      <c r="Y1284" t="s">
        <v>27</v>
      </c>
      <c r="Z1284" t="s">
        <v>27</v>
      </c>
      <c r="AA1284" t="s">
        <v>27</v>
      </c>
      <c r="AB1284" t="s">
        <v>27</v>
      </c>
      <c r="AC1284" t="s">
        <v>27</v>
      </c>
      <c r="AD1284" t="s">
        <v>27</v>
      </c>
      <c r="AE1284" t="s">
        <v>27</v>
      </c>
      <c r="AF1284" t="s">
        <v>27</v>
      </c>
      <c r="AG1284">
        <v>32.9</v>
      </c>
    </row>
    <row r="1285" spans="1:33" x14ac:dyDescent="0.25">
      <c r="A1285" t="s">
        <v>57</v>
      </c>
      <c r="B1285" s="3">
        <v>44746</v>
      </c>
      <c r="C1285">
        <v>2022185</v>
      </c>
      <c r="D1285" t="s">
        <v>27</v>
      </c>
      <c r="E1285" t="s">
        <v>27</v>
      </c>
      <c r="F1285">
        <v>7</v>
      </c>
      <c r="G1285">
        <v>11.3</v>
      </c>
      <c r="H1285">
        <v>2.7</v>
      </c>
      <c r="I1285">
        <v>95.1</v>
      </c>
      <c r="J1285">
        <v>83.1</v>
      </c>
      <c r="K1285">
        <v>0.3</v>
      </c>
      <c r="L1285">
        <v>3.6</v>
      </c>
      <c r="M1285">
        <v>12.6</v>
      </c>
      <c r="N1285">
        <v>0</v>
      </c>
      <c r="O1285" t="s">
        <v>27</v>
      </c>
      <c r="P1285" t="s">
        <v>27</v>
      </c>
      <c r="Q1285" t="s">
        <v>27</v>
      </c>
      <c r="R1285" t="s">
        <v>27</v>
      </c>
      <c r="S1285">
        <v>9.4</v>
      </c>
      <c r="T1285">
        <v>10.199999999999999</v>
      </c>
      <c r="U1285" t="s">
        <v>27</v>
      </c>
      <c r="V1285">
        <v>0.16900000000000001</v>
      </c>
      <c r="W1285">
        <v>1.1140000000000001</v>
      </c>
      <c r="X1285">
        <v>0.22700000000000001</v>
      </c>
      <c r="Y1285" t="s">
        <v>27</v>
      </c>
      <c r="Z1285" t="s">
        <v>27</v>
      </c>
      <c r="AA1285" t="s">
        <v>27</v>
      </c>
      <c r="AB1285" t="s">
        <v>27</v>
      </c>
      <c r="AC1285" t="s">
        <v>27</v>
      </c>
      <c r="AD1285" t="s">
        <v>27</v>
      </c>
      <c r="AE1285" t="s">
        <v>27</v>
      </c>
      <c r="AF1285" t="s">
        <v>27</v>
      </c>
      <c r="AG1285">
        <v>32.840000000000003</v>
      </c>
    </row>
    <row r="1286" spans="1:33" x14ac:dyDescent="0.25">
      <c r="A1286" t="s">
        <v>57</v>
      </c>
      <c r="B1286" s="3">
        <v>44747</v>
      </c>
      <c r="C1286">
        <v>2022186</v>
      </c>
      <c r="D1286" t="s">
        <v>27</v>
      </c>
      <c r="E1286" t="s">
        <v>27</v>
      </c>
      <c r="F1286">
        <v>9.5</v>
      </c>
      <c r="G1286">
        <v>17.7</v>
      </c>
      <c r="H1286">
        <v>1.9</v>
      </c>
      <c r="I1286">
        <v>83.1</v>
      </c>
      <c r="J1286">
        <v>50.9</v>
      </c>
      <c r="K1286">
        <v>0.5</v>
      </c>
      <c r="L1286">
        <v>1.9</v>
      </c>
      <c r="M1286">
        <v>0.1</v>
      </c>
      <c r="N1286">
        <v>0</v>
      </c>
      <c r="O1286" t="s">
        <v>27</v>
      </c>
      <c r="P1286" t="s">
        <v>27</v>
      </c>
      <c r="Q1286" t="s">
        <v>27</v>
      </c>
      <c r="R1286" t="s">
        <v>27</v>
      </c>
      <c r="S1286">
        <v>12.7</v>
      </c>
      <c r="T1286">
        <v>10.4</v>
      </c>
      <c r="U1286" t="s">
        <v>27</v>
      </c>
      <c r="V1286">
        <v>0.16800000000000001</v>
      </c>
      <c r="W1286">
        <v>1.0329999999999999</v>
      </c>
      <c r="X1286">
        <v>0.996</v>
      </c>
      <c r="Y1286" t="s">
        <v>27</v>
      </c>
      <c r="Z1286" t="s">
        <v>27</v>
      </c>
      <c r="AA1286" t="s">
        <v>27</v>
      </c>
      <c r="AB1286" t="s">
        <v>27</v>
      </c>
      <c r="AC1286" t="s">
        <v>27</v>
      </c>
      <c r="AD1286" t="s">
        <v>27</v>
      </c>
      <c r="AE1286" t="s">
        <v>27</v>
      </c>
      <c r="AF1286" t="s">
        <v>27</v>
      </c>
      <c r="AG1286">
        <v>32.78</v>
      </c>
    </row>
    <row r="1287" spans="1:33" x14ac:dyDescent="0.25">
      <c r="A1287" t="s">
        <v>57</v>
      </c>
      <c r="B1287" s="3">
        <v>44748</v>
      </c>
      <c r="C1287">
        <v>2022187</v>
      </c>
      <c r="D1287" t="s">
        <v>27</v>
      </c>
      <c r="E1287" t="s">
        <v>27</v>
      </c>
      <c r="F1287">
        <v>11.6</v>
      </c>
      <c r="G1287">
        <v>17.899999999999999</v>
      </c>
      <c r="H1287">
        <v>6.4</v>
      </c>
      <c r="I1287">
        <v>83.6</v>
      </c>
      <c r="J1287">
        <v>59.7</v>
      </c>
      <c r="K1287">
        <v>0.4</v>
      </c>
      <c r="L1287">
        <v>2.5</v>
      </c>
      <c r="M1287">
        <v>0.1</v>
      </c>
      <c r="N1287">
        <v>0</v>
      </c>
      <c r="O1287" t="s">
        <v>27</v>
      </c>
      <c r="P1287" t="s">
        <v>27</v>
      </c>
      <c r="Q1287" t="s">
        <v>27</v>
      </c>
      <c r="R1287" t="s">
        <v>27</v>
      </c>
      <c r="S1287">
        <v>13.3</v>
      </c>
      <c r="T1287">
        <v>11.4</v>
      </c>
      <c r="U1287" t="s">
        <v>27</v>
      </c>
      <c r="V1287">
        <v>0.158</v>
      </c>
      <c r="W1287">
        <v>1.2250000000000001</v>
      </c>
      <c r="X1287">
        <v>0.82699999999999996</v>
      </c>
      <c r="Y1287" t="s">
        <v>27</v>
      </c>
      <c r="Z1287" t="s">
        <v>27</v>
      </c>
      <c r="AA1287" t="s">
        <v>27</v>
      </c>
      <c r="AB1287" t="s">
        <v>27</v>
      </c>
      <c r="AC1287" t="s">
        <v>27</v>
      </c>
      <c r="AD1287" t="s">
        <v>27</v>
      </c>
      <c r="AE1287" t="s">
        <v>27</v>
      </c>
      <c r="AF1287" t="s">
        <v>27</v>
      </c>
      <c r="AG1287">
        <v>32.71</v>
      </c>
    </row>
    <row r="1288" spans="1:33" x14ac:dyDescent="0.25">
      <c r="A1288" t="s">
        <v>57</v>
      </c>
      <c r="B1288" s="3">
        <v>44749</v>
      </c>
      <c r="C1288">
        <v>2022188</v>
      </c>
      <c r="D1288" t="s">
        <v>27</v>
      </c>
      <c r="E1288" t="s">
        <v>27</v>
      </c>
      <c r="F1288">
        <v>11.7</v>
      </c>
      <c r="G1288">
        <v>19.399999999999999</v>
      </c>
      <c r="H1288">
        <v>6.5</v>
      </c>
      <c r="I1288">
        <v>84.5</v>
      </c>
      <c r="J1288">
        <v>55</v>
      </c>
      <c r="K1288">
        <v>0.7</v>
      </c>
      <c r="L1288">
        <v>2.9</v>
      </c>
      <c r="M1288">
        <v>6.4</v>
      </c>
      <c r="N1288">
        <v>0</v>
      </c>
      <c r="O1288" t="s">
        <v>27</v>
      </c>
      <c r="P1288" t="s">
        <v>27</v>
      </c>
      <c r="Q1288" t="s">
        <v>27</v>
      </c>
      <c r="R1288" t="s">
        <v>27</v>
      </c>
      <c r="S1288">
        <v>15</v>
      </c>
      <c r="T1288">
        <v>12.2</v>
      </c>
      <c r="U1288" t="s">
        <v>27</v>
      </c>
      <c r="V1288">
        <v>0.154</v>
      </c>
      <c r="W1288">
        <v>1.2370000000000001</v>
      </c>
      <c r="X1288">
        <v>1.012</v>
      </c>
      <c r="Y1288" t="s">
        <v>27</v>
      </c>
      <c r="Z1288" t="s">
        <v>27</v>
      </c>
      <c r="AA1288" t="s">
        <v>27</v>
      </c>
      <c r="AB1288" t="s">
        <v>27</v>
      </c>
      <c r="AC1288" t="s">
        <v>27</v>
      </c>
      <c r="AD1288" t="s">
        <v>27</v>
      </c>
      <c r="AE1288" t="s">
        <v>27</v>
      </c>
      <c r="AF1288" t="s">
        <v>27</v>
      </c>
      <c r="AG1288">
        <v>32.64</v>
      </c>
    </row>
    <row r="1289" spans="1:33" x14ac:dyDescent="0.25">
      <c r="A1289" t="s">
        <v>57</v>
      </c>
      <c r="B1289" s="3">
        <v>44750</v>
      </c>
      <c r="C1289">
        <v>2022189</v>
      </c>
      <c r="D1289" t="s">
        <v>27</v>
      </c>
      <c r="E1289" t="s">
        <v>27</v>
      </c>
      <c r="F1289">
        <v>11.4</v>
      </c>
      <c r="G1289">
        <v>19</v>
      </c>
      <c r="H1289">
        <v>2.8</v>
      </c>
      <c r="I1289">
        <v>73.2</v>
      </c>
      <c r="J1289">
        <v>36.700000000000003</v>
      </c>
      <c r="K1289">
        <v>0.6</v>
      </c>
      <c r="L1289">
        <v>3</v>
      </c>
      <c r="M1289">
        <v>0</v>
      </c>
      <c r="N1289">
        <v>0</v>
      </c>
      <c r="O1289" t="s">
        <v>27</v>
      </c>
      <c r="P1289" t="s">
        <v>27</v>
      </c>
      <c r="Q1289" t="s">
        <v>27</v>
      </c>
      <c r="R1289" t="s">
        <v>27</v>
      </c>
      <c r="S1289">
        <v>15.3</v>
      </c>
      <c r="T1289">
        <v>12.6</v>
      </c>
      <c r="U1289" t="s">
        <v>27</v>
      </c>
      <c r="V1289">
        <v>0.156</v>
      </c>
      <c r="W1289">
        <v>0.80500000000000005</v>
      </c>
      <c r="X1289">
        <v>1.3879999999999999</v>
      </c>
      <c r="Y1289" t="s">
        <v>27</v>
      </c>
      <c r="Z1289" t="s">
        <v>27</v>
      </c>
      <c r="AA1289" t="s">
        <v>27</v>
      </c>
      <c r="AB1289" t="s">
        <v>27</v>
      </c>
      <c r="AC1289" t="s">
        <v>27</v>
      </c>
      <c r="AD1289" t="s">
        <v>27</v>
      </c>
      <c r="AE1289" t="s">
        <v>27</v>
      </c>
      <c r="AF1289" t="s">
        <v>27</v>
      </c>
      <c r="AG1289">
        <v>32.56</v>
      </c>
    </row>
    <row r="1290" spans="1:33" x14ac:dyDescent="0.25">
      <c r="A1290" t="s">
        <v>57</v>
      </c>
      <c r="B1290" s="3">
        <v>44751</v>
      </c>
      <c r="C1290">
        <v>2022190</v>
      </c>
      <c r="D1290" t="s">
        <v>27</v>
      </c>
      <c r="E1290" t="s">
        <v>27</v>
      </c>
      <c r="F1290">
        <v>11.3</v>
      </c>
      <c r="G1290">
        <v>18.3</v>
      </c>
      <c r="H1290">
        <v>2.9</v>
      </c>
      <c r="I1290">
        <v>66</v>
      </c>
      <c r="J1290">
        <v>34.4</v>
      </c>
      <c r="K1290">
        <v>0.9</v>
      </c>
      <c r="L1290">
        <v>3</v>
      </c>
      <c r="M1290">
        <v>0</v>
      </c>
      <c r="N1290">
        <v>0</v>
      </c>
      <c r="O1290" t="s">
        <v>27</v>
      </c>
      <c r="P1290" t="s">
        <v>27</v>
      </c>
      <c r="Q1290" t="s">
        <v>27</v>
      </c>
      <c r="R1290" t="s">
        <v>27</v>
      </c>
      <c r="S1290">
        <v>14.8</v>
      </c>
      <c r="T1290">
        <v>12.9</v>
      </c>
      <c r="U1290" t="s">
        <v>27</v>
      </c>
      <c r="V1290">
        <v>0.14799999999999999</v>
      </c>
      <c r="W1290">
        <v>0.72199999999999998</v>
      </c>
      <c r="X1290">
        <v>1.377</v>
      </c>
      <c r="Y1290" t="s">
        <v>27</v>
      </c>
      <c r="Z1290" t="s">
        <v>27</v>
      </c>
      <c r="AA1290" t="s">
        <v>27</v>
      </c>
      <c r="AB1290" t="s">
        <v>27</v>
      </c>
      <c r="AC1290" t="s">
        <v>27</v>
      </c>
      <c r="AD1290" t="s">
        <v>27</v>
      </c>
      <c r="AE1290" t="s">
        <v>27</v>
      </c>
      <c r="AF1290" t="s">
        <v>27</v>
      </c>
      <c r="AG1290">
        <v>32.479999999999997</v>
      </c>
    </row>
    <row r="1291" spans="1:33" x14ac:dyDescent="0.25">
      <c r="A1291" t="s">
        <v>57</v>
      </c>
      <c r="B1291" s="3">
        <v>44752</v>
      </c>
      <c r="C1291">
        <v>2022191</v>
      </c>
      <c r="D1291" t="s">
        <v>27</v>
      </c>
      <c r="E1291" t="s">
        <v>27</v>
      </c>
      <c r="F1291">
        <v>11.5</v>
      </c>
      <c r="G1291">
        <v>18</v>
      </c>
      <c r="H1291">
        <v>5.9</v>
      </c>
      <c r="I1291">
        <v>66.3</v>
      </c>
      <c r="J1291">
        <v>38.9</v>
      </c>
      <c r="K1291">
        <v>1.1000000000000001</v>
      </c>
      <c r="L1291">
        <v>3.7</v>
      </c>
      <c r="M1291">
        <v>0</v>
      </c>
      <c r="N1291">
        <v>0</v>
      </c>
      <c r="O1291" t="s">
        <v>27</v>
      </c>
      <c r="P1291" t="s">
        <v>27</v>
      </c>
      <c r="Q1291" t="s">
        <v>27</v>
      </c>
      <c r="R1291" t="s">
        <v>27</v>
      </c>
      <c r="S1291">
        <v>15.8</v>
      </c>
      <c r="T1291">
        <v>13.1</v>
      </c>
      <c r="U1291" t="s">
        <v>27</v>
      </c>
      <c r="V1291">
        <v>0.14000000000000001</v>
      </c>
      <c r="W1291">
        <v>0.80100000000000005</v>
      </c>
      <c r="X1291">
        <v>1.258</v>
      </c>
      <c r="Y1291" t="s">
        <v>27</v>
      </c>
      <c r="Z1291" t="s">
        <v>27</v>
      </c>
      <c r="AA1291" t="s">
        <v>27</v>
      </c>
      <c r="AB1291" t="s">
        <v>27</v>
      </c>
      <c r="AC1291" t="s">
        <v>27</v>
      </c>
      <c r="AD1291" t="s">
        <v>27</v>
      </c>
      <c r="AE1291" t="s">
        <v>27</v>
      </c>
      <c r="AF1291" t="s">
        <v>27</v>
      </c>
      <c r="AG1291">
        <v>32.4</v>
      </c>
    </row>
    <row r="1292" spans="1:33" x14ac:dyDescent="0.25">
      <c r="A1292" t="s">
        <v>57</v>
      </c>
      <c r="B1292" s="3">
        <v>44753</v>
      </c>
      <c r="C1292">
        <v>2022192</v>
      </c>
      <c r="D1292" t="s">
        <v>27</v>
      </c>
      <c r="E1292" t="s">
        <v>27</v>
      </c>
      <c r="F1292">
        <v>14.9</v>
      </c>
      <c r="G1292">
        <v>25.9</v>
      </c>
      <c r="H1292">
        <v>2.2999999999999998</v>
      </c>
      <c r="I1292">
        <v>61.3</v>
      </c>
      <c r="J1292">
        <v>23.1</v>
      </c>
      <c r="K1292">
        <v>0.8</v>
      </c>
      <c r="L1292">
        <v>3.2</v>
      </c>
      <c r="M1292">
        <v>0</v>
      </c>
      <c r="N1292">
        <v>0</v>
      </c>
      <c r="O1292" t="s">
        <v>27</v>
      </c>
      <c r="P1292" t="s">
        <v>27</v>
      </c>
      <c r="Q1292" t="s">
        <v>27</v>
      </c>
      <c r="R1292" t="s">
        <v>27</v>
      </c>
      <c r="S1292">
        <v>18.399999999999999</v>
      </c>
      <c r="T1292">
        <v>13.7</v>
      </c>
      <c r="U1292" t="s">
        <v>27</v>
      </c>
      <c r="V1292">
        <v>0.13400000000000001</v>
      </c>
      <c r="W1292">
        <v>0.76900000000000002</v>
      </c>
      <c r="X1292">
        <v>2.56</v>
      </c>
      <c r="Y1292" t="s">
        <v>27</v>
      </c>
      <c r="Z1292" t="s">
        <v>27</v>
      </c>
      <c r="AA1292" t="s">
        <v>27</v>
      </c>
      <c r="AB1292" t="s">
        <v>27</v>
      </c>
      <c r="AC1292" t="s">
        <v>27</v>
      </c>
      <c r="AD1292" t="s">
        <v>27</v>
      </c>
      <c r="AE1292" t="s">
        <v>27</v>
      </c>
      <c r="AF1292" t="s">
        <v>27</v>
      </c>
      <c r="AG1292">
        <v>32.31</v>
      </c>
    </row>
    <row r="1293" spans="1:33" x14ac:dyDescent="0.25">
      <c r="A1293" t="s">
        <v>57</v>
      </c>
      <c r="B1293" s="3">
        <v>44754</v>
      </c>
      <c r="C1293">
        <v>2022193</v>
      </c>
      <c r="D1293" t="s">
        <v>27</v>
      </c>
      <c r="E1293" t="s">
        <v>27</v>
      </c>
      <c r="F1293">
        <v>17.7</v>
      </c>
      <c r="G1293">
        <v>27.4</v>
      </c>
      <c r="H1293">
        <v>5.4</v>
      </c>
      <c r="I1293">
        <v>51.6</v>
      </c>
      <c r="J1293">
        <v>17</v>
      </c>
      <c r="K1293">
        <v>0.9</v>
      </c>
      <c r="L1293">
        <v>3.5</v>
      </c>
      <c r="M1293">
        <v>0</v>
      </c>
      <c r="N1293">
        <v>0</v>
      </c>
      <c r="O1293" t="s">
        <v>27</v>
      </c>
      <c r="P1293" t="s">
        <v>27</v>
      </c>
      <c r="Q1293" t="s">
        <v>27</v>
      </c>
      <c r="R1293" t="s">
        <v>27</v>
      </c>
      <c r="S1293">
        <v>21.1</v>
      </c>
      <c r="T1293">
        <v>15</v>
      </c>
      <c r="U1293" t="s">
        <v>27</v>
      </c>
      <c r="V1293">
        <v>0.127</v>
      </c>
      <c r="W1293">
        <v>0.621</v>
      </c>
      <c r="X1293">
        <v>3.032</v>
      </c>
      <c r="Y1293" t="s">
        <v>27</v>
      </c>
      <c r="Z1293" t="s">
        <v>27</v>
      </c>
      <c r="AA1293" t="s">
        <v>27</v>
      </c>
      <c r="AB1293" t="s">
        <v>27</v>
      </c>
      <c r="AC1293" t="s">
        <v>27</v>
      </c>
      <c r="AD1293" t="s">
        <v>27</v>
      </c>
      <c r="AE1293" t="s">
        <v>27</v>
      </c>
      <c r="AF1293" t="s">
        <v>27</v>
      </c>
      <c r="AG1293">
        <v>32.22</v>
      </c>
    </row>
    <row r="1294" spans="1:33" x14ac:dyDescent="0.25">
      <c r="A1294" t="s">
        <v>57</v>
      </c>
      <c r="B1294" s="3">
        <v>44755</v>
      </c>
      <c r="C1294">
        <v>2022194</v>
      </c>
      <c r="D1294" t="s">
        <v>27</v>
      </c>
      <c r="E1294" t="s">
        <v>27</v>
      </c>
      <c r="F1294">
        <v>13.7</v>
      </c>
      <c r="G1294">
        <v>21</v>
      </c>
      <c r="H1294">
        <v>4.2</v>
      </c>
      <c r="I1294">
        <v>49.3</v>
      </c>
      <c r="J1294">
        <v>19.2</v>
      </c>
      <c r="K1294">
        <v>1</v>
      </c>
      <c r="L1294">
        <v>3.3</v>
      </c>
      <c r="M1294">
        <v>0</v>
      </c>
      <c r="N1294">
        <v>0</v>
      </c>
      <c r="O1294" t="s">
        <v>27</v>
      </c>
      <c r="P1294" t="s">
        <v>27</v>
      </c>
      <c r="Q1294" t="s">
        <v>27</v>
      </c>
      <c r="R1294" t="s">
        <v>27</v>
      </c>
      <c r="S1294">
        <v>20</v>
      </c>
      <c r="T1294">
        <v>15.3</v>
      </c>
      <c r="U1294" t="s">
        <v>27</v>
      </c>
      <c r="V1294">
        <v>0.12</v>
      </c>
      <c r="W1294">
        <v>0.47799999999999998</v>
      </c>
      <c r="X1294">
        <v>2.012</v>
      </c>
      <c r="Y1294" t="s">
        <v>27</v>
      </c>
      <c r="Z1294" t="s">
        <v>27</v>
      </c>
      <c r="AA1294" t="s">
        <v>27</v>
      </c>
      <c r="AB1294" t="s">
        <v>27</v>
      </c>
      <c r="AC1294" t="s">
        <v>27</v>
      </c>
      <c r="AD1294" t="s">
        <v>27</v>
      </c>
      <c r="AE1294" t="s">
        <v>27</v>
      </c>
      <c r="AF1294" t="s">
        <v>27</v>
      </c>
      <c r="AG1294">
        <v>32.119999999999997</v>
      </c>
    </row>
    <row r="1295" spans="1:33" x14ac:dyDescent="0.25">
      <c r="A1295" t="s">
        <v>57</v>
      </c>
      <c r="B1295" s="3">
        <v>44756</v>
      </c>
      <c r="C1295">
        <v>2022195</v>
      </c>
      <c r="D1295" t="s">
        <v>27</v>
      </c>
      <c r="E1295" t="s">
        <v>27</v>
      </c>
      <c r="F1295">
        <v>14.4</v>
      </c>
      <c r="G1295">
        <v>25.5</v>
      </c>
      <c r="H1295">
        <v>1.9</v>
      </c>
      <c r="I1295">
        <v>52.8</v>
      </c>
      <c r="J1295">
        <v>20.2</v>
      </c>
      <c r="K1295">
        <v>0.8</v>
      </c>
      <c r="L1295">
        <v>2.9</v>
      </c>
      <c r="M1295">
        <v>0</v>
      </c>
      <c r="N1295">
        <v>0</v>
      </c>
      <c r="O1295" t="s">
        <v>27</v>
      </c>
      <c r="P1295" t="s">
        <v>27</v>
      </c>
      <c r="Q1295" t="s">
        <v>27</v>
      </c>
      <c r="R1295" t="s">
        <v>27</v>
      </c>
      <c r="S1295">
        <v>21</v>
      </c>
      <c r="T1295">
        <v>15.1</v>
      </c>
      <c r="U1295" t="s">
        <v>27</v>
      </c>
      <c r="V1295">
        <v>0.114</v>
      </c>
      <c r="W1295">
        <v>0.65900000000000003</v>
      </c>
      <c r="X1295">
        <v>2.6030000000000002</v>
      </c>
      <c r="Y1295" t="s">
        <v>27</v>
      </c>
      <c r="Z1295" t="s">
        <v>27</v>
      </c>
      <c r="AA1295" t="s">
        <v>27</v>
      </c>
      <c r="AB1295" t="s">
        <v>27</v>
      </c>
      <c r="AC1295" t="s">
        <v>27</v>
      </c>
      <c r="AD1295" t="s">
        <v>27</v>
      </c>
      <c r="AE1295" t="s">
        <v>27</v>
      </c>
      <c r="AF1295" t="s">
        <v>27</v>
      </c>
      <c r="AG1295">
        <v>32.020000000000003</v>
      </c>
    </row>
    <row r="1296" spans="1:33" x14ac:dyDescent="0.25">
      <c r="A1296" t="s">
        <v>57</v>
      </c>
      <c r="B1296" s="3">
        <v>44757</v>
      </c>
      <c r="C1296">
        <v>2022196</v>
      </c>
      <c r="D1296" t="s">
        <v>27</v>
      </c>
      <c r="E1296" t="s">
        <v>27</v>
      </c>
      <c r="F1296">
        <v>15.9</v>
      </c>
      <c r="G1296">
        <v>25.7</v>
      </c>
      <c r="H1296">
        <v>3.6</v>
      </c>
      <c r="I1296">
        <v>51.9</v>
      </c>
      <c r="J1296">
        <v>22.3</v>
      </c>
      <c r="K1296">
        <v>0.8</v>
      </c>
      <c r="L1296">
        <v>3</v>
      </c>
      <c r="M1296">
        <v>0</v>
      </c>
      <c r="N1296">
        <v>0</v>
      </c>
      <c r="O1296" t="s">
        <v>27</v>
      </c>
      <c r="P1296" t="s">
        <v>27</v>
      </c>
      <c r="Q1296" t="s">
        <v>27</v>
      </c>
      <c r="R1296" t="s">
        <v>27</v>
      </c>
      <c r="S1296">
        <v>22.3</v>
      </c>
      <c r="T1296">
        <v>15.7</v>
      </c>
      <c r="U1296" t="s">
        <v>27</v>
      </c>
      <c r="V1296">
        <v>0.108</v>
      </c>
      <c r="W1296">
        <v>0.73399999999999999</v>
      </c>
      <c r="X1296">
        <v>2.5569999999999999</v>
      </c>
      <c r="Y1296" t="s">
        <v>27</v>
      </c>
      <c r="Z1296" t="s">
        <v>27</v>
      </c>
      <c r="AA1296" t="s">
        <v>27</v>
      </c>
      <c r="AB1296" t="s">
        <v>27</v>
      </c>
      <c r="AC1296" t="s">
        <v>27</v>
      </c>
      <c r="AD1296" t="s">
        <v>27</v>
      </c>
      <c r="AE1296" t="s">
        <v>27</v>
      </c>
      <c r="AF1296" t="s">
        <v>27</v>
      </c>
      <c r="AG1296">
        <v>31.92</v>
      </c>
    </row>
    <row r="1297" spans="1:33" x14ac:dyDescent="0.25">
      <c r="A1297" t="s">
        <v>57</v>
      </c>
      <c r="B1297" s="3">
        <v>44758</v>
      </c>
      <c r="C1297">
        <v>2022197</v>
      </c>
      <c r="D1297" t="s">
        <v>27</v>
      </c>
      <c r="E1297" t="s">
        <v>27</v>
      </c>
      <c r="F1297">
        <v>15.4</v>
      </c>
      <c r="G1297">
        <v>23.6</v>
      </c>
      <c r="H1297">
        <v>5</v>
      </c>
      <c r="I1297">
        <v>58.3</v>
      </c>
      <c r="J1297">
        <v>29.4</v>
      </c>
      <c r="K1297">
        <v>1</v>
      </c>
      <c r="L1297">
        <v>3</v>
      </c>
      <c r="M1297">
        <v>0</v>
      </c>
      <c r="N1297">
        <v>0</v>
      </c>
      <c r="O1297" t="s">
        <v>27</v>
      </c>
      <c r="P1297" t="s">
        <v>27</v>
      </c>
      <c r="Q1297" t="s">
        <v>27</v>
      </c>
      <c r="R1297" t="s">
        <v>27</v>
      </c>
      <c r="S1297">
        <v>22.6</v>
      </c>
      <c r="T1297">
        <v>16.100000000000001</v>
      </c>
      <c r="U1297" t="s">
        <v>27</v>
      </c>
      <c r="V1297">
        <v>0.10299999999999999</v>
      </c>
      <c r="W1297">
        <v>0.85599999999999998</v>
      </c>
      <c r="X1297">
        <v>2.056</v>
      </c>
      <c r="Y1297" t="s">
        <v>27</v>
      </c>
      <c r="Z1297" t="s">
        <v>27</v>
      </c>
      <c r="AA1297" t="s">
        <v>27</v>
      </c>
      <c r="AB1297" t="s">
        <v>27</v>
      </c>
      <c r="AC1297" t="s">
        <v>27</v>
      </c>
      <c r="AD1297" t="s">
        <v>27</v>
      </c>
      <c r="AE1297" t="s">
        <v>27</v>
      </c>
      <c r="AF1297" t="s">
        <v>27</v>
      </c>
      <c r="AG1297">
        <v>31.81</v>
      </c>
    </row>
    <row r="1298" spans="1:33" x14ac:dyDescent="0.25">
      <c r="A1298" t="s">
        <v>57</v>
      </c>
      <c r="B1298" s="3">
        <v>44759</v>
      </c>
      <c r="C1298">
        <v>2022198</v>
      </c>
      <c r="D1298" t="s">
        <v>27</v>
      </c>
      <c r="E1298" t="s">
        <v>27</v>
      </c>
      <c r="F1298">
        <v>13.5</v>
      </c>
      <c r="G1298">
        <v>20.5</v>
      </c>
      <c r="H1298">
        <v>6</v>
      </c>
      <c r="I1298">
        <v>63</v>
      </c>
      <c r="J1298">
        <v>41.3</v>
      </c>
      <c r="K1298">
        <v>1</v>
      </c>
      <c r="L1298">
        <v>2.7</v>
      </c>
      <c r="M1298">
        <v>0</v>
      </c>
      <c r="N1298">
        <v>0</v>
      </c>
      <c r="O1298" t="s">
        <v>27</v>
      </c>
      <c r="P1298" t="s">
        <v>27</v>
      </c>
      <c r="Q1298" t="s">
        <v>27</v>
      </c>
      <c r="R1298" t="s">
        <v>27</v>
      </c>
      <c r="S1298">
        <v>20.3</v>
      </c>
      <c r="T1298">
        <v>16</v>
      </c>
      <c r="U1298" t="s">
        <v>27</v>
      </c>
      <c r="V1298">
        <v>9.7000000000000003E-2</v>
      </c>
      <c r="W1298">
        <v>0.998</v>
      </c>
      <c r="X1298">
        <v>1.4179999999999999</v>
      </c>
      <c r="Y1298" t="s">
        <v>27</v>
      </c>
      <c r="Z1298" t="s">
        <v>27</v>
      </c>
      <c r="AA1298" t="s">
        <v>27</v>
      </c>
      <c r="AB1298" t="s">
        <v>27</v>
      </c>
      <c r="AC1298" t="s">
        <v>27</v>
      </c>
      <c r="AD1298" t="s">
        <v>27</v>
      </c>
      <c r="AE1298" t="s">
        <v>27</v>
      </c>
      <c r="AF1298" t="s">
        <v>27</v>
      </c>
      <c r="AG1298">
        <v>31.7</v>
      </c>
    </row>
    <row r="1299" spans="1:33" x14ac:dyDescent="0.25">
      <c r="A1299" t="s">
        <v>57</v>
      </c>
      <c r="B1299" s="3">
        <v>44760</v>
      </c>
      <c r="C1299">
        <v>2022199</v>
      </c>
      <c r="D1299" t="s">
        <v>27</v>
      </c>
      <c r="E1299" t="s">
        <v>27</v>
      </c>
      <c r="F1299">
        <v>12.8</v>
      </c>
      <c r="G1299">
        <v>19.399999999999999</v>
      </c>
      <c r="H1299">
        <v>5.4</v>
      </c>
      <c r="I1299">
        <v>66.599999999999994</v>
      </c>
      <c r="J1299">
        <v>39.200000000000003</v>
      </c>
      <c r="K1299">
        <v>1.2</v>
      </c>
      <c r="L1299">
        <v>3.5</v>
      </c>
      <c r="M1299">
        <v>0</v>
      </c>
      <c r="N1299">
        <v>0</v>
      </c>
      <c r="O1299" t="s">
        <v>27</v>
      </c>
      <c r="P1299" t="s">
        <v>27</v>
      </c>
      <c r="Q1299" t="s">
        <v>27</v>
      </c>
      <c r="R1299" t="s">
        <v>27</v>
      </c>
      <c r="S1299">
        <v>19.7</v>
      </c>
      <c r="T1299">
        <v>15.5</v>
      </c>
      <c r="U1299" t="s">
        <v>27</v>
      </c>
      <c r="V1299">
        <v>9.2999999999999999E-2</v>
      </c>
      <c r="W1299">
        <v>0.88100000000000001</v>
      </c>
      <c r="X1299">
        <v>1.3660000000000001</v>
      </c>
      <c r="Y1299" t="s">
        <v>27</v>
      </c>
      <c r="Z1299" t="s">
        <v>27</v>
      </c>
      <c r="AA1299" t="s">
        <v>27</v>
      </c>
      <c r="AB1299" t="s">
        <v>27</v>
      </c>
      <c r="AC1299" t="s">
        <v>27</v>
      </c>
      <c r="AD1299" t="s">
        <v>27</v>
      </c>
      <c r="AE1299" t="s">
        <v>27</v>
      </c>
      <c r="AF1299" t="s">
        <v>27</v>
      </c>
      <c r="AG1299">
        <v>31.58</v>
      </c>
    </row>
    <row r="1300" spans="1:33" x14ac:dyDescent="0.25">
      <c r="A1300" t="s">
        <v>57</v>
      </c>
      <c r="B1300" s="3">
        <v>44761</v>
      </c>
      <c r="C1300">
        <v>2022200</v>
      </c>
      <c r="D1300" t="s">
        <v>27</v>
      </c>
      <c r="E1300" t="s">
        <v>27</v>
      </c>
      <c r="F1300">
        <v>15.1</v>
      </c>
      <c r="G1300">
        <v>23.8</v>
      </c>
      <c r="H1300">
        <v>3.1</v>
      </c>
      <c r="I1300">
        <v>53.4</v>
      </c>
      <c r="J1300">
        <v>27</v>
      </c>
      <c r="K1300">
        <v>1.1000000000000001</v>
      </c>
      <c r="L1300">
        <v>4.0999999999999996</v>
      </c>
      <c r="M1300">
        <v>0</v>
      </c>
      <c r="N1300">
        <v>0</v>
      </c>
      <c r="O1300" t="s">
        <v>27</v>
      </c>
      <c r="P1300" t="s">
        <v>27</v>
      </c>
      <c r="Q1300" t="s">
        <v>27</v>
      </c>
      <c r="R1300" t="s">
        <v>27</v>
      </c>
      <c r="S1300">
        <v>22.4</v>
      </c>
      <c r="T1300">
        <v>15.7</v>
      </c>
      <c r="U1300" t="s">
        <v>27</v>
      </c>
      <c r="V1300">
        <v>8.8999999999999996E-2</v>
      </c>
      <c r="W1300">
        <v>0.79700000000000004</v>
      </c>
      <c r="X1300">
        <v>2.1549999999999998</v>
      </c>
      <c r="Y1300" t="s">
        <v>27</v>
      </c>
      <c r="Z1300" t="s">
        <v>27</v>
      </c>
      <c r="AA1300" t="s">
        <v>27</v>
      </c>
      <c r="AB1300" t="s">
        <v>27</v>
      </c>
      <c r="AC1300" t="s">
        <v>27</v>
      </c>
      <c r="AD1300" t="s">
        <v>27</v>
      </c>
      <c r="AE1300" t="s">
        <v>27</v>
      </c>
      <c r="AF1300" t="s">
        <v>27</v>
      </c>
      <c r="AG1300">
        <v>31.46</v>
      </c>
    </row>
    <row r="1301" spans="1:33" x14ac:dyDescent="0.25">
      <c r="A1301" t="s">
        <v>57</v>
      </c>
      <c r="B1301" s="3">
        <v>44762</v>
      </c>
      <c r="C1301">
        <v>2022201</v>
      </c>
      <c r="D1301" t="s">
        <v>27</v>
      </c>
      <c r="E1301" t="s">
        <v>27</v>
      </c>
      <c r="F1301">
        <v>15.5</v>
      </c>
      <c r="G1301">
        <v>25.8</v>
      </c>
      <c r="H1301">
        <v>3.7</v>
      </c>
      <c r="I1301">
        <v>51.8</v>
      </c>
      <c r="J1301">
        <v>20.100000000000001</v>
      </c>
      <c r="K1301">
        <v>0.7</v>
      </c>
      <c r="L1301">
        <v>3.4</v>
      </c>
      <c r="M1301">
        <v>0</v>
      </c>
      <c r="N1301">
        <v>0</v>
      </c>
      <c r="O1301" t="s">
        <v>27</v>
      </c>
      <c r="P1301" t="s">
        <v>27</v>
      </c>
      <c r="Q1301" t="s">
        <v>27</v>
      </c>
      <c r="R1301" t="s">
        <v>27</v>
      </c>
      <c r="S1301">
        <v>23.6</v>
      </c>
      <c r="T1301">
        <v>16.3</v>
      </c>
      <c r="U1301" t="s">
        <v>27</v>
      </c>
      <c r="V1301">
        <v>8.4000000000000005E-2</v>
      </c>
      <c r="W1301">
        <v>0.66700000000000004</v>
      </c>
      <c r="X1301">
        <v>2.6509999999999998</v>
      </c>
      <c r="Y1301" t="s">
        <v>27</v>
      </c>
      <c r="Z1301" t="s">
        <v>27</v>
      </c>
      <c r="AA1301" t="s">
        <v>27</v>
      </c>
      <c r="AB1301" t="s">
        <v>27</v>
      </c>
      <c r="AC1301" t="s">
        <v>27</v>
      </c>
      <c r="AD1301" t="s">
        <v>27</v>
      </c>
      <c r="AE1301" t="s">
        <v>27</v>
      </c>
      <c r="AF1301" t="s">
        <v>27</v>
      </c>
      <c r="AG1301">
        <v>31.34</v>
      </c>
    </row>
    <row r="1302" spans="1:33" x14ac:dyDescent="0.25">
      <c r="A1302" t="s">
        <v>57</v>
      </c>
      <c r="B1302" s="3">
        <v>44763</v>
      </c>
      <c r="C1302">
        <v>2022202</v>
      </c>
      <c r="D1302" t="s">
        <v>27</v>
      </c>
      <c r="E1302" t="s">
        <v>27</v>
      </c>
      <c r="F1302">
        <v>16.8</v>
      </c>
      <c r="G1302">
        <v>26.9</v>
      </c>
      <c r="H1302">
        <v>4.4000000000000004</v>
      </c>
      <c r="I1302">
        <v>45.9</v>
      </c>
      <c r="J1302">
        <v>16.899999999999999</v>
      </c>
      <c r="K1302">
        <v>0.8</v>
      </c>
      <c r="L1302">
        <v>3.1</v>
      </c>
      <c r="M1302">
        <v>0</v>
      </c>
      <c r="N1302">
        <v>0</v>
      </c>
      <c r="O1302" t="s">
        <v>27</v>
      </c>
      <c r="P1302" t="s">
        <v>27</v>
      </c>
      <c r="Q1302" t="s">
        <v>27</v>
      </c>
      <c r="R1302" t="s">
        <v>27</v>
      </c>
      <c r="S1302">
        <v>23.5</v>
      </c>
      <c r="T1302">
        <v>16.600000000000001</v>
      </c>
      <c r="U1302" t="s">
        <v>27</v>
      </c>
      <c r="V1302">
        <v>0.08</v>
      </c>
      <c r="W1302">
        <v>0.6</v>
      </c>
      <c r="X1302">
        <v>2.95</v>
      </c>
      <c r="Y1302" t="s">
        <v>27</v>
      </c>
      <c r="Z1302" t="s">
        <v>27</v>
      </c>
      <c r="AA1302" t="s">
        <v>27</v>
      </c>
      <c r="AB1302" t="s">
        <v>27</v>
      </c>
      <c r="AC1302" t="s">
        <v>27</v>
      </c>
      <c r="AD1302" t="s">
        <v>27</v>
      </c>
      <c r="AE1302" t="s">
        <v>27</v>
      </c>
      <c r="AF1302" t="s">
        <v>27</v>
      </c>
      <c r="AG1302">
        <v>31.21</v>
      </c>
    </row>
    <row r="1303" spans="1:33" x14ac:dyDescent="0.25">
      <c r="A1303" t="s">
        <v>57</v>
      </c>
      <c r="B1303" s="3">
        <v>44764</v>
      </c>
      <c r="C1303">
        <v>2022203</v>
      </c>
      <c r="D1303" t="s">
        <v>27</v>
      </c>
      <c r="E1303" t="s">
        <v>27</v>
      </c>
      <c r="F1303">
        <v>15</v>
      </c>
      <c r="G1303">
        <v>24.3</v>
      </c>
      <c r="H1303">
        <v>3.8</v>
      </c>
      <c r="I1303">
        <v>53.9</v>
      </c>
      <c r="J1303">
        <v>30.4</v>
      </c>
      <c r="K1303">
        <v>0.9</v>
      </c>
      <c r="L1303">
        <v>3</v>
      </c>
      <c r="M1303">
        <v>0</v>
      </c>
      <c r="N1303">
        <v>0</v>
      </c>
      <c r="O1303" t="s">
        <v>27</v>
      </c>
      <c r="P1303" t="s">
        <v>27</v>
      </c>
      <c r="Q1303" t="s">
        <v>27</v>
      </c>
      <c r="R1303" t="s">
        <v>27</v>
      </c>
      <c r="S1303">
        <v>23</v>
      </c>
      <c r="T1303">
        <v>16.7</v>
      </c>
      <c r="U1303" t="s">
        <v>27</v>
      </c>
      <c r="V1303">
        <v>7.5999999999999998E-2</v>
      </c>
      <c r="W1303">
        <v>0.92100000000000004</v>
      </c>
      <c r="X1303">
        <v>2.109</v>
      </c>
      <c r="Y1303" t="s">
        <v>27</v>
      </c>
      <c r="Z1303" t="s">
        <v>27</v>
      </c>
      <c r="AA1303" t="s">
        <v>27</v>
      </c>
      <c r="AB1303" t="s">
        <v>27</v>
      </c>
      <c r="AC1303" t="s">
        <v>27</v>
      </c>
      <c r="AD1303" t="s">
        <v>27</v>
      </c>
      <c r="AE1303" t="s">
        <v>27</v>
      </c>
      <c r="AF1303" t="s">
        <v>27</v>
      </c>
      <c r="AG1303">
        <v>31.08</v>
      </c>
    </row>
    <row r="1304" spans="1:33" x14ac:dyDescent="0.25">
      <c r="A1304" t="s">
        <v>57</v>
      </c>
      <c r="B1304" s="3">
        <v>44765</v>
      </c>
      <c r="C1304">
        <v>2022204</v>
      </c>
      <c r="D1304" t="s">
        <v>27</v>
      </c>
      <c r="E1304" t="s">
        <v>27</v>
      </c>
      <c r="F1304">
        <v>14.7</v>
      </c>
      <c r="G1304">
        <v>23.6</v>
      </c>
      <c r="H1304">
        <v>5</v>
      </c>
      <c r="I1304">
        <v>58.3</v>
      </c>
      <c r="J1304">
        <v>30</v>
      </c>
      <c r="K1304">
        <v>0.6</v>
      </c>
      <c r="L1304">
        <v>2.6</v>
      </c>
      <c r="M1304">
        <v>0</v>
      </c>
      <c r="N1304">
        <v>0</v>
      </c>
      <c r="O1304" t="s">
        <v>27</v>
      </c>
      <c r="P1304" t="s">
        <v>27</v>
      </c>
      <c r="Q1304" t="s">
        <v>27</v>
      </c>
      <c r="R1304" t="s">
        <v>27</v>
      </c>
      <c r="S1304">
        <v>21.3</v>
      </c>
      <c r="T1304">
        <v>16.5</v>
      </c>
      <c r="U1304" t="s">
        <v>27</v>
      </c>
      <c r="V1304">
        <v>7.1999999999999995E-2</v>
      </c>
      <c r="W1304">
        <v>0.872</v>
      </c>
      <c r="X1304">
        <v>2.0350000000000001</v>
      </c>
      <c r="Y1304" t="s">
        <v>27</v>
      </c>
      <c r="Z1304" t="s">
        <v>27</v>
      </c>
      <c r="AA1304" t="s">
        <v>27</v>
      </c>
      <c r="AB1304" t="s">
        <v>27</v>
      </c>
      <c r="AC1304" t="s">
        <v>27</v>
      </c>
      <c r="AD1304" t="s">
        <v>27</v>
      </c>
      <c r="AE1304" t="s">
        <v>27</v>
      </c>
      <c r="AF1304" t="s">
        <v>27</v>
      </c>
      <c r="AG1304">
        <v>30.95</v>
      </c>
    </row>
    <row r="1305" spans="1:33" x14ac:dyDescent="0.25">
      <c r="A1305" t="s">
        <v>57</v>
      </c>
      <c r="B1305" s="3">
        <v>44766</v>
      </c>
      <c r="C1305">
        <v>2022205</v>
      </c>
      <c r="D1305" t="s">
        <v>27</v>
      </c>
      <c r="E1305" t="s">
        <v>27</v>
      </c>
      <c r="F1305">
        <v>16.100000000000001</v>
      </c>
      <c r="G1305">
        <v>26.2</v>
      </c>
      <c r="H1305">
        <v>5.2</v>
      </c>
      <c r="I1305">
        <v>56.8</v>
      </c>
      <c r="J1305">
        <v>25.4</v>
      </c>
      <c r="K1305">
        <v>0.6</v>
      </c>
      <c r="L1305">
        <v>2.5</v>
      </c>
      <c r="M1305">
        <v>0</v>
      </c>
      <c r="N1305">
        <v>0</v>
      </c>
      <c r="O1305" t="s">
        <v>27</v>
      </c>
      <c r="P1305" t="s">
        <v>27</v>
      </c>
      <c r="Q1305" t="s">
        <v>27</v>
      </c>
      <c r="R1305" t="s">
        <v>27</v>
      </c>
      <c r="S1305">
        <v>23.4</v>
      </c>
      <c r="T1305">
        <v>16.5</v>
      </c>
      <c r="U1305" t="s">
        <v>27</v>
      </c>
      <c r="V1305">
        <v>6.9000000000000006E-2</v>
      </c>
      <c r="W1305">
        <v>0.86099999999999999</v>
      </c>
      <c r="X1305">
        <v>2.5289999999999999</v>
      </c>
      <c r="Y1305" t="s">
        <v>27</v>
      </c>
      <c r="Z1305" t="s">
        <v>27</v>
      </c>
      <c r="AA1305" t="s">
        <v>27</v>
      </c>
      <c r="AB1305" t="s">
        <v>27</v>
      </c>
      <c r="AC1305" t="s">
        <v>27</v>
      </c>
      <c r="AD1305" t="s">
        <v>27</v>
      </c>
      <c r="AE1305" t="s">
        <v>27</v>
      </c>
      <c r="AF1305" t="s">
        <v>27</v>
      </c>
      <c r="AG1305">
        <v>30.81</v>
      </c>
    </row>
    <row r="1306" spans="1:33" x14ac:dyDescent="0.25">
      <c r="A1306" t="s">
        <v>57</v>
      </c>
      <c r="B1306" s="3">
        <v>44767</v>
      </c>
      <c r="C1306">
        <v>2022206</v>
      </c>
      <c r="D1306" t="s">
        <v>27</v>
      </c>
      <c r="E1306" t="s">
        <v>27</v>
      </c>
      <c r="F1306">
        <v>16.7</v>
      </c>
      <c r="G1306">
        <v>24.8</v>
      </c>
      <c r="H1306">
        <v>8.4</v>
      </c>
      <c r="I1306">
        <v>59.7</v>
      </c>
      <c r="J1306">
        <v>36.1</v>
      </c>
      <c r="K1306">
        <v>0.7</v>
      </c>
      <c r="L1306">
        <v>2.8</v>
      </c>
      <c r="M1306">
        <v>0</v>
      </c>
      <c r="N1306">
        <v>0</v>
      </c>
      <c r="O1306" t="s">
        <v>27</v>
      </c>
      <c r="P1306" t="s">
        <v>27</v>
      </c>
      <c r="Q1306" t="s">
        <v>27</v>
      </c>
      <c r="R1306" t="s">
        <v>27</v>
      </c>
      <c r="S1306">
        <v>25.5</v>
      </c>
      <c r="T1306">
        <v>17.2</v>
      </c>
      <c r="U1306" t="s">
        <v>27</v>
      </c>
      <c r="V1306">
        <v>6.6000000000000003E-2</v>
      </c>
      <c r="W1306">
        <v>1.1319999999999999</v>
      </c>
      <c r="X1306">
        <v>2.004</v>
      </c>
      <c r="Y1306" t="s">
        <v>27</v>
      </c>
      <c r="Z1306" t="s">
        <v>27</v>
      </c>
      <c r="AA1306" t="s">
        <v>27</v>
      </c>
      <c r="AB1306" t="s">
        <v>27</v>
      </c>
      <c r="AC1306" t="s">
        <v>27</v>
      </c>
      <c r="AD1306" t="s">
        <v>27</v>
      </c>
      <c r="AE1306" t="s">
        <v>27</v>
      </c>
      <c r="AF1306" t="s">
        <v>27</v>
      </c>
      <c r="AG1306">
        <v>30.67</v>
      </c>
    </row>
    <row r="1307" spans="1:33" x14ac:dyDescent="0.25">
      <c r="A1307" t="s">
        <v>57</v>
      </c>
      <c r="B1307" s="3">
        <v>44768</v>
      </c>
      <c r="C1307">
        <v>2022207</v>
      </c>
      <c r="D1307" t="s">
        <v>27</v>
      </c>
      <c r="E1307" t="s">
        <v>27</v>
      </c>
      <c r="F1307">
        <v>17.2</v>
      </c>
      <c r="G1307">
        <v>26.5</v>
      </c>
      <c r="H1307">
        <v>6.8</v>
      </c>
      <c r="I1307">
        <v>66.099999999999994</v>
      </c>
      <c r="J1307">
        <v>34.5</v>
      </c>
      <c r="K1307">
        <v>0.7</v>
      </c>
      <c r="L1307">
        <v>3</v>
      </c>
      <c r="M1307">
        <v>0</v>
      </c>
      <c r="N1307">
        <v>0</v>
      </c>
      <c r="O1307" t="s">
        <v>27</v>
      </c>
      <c r="P1307" t="s">
        <v>27</v>
      </c>
      <c r="Q1307" t="s">
        <v>27</v>
      </c>
      <c r="R1307" t="s">
        <v>27</v>
      </c>
      <c r="S1307">
        <v>25.9</v>
      </c>
      <c r="T1307">
        <v>17.600000000000001</v>
      </c>
      <c r="U1307" t="s">
        <v>27</v>
      </c>
      <c r="V1307">
        <v>6.2E-2</v>
      </c>
      <c r="W1307">
        <v>1.1910000000000001</v>
      </c>
      <c r="X1307">
        <v>2.2610000000000001</v>
      </c>
      <c r="Y1307" t="s">
        <v>27</v>
      </c>
      <c r="Z1307" t="s">
        <v>27</v>
      </c>
      <c r="AA1307" t="s">
        <v>27</v>
      </c>
      <c r="AB1307" t="s">
        <v>27</v>
      </c>
      <c r="AC1307" t="s">
        <v>27</v>
      </c>
      <c r="AD1307" t="s">
        <v>27</v>
      </c>
      <c r="AE1307" t="s">
        <v>27</v>
      </c>
      <c r="AF1307" t="s">
        <v>27</v>
      </c>
      <c r="AG1307">
        <v>30.52</v>
      </c>
    </row>
    <row r="1308" spans="1:33" x14ac:dyDescent="0.25">
      <c r="A1308" t="s">
        <v>57</v>
      </c>
      <c r="B1308" s="3">
        <v>44769</v>
      </c>
      <c r="C1308">
        <v>2022208</v>
      </c>
      <c r="D1308" t="s">
        <v>27</v>
      </c>
      <c r="E1308" t="s">
        <v>27</v>
      </c>
      <c r="F1308">
        <v>19.899999999999999</v>
      </c>
      <c r="G1308">
        <v>30</v>
      </c>
      <c r="H1308">
        <v>8.6999999999999993</v>
      </c>
      <c r="I1308">
        <v>59.5</v>
      </c>
      <c r="J1308">
        <v>23.6</v>
      </c>
      <c r="K1308">
        <v>0.5</v>
      </c>
      <c r="L1308">
        <v>2.8</v>
      </c>
      <c r="M1308">
        <v>0</v>
      </c>
      <c r="N1308">
        <v>0</v>
      </c>
      <c r="O1308" t="s">
        <v>27</v>
      </c>
      <c r="P1308" t="s">
        <v>27</v>
      </c>
      <c r="Q1308" t="s">
        <v>27</v>
      </c>
      <c r="R1308" t="s">
        <v>27</v>
      </c>
      <c r="S1308">
        <v>27.5</v>
      </c>
      <c r="T1308">
        <v>18.2</v>
      </c>
      <c r="U1308" t="s">
        <v>27</v>
      </c>
      <c r="V1308">
        <v>0.06</v>
      </c>
      <c r="W1308">
        <v>1.0009999999999999</v>
      </c>
      <c r="X1308">
        <v>3.2410000000000001</v>
      </c>
      <c r="Y1308" t="s">
        <v>27</v>
      </c>
      <c r="Z1308" t="s">
        <v>27</v>
      </c>
      <c r="AA1308" t="s">
        <v>27</v>
      </c>
      <c r="AB1308" t="s">
        <v>27</v>
      </c>
      <c r="AC1308" t="s">
        <v>27</v>
      </c>
      <c r="AD1308" t="s">
        <v>27</v>
      </c>
      <c r="AE1308" t="s">
        <v>27</v>
      </c>
      <c r="AF1308" t="s">
        <v>27</v>
      </c>
      <c r="AG1308">
        <v>30.38</v>
      </c>
    </row>
    <row r="1309" spans="1:33" x14ac:dyDescent="0.25">
      <c r="A1309" t="s">
        <v>57</v>
      </c>
      <c r="B1309" s="3">
        <v>44770</v>
      </c>
      <c r="C1309">
        <v>2022209</v>
      </c>
      <c r="D1309" t="s">
        <v>27</v>
      </c>
      <c r="E1309" t="s">
        <v>27</v>
      </c>
      <c r="F1309">
        <v>21.4</v>
      </c>
      <c r="G1309">
        <v>31.2</v>
      </c>
      <c r="H1309">
        <v>10.9</v>
      </c>
      <c r="I1309">
        <v>56.5</v>
      </c>
      <c r="J1309">
        <v>21.6</v>
      </c>
      <c r="K1309">
        <v>0.6</v>
      </c>
      <c r="L1309">
        <v>3.2</v>
      </c>
      <c r="M1309">
        <v>0</v>
      </c>
      <c r="N1309">
        <v>0</v>
      </c>
      <c r="O1309" t="s">
        <v>27</v>
      </c>
      <c r="P1309" t="s">
        <v>27</v>
      </c>
      <c r="Q1309" t="s">
        <v>27</v>
      </c>
      <c r="R1309" t="s">
        <v>27</v>
      </c>
      <c r="S1309">
        <v>28.7</v>
      </c>
      <c r="T1309">
        <v>18.8</v>
      </c>
      <c r="U1309" t="s">
        <v>27</v>
      </c>
      <c r="V1309">
        <v>5.7000000000000002E-2</v>
      </c>
      <c r="W1309">
        <v>0.98399999999999999</v>
      </c>
      <c r="X1309">
        <v>3.5720000000000001</v>
      </c>
      <c r="Y1309" t="s">
        <v>27</v>
      </c>
      <c r="Z1309" t="s">
        <v>27</v>
      </c>
      <c r="AA1309" t="s">
        <v>27</v>
      </c>
      <c r="AB1309" t="s">
        <v>27</v>
      </c>
      <c r="AC1309" t="s">
        <v>27</v>
      </c>
      <c r="AD1309" t="s">
        <v>27</v>
      </c>
      <c r="AE1309" t="s">
        <v>27</v>
      </c>
      <c r="AF1309" t="s">
        <v>27</v>
      </c>
      <c r="AG1309">
        <v>30.22</v>
      </c>
    </row>
    <row r="1310" spans="1:33" x14ac:dyDescent="0.25">
      <c r="A1310" t="s">
        <v>57</v>
      </c>
      <c r="B1310" s="3">
        <v>44771</v>
      </c>
      <c r="C1310">
        <v>2022210</v>
      </c>
      <c r="D1310" t="s">
        <v>27</v>
      </c>
      <c r="E1310" t="s">
        <v>27</v>
      </c>
      <c r="F1310">
        <v>19.7</v>
      </c>
      <c r="G1310">
        <v>29.9</v>
      </c>
      <c r="H1310">
        <v>8.9</v>
      </c>
      <c r="I1310">
        <v>53.2</v>
      </c>
      <c r="J1310">
        <v>19.8</v>
      </c>
      <c r="K1310">
        <v>0.8</v>
      </c>
      <c r="L1310">
        <v>3.7</v>
      </c>
      <c r="M1310">
        <v>0</v>
      </c>
      <c r="N1310">
        <v>0</v>
      </c>
      <c r="O1310" t="s">
        <v>27</v>
      </c>
      <c r="P1310" t="s">
        <v>27</v>
      </c>
      <c r="Q1310" t="s">
        <v>27</v>
      </c>
      <c r="R1310" t="s">
        <v>27</v>
      </c>
      <c r="S1310">
        <v>26.9</v>
      </c>
      <c r="T1310">
        <v>19</v>
      </c>
      <c r="U1310" t="s">
        <v>27</v>
      </c>
      <c r="V1310">
        <v>5.3999999999999999E-2</v>
      </c>
      <c r="W1310">
        <v>0.83599999999999997</v>
      </c>
      <c r="X1310">
        <v>3.3860000000000001</v>
      </c>
      <c r="Y1310" t="s">
        <v>27</v>
      </c>
      <c r="Z1310" t="s">
        <v>27</v>
      </c>
      <c r="AA1310" t="s">
        <v>27</v>
      </c>
      <c r="AB1310" t="s">
        <v>27</v>
      </c>
      <c r="AC1310" t="s">
        <v>27</v>
      </c>
      <c r="AD1310" t="s">
        <v>27</v>
      </c>
      <c r="AE1310" t="s">
        <v>27</v>
      </c>
      <c r="AF1310" t="s">
        <v>27</v>
      </c>
      <c r="AG1310">
        <v>30.07</v>
      </c>
    </row>
    <row r="1311" spans="1:33" x14ac:dyDescent="0.25">
      <c r="A1311" t="s">
        <v>57</v>
      </c>
      <c r="B1311" s="3">
        <v>44772</v>
      </c>
      <c r="C1311">
        <v>2022211</v>
      </c>
      <c r="D1311" t="s">
        <v>27</v>
      </c>
      <c r="E1311" t="s">
        <v>27</v>
      </c>
      <c r="F1311">
        <v>19</v>
      </c>
      <c r="G1311">
        <v>30.3</v>
      </c>
      <c r="H1311">
        <v>7.5</v>
      </c>
      <c r="I1311">
        <v>51</v>
      </c>
      <c r="J1311">
        <v>15.5</v>
      </c>
      <c r="K1311">
        <v>0.5</v>
      </c>
      <c r="L1311">
        <v>2.9</v>
      </c>
      <c r="M1311">
        <v>0</v>
      </c>
      <c r="N1311">
        <v>0</v>
      </c>
      <c r="O1311" t="s">
        <v>27</v>
      </c>
      <c r="P1311" t="s">
        <v>27</v>
      </c>
      <c r="Q1311" t="s">
        <v>27</v>
      </c>
      <c r="R1311" t="s">
        <v>27</v>
      </c>
      <c r="S1311">
        <v>26.2</v>
      </c>
      <c r="T1311">
        <v>18.600000000000001</v>
      </c>
      <c r="U1311" t="s">
        <v>27</v>
      </c>
      <c r="V1311">
        <v>5.0999999999999997E-2</v>
      </c>
      <c r="W1311">
        <v>0.66900000000000004</v>
      </c>
      <c r="X1311">
        <v>3.6469999999999998</v>
      </c>
      <c r="Y1311" t="s">
        <v>27</v>
      </c>
      <c r="Z1311" t="s">
        <v>27</v>
      </c>
      <c r="AA1311" t="s">
        <v>27</v>
      </c>
      <c r="AB1311" t="s">
        <v>27</v>
      </c>
      <c r="AC1311" t="s">
        <v>27</v>
      </c>
      <c r="AD1311" t="s">
        <v>27</v>
      </c>
      <c r="AE1311" t="s">
        <v>27</v>
      </c>
      <c r="AF1311" t="s">
        <v>27</v>
      </c>
      <c r="AG1311">
        <v>29.91</v>
      </c>
    </row>
    <row r="1312" spans="1:33" x14ac:dyDescent="0.25">
      <c r="A1312" t="s">
        <v>57</v>
      </c>
      <c r="B1312" s="3">
        <v>44773</v>
      </c>
      <c r="C1312">
        <v>2022212</v>
      </c>
      <c r="D1312" t="s">
        <v>27</v>
      </c>
      <c r="E1312" t="s">
        <v>27</v>
      </c>
      <c r="F1312">
        <v>20.6</v>
      </c>
      <c r="G1312">
        <v>30</v>
      </c>
      <c r="H1312">
        <v>8.8000000000000007</v>
      </c>
      <c r="I1312">
        <v>30.4</v>
      </c>
      <c r="J1312">
        <v>10.3</v>
      </c>
      <c r="K1312">
        <v>1.2</v>
      </c>
      <c r="L1312">
        <v>3.7</v>
      </c>
      <c r="M1312">
        <v>0</v>
      </c>
      <c r="N1312">
        <v>0</v>
      </c>
      <c r="O1312" t="s">
        <v>27</v>
      </c>
      <c r="P1312" t="s">
        <v>27</v>
      </c>
      <c r="Q1312" t="s">
        <v>27</v>
      </c>
      <c r="R1312" t="s">
        <v>27</v>
      </c>
      <c r="S1312">
        <v>25.9</v>
      </c>
      <c r="T1312">
        <v>18.5</v>
      </c>
      <c r="U1312" t="s">
        <v>27</v>
      </c>
      <c r="V1312">
        <v>4.8000000000000001E-2</v>
      </c>
      <c r="W1312">
        <v>0.437</v>
      </c>
      <c r="X1312">
        <v>3.806</v>
      </c>
      <c r="Y1312" t="s">
        <v>27</v>
      </c>
      <c r="Z1312" t="s">
        <v>27</v>
      </c>
      <c r="AA1312" t="s">
        <v>27</v>
      </c>
      <c r="AB1312" t="s">
        <v>27</v>
      </c>
      <c r="AC1312" t="s">
        <v>27</v>
      </c>
      <c r="AD1312" t="s">
        <v>27</v>
      </c>
      <c r="AE1312" t="s">
        <v>27</v>
      </c>
      <c r="AF1312" t="s">
        <v>27</v>
      </c>
      <c r="AG1312">
        <v>29.74</v>
      </c>
    </row>
    <row r="1313" spans="1:33" x14ac:dyDescent="0.25">
      <c r="A1313" t="s">
        <v>57</v>
      </c>
      <c r="B1313" s="3">
        <v>44774</v>
      </c>
      <c r="C1313">
        <v>2022213</v>
      </c>
      <c r="D1313" t="s">
        <v>27</v>
      </c>
      <c r="E1313" t="s">
        <v>27</v>
      </c>
      <c r="F1313">
        <v>19.100000000000001</v>
      </c>
      <c r="G1313">
        <v>27</v>
      </c>
      <c r="H1313">
        <v>7.3</v>
      </c>
      <c r="I1313">
        <v>29.8</v>
      </c>
      <c r="J1313">
        <v>20.2</v>
      </c>
      <c r="K1313">
        <v>1.6</v>
      </c>
      <c r="L1313">
        <v>4.5999999999999996</v>
      </c>
      <c r="M1313">
        <v>0</v>
      </c>
      <c r="N1313">
        <v>0</v>
      </c>
      <c r="O1313" t="s">
        <v>27</v>
      </c>
      <c r="P1313" t="s">
        <v>27</v>
      </c>
      <c r="Q1313" t="s">
        <v>27</v>
      </c>
      <c r="R1313" t="s">
        <v>27</v>
      </c>
      <c r="S1313">
        <v>24</v>
      </c>
      <c r="T1313">
        <v>18.3</v>
      </c>
      <c r="U1313" t="s">
        <v>27</v>
      </c>
      <c r="V1313">
        <v>4.5999999999999999E-2</v>
      </c>
      <c r="W1313">
        <v>0.72099999999999997</v>
      </c>
      <c r="X1313">
        <v>2.8479999999999999</v>
      </c>
      <c r="Y1313" t="s">
        <v>27</v>
      </c>
      <c r="Z1313" t="s">
        <v>27</v>
      </c>
      <c r="AA1313" t="s">
        <v>27</v>
      </c>
      <c r="AB1313" t="s">
        <v>27</v>
      </c>
      <c r="AC1313" t="s">
        <v>27</v>
      </c>
      <c r="AD1313" t="s">
        <v>27</v>
      </c>
      <c r="AE1313" t="s">
        <v>27</v>
      </c>
      <c r="AF1313" t="s">
        <v>27</v>
      </c>
      <c r="AG1313">
        <v>29.59</v>
      </c>
    </row>
    <row r="1314" spans="1:33" x14ac:dyDescent="0.25">
      <c r="A1314" t="s">
        <v>57</v>
      </c>
      <c r="B1314" s="3">
        <v>44775</v>
      </c>
      <c r="C1314">
        <v>2022214</v>
      </c>
      <c r="D1314" t="s">
        <v>27</v>
      </c>
      <c r="E1314" t="s">
        <v>27</v>
      </c>
      <c r="F1314">
        <v>16.3</v>
      </c>
      <c r="G1314">
        <v>23.3</v>
      </c>
      <c r="H1314">
        <v>8.5</v>
      </c>
      <c r="I1314">
        <v>47.9</v>
      </c>
      <c r="J1314">
        <v>23.7</v>
      </c>
      <c r="K1314">
        <v>1.2</v>
      </c>
      <c r="L1314">
        <v>3.2</v>
      </c>
      <c r="M1314">
        <v>0</v>
      </c>
      <c r="N1314">
        <v>0</v>
      </c>
      <c r="O1314" t="s">
        <v>27</v>
      </c>
      <c r="P1314" t="s">
        <v>27</v>
      </c>
      <c r="Q1314" t="s">
        <v>27</v>
      </c>
      <c r="R1314" t="s">
        <v>27</v>
      </c>
      <c r="S1314">
        <v>24.5</v>
      </c>
      <c r="T1314">
        <v>18</v>
      </c>
      <c r="U1314" t="s">
        <v>27</v>
      </c>
      <c r="V1314">
        <v>4.3999999999999997E-2</v>
      </c>
      <c r="W1314">
        <v>0.67700000000000005</v>
      </c>
      <c r="X1314">
        <v>2.1800000000000002</v>
      </c>
      <c r="Y1314" t="s">
        <v>27</v>
      </c>
      <c r="Z1314" t="s">
        <v>27</v>
      </c>
      <c r="AA1314" t="s">
        <v>27</v>
      </c>
      <c r="AB1314" t="s">
        <v>27</v>
      </c>
      <c r="AC1314" t="s">
        <v>27</v>
      </c>
      <c r="AD1314" t="s">
        <v>27</v>
      </c>
      <c r="AE1314" t="s">
        <v>27</v>
      </c>
      <c r="AF1314" t="s">
        <v>27</v>
      </c>
      <c r="AG1314">
        <v>29.42</v>
      </c>
    </row>
    <row r="1315" spans="1:33" x14ac:dyDescent="0.25">
      <c r="A1315" t="s">
        <v>57</v>
      </c>
      <c r="B1315" s="3">
        <v>44776</v>
      </c>
      <c r="C1315">
        <v>2022215</v>
      </c>
      <c r="D1315" t="s">
        <v>27</v>
      </c>
      <c r="E1315" t="s">
        <v>27</v>
      </c>
      <c r="F1315">
        <v>16.8</v>
      </c>
      <c r="G1315">
        <v>26</v>
      </c>
      <c r="H1315">
        <v>9.3000000000000007</v>
      </c>
      <c r="I1315">
        <v>41.3</v>
      </c>
      <c r="J1315">
        <v>23.1</v>
      </c>
      <c r="K1315">
        <v>0.9</v>
      </c>
      <c r="L1315">
        <v>3</v>
      </c>
      <c r="M1315">
        <v>0</v>
      </c>
      <c r="N1315">
        <v>0</v>
      </c>
      <c r="O1315" t="s">
        <v>27</v>
      </c>
      <c r="P1315" t="s">
        <v>27</v>
      </c>
      <c r="Q1315" t="s">
        <v>27</v>
      </c>
      <c r="R1315" t="s">
        <v>27</v>
      </c>
      <c r="S1315">
        <v>23.8</v>
      </c>
      <c r="T1315">
        <v>17.8</v>
      </c>
      <c r="U1315" t="s">
        <v>27</v>
      </c>
      <c r="V1315">
        <v>4.2000000000000003E-2</v>
      </c>
      <c r="W1315">
        <v>0.77500000000000002</v>
      </c>
      <c r="X1315">
        <v>2.58</v>
      </c>
      <c r="Y1315" t="s">
        <v>27</v>
      </c>
      <c r="Z1315" t="s">
        <v>27</v>
      </c>
      <c r="AA1315" t="s">
        <v>27</v>
      </c>
      <c r="AB1315" t="s">
        <v>27</v>
      </c>
      <c r="AC1315" t="s">
        <v>27</v>
      </c>
      <c r="AD1315" t="s">
        <v>27</v>
      </c>
      <c r="AE1315" t="s">
        <v>27</v>
      </c>
      <c r="AF1315" t="s">
        <v>27</v>
      </c>
      <c r="AG1315">
        <v>29.25</v>
      </c>
    </row>
    <row r="1316" spans="1:33" x14ac:dyDescent="0.25">
      <c r="A1316" t="s">
        <v>57</v>
      </c>
      <c r="B1316" s="3">
        <v>44777</v>
      </c>
      <c r="C1316">
        <v>2022216</v>
      </c>
      <c r="D1316" t="s">
        <v>27</v>
      </c>
      <c r="E1316" t="s">
        <v>27</v>
      </c>
      <c r="F1316">
        <v>9.1</v>
      </c>
      <c r="G1316">
        <v>14.6</v>
      </c>
      <c r="H1316">
        <v>2.6</v>
      </c>
      <c r="I1316">
        <v>79.400000000000006</v>
      </c>
      <c r="J1316">
        <v>50</v>
      </c>
      <c r="K1316">
        <v>0.9</v>
      </c>
      <c r="L1316">
        <v>3.6</v>
      </c>
      <c r="M1316">
        <v>8.1</v>
      </c>
      <c r="N1316">
        <v>0</v>
      </c>
      <c r="O1316" t="s">
        <v>27</v>
      </c>
      <c r="P1316" t="s">
        <v>27</v>
      </c>
      <c r="Q1316" t="s">
        <v>27</v>
      </c>
      <c r="R1316" t="s">
        <v>27</v>
      </c>
      <c r="S1316">
        <v>14.1</v>
      </c>
      <c r="T1316">
        <v>16.5</v>
      </c>
      <c r="U1316" t="s">
        <v>27</v>
      </c>
      <c r="V1316">
        <v>4.9000000000000002E-2</v>
      </c>
      <c r="W1316">
        <v>0.83099999999999996</v>
      </c>
      <c r="X1316">
        <v>0.83099999999999996</v>
      </c>
      <c r="Y1316" t="s">
        <v>27</v>
      </c>
      <c r="Z1316" t="s">
        <v>27</v>
      </c>
      <c r="AA1316" t="s">
        <v>27</v>
      </c>
      <c r="AB1316" t="s">
        <v>27</v>
      </c>
      <c r="AC1316" t="s">
        <v>27</v>
      </c>
      <c r="AD1316" t="s">
        <v>27</v>
      </c>
      <c r="AE1316" t="s">
        <v>27</v>
      </c>
      <c r="AF1316" t="s">
        <v>27</v>
      </c>
      <c r="AG1316">
        <v>29.08</v>
      </c>
    </row>
    <row r="1317" spans="1:33" x14ac:dyDescent="0.25">
      <c r="A1317" t="s">
        <v>57</v>
      </c>
      <c r="B1317" s="3">
        <v>44778</v>
      </c>
      <c r="C1317">
        <v>2022217</v>
      </c>
      <c r="D1317" t="s">
        <v>27</v>
      </c>
      <c r="E1317" t="s">
        <v>27</v>
      </c>
      <c r="F1317">
        <v>8.5</v>
      </c>
      <c r="G1317">
        <v>15.5</v>
      </c>
      <c r="H1317">
        <v>2.2999999999999998</v>
      </c>
      <c r="I1317">
        <v>75.3</v>
      </c>
      <c r="J1317">
        <v>47.2</v>
      </c>
      <c r="K1317">
        <v>0.9</v>
      </c>
      <c r="L1317">
        <v>2.6</v>
      </c>
      <c r="M1317">
        <v>0</v>
      </c>
      <c r="N1317">
        <v>0</v>
      </c>
      <c r="O1317" t="s">
        <v>27</v>
      </c>
      <c r="P1317" t="s">
        <v>27</v>
      </c>
      <c r="Q1317" t="s">
        <v>27</v>
      </c>
      <c r="R1317" t="s">
        <v>27</v>
      </c>
      <c r="S1317">
        <v>13.3</v>
      </c>
      <c r="T1317">
        <v>14.6</v>
      </c>
      <c r="U1317" t="s">
        <v>27</v>
      </c>
      <c r="V1317">
        <v>5.6000000000000001E-2</v>
      </c>
      <c r="W1317">
        <v>0.83</v>
      </c>
      <c r="X1317">
        <v>0.92800000000000005</v>
      </c>
      <c r="Y1317" t="s">
        <v>27</v>
      </c>
      <c r="Z1317" t="s">
        <v>27</v>
      </c>
      <c r="AA1317" t="s">
        <v>27</v>
      </c>
      <c r="AB1317" t="s">
        <v>27</v>
      </c>
      <c r="AC1317" t="s">
        <v>27</v>
      </c>
      <c r="AD1317" t="s">
        <v>27</v>
      </c>
      <c r="AE1317" t="s">
        <v>27</v>
      </c>
      <c r="AF1317" t="s">
        <v>27</v>
      </c>
      <c r="AG1317">
        <v>28.91</v>
      </c>
    </row>
    <row r="1318" spans="1:33" x14ac:dyDescent="0.25">
      <c r="A1318" t="s">
        <v>57</v>
      </c>
      <c r="B1318" s="3">
        <v>44779</v>
      </c>
      <c r="C1318">
        <v>2022218</v>
      </c>
      <c r="D1318" t="s">
        <v>27</v>
      </c>
      <c r="E1318" t="s">
        <v>27</v>
      </c>
      <c r="F1318">
        <v>11.9</v>
      </c>
      <c r="G1318">
        <v>21</v>
      </c>
      <c r="H1318">
        <v>2.7</v>
      </c>
      <c r="I1318">
        <v>62.4</v>
      </c>
      <c r="J1318">
        <v>22.7</v>
      </c>
      <c r="K1318">
        <v>0.7</v>
      </c>
      <c r="L1318">
        <v>2.5</v>
      </c>
      <c r="M1318">
        <v>0</v>
      </c>
      <c r="N1318">
        <v>0</v>
      </c>
      <c r="O1318" t="s">
        <v>27</v>
      </c>
      <c r="P1318" t="s">
        <v>27</v>
      </c>
      <c r="Q1318" t="s">
        <v>27</v>
      </c>
      <c r="R1318" t="s">
        <v>27</v>
      </c>
      <c r="S1318">
        <v>17</v>
      </c>
      <c r="T1318">
        <v>14.8</v>
      </c>
      <c r="U1318" t="s">
        <v>27</v>
      </c>
      <c r="V1318">
        <v>5.1999999999999998E-2</v>
      </c>
      <c r="W1318">
        <v>0.56399999999999995</v>
      </c>
      <c r="X1318">
        <v>1.921</v>
      </c>
      <c r="Y1318" t="s">
        <v>27</v>
      </c>
      <c r="Z1318" t="s">
        <v>27</v>
      </c>
      <c r="AA1318" t="s">
        <v>27</v>
      </c>
      <c r="AB1318" t="s">
        <v>27</v>
      </c>
      <c r="AC1318" t="s">
        <v>27</v>
      </c>
      <c r="AD1318" t="s">
        <v>27</v>
      </c>
      <c r="AE1318" t="s">
        <v>27</v>
      </c>
      <c r="AF1318" t="s">
        <v>27</v>
      </c>
      <c r="AG1318">
        <v>28.73</v>
      </c>
    </row>
    <row r="1319" spans="1:33" x14ac:dyDescent="0.25">
      <c r="A1319" t="s">
        <v>57</v>
      </c>
      <c r="B1319" s="3">
        <v>44780</v>
      </c>
      <c r="C1319">
        <v>2022219</v>
      </c>
      <c r="D1319" t="s">
        <v>27</v>
      </c>
      <c r="E1319" t="s">
        <v>27</v>
      </c>
      <c r="F1319">
        <v>15.9</v>
      </c>
      <c r="G1319">
        <v>27.4</v>
      </c>
      <c r="H1319">
        <v>4</v>
      </c>
      <c r="I1319">
        <v>56.8</v>
      </c>
      <c r="J1319">
        <v>20.9</v>
      </c>
      <c r="K1319">
        <v>0.5</v>
      </c>
      <c r="L1319">
        <v>2.4</v>
      </c>
      <c r="M1319">
        <v>0</v>
      </c>
      <c r="N1319">
        <v>0</v>
      </c>
      <c r="O1319" t="s">
        <v>27</v>
      </c>
      <c r="P1319" t="s">
        <v>27</v>
      </c>
      <c r="Q1319" t="s">
        <v>27</v>
      </c>
      <c r="R1319" t="s">
        <v>27</v>
      </c>
      <c r="S1319">
        <v>21.2</v>
      </c>
      <c r="T1319">
        <v>15.9</v>
      </c>
      <c r="U1319" t="s">
        <v>27</v>
      </c>
      <c r="V1319">
        <v>4.7E-2</v>
      </c>
      <c r="W1319">
        <v>0.76300000000000001</v>
      </c>
      <c r="X1319">
        <v>2.8879999999999999</v>
      </c>
      <c r="Y1319" t="s">
        <v>27</v>
      </c>
      <c r="Z1319" t="s">
        <v>27</v>
      </c>
      <c r="AA1319" t="s">
        <v>27</v>
      </c>
      <c r="AB1319" t="s">
        <v>27</v>
      </c>
      <c r="AC1319" t="s">
        <v>27</v>
      </c>
      <c r="AD1319" t="s">
        <v>27</v>
      </c>
      <c r="AE1319" t="s">
        <v>27</v>
      </c>
      <c r="AF1319" t="s">
        <v>27</v>
      </c>
      <c r="AG1319">
        <v>28.55</v>
      </c>
    </row>
    <row r="1320" spans="1:33" x14ac:dyDescent="0.25">
      <c r="A1320" t="s">
        <v>57</v>
      </c>
      <c r="B1320" s="3">
        <v>44781</v>
      </c>
      <c r="C1320">
        <v>2022220</v>
      </c>
      <c r="D1320" t="s">
        <v>27</v>
      </c>
      <c r="E1320" t="s">
        <v>27</v>
      </c>
      <c r="F1320">
        <v>17</v>
      </c>
      <c r="G1320">
        <v>29</v>
      </c>
      <c r="H1320">
        <v>4.9000000000000004</v>
      </c>
      <c r="I1320">
        <v>49.6</v>
      </c>
      <c r="J1320">
        <v>16.2</v>
      </c>
      <c r="K1320">
        <v>0.7</v>
      </c>
      <c r="L1320">
        <v>3</v>
      </c>
      <c r="M1320">
        <v>0</v>
      </c>
      <c r="N1320">
        <v>0</v>
      </c>
      <c r="O1320" t="s">
        <v>27</v>
      </c>
      <c r="P1320" t="s">
        <v>27</v>
      </c>
      <c r="Q1320" t="s">
        <v>27</v>
      </c>
      <c r="R1320" t="s">
        <v>27</v>
      </c>
      <c r="S1320">
        <v>22.8</v>
      </c>
      <c r="T1320">
        <v>16.7</v>
      </c>
      <c r="U1320" t="s">
        <v>27</v>
      </c>
      <c r="V1320">
        <v>4.2999999999999997E-2</v>
      </c>
      <c r="W1320">
        <v>0.64800000000000002</v>
      </c>
      <c r="X1320">
        <v>3.3519999999999999</v>
      </c>
      <c r="Y1320" t="s">
        <v>27</v>
      </c>
      <c r="Z1320" t="s">
        <v>27</v>
      </c>
      <c r="AA1320" t="s">
        <v>27</v>
      </c>
      <c r="AB1320" t="s">
        <v>27</v>
      </c>
      <c r="AC1320" t="s">
        <v>27</v>
      </c>
      <c r="AD1320" t="s">
        <v>27</v>
      </c>
      <c r="AE1320" t="s">
        <v>27</v>
      </c>
      <c r="AF1320" t="s">
        <v>27</v>
      </c>
      <c r="AG1320">
        <v>28.36</v>
      </c>
    </row>
    <row r="1321" spans="1:33" x14ac:dyDescent="0.25">
      <c r="A1321" t="s">
        <v>57</v>
      </c>
      <c r="B1321" s="3">
        <v>44782</v>
      </c>
      <c r="C1321">
        <v>2022221</v>
      </c>
      <c r="D1321" t="s">
        <v>27</v>
      </c>
      <c r="E1321" t="s">
        <v>27</v>
      </c>
      <c r="F1321">
        <v>15.9</v>
      </c>
      <c r="G1321">
        <v>26.6</v>
      </c>
      <c r="H1321">
        <v>7.1</v>
      </c>
      <c r="I1321">
        <v>63.6</v>
      </c>
      <c r="J1321">
        <v>26.3</v>
      </c>
      <c r="K1321">
        <v>0.2</v>
      </c>
      <c r="L1321">
        <v>2.4</v>
      </c>
      <c r="M1321">
        <v>0.2</v>
      </c>
      <c r="N1321">
        <v>0</v>
      </c>
      <c r="O1321" t="s">
        <v>27</v>
      </c>
      <c r="P1321" t="s">
        <v>27</v>
      </c>
      <c r="Q1321" t="s">
        <v>27</v>
      </c>
      <c r="R1321" t="s">
        <v>27</v>
      </c>
      <c r="S1321">
        <v>15.8</v>
      </c>
      <c r="T1321">
        <v>15.9</v>
      </c>
      <c r="U1321" t="s">
        <v>27</v>
      </c>
      <c r="V1321">
        <v>4.1000000000000002E-2</v>
      </c>
      <c r="W1321">
        <v>0.91300000000000003</v>
      </c>
      <c r="X1321">
        <v>2.5579999999999998</v>
      </c>
      <c r="Y1321" t="s">
        <v>27</v>
      </c>
      <c r="Z1321" t="s">
        <v>27</v>
      </c>
      <c r="AA1321" t="s">
        <v>27</v>
      </c>
      <c r="AB1321" t="s">
        <v>27</v>
      </c>
      <c r="AC1321" t="s">
        <v>27</v>
      </c>
      <c r="AD1321" t="s">
        <v>27</v>
      </c>
      <c r="AE1321" t="s">
        <v>27</v>
      </c>
      <c r="AF1321" t="s">
        <v>27</v>
      </c>
      <c r="AG1321">
        <v>28.17</v>
      </c>
    </row>
    <row r="1322" spans="1:33" x14ac:dyDescent="0.25">
      <c r="A1322" t="s">
        <v>57</v>
      </c>
      <c r="B1322" s="3">
        <v>44783</v>
      </c>
      <c r="C1322">
        <v>2022222</v>
      </c>
      <c r="D1322" t="s">
        <v>27</v>
      </c>
      <c r="E1322" t="s">
        <v>27</v>
      </c>
      <c r="F1322">
        <v>18.399999999999999</v>
      </c>
      <c r="G1322">
        <v>28.2</v>
      </c>
      <c r="H1322">
        <v>10.9</v>
      </c>
      <c r="I1322">
        <v>65.2</v>
      </c>
      <c r="J1322">
        <v>34.299999999999997</v>
      </c>
      <c r="K1322">
        <v>0.5</v>
      </c>
      <c r="L1322">
        <v>2.4</v>
      </c>
      <c r="M1322">
        <v>0.7</v>
      </c>
      <c r="N1322">
        <v>0</v>
      </c>
      <c r="O1322" t="s">
        <v>27</v>
      </c>
      <c r="P1322" t="s">
        <v>27</v>
      </c>
      <c r="Q1322" t="s">
        <v>27</v>
      </c>
      <c r="R1322" t="s">
        <v>27</v>
      </c>
      <c r="S1322">
        <v>21.5</v>
      </c>
      <c r="T1322">
        <v>16.2</v>
      </c>
      <c r="U1322" t="s">
        <v>27</v>
      </c>
      <c r="V1322">
        <v>0.04</v>
      </c>
      <c r="W1322">
        <v>1.3149999999999999</v>
      </c>
      <c r="X1322">
        <v>2.5190000000000001</v>
      </c>
      <c r="Y1322" t="s">
        <v>27</v>
      </c>
      <c r="Z1322" t="s">
        <v>27</v>
      </c>
      <c r="AA1322" t="s">
        <v>27</v>
      </c>
      <c r="AB1322" t="s">
        <v>27</v>
      </c>
      <c r="AC1322" t="s">
        <v>27</v>
      </c>
      <c r="AD1322" t="s">
        <v>27</v>
      </c>
      <c r="AE1322" t="s">
        <v>27</v>
      </c>
      <c r="AF1322" t="s">
        <v>27</v>
      </c>
      <c r="AG1322">
        <v>27.99</v>
      </c>
    </row>
    <row r="1323" spans="1:33" x14ac:dyDescent="0.25">
      <c r="A1323" t="s">
        <v>57</v>
      </c>
      <c r="B1323" s="3">
        <v>44784</v>
      </c>
      <c r="C1323">
        <v>2022223</v>
      </c>
      <c r="D1323" t="s">
        <v>27</v>
      </c>
      <c r="E1323" t="s">
        <v>27</v>
      </c>
      <c r="F1323">
        <v>17.899999999999999</v>
      </c>
      <c r="G1323">
        <v>28.4</v>
      </c>
      <c r="H1323">
        <v>8.5</v>
      </c>
      <c r="I1323">
        <v>63.2</v>
      </c>
      <c r="J1323">
        <v>27.9</v>
      </c>
      <c r="K1323">
        <v>0.7</v>
      </c>
      <c r="L1323">
        <v>3.2</v>
      </c>
      <c r="M1323">
        <v>0.1</v>
      </c>
      <c r="N1323">
        <v>0</v>
      </c>
      <c r="O1323" t="s">
        <v>27</v>
      </c>
      <c r="P1323" t="s">
        <v>27</v>
      </c>
      <c r="Q1323" t="s">
        <v>27</v>
      </c>
      <c r="R1323" t="s">
        <v>27</v>
      </c>
      <c r="S1323">
        <v>21.9</v>
      </c>
      <c r="T1323">
        <v>17</v>
      </c>
      <c r="U1323" t="s">
        <v>27</v>
      </c>
      <c r="V1323">
        <v>3.9E-2</v>
      </c>
      <c r="W1323">
        <v>1.0820000000000001</v>
      </c>
      <c r="X1323">
        <v>2.7959999999999998</v>
      </c>
      <c r="Y1323" t="s">
        <v>27</v>
      </c>
      <c r="Z1323" t="s">
        <v>27</v>
      </c>
      <c r="AA1323" t="s">
        <v>27</v>
      </c>
      <c r="AB1323" t="s">
        <v>27</v>
      </c>
      <c r="AC1323" t="s">
        <v>27</v>
      </c>
      <c r="AD1323" t="s">
        <v>27</v>
      </c>
      <c r="AE1323" t="s">
        <v>27</v>
      </c>
      <c r="AF1323" t="s">
        <v>27</v>
      </c>
      <c r="AG1323">
        <v>27.79</v>
      </c>
    </row>
    <row r="1324" spans="1:33" x14ac:dyDescent="0.25">
      <c r="A1324" t="s">
        <v>57</v>
      </c>
      <c r="B1324" s="3">
        <v>44785</v>
      </c>
      <c r="C1324">
        <v>2022224</v>
      </c>
      <c r="D1324" t="s">
        <v>27</v>
      </c>
      <c r="E1324" t="s">
        <v>27</v>
      </c>
      <c r="F1324">
        <v>17.8</v>
      </c>
      <c r="G1324">
        <v>29.4</v>
      </c>
      <c r="H1324">
        <v>8.6</v>
      </c>
      <c r="I1324">
        <v>60.8</v>
      </c>
      <c r="J1324">
        <v>16.7</v>
      </c>
      <c r="K1324">
        <v>0.7</v>
      </c>
      <c r="L1324">
        <v>3.1</v>
      </c>
      <c r="M1324">
        <v>19.899999999999999</v>
      </c>
      <c r="N1324">
        <v>0</v>
      </c>
      <c r="O1324" t="s">
        <v>27</v>
      </c>
      <c r="P1324" t="s">
        <v>27</v>
      </c>
      <c r="Q1324" t="s">
        <v>27</v>
      </c>
      <c r="R1324" t="s">
        <v>27</v>
      </c>
      <c r="S1324">
        <v>23.3</v>
      </c>
      <c r="T1324">
        <v>17.2</v>
      </c>
      <c r="U1324" t="s">
        <v>27</v>
      </c>
      <c r="V1324">
        <v>4.1000000000000002E-2</v>
      </c>
      <c r="W1324">
        <v>0.68500000000000005</v>
      </c>
      <c r="X1324">
        <v>3.4169999999999998</v>
      </c>
      <c r="Y1324" t="s">
        <v>27</v>
      </c>
      <c r="Z1324" t="s">
        <v>27</v>
      </c>
      <c r="AA1324" t="s">
        <v>27</v>
      </c>
      <c r="AB1324" t="s">
        <v>27</v>
      </c>
      <c r="AC1324" t="s">
        <v>27</v>
      </c>
      <c r="AD1324" t="s">
        <v>27</v>
      </c>
      <c r="AE1324" t="s">
        <v>27</v>
      </c>
      <c r="AF1324" t="s">
        <v>27</v>
      </c>
      <c r="AG1324">
        <v>27.6</v>
      </c>
    </row>
    <row r="1325" spans="1:33" x14ac:dyDescent="0.25">
      <c r="A1325" t="s">
        <v>57</v>
      </c>
      <c r="B1325" s="3">
        <v>44786</v>
      </c>
      <c r="C1325">
        <v>2022225</v>
      </c>
      <c r="D1325" t="s">
        <v>27</v>
      </c>
      <c r="E1325" t="s">
        <v>27</v>
      </c>
      <c r="F1325">
        <v>12.1</v>
      </c>
      <c r="G1325">
        <v>20.3</v>
      </c>
      <c r="H1325">
        <v>5</v>
      </c>
      <c r="I1325">
        <v>78.099999999999994</v>
      </c>
      <c r="J1325">
        <v>40.4</v>
      </c>
      <c r="K1325">
        <v>0.5</v>
      </c>
      <c r="L1325">
        <v>2.8</v>
      </c>
      <c r="M1325">
        <v>0</v>
      </c>
      <c r="N1325">
        <v>0</v>
      </c>
      <c r="O1325" t="s">
        <v>27</v>
      </c>
      <c r="P1325" t="s">
        <v>27</v>
      </c>
      <c r="Q1325" t="s">
        <v>27</v>
      </c>
      <c r="R1325" t="s">
        <v>27</v>
      </c>
      <c r="S1325">
        <v>14.6</v>
      </c>
      <c r="T1325">
        <v>15.7</v>
      </c>
      <c r="U1325" t="s">
        <v>27</v>
      </c>
      <c r="V1325">
        <v>5.8999999999999997E-2</v>
      </c>
      <c r="W1325">
        <v>0.96</v>
      </c>
      <c r="X1325">
        <v>1.4159999999999999</v>
      </c>
      <c r="Y1325" t="s">
        <v>27</v>
      </c>
      <c r="Z1325" t="s">
        <v>27</v>
      </c>
      <c r="AA1325" t="s">
        <v>27</v>
      </c>
      <c r="AB1325" t="s">
        <v>27</v>
      </c>
      <c r="AC1325" t="s">
        <v>27</v>
      </c>
      <c r="AD1325" t="s">
        <v>27</v>
      </c>
      <c r="AE1325" t="s">
        <v>27</v>
      </c>
      <c r="AF1325" t="s">
        <v>27</v>
      </c>
      <c r="AG1325">
        <v>27.4</v>
      </c>
    </row>
    <row r="1326" spans="1:33" x14ac:dyDescent="0.25">
      <c r="A1326" t="s">
        <v>57</v>
      </c>
      <c r="B1326" s="3">
        <v>44787</v>
      </c>
      <c r="C1326">
        <v>2022226</v>
      </c>
      <c r="D1326" t="s">
        <v>27</v>
      </c>
      <c r="E1326" t="s">
        <v>27</v>
      </c>
      <c r="F1326">
        <v>12.2</v>
      </c>
      <c r="G1326">
        <v>22.2</v>
      </c>
      <c r="H1326">
        <v>1</v>
      </c>
      <c r="I1326">
        <v>67.400000000000006</v>
      </c>
      <c r="J1326">
        <v>28</v>
      </c>
      <c r="K1326">
        <v>0.5</v>
      </c>
      <c r="L1326">
        <v>3.2</v>
      </c>
      <c r="M1326">
        <v>0</v>
      </c>
      <c r="N1326">
        <v>0</v>
      </c>
      <c r="O1326" t="s">
        <v>27</v>
      </c>
      <c r="P1326" t="s">
        <v>27</v>
      </c>
      <c r="Q1326" t="s">
        <v>27</v>
      </c>
      <c r="R1326" t="s">
        <v>27</v>
      </c>
      <c r="S1326">
        <v>16.100000000000001</v>
      </c>
      <c r="T1326">
        <v>14.9</v>
      </c>
      <c r="U1326" t="s">
        <v>27</v>
      </c>
      <c r="V1326">
        <v>5.3999999999999999E-2</v>
      </c>
      <c r="W1326">
        <v>0.75</v>
      </c>
      <c r="X1326">
        <v>1.929</v>
      </c>
      <c r="Y1326" t="s">
        <v>27</v>
      </c>
      <c r="Z1326" t="s">
        <v>27</v>
      </c>
      <c r="AA1326" t="s">
        <v>27</v>
      </c>
      <c r="AB1326" t="s">
        <v>27</v>
      </c>
      <c r="AC1326" t="s">
        <v>27</v>
      </c>
      <c r="AD1326" t="s">
        <v>27</v>
      </c>
      <c r="AE1326" t="s">
        <v>27</v>
      </c>
      <c r="AF1326" t="s">
        <v>27</v>
      </c>
      <c r="AG1326">
        <v>27.2</v>
      </c>
    </row>
    <row r="1327" spans="1:33" x14ac:dyDescent="0.25">
      <c r="A1327" t="s">
        <v>57</v>
      </c>
      <c r="B1327" s="3">
        <v>44788</v>
      </c>
      <c r="C1327">
        <v>2022227</v>
      </c>
      <c r="D1327" t="s">
        <v>27</v>
      </c>
      <c r="E1327" t="s">
        <v>27</v>
      </c>
      <c r="F1327">
        <v>15</v>
      </c>
      <c r="G1327">
        <v>25.3</v>
      </c>
      <c r="H1327">
        <v>5</v>
      </c>
      <c r="I1327">
        <v>62.9</v>
      </c>
      <c r="J1327">
        <v>24.5</v>
      </c>
      <c r="K1327">
        <v>0.5</v>
      </c>
      <c r="L1327">
        <v>2.8</v>
      </c>
      <c r="M1327">
        <v>0</v>
      </c>
      <c r="N1327">
        <v>0</v>
      </c>
      <c r="O1327" t="s">
        <v>27</v>
      </c>
      <c r="P1327" t="s">
        <v>27</v>
      </c>
      <c r="Q1327" t="s">
        <v>27</v>
      </c>
      <c r="R1327" t="s">
        <v>27</v>
      </c>
      <c r="S1327">
        <v>20.100000000000001</v>
      </c>
      <c r="T1327">
        <v>15.8</v>
      </c>
      <c r="U1327" t="s">
        <v>27</v>
      </c>
      <c r="V1327">
        <v>0.05</v>
      </c>
      <c r="W1327">
        <v>0.79</v>
      </c>
      <c r="X1327">
        <v>2.4340000000000002</v>
      </c>
      <c r="Y1327" t="s">
        <v>27</v>
      </c>
      <c r="Z1327" t="s">
        <v>27</v>
      </c>
      <c r="AA1327" t="s">
        <v>27</v>
      </c>
      <c r="AB1327" t="s">
        <v>27</v>
      </c>
      <c r="AC1327" t="s">
        <v>27</v>
      </c>
      <c r="AD1327" t="s">
        <v>27</v>
      </c>
      <c r="AE1327" t="s">
        <v>27</v>
      </c>
      <c r="AF1327" t="s">
        <v>27</v>
      </c>
      <c r="AG1327">
        <v>26.99</v>
      </c>
    </row>
    <row r="1328" spans="1:33" x14ac:dyDescent="0.25">
      <c r="A1328" t="s">
        <v>57</v>
      </c>
      <c r="B1328" s="3">
        <v>44789</v>
      </c>
      <c r="C1328">
        <v>2022228</v>
      </c>
      <c r="D1328" t="s">
        <v>27</v>
      </c>
      <c r="E1328" t="s">
        <v>27</v>
      </c>
      <c r="F1328">
        <v>16.8</v>
      </c>
      <c r="G1328">
        <v>26.6</v>
      </c>
      <c r="H1328">
        <v>6.4</v>
      </c>
      <c r="I1328">
        <v>54.9</v>
      </c>
      <c r="J1328">
        <v>21.7</v>
      </c>
      <c r="K1328">
        <v>0.6</v>
      </c>
      <c r="L1328">
        <v>2.4</v>
      </c>
      <c r="M1328">
        <v>0</v>
      </c>
      <c r="N1328">
        <v>0</v>
      </c>
      <c r="O1328" t="s">
        <v>27</v>
      </c>
      <c r="P1328" t="s">
        <v>27</v>
      </c>
      <c r="Q1328" t="s">
        <v>27</v>
      </c>
      <c r="R1328" t="s">
        <v>27</v>
      </c>
      <c r="S1328">
        <v>21.9</v>
      </c>
      <c r="T1328">
        <v>16.5</v>
      </c>
      <c r="U1328" t="s">
        <v>27</v>
      </c>
      <c r="V1328">
        <v>4.5999999999999999E-2</v>
      </c>
      <c r="W1328">
        <v>0.75600000000000001</v>
      </c>
      <c r="X1328">
        <v>2.7280000000000002</v>
      </c>
      <c r="Y1328" t="s">
        <v>27</v>
      </c>
      <c r="Z1328" t="s">
        <v>27</v>
      </c>
      <c r="AA1328" t="s">
        <v>27</v>
      </c>
      <c r="AB1328" t="s">
        <v>27</v>
      </c>
      <c r="AC1328" t="s">
        <v>27</v>
      </c>
      <c r="AD1328" t="s">
        <v>27</v>
      </c>
      <c r="AE1328" t="s">
        <v>27</v>
      </c>
      <c r="AF1328" t="s">
        <v>27</v>
      </c>
      <c r="AG1328">
        <v>26.79</v>
      </c>
    </row>
    <row r="1329" spans="1:33" x14ac:dyDescent="0.25">
      <c r="A1329" t="s">
        <v>57</v>
      </c>
      <c r="B1329" s="3">
        <v>44790</v>
      </c>
      <c r="C1329">
        <v>2022229</v>
      </c>
      <c r="D1329" t="s">
        <v>27</v>
      </c>
      <c r="E1329" t="s">
        <v>27</v>
      </c>
      <c r="F1329">
        <v>18.399999999999999</v>
      </c>
      <c r="G1329">
        <v>28</v>
      </c>
      <c r="H1329">
        <v>7.9</v>
      </c>
      <c r="I1329">
        <v>54.4</v>
      </c>
      <c r="J1329">
        <v>27.6</v>
      </c>
      <c r="K1329">
        <v>0.6</v>
      </c>
      <c r="L1329">
        <v>2.5</v>
      </c>
      <c r="M1329">
        <v>0</v>
      </c>
      <c r="N1329">
        <v>0</v>
      </c>
      <c r="O1329" t="s">
        <v>27</v>
      </c>
      <c r="P1329" t="s">
        <v>27</v>
      </c>
      <c r="Q1329" t="s">
        <v>27</v>
      </c>
      <c r="R1329" t="s">
        <v>27</v>
      </c>
      <c r="S1329">
        <v>23.1</v>
      </c>
      <c r="T1329">
        <v>16.899999999999999</v>
      </c>
      <c r="U1329" t="s">
        <v>27</v>
      </c>
      <c r="V1329">
        <v>4.2999999999999997E-2</v>
      </c>
      <c r="W1329">
        <v>1.0429999999999999</v>
      </c>
      <c r="X1329">
        <v>2.7360000000000002</v>
      </c>
      <c r="Y1329" t="s">
        <v>27</v>
      </c>
      <c r="Z1329" t="s">
        <v>27</v>
      </c>
      <c r="AA1329" t="s">
        <v>27</v>
      </c>
      <c r="AB1329" t="s">
        <v>27</v>
      </c>
      <c r="AC1329" t="s">
        <v>27</v>
      </c>
      <c r="AD1329" t="s">
        <v>27</v>
      </c>
      <c r="AE1329" t="s">
        <v>27</v>
      </c>
      <c r="AF1329" t="s">
        <v>27</v>
      </c>
      <c r="AG1329">
        <v>26.58</v>
      </c>
    </row>
    <row r="1330" spans="1:33" x14ac:dyDescent="0.25">
      <c r="A1330" t="s">
        <v>57</v>
      </c>
      <c r="B1330" s="3">
        <v>44791</v>
      </c>
      <c r="C1330">
        <v>2022230</v>
      </c>
      <c r="D1330" t="s">
        <v>27</v>
      </c>
      <c r="E1330" t="s">
        <v>27</v>
      </c>
      <c r="F1330">
        <v>18.899999999999999</v>
      </c>
      <c r="G1330">
        <v>29.9</v>
      </c>
      <c r="H1330">
        <v>8.4</v>
      </c>
      <c r="I1330">
        <v>57.6</v>
      </c>
      <c r="J1330">
        <v>19.5</v>
      </c>
      <c r="K1330">
        <v>0.3</v>
      </c>
      <c r="L1330">
        <v>2.2999999999999998</v>
      </c>
      <c r="M1330">
        <v>0</v>
      </c>
      <c r="N1330">
        <v>0</v>
      </c>
      <c r="O1330" t="s">
        <v>27</v>
      </c>
      <c r="P1330" t="s">
        <v>27</v>
      </c>
      <c r="Q1330" t="s">
        <v>27</v>
      </c>
      <c r="R1330" t="s">
        <v>27</v>
      </c>
      <c r="S1330">
        <v>20.7</v>
      </c>
      <c r="T1330">
        <v>16.899999999999999</v>
      </c>
      <c r="U1330" t="s">
        <v>27</v>
      </c>
      <c r="V1330">
        <v>4.1000000000000002E-2</v>
      </c>
      <c r="W1330">
        <v>0.82299999999999995</v>
      </c>
      <c r="X1330">
        <v>3.3980000000000001</v>
      </c>
      <c r="Y1330" t="s">
        <v>27</v>
      </c>
      <c r="Z1330" t="s">
        <v>27</v>
      </c>
      <c r="AA1330" t="s">
        <v>27</v>
      </c>
      <c r="AB1330" t="s">
        <v>27</v>
      </c>
      <c r="AC1330" t="s">
        <v>27</v>
      </c>
      <c r="AD1330" t="s">
        <v>27</v>
      </c>
      <c r="AE1330" t="s">
        <v>27</v>
      </c>
      <c r="AF1330" t="s">
        <v>27</v>
      </c>
      <c r="AG1330">
        <v>26.37</v>
      </c>
    </row>
    <row r="1331" spans="1:33" x14ac:dyDescent="0.25">
      <c r="A1331" t="s">
        <v>57</v>
      </c>
      <c r="B1331" s="3">
        <v>44792</v>
      </c>
      <c r="C1331">
        <v>2022231</v>
      </c>
      <c r="D1331" t="s">
        <v>27</v>
      </c>
      <c r="E1331" t="s">
        <v>27</v>
      </c>
      <c r="F1331">
        <v>17.5</v>
      </c>
      <c r="G1331">
        <v>26.1</v>
      </c>
      <c r="H1331">
        <v>10.199999999999999</v>
      </c>
      <c r="I1331">
        <v>63.5</v>
      </c>
      <c r="J1331">
        <v>29.8</v>
      </c>
      <c r="K1331">
        <v>0.5</v>
      </c>
      <c r="L1331">
        <v>2.8</v>
      </c>
      <c r="M1331">
        <v>0</v>
      </c>
      <c r="N1331">
        <v>0</v>
      </c>
      <c r="O1331" t="s">
        <v>27</v>
      </c>
      <c r="P1331" t="s">
        <v>27</v>
      </c>
      <c r="Q1331" t="s">
        <v>27</v>
      </c>
      <c r="R1331" t="s">
        <v>27</v>
      </c>
      <c r="S1331">
        <v>20.9</v>
      </c>
      <c r="T1331">
        <v>16.899999999999999</v>
      </c>
      <c r="U1331" t="s">
        <v>27</v>
      </c>
      <c r="V1331">
        <v>3.9E-2</v>
      </c>
      <c r="W1331">
        <v>1.006</v>
      </c>
      <c r="X1331">
        <v>2.37</v>
      </c>
      <c r="Y1331" t="s">
        <v>27</v>
      </c>
      <c r="Z1331" t="s">
        <v>27</v>
      </c>
      <c r="AA1331" t="s">
        <v>27</v>
      </c>
      <c r="AB1331" t="s">
        <v>27</v>
      </c>
      <c r="AC1331" t="s">
        <v>27</v>
      </c>
      <c r="AD1331" t="s">
        <v>27</v>
      </c>
      <c r="AE1331" t="s">
        <v>27</v>
      </c>
      <c r="AF1331" t="s">
        <v>27</v>
      </c>
      <c r="AG1331">
        <v>26.15</v>
      </c>
    </row>
    <row r="1332" spans="1:33" x14ac:dyDescent="0.25">
      <c r="A1332" t="s">
        <v>57</v>
      </c>
      <c r="B1332" s="3">
        <v>44793</v>
      </c>
      <c r="C1332">
        <v>2022232</v>
      </c>
      <c r="D1332" t="s">
        <v>27</v>
      </c>
      <c r="E1332" t="s">
        <v>27</v>
      </c>
      <c r="F1332">
        <v>17</v>
      </c>
      <c r="G1332">
        <v>26.5</v>
      </c>
      <c r="H1332">
        <v>9.4</v>
      </c>
      <c r="I1332">
        <v>71.900000000000006</v>
      </c>
      <c r="J1332">
        <v>35.6</v>
      </c>
      <c r="K1332">
        <v>0.3</v>
      </c>
      <c r="L1332">
        <v>2.2999999999999998</v>
      </c>
      <c r="M1332">
        <v>0.5</v>
      </c>
      <c r="N1332">
        <v>0</v>
      </c>
      <c r="O1332" t="s">
        <v>27</v>
      </c>
      <c r="P1332" t="s">
        <v>27</v>
      </c>
      <c r="Q1332" t="s">
        <v>27</v>
      </c>
      <c r="R1332" t="s">
        <v>27</v>
      </c>
      <c r="S1332">
        <v>21.1</v>
      </c>
      <c r="T1332">
        <v>16.7</v>
      </c>
      <c r="U1332" t="s">
        <v>27</v>
      </c>
      <c r="V1332">
        <v>3.9E-2</v>
      </c>
      <c r="W1332">
        <v>1.2290000000000001</v>
      </c>
      <c r="X1332">
        <v>2.2229999999999999</v>
      </c>
      <c r="Y1332" t="s">
        <v>27</v>
      </c>
      <c r="Z1332" t="s">
        <v>27</v>
      </c>
      <c r="AA1332" t="s">
        <v>27</v>
      </c>
      <c r="AB1332" t="s">
        <v>27</v>
      </c>
      <c r="AC1332" t="s">
        <v>27</v>
      </c>
      <c r="AD1332" t="s">
        <v>27</v>
      </c>
      <c r="AE1332" t="s">
        <v>27</v>
      </c>
      <c r="AF1332" t="s">
        <v>27</v>
      </c>
      <c r="AG1332">
        <v>25.94</v>
      </c>
    </row>
    <row r="1333" spans="1:33" x14ac:dyDescent="0.25">
      <c r="A1333" t="s">
        <v>57</v>
      </c>
      <c r="B1333" s="3">
        <v>44794</v>
      </c>
      <c r="C1333">
        <v>2022233</v>
      </c>
      <c r="D1333" t="s">
        <v>27</v>
      </c>
      <c r="E1333" t="s">
        <v>27</v>
      </c>
      <c r="F1333">
        <v>18.399999999999999</v>
      </c>
      <c r="G1333">
        <v>26.8</v>
      </c>
      <c r="H1333">
        <v>11.6</v>
      </c>
      <c r="I1333">
        <v>72.099999999999994</v>
      </c>
      <c r="J1333">
        <v>37.5</v>
      </c>
      <c r="K1333">
        <v>0.5</v>
      </c>
      <c r="L1333">
        <v>2.8</v>
      </c>
      <c r="M1333">
        <v>1.2</v>
      </c>
      <c r="N1333">
        <v>0</v>
      </c>
      <c r="O1333" t="s">
        <v>27</v>
      </c>
      <c r="P1333" t="s">
        <v>27</v>
      </c>
      <c r="Q1333" t="s">
        <v>27</v>
      </c>
      <c r="R1333" t="s">
        <v>27</v>
      </c>
      <c r="S1333">
        <v>20.9</v>
      </c>
      <c r="T1333">
        <v>17.3</v>
      </c>
      <c r="U1333" t="s">
        <v>27</v>
      </c>
      <c r="V1333">
        <v>3.7999999999999999E-2</v>
      </c>
      <c r="W1333">
        <v>1.3180000000000001</v>
      </c>
      <c r="X1333">
        <v>2.1970000000000001</v>
      </c>
      <c r="Y1333" t="s">
        <v>27</v>
      </c>
      <c r="Z1333" t="s">
        <v>27</v>
      </c>
      <c r="AA1333" t="s">
        <v>27</v>
      </c>
      <c r="AB1333" t="s">
        <v>27</v>
      </c>
      <c r="AC1333" t="s">
        <v>27</v>
      </c>
      <c r="AD1333" t="s">
        <v>27</v>
      </c>
      <c r="AE1333" t="s">
        <v>27</v>
      </c>
      <c r="AF1333" t="s">
        <v>27</v>
      </c>
      <c r="AG1333">
        <v>25.72</v>
      </c>
    </row>
    <row r="1334" spans="1:33" x14ac:dyDescent="0.25">
      <c r="A1334" t="s">
        <v>57</v>
      </c>
      <c r="B1334" s="3">
        <v>44795</v>
      </c>
      <c r="C1334">
        <v>2022234</v>
      </c>
      <c r="D1334" t="s">
        <v>27</v>
      </c>
      <c r="E1334" t="s">
        <v>27</v>
      </c>
      <c r="F1334">
        <v>14.5</v>
      </c>
      <c r="G1334">
        <v>23.3</v>
      </c>
      <c r="H1334">
        <v>7.5</v>
      </c>
      <c r="I1334">
        <v>82.5</v>
      </c>
      <c r="J1334">
        <v>45.5</v>
      </c>
      <c r="K1334">
        <v>0.3</v>
      </c>
      <c r="L1334">
        <v>2.1</v>
      </c>
      <c r="M1334">
        <v>22</v>
      </c>
      <c r="N1334">
        <v>0</v>
      </c>
      <c r="O1334" t="s">
        <v>27</v>
      </c>
      <c r="P1334" t="s">
        <v>27</v>
      </c>
      <c r="Q1334" t="s">
        <v>27</v>
      </c>
      <c r="R1334" t="s">
        <v>27</v>
      </c>
      <c r="S1334">
        <v>15.6</v>
      </c>
      <c r="T1334">
        <v>16.2</v>
      </c>
      <c r="U1334" t="s">
        <v>27</v>
      </c>
      <c r="V1334">
        <v>4.7E-2</v>
      </c>
      <c r="W1334">
        <v>1.3029999999999999</v>
      </c>
      <c r="X1334">
        <v>1.5609999999999999</v>
      </c>
      <c r="Y1334" t="s">
        <v>27</v>
      </c>
      <c r="Z1334" t="s">
        <v>27</v>
      </c>
      <c r="AA1334" t="s">
        <v>27</v>
      </c>
      <c r="AB1334" t="s">
        <v>27</v>
      </c>
      <c r="AC1334" t="s">
        <v>27</v>
      </c>
      <c r="AD1334" t="s">
        <v>27</v>
      </c>
      <c r="AE1334" t="s">
        <v>27</v>
      </c>
      <c r="AF1334" t="s">
        <v>27</v>
      </c>
      <c r="AG1334">
        <v>25.5</v>
      </c>
    </row>
    <row r="1335" spans="1:33" x14ac:dyDescent="0.25">
      <c r="A1335" t="s">
        <v>57</v>
      </c>
      <c r="B1335" s="3">
        <v>44796</v>
      </c>
      <c r="C1335">
        <v>2022235</v>
      </c>
      <c r="D1335" t="s">
        <v>27</v>
      </c>
      <c r="E1335" t="s">
        <v>27</v>
      </c>
      <c r="F1335">
        <v>13.9</v>
      </c>
      <c r="G1335">
        <v>23.2</v>
      </c>
      <c r="H1335">
        <v>6.6</v>
      </c>
      <c r="I1335">
        <v>79</v>
      </c>
      <c r="J1335">
        <v>38.200000000000003</v>
      </c>
      <c r="K1335">
        <v>0.5</v>
      </c>
      <c r="L1335">
        <v>2.5</v>
      </c>
      <c r="M1335">
        <v>0.1</v>
      </c>
      <c r="N1335">
        <v>0</v>
      </c>
      <c r="O1335" t="s">
        <v>27</v>
      </c>
      <c r="P1335" t="s">
        <v>27</v>
      </c>
      <c r="Q1335" t="s">
        <v>27</v>
      </c>
      <c r="R1335" t="s">
        <v>27</v>
      </c>
      <c r="S1335">
        <v>16.7</v>
      </c>
      <c r="T1335">
        <v>15.3</v>
      </c>
      <c r="U1335" t="s">
        <v>27</v>
      </c>
      <c r="V1335">
        <v>6.0999999999999999E-2</v>
      </c>
      <c r="W1335">
        <v>1.087</v>
      </c>
      <c r="X1335">
        <v>1.7589999999999999</v>
      </c>
      <c r="Y1335" t="s">
        <v>27</v>
      </c>
      <c r="Z1335" t="s">
        <v>27</v>
      </c>
      <c r="AA1335" t="s">
        <v>27</v>
      </c>
      <c r="AB1335" t="s">
        <v>27</v>
      </c>
      <c r="AC1335" t="s">
        <v>27</v>
      </c>
      <c r="AD1335" t="s">
        <v>27</v>
      </c>
      <c r="AE1335" t="s">
        <v>27</v>
      </c>
      <c r="AF1335" t="s">
        <v>27</v>
      </c>
      <c r="AG1335">
        <v>25.27</v>
      </c>
    </row>
    <row r="1336" spans="1:33" x14ac:dyDescent="0.25">
      <c r="A1336" t="s">
        <v>57</v>
      </c>
      <c r="B1336" s="3">
        <v>44797</v>
      </c>
      <c r="C1336">
        <v>2022236</v>
      </c>
      <c r="D1336" t="s">
        <v>27</v>
      </c>
      <c r="E1336" t="s">
        <v>27</v>
      </c>
      <c r="F1336">
        <v>15.2</v>
      </c>
      <c r="G1336">
        <v>24.4</v>
      </c>
      <c r="H1336">
        <v>7.7</v>
      </c>
      <c r="I1336">
        <v>73.2</v>
      </c>
      <c r="J1336">
        <v>33.299999999999997</v>
      </c>
      <c r="K1336">
        <v>0.6</v>
      </c>
      <c r="L1336">
        <v>2.2000000000000002</v>
      </c>
      <c r="M1336">
        <v>0.8</v>
      </c>
      <c r="N1336">
        <v>0</v>
      </c>
      <c r="O1336" t="s">
        <v>27</v>
      </c>
      <c r="P1336" t="s">
        <v>27</v>
      </c>
      <c r="Q1336" t="s">
        <v>27</v>
      </c>
      <c r="R1336" t="s">
        <v>27</v>
      </c>
      <c r="S1336">
        <v>16.2</v>
      </c>
      <c r="T1336">
        <v>15.4</v>
      </c>
      <c r="U1336" t="s">
        <v>27</v>
      </c>
      <c r="V1336">
        <v>6.0999999999999999E-2</v>
      </c>
      <c r="W1336">
        <v>1.0189999999999999</v>
      </c>
      <c r="X1336">
        <v>2.0409999999999999</v>
      </c>
      <c r="Y1336" t="s">
        <v>27</v>
      </c>
      <c r="Z1336" t="s">
        <v>27</v>
      </c>
      <c r="AA1336" t="s">
        <v>27</v>
      </c>
      <c r="AB1336" t="s">
        <v>27</v>
      </c>
      <c r="AC1336" t="s">
        <v>27</v>
      </c>
      <c r="AD1336" t="s">
        <v>27</v>
      </c>
      <c r="AE1336" t="s">
        <v>27</v>
      </c>
      <c r="AF1336" t="s">
        <v>27</v>
      </c>
      <c r="AG1336">
        <v>25.04</v>
      </c>
    </row>
    <row r="1337" spans="1:33" x14ac:dyDescent="0.25">
      <c r="A1337" t="s">
        <v>57</v>
      </c>
      <c r="B1337" s="3">
        <v>44798</v>
      </c>
      <c r="C1337">
        <v>2022237</v>
      </c>
      <c r="D1337" t="s">
        <v>27</v>
      </c>
      <c r="E1337" t="s">
        <v>27</v>
      </c>
      <c r="F1337">
        <v>15.1</v>
      </c>
      <c r="G1337">
        <v>24.7</v>
      </c>
      <c r="H1337">
        <v>6.5</v>
      </c>
      <c r="I1337">
        <v>73.400000000000006</v>
      </c>
      <c r="J1337">
        <v>34.700000000000003</v>
      </c>
      <c r="K1337">
        <v>0.3</v>
      </c>
      <c r="L1337">
        <v>2.4</v>
      </c>
      <c r="M1337">
        <v>0.1</v>
      </c>
      <c r="N1337">
        <v>0</v>
      </c>
      <c r="O1337" t="s">
        <v>27</v>
      </c>
      <c r="P1337" t="s">
        <v>27</v>
      </c>
      <c r="Q1337" t="s">
        <v>27</v>
      </c>
      <c r="R1337" t="s">
        <v>27</v>
      </c>
      <c r="S1337">
        <v>16.5</v>
      </c>
      <c r="T1337">
        <v>15.2</v>
      </c>
      <c r="U1337" t="s">
        <v>27</v>
      </c>
      <c r="V1337">
        <v>5.8999999999999997E-2</v>
      </c>
      <c r="W1337">
        <v>1.0820000000000001</v>
      </c>
      <c r="X1337">
        <v>2.036</v>
      </c>
      <c r="Y1337" t="s">
        <v>27</v>
      </c>
      <c r="Z1337" t="s">
        <v>27</v>
      </c>
      <c r="AA1337" t="s">
        <v>27</v>
      </c>
      <c r="AB1337" t="s">
        <v>27</v>
      </c>
      <c r="AC1337" t="s">
        <v>27</v>
      </c>
      <c r="AD1337" t="s">
        <v>27</v>
      </c>
      <c r="AE1337" t="s">
        <v>27</v>
      </c>
      <c r="AF1337" t="s">
        <v>27</v>
      </c>
      <c r="AG1337">
        <v>24.82</v>
      </c>
    </row>
    <row r="1338" spans="1:33" x14ac:dyDescent="0.25">
      <c r="A1338" t="s">
        <v>57</v>
      </c>
      <c r="B1338" s="3">
        <v>44799</v>
      </c>
      <c r="C1338">
        <v>2022238</v>
      </c>
      <c r="D1338" t="s">
        <v>27</v>
      </c>
      <c r="E1338" t="s">
        <v>27</v>
      </c>
      <c r="F1338">
        <v>16.7</v>
      </c>
      <c r="G1338">
        <v>23.9</v>
      </c>
      <c r="H1338">
        <v>11.3</v>
      </c>
      <c r="I1338">
        <v>60.4</v>
      </c>
      <c r="J1338">
        <v>38.5</v>
      </c>
      <c r="K1338">
        <v>1.4</v>
      </c>
      <c r="L1338">
        <v>4.5999999999999996</v>
      </c>
      <c r="M1338">
        <v>0</v>
      </c>
      <c r="N1338">
        <v>0</v>
      </c>
      <c r="O1338" t="s">
        <v>27</v>
      </c>
      <c r="P1338" t="s">
        <v>27</v>
      </c>
      <c r="Q1338" t="s">
        <v>27</v>
      </c>
      <c r="R1338" t="s">
        <v>27</v>
      </c>
      <c r="S1338">
        <v>18.899999999999999</v>
      </c>
      <c r="T1338">
        <v>15.8</v>
      </c>
      <c r="U1338" t="s">
        <v>27</v>
      </c>
      <c r="V1338">
        <v>5.6000000000000001E-2</v>
      </c>
      <c r="W1338">
        <v>1.139</v>
      </c>
      <c r="X1338">
        <v>1.819</v>
      </c>
      <c r="Y1338" t="s">
        <v>27</v>
      </c>
      <c r="Z1338" t="s">
        <v>27</v>
      </c>
      <c r="AA1338" t="s">
        <v>27</v>
      </c>
      <c r="AB1338" t="s">
        <v>27</v>
      </c>
      <c r="AC1338" t="s">
        <v>27</v>
      </c>
      <c r="AD1338" t="s">
        <v>27</v>
      </c>
      <c r="AE1338" t="s">
        <v>27</v>
      </c>
      <c r="AF1338" t="s">
        <v>27</v>
      </c>
      <c r="AG1338">
        <v>24.59</v>
      </c>
    </row>
    <row r="1339" spans="1:33" x14ac:dyDescent="0.25">
      <c r="A1339" t="s">
        <v>57</v>
      </c>
      <c r="B1339" s="3">
        <v>44800</v>
      </c>
      <c r="C1339">
        <v>2022239</v>
      </c>
      <c r="D1339" t="s">
        <v>27</v>
      </c>
      <c r="E1339" t="s">
        <v>27</v>
      </c>
      <c r="F1339">
        <v>8</v>
      </c>
      <c r="G1339">
        <v>12.3</v>
      </c>
      <c r="H1339">
        <v>1.6</v>
      </c>
      <c r="I1339">
        <v>77.900000000000006</v>
      </c>
      <c r="J1339">
        <v>57.5</v>
      </c>
      <c r="K1339">
        <v>1.2</v>
      </c>
      <c r="L1339">
        <v>3.8</v>
      </c>
      <c r="M1339">
        <v>2</v>
      </c>
      <c r="N1339">
        <v>0</v>
      </c>
      <c r="O1339" t="s">
        <v>27</v>
      </c>
      <c r="P1339" t="s">
        <v>27</v>
      </c>
      <c r="Q1339" t="s">
        <v>27</v>
      </c>
      <c r="R1339" t="s">
        <v>27</v>
      </c>
      <c r="S1339">
        <v>11.9</v>
      </c>
      <c r="T1339">
        <v>14.5</v>
      </c>
      <c r="U1339" t="s">
        <v>27</v>
      </c>
      <c r="V1339">
        <v>5.2999999999999999E-2</v>
      </c>
      <c r="W1339">
        <v>0.82099999999999995</v>
      </c>
      <c r="X1339">
        <v>0.60699999999999998</v>
      </c>
      <c r="Y1339" t="s">
        <v>27</v>
      </c>
      <c r="Z1339" t="s">
        <v>27</v>
      </c>
      <c r="AA1339" t="s">
        <v>27</v>
      </c>
      <c r="AB1339" t="s">
        <v>27</v>
      </c>
      <c r="AC1339" t="s">
        <v>27</v>
      </c>
      <c r="AD1339" t="s">
        <v>27</v>
      </c>
      <c r="AE1339" t="s">
        <v>27</v>
      </c>
      <c r="AF1339" t="s">
        <v>27</v>
      </c>
      <c r="AG1339">
        <v>24.36</v>
      </c>
    </row>
    <row r="1340" spans="1:33" x14ac:dyDescent="0.25">
      <c r="A1340" t="s">
        <v>57</v>
      </c>
      <c r="B1340" s="3">
        <v>44801</v>
      </c>
      <c r="C1340">
        <v>2022240</v>
      </c>
      <c r="D1340" t="s">
        <v>27</v>
      </c>
      <c r="E1340" t="s">
        <v>27</v>
      </c>
      <c r="F1340">
        <v>8.6</v>
      </c>
      <c r="G1340">
        <v>17.7</v>
      </c>
      <c r="H1340">
        <v>0.7</v>
      </c>
      <c r="I1340">
        <v>77.599999999999994</v>
      </c>
      <c r="J1340">
        <v>44</v>
      </c>
      <c r="K1340">
        <v>0.6</v>
      </c>
      <c r="L1340">
        <v>3.1</v>
      </c>
      <c r="M1340">
        <v>0.1</v>
      </c>
      <c r="N1340">
        <v>0</v>
      </c>
      <c r="O1340" t="s">
        <v>27</v>
      </c>
      <c r="P1340" t="s">
        <v>27</v>
      </c>
      <c r="Q1340" t="s">
        <v>27</v>
      </c>
      <c r="R1340" t="s">
        <v>27</v>
      </c>
      <c r="S1340">
        <v>12.5</v>
      </c>
      <c r="T1340">
        <v>13.2</v>
      </c>
      <c r="U1340" t="s">
        <v>27</v>
      </c>
      <c r="V1340">
        <v>5.1999999999999998E-2</v>
      </c>
      <c r="W1340">
        <v>0.88900000000000001</v>
      </c>
      <c r="X1340">
        <v>1.131</v>
      </c>
      <c r="Y1340" t="s">
        <v>27</v>
      </c>
      <c r="Z1340" t="s">
        <v>27</v>
      </c>
      <c r="AA1340" t="s">
        <v>27</v>
      </c>
      <c r="AB1340" t="s">
        <v>27</v>
      </c>
      <c r="AC1340" t="s">
        <v>27</v>
      </c>
      <c r="AD1340" t="s">
        <v>27</v>
      </c>
      <c r="AE1340" t="s">
        <v>27</v>
      </c>
      <c r="AF1340" t="s">
        <v>27</v>
      </c>
      <c r="AG1340">
        <v>24.12</v>
      </c>
    </row>
    <row r="1341" spans="1:33" x14ac:dyDescent="0.25">
      <c r="A1341" t="s">
        <v>57</v>
      </c>
      <c r="B1341" s="3">
        <v>44802</v>
      </c>
      <c r="C1341">
        <v>2022241</v>
      </c>
      <c r="D1341" t="s">
        <v>27</v>
      </c>
      <c r="E1341" t="s">
        <v>27</v>
      </c>
      <c r="F1341">
        <v>13.5</v>
      </c>
      <c r="G1341">
        <v>25.1</v>
      </c>
      <c r="H1341">
        <v>2.6</v>
      </c>
      <c r="I1341">
        <v>70.8</v>
      </c>
      <c r="J1341">
        <v>34.200000000000003</v>
      </c>
      <c r="K1341">
        <v>0.5</v>
      </c>
      <c r="L1341">
        <v>2.2999999999999998</v>
      </c>
      <c r="M1341">
        <v>0</v>
      </c>
      <c r="N1341">
        <v>0</v>
      </c>
      <c r="O1341" t="s">
        <v>27</v>
      </c>
      <c r="P1341" t="s">
        <v>27</v>
      </c>
      <c r="Q1341" t="s">
        <v>27</v>
      </c>
      <c r="R1341" t="s">
        <v>27</v>
      </c>
      <c r="S1341">
        <v>17.2</v>
      </c>
      <c r="T1341">
        <v>14</v>
      </c>
      <c r="U1341" t="s">
        <v>27</v>
      </c>
      <c r="V1341">
        <v>4.9000000000000002E-2</v>
      </c>
      <c r="W1341">
        <v>1.0920000000000001</v>
      </c>
      <c r="X1341">
        <v>2.101</v>
      </c>
      <c r="Y1341" t="s">
        <v>27</v>
      </c>
      <c r="Z1341" t="s">
        <v>27</v>
      </c>
      <c r="AA1341" t="s">
        <v>27</v>
      </c>
      <c r="AB1341" t="s">
        <v>27</v>
      </c>
      <c r="AC1341" t="s">
        <v>27</v>
      </c>
      <c r="AD1341" t="s">
        <v>27</v>
      </c>
      <c r="AE1341" t="s">
        <v>27</v>
      </c>
      <c r="AF1341" t="s">
        <v>27</v>
      </c>
      <c r="AG1341">
        <v>23.89</v>
      </c>
    </row>
    <row r="1342" spans="1:33" x14ac:dyDescent="0.25">
      <c r="A1342" t="s">
        <v>57</v>
      </c>
      <c r="B1342" s="3">
        <v>44803</v>
      </c>
      <c r="C1342">
        <v>2022242</v>
      </c>
      <c r="D1342" t="s">
        <v>27</v>
      </c>
      <c r="E1342" t="s">
        <v>27</v>
      </c>
      <c r="F1342">
        <v>16.5</v>
      </c>
      <c r="G1342">
        <v>28.6</v>
      </c>
      <c r="H1342">
        <v>6.3</v>
      </c>
      <c r="I1342">
        <v>59.7</v>
      </c>
      <c r="J1342">
        <v>18</v>
      </c>
      <c r="K1342">
        <v>0.4</v>
      </c>
      <c r="L1342">
        <v>2.2000000000000002</v>
      </c>
      <c r="M1342">
        <v>0</v>
      </c>
      <c r="N1342">
        <v>0</v>
      </c>
      <c r="O1342" t="s">
        <v>27</v>
      </c>
      <c r="P1342" t="s">
        <v>27</v>
      </c>
      <c r="Q1342" t="s">
        <v>27</v>
      </c>
      <c r="R1342" t="s">
        <v>27</v>
      </c>
      <c r="S1342">
        <v>19.7</v>
      </c>
      <c r="T1342">
        <v>15.1</v>
      </c>
      <c r="U1342" t="s">
        <v>27</v>
      </c>
      <c r="V1342">
        <v>4.7E-2</v>
      </c>
      <c r="W1342">
        <v>0.70499999999999996</v>
      </c>
      <c r="X1342">
        <v>3.2120000000000002</v>
      </c>
      <c r="Y1342" t="s">
        <v>27</v>
      </c>
      <c r="Z1342" t="s">
        <v>27</v>
      </c>
      <c r="AA1342" t="s">
        <v>27</v>
      </c>
      <c r="AB1342" t="s">
        <v>27</v>
      </c>
      <c r="AC1342" t="s">
        <v>27</v>
      </c>
      <c r="AD1342" t="s">
        <v>27</v>
      </c>
      <c r="AE1342" t="s">
        <v>27</v>
      </c>
      <c r="AF1342" t="s">
        <v>27</v>
      </c>
      <c r="AG1342">
        <v>23.65</v>
      </c>
    </row>
    <row r="1343" spans="1:33" x14ac:dyDescent="0.25">
      <c r="A1343" t="s">
        <v>57</v>
      </c>
      <c r="B1343" s="3">
        <v>44804</v>
      </c>
      <c r="C1343">
        <v>2022243</v>
      </c>
      <c r="D1343" t="s">
        <v>27</v>
      </c>
      <c r="E1343" t="s">
        <v>27</v>
      </c>
      <c r="F1343">
        <v>17.600000000000001</v>
      </c>
      <c r="G1343">
        <v>27.8</v>
      </c>
      <c r="H1343">
        <v>7.2</v>
      </c>
      <c r="I1343">
        <v>54.2</v>
      </c>
      <c r="J1343">
        <v>24.6</v>
      </c>
      <c r="K1343">
        <v>0.5</v>
      </c>
      <c r="L1343">
        <v>2.8</v>
      </c>
      <c r="M1343">
        <v>0</v>
      </c>
      <c r="N1343">
        <v>0</v>
      </c>
      <c r="O1343" t="s">
        <v>27</v>
      </c>
      <c r="P1343" t="s">
        <v>27</v>
      </c>
      <c r="Q1343" t="s">
        <v>27</v>
      </c>
      <c r="R1343" t="s">
        <v>27</v>
      </c>
      <c r="S1343">
        <v>17.600000000000001</v>
      </c>
      <c r="T1343">
        <v>15.1</v>
      </c>
      <c r="U1343" t="s">
        <v>27</v>
      </c>
      <c r="V1343">
        <v>4.3999999999999997E-2</v>
      </c>
      <c r="W1343">
        <v>0.91900000000000004</v>
      </c>
      <c r="X1343">
        <v>2.8170000000000002</v>
      </c>
      <c r="Y1343" t="s">
        <v>27</v>
      </c>
      <c r="Z1343" t="s">
        <v>27</v>
      </c>
      <c r="AA1343" t="s">
        <v>27</v>
      </c>
      <c r="AB1343" t="s">
        <v>27</v>
      </c>
      <c r="AC1343" t="s">
        <v>27</v>
      </c>
      <c r="AD1343" t="s">
        <v>27</v>
      </c>
      <c r="AE1343" t="s">
        <v>27</v>
      </c>
      <c r="AF1343" t="s">
        <v>27</v>
      </c>
      <c r="AG1343">
        <v>23.41</v>
      </c>
    </row>
    <row r="1344" spans="1:33" x14ac:dyDescent="0.25">
      <c r="A1344" t="s">
        <v>57</v>
      </c>
      <c r="B1344" s="3">
        <v>44805</v>
      </c>
      <c r="C1344">
        <v>2022244</v>
      </c>
      <c r="D1344" t="s">
        <v>27</v>
      </c>
      <c r="E1344" t="s">
        <v>27</v>
      </c>
      <c r="F1344">
        <v>17.5</v>
      </c>
      <c r="G1344">
        <v>27</v>
      </c>
      <c r="H1344">
        <v>8.5</v>
      </c>
      <c r="I1344">
        <v>55.2</v>
      </c>
      <c r="J1344">
        <v>22.7</v>
      </c>
      <c r="K1344">
        <v>0.6</v>
      </c>
      <c r="L1344">
        <v>2.8</v>
      </c>
      <c r="M1344">
        <v>0</v>
      </c>
      <c r="N1344">
        <v>0</v>
      </c>
      <c r="O1344" t="s">
        <v>27</v>
      </c>
      <c r="P1344" t="s">
        <v>27</v>
      </c>
      <c r="Q1344" t="s">
        <v>27</v>
      </c>
      <c r="R1344" t="s">
        <v>27</v>
      </c>
      <c r="S1344">
        <v>20.399999999999999</v>
      </c>
      <c r="T1344">
        <v>15.7</v>
      </c>
      <c r="U1344" t="s">
        <v>27</v>
      </c>
      <c r="V1344">
        <v>4.2000000000000003E-2</v>
      </c>
      <c r="W1344">
        <v>0.80900000000000005</v>
      </c>
      <c r="X1344">
        <v>2.7549999999999999</v>
      </c>
      <c r="Y1344" t="s">
        <v>27</v>
      </c>
      <c r="Z1344" t="s">
        <v>27</v>
      </c>
      <c r="AA1344" t="s">
        <v>27</v>
      </c>
      <c r="AB1344" t="s">
        <v>27</v>
      </c>
      <c r="AC1344" t="s">
        <v>27</v>
      </c>
      <c r="AD1344" t="s">
        <v>27</v>
      </c>
      <c r="AE1344" t="s">
        <v>27</v>
      </c>
      <c r="AF1344" t="s">
        <v>27</v>
      </c>
      <c r="AG1344">
        <v>23.17</v>
      </c>
    </row>
    <row r="1345" spans="1:33" x14ac:dyDescent="0.25">
      <c r="A1345" t="s">
        <v>57</v>
      </c>
      <c r="B1345" s="3">
        <v>44806</v>
      </c>
      <c r="C1345">
        <v>2022245</v>
      </c>
      <c r="D1345" t="s">
        <v>27</v>
      </c>
      <c r="E1345" t="s">
        <v>27</v>
      </c>
      <c r="F1345">
        <v>17.600000000000001</v>
      </c>
      <c r="G1345">
        <v>30.1</v>
      </c>
      <c r="H1345">
        <v>5.5</v>
      </c>
      <c r="I1345">
        <v>50.9</v>
      </c>
      <c r="J1345">
        <v>15.7</v>
      </c>
      <c r="K1345">
        <v>0.7</v>
      </c>
      <c r="L1345">
        <v>3</v>
      </c>
      <c r="M1345">
        <v>0</v>
      </c>
      <c r="N1345">
        <v>0</v>
      </c>
      <c r="O1345" t="s">
        <v>27</v>
      </c>
      <c r="P1345" t="s">
        <v>27</v>
      </c>
      <c r="Q1345" t="s">
        <v>27</v>
      </c>
      <c r="R1345" t="s">
        <v>27</v>
      </c>
      <c r="S1345">
        <v>20</v>
      </c>
      <c r="T1345">
        <v>15.6</v>
      </c>
      <c r="U1345" t="s">
        <v>27</v>
      </c>
      <c r="V1345">
        <v>0.04</v>
      </c>
      <c r="W1345">
        <v>0.67</v>
      </c>
      <c r="X1345">
        <v>3.5979999999999999</v>
      </c>
      <c r="Y1345" t="s">
        <v>27</v>
      </c>
      <c r="Z1345" t="s">
        <v>27</v>
      </c>
      <c r="AA1345" t="s">
        <v>27</v>
      </c>
      <c r="AB1345" t="s">
        <v>27</v>
      </c>
      <c r="AC1345" t="s">
        <v>27</v>
      </c>
      <c r="AD1345" t="s">
        <v>27</v>
      </c>
      <c r="AE1345" t="s">
        <v>27</v>
      </c>
      <c r="AF1345" t="s">
        <v>27</v>
      </c>
      <c r="AG1345">
        <v>22.93</v>
      </c>
    </row>
    <row r="1346" spans="1:33" x14ac:dyDescent="0.25">
      <c r="A1346" t="s">
        <v>57</v>
      </c>
      <c r="B1346" s="3">
        <v>44807</v>
      </c>
      <c r="C1346">
        <v>2022246</v>
      </c>
      <c r="D1346" t="s">
        <v>27</v>
      </c>
      <c r="E1346" t="s">
        <v>27</v>
      </c>
      <c r="F1346">
        <v>17.399999999999999</v>
      </c>
      <c r="G1346">
        <v>26.6</v>
      </c>
      <c r="H1346">
        <v>9.3000000000000007</v>
      </c>
      <c r="I1346">
        <v>48.1</v>
      </c>
      <c r="J1346">
        <v>23.8</v>
      </c>
      <c r="K1346">
        <v>0.8</v>
      </c>
      <c r="L1346">
        <v>3</v>
      </c>
      <c r="M1346">
        <v>0</v>
      </c>
      <c r="N1346">
        <v>0</v>
      </c>
      <c r="O1346" t="s">
        <v>27</v>
      </c>
      <c r="P1346" t="s">
        <v>27</v>
      </c>
      <c r="Q1346" t="s">
        <v>27</v>
      </c>
      <c r="R1346" t="s">
        <v>27</v>
      </c>
      <c r="S1346">
        <v>18.399999999999999</v>
      </c>
      <c r="T1346">
        <v>15.6</v>
      </c>
      <c r="U1346" t="s">
        <v>27</v>
      </c>
      <c r="V1346">
        <v>3.7999999999999999E-2</v>
      </c>
      <c r="W1346">
        <v>0.82599999999999996</v>
      </c>
      <c r="X1346">
        <v>2.645</v>
      </c>
      <c r="Y1346" t="s">
        <v>27</v>
      </c>
      <c r="Z1346" t="s">
        <v>27</v>
      </c>
      <c r="AA1346" t="s">
        <v>27</v>
      </c>
      <c r="AB1346" t="s">
        <v>27</v>
      </c>
      <c r="AC1346" t="s">
        <v>27</v>
      </c>
      <c r="AD1346" t="s">
        <v>27</v>
      </c>
      <c r="AE1346" t="s">
        <v>27</v>
      </c>
      <c r="AF1346" t="s">
        <v>27</v>
      </c>
      <c r="AG1346">
        <v>22.69</v>
      </c>
    </row>
    <row r="1347" spans="1:33" x14ac:dyDescent="0.25">
      <c r="A1347" t="s">
        <v>57</v>
      </c>
      <c r="B1347" s="3">
        <v>44808</v>
      </c>
      <c r="C1347">
        <v>2022247</v>
      </c>
      <c r="D1347" t="s">
        <v>27</v>
      </c>
      <c r="E1347" t="s">
        <v>27</v>
      </c>
      <c r="F1347">
        <v>13.7</v>
      </c>
      <c r="G1347">
        <v>22.4</v>
      </c>
      <c r="H1347">
        <v>4.8</v>
      </c>
      <c r="I1347">
        <v>65.599999999999994</v>
      </c>
      <c r="J1347">
        <v>30.6</v>
      </c>
      <c r="K1347">
        <v>0.7</v>
      </c>
      <c r="L1347">
        <v>2.7</v>
      </c>
      <c r="M1347">
        <v>0</v>
      </c>
      <c r="N1347">
        <v>0</v>
      </c>
      <c r="O1347" t="s">
        <v>27</v>
      </c>
      <c r="P1347" t="s">
        <v>27</v>
      </c>
      <c r="Q1347" t="s">
        <v>27</v>
      </c>
      <c r="R1347" t="s">
        <v>27</v>
      </c>
      <c r="S1347">
        <v>16.399999999999999</v>
      </c>
      <c r="T1347">
        <v>15</v>
      </c>
      <c r="U1347" t="s">
        <v>27</v>
      </c>
      <c r="V1347">
        <v>3.6999999999999998E-2</v>
      </c>
      <c r="W1347">
        <v>0.82799999999999996</v>
      </c>
      <c r="X1347">
        <v>1.8779999999999999</v>
      </c>
      <c r="Y1347" t="s">
        <v>27</v>
      </c>
      <c r="Z1347" t="s">
        <v>27</v>
      </c>
      <c r="AA1347" t="s">
        <v>27</v>
      </c>
      <c r="AB1347" t="s">
        <v>27</v>
      </c>
      <c r="AC1347" t="s">
        <v>27</v>
      </c>
      <c r="AD1347" t="s">
        <v>27</v>
      </c>
      <c r="AE1347" t="s">
        <v>27</v>
      </c>
      <c r="AF1347" t="s">
        <v>27</v>
      </c>
      <c r="AG1347">
        <v>22.44</v>
      </c>
    </row>
    <row r="1348" spans="1:33" x14ac:dyDescent="0.25">
      <c r="A1348" t="s">
        <v>57</v>
      </c>
      <c r="B1348" s="3">
        <v>44809</v>
      </c>
      <c r="C1348">
        <v>2022248</v>
      </c>
      <c r="D1348" t="s">
        <v>27</v>
      </c>
      <c r="E1348" t="s">
        <v>27</v>
      </c>
      <c r="F1348">
        <v>9.6</v>
      </c>
      <c r="G1348">
        <v>17.2</v>
      </c>
      <c r="H1348">
        <v>0.9</v>
      </c>
      <c r="I1348">
        <v>57.9</v>
      </c>
      <c r="J1348">
        <v>23</v>
      </c>
      <c r="K1348">
        <v>1</v>
      </c>
      <c r="L1348">
        <v>4.5</v>
      </c>
      <c r="M1348">
        <v>0</v>
      </c>
      <c r="N1348">
        <v>0</v>
      </c>
      <c r="O1348" t="s">
        <v>27</v>
      </c>
      <c r="P1348" t="s">
        <v>27</v>
      </c>
      <c r="Q1348" t="s">
        <v>27</v>
      </c>
      <c r="R1348" t="s">
        <v>27</v>
      </c>
      <c r="S1348">
        <v>14.4</v>
      </c>
      <c r="T1348">
        <v>14.4</v>
      </c>
      <c r="U1348" t="s">
        <v>27</v>
      </c>
      <c r="V1348">
        <v>3.5999999999999997E-2</v>
      </c>
      <c r="W1348">
        <v>0.45200000000000001</v>
      </c>
      <c r="X1348">
        <v>1.5129999999999999</v>
      </c>
      <c r="Y1348" t="s">
        <v>27</v>
      </c>
      <c r="Z1348" t="s">
        <v>27</v>
      </c>
      <c r="AA1348" t="s">
        <v>27</v>
      </c>
      <c r="AB1348" t="s">
        <v>27</v>
      </c>
      <c r="AC1348" t="s">
        <v>27</v>
      </c>
      <c r="AD1348" t="s">
        <v>27</v>
      </c>
      <c r="AE1348" t="s">
        <v>27</v>
      </c>
      <c r="AF1348" t="s">
        <v>27</v>
      </c>
      <c r="AG1348">
        <v>22.2</v>
      </c>
    </row>
    <row r="1349" spans="1:33" x14ac:dyDescent="0.25">
      <c r="A1349" t="s">
        <v>57</v>
      </c>
      <c r="B1349" s="3">
        <v>44810</v>
      </c>
      <c r="C1349">
        <v>2022249</v>
      </c>
      <c r="D1349" t="s">
        <v>27</v>
      </c>
      <c r="E1349" t="s">
        <v>27</v>
      </c>
      <c r="F1349">
        <v>11.7</v>
      </c>
      <c r="G1349">
        <v>25</v>
      </c>
      <c r="H1349">
        <v>0.1</v>
      </c>
      <c r="I1349">
        <v>56</v>
      </c>
      <c r="J1349">
        <v>20.399999999999999</v>
      </c>
      <c r="K1349">
        <v>0.5</v>
      </c>
      <c r="L1349">
        <v>2.9</v>
      </c>
      <c r="M1349">
        <v>0</v>
      </c>
      <c r="N1349">
        <v>0</v>
      </c>
      <c r="O1349" t="s">
        <v>27</v>
      </c>
      <c r="P1349" t="s">
        <v>27</v>
      </c>
      <c r="Q1349" t="s">
        <v>27</v>
      </c>
      <c r="R1349" t="s">
        <v>27</v>
      </c>
      <c r="S1349">
        <v>15.9</v>
      </c>
      <c r="T1349">
        <v>13.6</v>
      </c>
      <c r="U1349" t="s">
        <v>27</v>
      </c>
      <c r="V1349">
        <v>3.5000000000000003E-2</v>
      </c>
      <c r="W1349">
        <v>0.64600000000000002</v>
      </c>
      <c r="X1349">
        <v>2.5209999999999999</v>
      </c>
      <c r="Y1349" t="s">
        <v>27</v>
      </c>
      <c r="Z1349" t="s">
        <v>27</v>
      </c>
      <c r="AA1349" t="s">
        <v>27</v>
      </c>
      <c r="AB1349" t="s">
        <v>27</v>
      </c>
      <c r="AC1349" t="s">
        <v>27</v>
      </c>
      <c r="AD1349" t="s">
        <v>27</v>
      </c>
      <c r="AE1349" t="s">
        <v>27</v>
      </c>
      <c r="AF1349" t="s">
        <v>27</v>
      </c>
      <c r="AG1349">
        <v>21.95</v>
      </c>
    </row>
    <row r="1350" spans="1:33" x14ac:dyDescent="0.25">
      <c r="A1350" t="s">
        <v>57</v>
      </c>
      <c r="B1350" s="3">
        <v>44811</v>
      </c>
      <c r="C1350">
        <v>2022250</v>
      </c>
      <c r="D1350" t="s">
        <v>27</v>
      </c>
      <c r="E1350" t="s">
        <v>27</v>
      </c>
      <c r="F1350">
        <v>11.5</v>
      </c>
      <c r="G1350">
        <v>20</v>
      </c>
      <c r="H1350">
        <v>3.4</v>
      </c>
      <c r="I1350">
        <v>44.2</v>
      </c>
      <c r="J1350">
        <v>11.9</v>
      </c>
      <c r="K1350">
        <v>1.1000000000000001</v>
      </c>
      <c r="L1350">
        <v>5</v>
      </c>
      <c r="M1350">
        <v>0</v>
      </c>
      <c r="N1350">
        <v>0</v>
      </c>
      <c r="O1350" t="s">
        <v>27</v>
      </c>
      <c r="P1350" t="s">
        <v>27</v>
      </c>
      <c r="Q1350" t="s">
        <v>27</v>
      </c>
      <c r="R1350" t="s">
        <v>27</v>
      </c>
      <c r="S1350">
        <v>15.1</v>
      </c>
      <c r="T1350">
        <v>13.8</v>
      </c>
      <c r="U1350" t="s">
        <v>27</v>
      </c>
      <c r="V1350">
        <v>3.5000000000000003E-2</v>
      </c>
      <c r="W1350">
        <v>0.27800000000000002</v>
      </c>
      <c r="X1350">
        <v>2.0579999999999998</v>
      </c>
      <c r="Y1350" t="s">
        <v>27</v>
      </c>
      <c r="Z1350" t="s">
        <v>27</v>
      </c>
      <c r="AA1350" t="s">
        <v>27</v>
      </c>
      <c r="AB1350" t="s">
        <v>27</v>
      </c>
      <c r="AC1350" t="s">
        <v>27</v>
      </c>
      <c r="AD1350" t="s">
        <v>27</v>
      </c>
      <c r="AE1350" t="s">
        <v>27</v>
      </c>
      <c r="AF1350" t="s">
        <v>27</v>
      </c>
      <c r="AG1350">
        <v>21.71</v>
      </c>
    </row>
    <row r="1351" spans="1:33" x14ac:dyDescent="0.25">
      <c r="A1351" t="s">
        <v>57</v>
      </c>
      <c r="B1351" s="3">
        <v>44812</v>
      </c>
      <c r="C1351">
        <v>2022251</v>
      </c>
      <c r="D1351" t="s">
        <v>27</v>
      </c>
      <c r="E1351" t="s">
        <v>27</v>
      </c>
      <c r="F1351">
        <v>8.3000000000000007</v>
      </c>
      <c r="G1351">
        <v>14.2</v>
      </c>
      <c r="H1351">
        <v>2.2000000000000002</v>
      </c>
      <c r="I1351">
        <v>58.2</v>
      </c>
      <c r="J1351">
        <v>37.299999999999997</v>
      </c>
      <c r="K1351">
        <v>1.2</v>
      </c>
      <c r="L1351">
        <v>2.8</v>
      </c>
      <c r="M1351">
        <v>0</v>
      </c>
      <c r="N1351">
        <v>0</v>
      </c>
      <c r="O1351" t="s">
        <v>27</v>
      </c>
      <c r="P1351" t="s">
        <v>27</v>
      </c>
      <c r="Q1351" t="s">
        <v>27</v>
      </c>
      <c r="R1351" t="s">
        <v>27</v>
      </c>
      <c r="S1351">
        <v>12.8</v>
      </c>
      <c r="T1351">
        <v>13</v>
      </c>
      <c r="U1351" t="s">
        <v>27</v>
      </c>
      <c r="V1351">
        <v>3.4000000000000002E-2</v>
      </c>
      <c r="W1351">
        <v>0.60399999999999998</v>
      </c>
      <c r="X1351">
        <v>1.0149999999999999</v>
      </c>
      <c r="Y1351" t="s">
        <v>27</v>
      </c>
      <c r="Z1351" t="s">
        <v>27</v>
      </c>
      <c r="AA1351" t="s">
        <v>27</v>
      </c>
      <c r="AB1351" t="s">
        <v>27</v>
      </c>
      <c r="AC1351" t="s">
        <v>27</v>
      </c>
      <c r="AD1351" t="s">
        <v>27</v>
      </c>
      <c r="AE1351" t="s">
        <v>27</v>
      </c>
      <c r="AF1351" t="s">
        <v>27</v>
      </c>
      <c r="AG1351">
        <v>21.46</v>
      </c>
    </row>
    <row r="1352" spans="1:33" x14ac:dyDescent="0.25">
      <c r="A1352" t="s">
        <v>57</v>
      </c>
      <c r="B1352" s="3">
        <v>44813</v>
      </c>
      <c r="C1352">
        <v>2022252</v>
      </c>
      <c r="D1352" t="s">
        <v>27</v>
      </c>
      <c r="E1352" t="s">
        <v>27</v>
      </c>
      <c r="F1352">
        <v>7.6</v>
      </c>
      <c r="G1352">
        <v>17.2</v>
      </c>
      <c r="H1352">
        <v>-0.8</v>
      </c>
      <c r="I1352">
        <v>62</v>
      </c>
      <c r="J1352">
        <v>27.3</v>
      </c>
      <c r="K1352">
        <v>0.8</v>
      </c>
      <c r="L1352">
        <v>2.9</v>
      </c>
      <c r="M1352">
        <v>0</v>
      </c>
      <c r="N1352">
        <v>0</v>
      </c>
      <c r="O1352" t="s">
        <v>27</v>
      </c>
      <c r="P1352" t="s">
        <v>27</v>
      </c>
      <c r="Q1352" t="s">
        <v>27</v>
      </c>
      <c r="R1352" t="s">
        <v>27</v>
      </c>
      <c r="S1352">
        <v>12.3</v>
      </c>
      <c r="T1352">
        <v>12.3</v>
      </c>
      <c r="U1352" t="s">
        <v>27</v>
      </c>
      <c r="V1352">
        <v>3.4000000000000002E-2</v>
      </c>
      <c r="W1352">
        <v>0.53700000000000003</v>
      </c>
      <c r="X1352">
        <v>1.43</v>
      </c>
      <c r="Y1352" t="s">
        <v>27</v>
      </c>
      <c r="Z1352" t="s">
        <v>27</v>
      </c>
      <c r="AA1352" t="s">
        <v>27</v>
      </c>
      <c r="AB1352" t="s">
        <v>27</v>
      </c>
      <c r="AC1352" t="s">
        <v>27</v>
      </c>
      <c r="AD1352" t="s">
        <v>27</v>
      </c>
      <c r="AE1352" t="s">
        <v>27</v>
      </c>
      <c r="AF1352" t="s">
        <v>27</v>
      </c>
      <c r="AG1352">
        <v>21.21</v>
      </c>
    </row>
    <row r="1353" spans="1:33" x14ac:dyDescent="0.25">
      <c r="A1353" t="s">
        <v>57</v>
      </c>
      <c r="B1353" s="3">
        <v>44814</v>
      </c>
      <c r="C1353">
        <v>2022253</v>
      </c>
      <c r="D1353" t="s">
        <v>27</v>
      </c>
      <c r="E1353" t="s">
        <v>27</v>
      </c>
      <c r="F1353">
        <v>10.4</v>
      </c>
      <c r="G1353">
        <v>23.7</v>
      </c>
      <c r="H1353">
        <v>-1.2</v>
      </c>
      <c r="I1353">
        <v>57.3</v>
      </c>
      <c r="J1353">
        <v>21.1</v>
      </c>
      <c r="K1353">
        <v>0.5</v>
      </c>
      <c r="L1353">
        <v>2.2999999999999998</v>
      </c>
      <c r="M1353">
        <v>0</v>
      </c>
      <c r="N1353">
        <v>0</v>
      </c>
      <c r="O1353" t="s">
        <v>27</v>
      </c>
      <c r="P1353" t="s">
        <v>27</v>
      </c>
      <c r="Q1353" t="s">
        <v>27</v>
      </c>
      <c r="R1353" t="s">
        <v>27</v>
      </c>
      <c r="S1353">
        <v>13.7</v>
      </c>
      <c r="T1353">
        <v>12.3</v>
      </c>
      <c r="U1353" t="s">
        <v>27</v>
      </c>
      <c r="V1353">
        <v>3.3000000000000002E-2</v>
      </c>
      <c r="W1353">
        <v>0.61799999999999999</v>
      </c>
      <c r="X1353">
        <v>2.3109999999999999</v>
      </c>
      <c r="Y1353" t="s">
        <v>27</v>
      </c>
      <c r="Z1353" t="s">
        <v>27</v>
      </c>
      <c r="AA1353" t="s">
        <v>27</v>
      </c>
      <c r="AB1353" t="s">
        <v>27</v>
      </c>
      <c r="AC1353" t="s">
        <v>27</v>
      </c>
      <c r="AD1353" t="s">
        <v>27</v>
      </c>
      <c r="AE1353" t="s">
        <v>27</v>
      </c>
      <c r="AF1353" t="s">
        <v>27</v>
      </c>
      <c r="AG1353">
        <v>20.96</v>
      </c>
    </row>
    <row r="1354" spans="1:33" x14ac:dyDescent="0.25">
      <c r="A1354" t="s">
        <v>57</v>
      </c>
      <c r="B1354" s="3">
        <v>44815</v>
      </c>
      <c r="C1354">
        <v>2022254</v>
      </c>
      <c r="D1354" t="s">
        <v>27</v>
      </c>
      <c r="E1354" t="s">
        <v>27</v>
      </c>
      <c r="F1354">
        <v>10.6</v>
      </c>
      <c r="G1354">
        <v>23.6</v>
      </c>
      <c r="H1354">
        <v>1.4</v>
      </c>
      <c r="I1354">
        <v>63.6</v>
      </c>
      <c r="J1354">
        <v>26.5</v>
      </c>
      <c r="K1354">
        <v>0.2</v>
      </c>
      <c r="L1354">
        <v>2.4</v>
      </c>
      <c r="M1354">
        <v>0</v>
      </c>
      <c r="N1354">
        <v>0</v>
      </c>
      <c r="O1354" t="s">
        <v>27</v>
      </c>
      <c r="P1354" t="s">
        <v>27</v>
      </c>
      <c r="Q1354" t="s">
        <v>27</v>
      </c>
      <c r="R1354" t="s">
        <v>27</v>
      </c>
      <c r="S1354">
        <v>12.6</v>
      </c>
      <c r="T1354">
        <v>12.3</v>
      </c>
      <c r="U1354" t="s">
        <v>27</v>
      </c>
      <c r="V1354">
        <v>3.3000000000000002E-2</v>
      </c>
      <c r="W1354">
        <v>0.77100000000000002</v>
      </c>
      <c r="X1354">
        <v>2.1379999999999999</v>
      </c>
      <c r="Y1354" t="s">
        <v>27</v>
      </c>
      <c r="Z1354" t="s">
        <v>27</v>
      </c>
      <c r="AA1354" t="s">
        <v>27</v>
      </c>
      <c r="AB1354" t="s">
        <v>27</v>
      </c>
      <c r="AC1354" t="s">
        <v>27</v>
      </c>
      <c r="AD1354" t="s">
        <v>27</v>
      </c>
      <c r="AE1354" t="s">
        <v>27</v>
      </c>
      <c r="AF1354" t="s">
        <v>27</v>
      </c>
      <c r="AG1354">
        <v>20.71</v>
      </c>
    </row>
    <row r="1355" spans="1:33" x14ac:dyDescent="0.25">
      <c r="A1355" t="s">
        <v>57</v>
      </c>
      <c r="B1355" s="3">
        <v>44816</v>
      </c>
      <c r="C1355">
        <v>2022255</v>
      </c>
      <c r="D1355" t="s">
        <v>27</v>
      </c>
      <c r="E1355" t="s">
        <v>27</v>
      </c>
      <c r="F1355">
        <v>11.8</v>
      </c>
      <c r="G1355">
        <v>16.100000000000001</v>
      </c>
      <c r="H1355">
        <v>5.9</v>
      </c>
      <c r="I1355">
        <v>83.5</v>
      </c>
      <c r="J1355">
        <v>50</v>
      </c>
      <c r="K1355">
        <v>0.2</v>
      </c>
      <c r="L1355">
        <v>1.7</v>
      </c>
      <c r="M1355">
        <v>1.7</v>
      </c>
      <c r="N1355">
        <v>0</v>
      </c>
      <c r="O1355" t="s">
        <v>27</v>
      </c>
      <c r="P1355" t="s">
        <v>27</v>
      </c>
      <c r="Q1355" t="s">
        <v>27</v>
      </c>
      <c r="R1355" t="s">
        <v>27</v>
      </c>
      <c r="S1355">
        <v>12.4</v>
      </c>
      <c r="T1355">
        <v>12.4</v>
      </c>
      <c r="U1355" t="s">
        <v>27</v>
      </c>
      <c r="V1355">
        <v>3.3000000000000002E-2</v>
      </c>
      <c r="W1355">
        <v>0.91200000000000003</v>
      </c>
      <c r="X1355">
        <v>0.91200000000000003</v>
      </c>
      <c r="Y1355" t="s">
        <v>27</v>
      </c>
      <c r="Z1355" t="s">
        <v>27</v>
      </c>
      <c r="AA1355" t="s">
        <v>27</v>
      </c>
      <c r="AB1355" t="s">
        <v>27</v>
      </c>
      <c r="AC1355" t="s">
        <v>27</v>
      </c>
      <c r="AD1355" t="s">
        <v>27</v>
      </c>
      <c r="AE1355" t="s">
        <v>27</v>
      </c>
      <c r="AF1355" t="s">
        <v>27</v>
      </c>
      <c r="AG1355">
        <v>20.46</v>
      </c>
    </row>
    <row r="1356" spans="1:33" x14ac:dyDescent="0.25">
      <c r="A1356" t="s">
        <v>57</v>
      </c>
      <c r="B1356" s="3">
        <v>44817</v>
      </c>
      <c r="C1356">
        <v>2022256</v>
      </c>
      <c r="D1356" t="s">
        <v>27</v>
      </c>
      <c r="E1356" t="s">
        <v>27</v>
      </c>
      <c r="F1356">
        <v>11.6</v>
      </c>
      <c r="G1356">
        <v>18.600000000000001</v>
      </c>
      <c r="H1356">
        <v>6.4</v>
      </c>
      <c r="I1356">
        <v>85.1</v>
      </c>
      <c r="J1356">
        <v>49</v>
      </c>
      <c r="K1356">
        <v>0.3</v>
      </c>
      <c r="L1356">
        <v>1.9</v>
      </c>
      <c r="M1356">
        <v>12.8</v>
      </c>
      <c r="N1356">
        <v>0</v>
      </c>
      <c r="O1356" t="s">
        <v>27</v>
      </c>
      <c r="P1356" t="s">
        <v>27</v>
      </c>
      <c r="Q1356" t="s">
        <v>27</v>
      </c>
      <c r="R1356" t="s">
        <v>27</v>
      </c>
      <c r="S1356">
        <v>13.4</v>
      </c>
      <c r="T1356">
        <v>12.8</v>
      </c>
      <c r="U1356" t="s">
        <v>27</v>
      </c>
      <c r="V1356">
        <v>5.7000000000000002E-2</v>
      </c>
      <c r="W1356">
        <v>1.0509999999999999</v>
      </c>
      <c r="X1356">
        <v>1.0940000000000001</v>
      </c>
      <c r="Y1356" t="s">
        <v>27</v>
      </c>
      <c r="Z1356" t="s">
        <v>27</v>
      </c>
      <c r="AA1356" t="s">
        <v>27</v>
      </c>
      <c r="AB1356" t="s">
        <v>27</v>
      </c>
      <c r="AC1356" t="s">
        <v>27</v>
      </c>
      <c r="AD1356" t="s">
        <v>27</v>
      </c>
      <c r="AE1356" t="s">
        <v>27</v>
      </c>
      <c r="AF1356" t="s">
        <v>27</v>
      </c>
      <c r="AG1356">
        <v>20.21</v>
      </c>
    </row>
    <row r="1357" spans="1:33" x14ac:dyDescent="0.25">
      <c r="A1357" t="s">
        <v>57</v>
      </c>
      <c r="B1357" s="3">
        <v>44818</v>
      </c>
      <c r="C1357">
        <v>2022257</v>
      </c>
      <c r="D1357" t="s">
        <v>27</v>
      </c>
      <c r="E1357" t="s">
        <v>27</v>
      </c>
      <c r="F1357">
        <v>8.1</v>
      </c>
      <c r="G1357">
        <v>15.8</v>
      </c>
      <c r="H1357">
        <v>3.4</v>
      </c>
      <c r="I1357">
        <v>89.8</v>
      </c>
      <c r="J1357">
        <v>47.5</v>
      </c>
      <c r="K1357">
        <v>0.3</v>
      </c>
      <c r="L1357">
        <v>2.1</v>
      </c>
      <c r="M1357">
        <v>12.4</v>
      </c>
      <c r="N1357">
        <v>0</v>
      </c>
      <c r="O1357" t="s">
        <v>27</v>
      </c>
      <c r="P1357" t="s">
        <v>27</v>
      </c>
      <c r="Q1357" t="s">
        <v>27</v>
      </c>
      <c r="R1357" t="s">
        <v>27</v>
      </c>
      <c r="S1357">
        <v>10.3</v>
      </c>
      <c r="T1357">
        <v>11.8</v>
      </c>
      <c r="U1357" t="s">
        <v>27</v>
      </c>
      <c r="V1357">
        <v>7.9000000000000001E-2</v>
      </c>
      <c r="W1357">
        <v>0.85399999999999998</v>
      </c>
      <c r="X1357">
        <v>0.94399999999999995</v>
      </c>
      <c r="Y1357" t="s">
        <v>27</v>
      </c>
      <c r="Z1357" t="s">
        <v>27</v>
      </c>
      <c r="AA1357" t="s">
        <v>27</v>
      </c>
      <c r="AB1357" t="s">
        <v>27</v>
      </c>
      <c r="AC1357" t="s">
        <v>27</v>
      </c>
      <c r="AD1357" t="s">
        <v>27</v>
      </c>
      <c r="AE1357" t="s">
        <v>27</v>
      </c>
      <c r="AF1357" t="s">
        <v>27</v>
      </c>
      <c r="AG1357">
        <v>19.95</v>
      </c>
    </row>
    <row r="1358" spans="1:33" x14ac:dyDescent="0.25">
      <c r="A1358" t="s">
        <v>57</v>
      </c>
      <c r="B1358" s="3">
        <v>44819</v>
      </c>
      <c r="C1358">
        <v>2022258</v>
      </c>
      <c r="D1358" t="s">
        <v>27</v>
      </c>
      <c r="E1358" t="s">
        <v>27</v>
      </c>
      <c r="F1358">
        <v>9.6</v>
      </c>
      <c r="G1358">
        <v>17.100000000000001</v>
      </c>
      <c r="H1358">
        <v>2.8</v>
      </c>
      <c r="I1358">
        <v>81.3</v>
      </c>
      <c r="J1358">
        <v>43.4</v>
      </c>
      <c r="K1358">
        <v>0.5</v>
      </c>
      <c r="L1358">
        <v>2.5</v>
      </c>
      <c r="M1358">
        <v>0.6</v>
      </c>
      <c r="N1358">
        <v>0</v>
      </c>
      <c r="O1358" t="s">
        <v>27</v>
      </c>
      <c r="P1358" t="s">
        <v>27</v>
      </c>
      <c r="Q1358" t="s">
        <v>27</v>
      </c>
      <c r="R1358" t="s">
        <v>27</v>
      </c>
      <c r="S1358">
        <v>11.5</v>
      </c>
      <c r="T1358">
        <v>11.6</v>
      </c>
      <c r="U1358" t="s">
        <v>27</v>
      </c>
      <c r="V1358">
        <v>8.1000000000000003E-2</v>
      </c>
      <c r="W1358">
        <v>0.84799999999999998</v>
      </c>
      <c r="X1358">
        <v>1.1060000000000001</v>
      </c>
      <c r="Y1358" t="s">
        <v>27</v>
      </c>
      <c r="Z1358" t="s">
        <v>27</v>
      </c>
      <c r="AA1358" t="s">
        <v>27</v>
      </c>
      <c r="AB1358" t="s">
        <v>27</v>
      </c>
      <c r="AC1358" t="s">
        <v>27</v>
      </c>
      <c r="AD1358" t="s">
        <v>27</v>
      </c>
      <c r="AE1358" t="s">
        <v>27</v>
      </c>
      <c r="AF1358" t="s">
        <v>27</v>
      </c>
      <c r="AG1358">
        <v>19.7</v>
      </c>
    </row>
    <row r="1359" spans="1:33" x14ac:dyDescent="0.25">
      <c r="A1359" t="s">
        <v>57</v>
      </c>
      <c r="B1359" s="3">
        <v>44820</v>
      </c>
      <c r="C1359">
        <v>2022259</v>
      </c>
      <c r="D1359" t="s">
        <v>27</v>
      </c>
      <c r="E1359" t="s">
        <v>27</v>
      </c>
      <c r="F1359">
        <v>6.7</v>
      </c>
      <c r="G1359">
        <v>12.8</v>
      </c>
      <c r="H1359">
        <v>0.8</v>
      </c>
      <c r="I1359">
        <v>77.5</v>
      </c>
      <c r="J1359">
        <v>43.5</v>
      </c>
      <c r="K1359">
        <v>0.8</v>
      </c>
      <c r="L1359">
        <v>3.7</v>
      </c>
      <c r="M1359">
        <v>0</v>
      </c>
      <c r="N1359">
        <v>0</v>
      </c>
      <c r="O1359" t="s">
        <v>27</v>
      </c>
      <c r="P1359" t="s">
        <v>27</v>
      </c>
      <c r="Q1359" t="s">
        <v>27</v>
      </c>
      <c r="R1359" t="s">
        <v>27</v>
      </c>
      <c r="S1359">
        <v>8.1999999999999993</v>
      </c>
      <c r="T1359">
        <v>11.3</v>
      </c>
      <c r="U1359" t="s">
        <v>27</v>
      </c>
      <c r="V1359">
        <v>7.8E-2</v>
      </c>
      <c r="W1359">
        <v>0.64400000000000002</v>
      </c>
      <c r="X1359">
        <v>0.83599999999999997</v>
      </c>
      <c r="Y1359" t="s">
        <v>27</v>
      </c>
      <c r="Z1359" t="s">
        <v>27</v>
      </c>
      <c r="AA1359" t="s">
        <v>27</v>
      </c>
      <c r="AB1359" t="s">
        <v>27</v>
      </c>
      <c r="AC1359" t="s">
        <v>27</v>
      </c>
      <c r="AD1359" t="s">
        <v>27</v>
      </c>
      <c r="AE1359" t="s">
        <v>27</v>
      </c>
      <c r="AF1359" t="s">
        <v>27</v>
      </c>
      <c r="AG1359">
        <v>19.45</v>
      </c>
    </row>
    <row r="1360" spans="1:33" x14ac:dyDescent="0.25">
      <c r="A1360" t="s">
        <v>57</v>
      </c>
      <c r="B1360" s="3">
        <v>44821</v>
      </c>
      <c r="C1360">
        <v>2022260</v>
      </c>
      <c r="D1360" t="s">
        <v>27</v>
      </c>
      <c r="E1360" t="s">
        <v>27</v>
      </c>
      <c r="F1360">
        <v>4.5</v>
      </c>
      <c r="G1360">
        <v>11</v>
      </c>
      <c r="H1360">
        <v>-1.7</v>
      </c>
      <c r="I1360">
        <v>72.900000000000006</v>
      </c>
      <c r="J1360">
        <v>38.6</v>
      </c>
      <c r="K1360">
        <v>0.9</v>
      </c>
      <c r="L1360">
        <v>2.6</v>
      </c>
      <c r="M1360">
        <v>0</v>
      </c>
      <c r="N1360">
        <v>0</v>
      </c>
      <c r="O1360" t="s">
        <v>27</v>
      </c>
      <c r="P1360" t="s">
        <v>27</v>
      </c>
      <c r="Q1360" t="s">
        <v>27</v>
      </c>
      <c r="R1360" t="s">
        <v>27</v>
      </c>
      <c r="S1360">
        <v>6.9</v>
      </c>
      <c r="T1360">
        <v>9.8000000000000007</v>
      </c>
      <c r="U1360" t="s">
        <v>27</v>
      </c>
      <c r="V1360">
        <v>7.4999999999999997E-2</v>
      </c>
      <c r="W1360">
        <v>0.50800000000000001</v>
      </c>
      <c r="X1360">
        <v>0.80800000000000005</v>
      </c>
      <c r="Y1360" t="s">
        <v>27</v>
      </c>
      <c r="Z1360" t="s">
        <v>27</v>
      </c>
      <c r="AA1360" t="s">
        <v>27</v>
      </c>
      <c r="AB1360" t="s">
        <v>27</v>
      </c>
      <c r="AC1360" t="s">
        <v>27</v>
      </c>
      <c r="AD1360" t="s">
        <v>27</v>
      </c>
      <c r="AE1360" t="s">
        <v>27</v>
      </c>
      <c r="AF1360" t="s">
        <v>27</v>
      </c>
      <c r="AG1360">
        <v>19.2</v>
      </c>
    </row>
    <row r="1361" spans="1:33" x14ac:dyDescent="0.25">
      <c r="A1361" t="s">
        <v>57</v>
      </c>
      <c r="B1361" s="3">
        <v>44822</v>
      </c>
      <c r="C1361">
        <v>2022261</v>
      </c>
      <c r="D1361" t="s">
        <v>27</v>
      </c>
      <c r="E1361" t="s">
        <v>27</v>
      </c>
      <c r="F1361">
        <v>6.6</v>
      </c>
      <c r="G1361">
        <v>16.399999999999999</v>
      </c>
      <c r="H1361">
        <v>0.1</v>
      </c>
      <c r="I1361">
        <v>71.7</v>
      </c>
      <c r="J1361">
        <v>45.9</v>
      </c>
      <c r="K1361">
        <v>0.9</v>
      </c>
      <c r="L1361">
        <v>2.6</v>
      </c>
      <c r="M1361">
        <v>0</v>
      </c>
      <c r="N1361">
        <v>0</v>
      </c>
      <c r="O1361" t="s">
        <v>27</v>
      </c>
      <c r="P1361" t="s">
        <v>27</v>
      </c>
      <c r="Q1361" t="s">
        <v>27</v>
      </c>
      <c r="R1361" t="s">
        <v>27</v>
      </c>
      <c r="S1361">
        <v>8.1999999999999993</v>
      </c>
      <c r="T1361">
        <v>9.6</v>
      </c>
      <c r="U1361" t="s">
        <v>27</v>
      </c>
      <c r="V1361">
        <v>7.1999999999999995E-2</v>
      </c>
      <c r="W1361">
        <v>0.85799999999999998</v>
      </c>
      <c r="X1361">
        <v>1.0109999999999999</v>
      </c>
      <c r="Y1361" t="s">
        <v>27</v>
      </c>
      <c r="Z1361" t="s">
        <v>27</v>
      </c>
      <c r="AA1361" t="s">
        <v>27</v>
      </c>
      <c r="AB1361" t="s">
        <v>27</v>
      </c>
      <c r="AC1361" t="s">
        <v>27</v>
      </c>
      <c r="AD1361" t="s">
        <v>27</v>
      </c>
      <c r="AE1361" t="s">
        <v>27</v>
      </c>
      <c r="AF1361" t="s">
        <v>27</v>
      </c>
      <c r="AG1361">
        <v>18.940000000000001</v>
      </c>
    </row>
    <row r="1362" spans="1:33" x14ac:dyDescent="0.25">
      <c r="A1362" t="s">
        <v>57</v>
      </c>
      <c r="B1362" s="3">
        <v>44823</v>
      </c>
      <c r="C1362">
        <v>2022262</v>
      </c>
      <c r="D1362" t="s">
        <v>27</v>
      </c>
      <c r="E1362" t="s">
        <v>27</v>
      </c>
      <c r="F1362">
        <v>5.3</v>
      </c>
      <c r="G1362">
        <v>13.3</v>
      </c>
      <c r="H1362">
        <v>-1.4</v>
      </c>
      <c r="I1362">
        <v>71.099999999999994</v>
      </c>
      <c r="J1362">
        <v>32.200000000000003</v>
      </c>
      <c r="K1362">
        <v>0.7</v>
      </c>
      <c r="L1362">
        <v>3.2</v>
      </c>
      <c r="M1362">
        <v>0</v>
      </c>
      <c r="N1362">
        <v>0</v>
      </c>
      <c r="O1362" t="s">
        <v>27</v>
      </c>
      <c r="P1362" t="s">
        <v>27</v>
      </c>
      <c r="Q1362" t="s">
        <v>27</v>
      </c>
      <c r="R1362" t="s">
        <v>27</v>
      </c>
      <c r="S1362">
        <v>6.3</v>
      </c>
      <c r="T1362">
        <v>9</v>
      </c>
      <c r="U1362" t="s">
        <v>27</v>
      </c>
      <c r="V1362">
        <v>6.9000000000000006E-2</v>
      </c>
      <c r="W1362">
        <v>0.49299999999999999</v>
      </c>
      <c r="X1362">
        <v>1.038</v>
      </c>
      <c r="Y1362" t="s">
        <v>27</v>
      </c>
      <c r="Z1362" t="s">
        <v>27</v>
      </c>
      <c r="AA1362" t="s">
        <v>27</v>
      </c>
      <c r="AB1362" t="s">
        <v>27</v>
      </c>
      <c r="AC1362" t="s">
        <v>27</v>
      </c>
      <c r="AD1362" t="s">
        <v>27</v>
      </c>
      <c r="AE1362" t="s">
        <v>27</v>
      </c>
      <c r="AF1362" t="s">
        <v>27</v>
      </c>
      <c r="AG1362">
        <v>18.690000000000001</v>
      </c>
    </row>
    <row r="1363" spans="1:33" x14ac:dyDescent="0.25">
      <c r="A1363" t="s">
        <v>57</v>
      </c>
      <c r="B1363" s="3">
        <v>44824</v>
      </c>
      <c r="C1363">
        <v>2022263</v>
      </c>
      <c r="D1363" t="s">
        <v>27</v>
      </c>
      <c r="E1363" t="s">
        <v>27</v>
      </c>
      <c r="F1363">
        <v>5.6</v>
      </c>
      <c r="G1363">
        <v>13</v>
      </c>
      <c r="H1363">
        <v>-1.2</v>
      </c>
      <c r="I1363">
        <v>67.7</v>
      </c>
      <c r="J1363">
        <v>33.5</v>
      </c>
      <c r="K1363">
        <v>0.9</v>
      </c>
      <c r="L1363">
        <v>2.9</v>
      </c>
      <c r="M1363">
        <v>0</v>
      </c>
      <c r="N1363">
        <v>0</v>
      </c>
      <c r="O1363" t="s">
        <v>27</v>
      </c>
      <c r="P1363" t="s">
        <v>27</v>
      </c>
      <c r="Q1363" t="s">
        <v>27</v>
      </c>
      <c r="R1363" t="s">
        <v>27</v>
      </c>
      <c r="S1363">
        <v>7.1</v>
      </c>
      <c r="T1363">
        <v>8.9</v>
      </c>
      <c r="U1363" t="s">
        <v>27</v>
      </c>
      <c r="V1363">
        <v>6.6000000000000003E-2</v>
      </c>
      <c r="W1363">
        <v>0.502</v>
      </c>
      <c r="X1363">
        <v>0.997</v>
      </c>
      <c r="Y1363" t="s">
        <v>27</v>
      </c>
      <c r="Z1363" t="s">
        <v>27</v>
      </c>
      <c r="AA1363" t="s">
        <v>27</v>
      </c>
      <c r="AB1363" t="s">
        <v>27</v>
      </c>
      <c r="AC1363" t="s">
        <v>27</v>
      </c>
      <c r="AD1363" t="s">
        <v>27</v>
      </c>
      <c r="AE1363" t="s">
        <v>27</v>
      </c>
      <c r="AF1363" t="s">
        <v>27</v>
      </c>
      <c r="AG1363">
        <v>18.440000000000001</v>
      </c>
    </row>
    <row r="1364" spans="1:33" x14ac:dyDescent="0.25">
      <c r="A1364" t="s">
        <v>57</v>
      </c>
      <c r="B1364" s="3">
        <v>44825</v>
      </c>
      <c r="C1364">
        <v>2022264</v>
      </c>
      <c r="D1364" t="s">
        <v>27</v>
      </c>
      <c r="E1364" t="s">
        <v>27</v>
      </c>
      <c r="F1364">
        <v>7.5</v>
      </c>
      <c r="G1364">
        <v>19.8</v>
      </c>
      <c r="H1364">
        <v>-2.2999999999999998</v>
      </c>
      <c r="I1364">
        <v>60.8</v>
      </c>
      <c r="J1364">
        <v>19.600000000000001</v>
      </c>
      <c r="K1364">
        <v>0.6</v>
      </c>
      <c r="L1364">
        <v>2.2999999999999998</v>
      </c>
      <c r="M1364">
        <v>0</v>
      </c>
      <c r="N1364">
        <v>0</v>
      </c>
      <c r="O1364" t="s">
        <v>27</v>
      </c>
      <c r="P1364" t="s">
        <v>27</v>
      </c>
      <c r="Q1364" t="s">
        <v>27</v>
      </c>
      <c r="R1364" t="s">
        <v>27</v>
      </c>
      <c r="S1364">
        <v>8.3000000000000007</v>
      </c>
      <c r="T1364">
        <v>8.8000000000000007</v>
      </c>
      <c r="U1364" t="s">
        <v>27</v>
      </c>
      <c r="V1364">
        <v>6.3E-2</v>
      </c>
      <c r="W1364">
        <v>0.45100000000000001</v>
      </c>
      <c r="X1364">
        <v>1.85</v>
      </c>
      <c r="Y1364" t="s">
        <v>27</v>
      </c>
      <c r="Z1364" t="s">
        <v>27</v>
      </c>
      <c r="AA1364" t="s">
        <v>27</v>
      </c>
      <c r="AB1364" t="s">
        <v>27</v>
      </c>
      <c r="AC1364" t="s">
        <v>27</v>
      </c>
      <c r="AD1364" t="s">
        <v>27</v>
      </c>
      <c r="AE1364" t="s">
        <v>27</v>
      </c>
      <c r="AF1364" t="s">
        <v>27</v>
      </c>
      <c r="AG1364">
        <v>18.18</v>
      </c>
    </row>
    <row r="1365" spans="1:33" x14ac:dyDescent="0.25">
      <c r="A1365" t="s">
        <v>57</v>
      </c>
      <c r="B1365" s="3">
        <v>44826</v>
      </c>
      <c r="C1365">
        <v>2022265</v>
      </c>
      <c r="D1365" t="s">
        <v>27</v>
      </c>
      <c r="E1365" t="s">
        <v>27</v>
      </c>
      <c r="F1365">
        <v>7.6</v>
      </c>
      <c r="G1365">
        <v>17.7</v>
      </c>
      <c r="H1365">
        <v>-1.2</v>
      </c>
      <c r="I1365">
        <v>58.3</v>
      </c>
      <c r="J1365">
        <v>25</v>
      </c>
      <c r="K1365">
        <v>1.1000000000000001</v>
      </c>
      <c r="L1365">
        <v>4.0999999999999996</v>
      </c>
      <c r="M1365">
        <v>0</v>
      </c>
      <c r="N1365">
        <v>0</v>
      </c>
      <c r="O1365" t="s">
        <v>27</v>
      </c>
      <c r="P1365" t="s">
        <v>27</v>
      </c>
      <c r="Q1365" t="s">
        <v>27</v>
      </c>
      <c r="R1365" t="s">
        <v>27</v>
      </c>
      <c r="S1365">
        <v>8.6</v>
      </c>
      <c r="T1365">
        <v>9</v>
      </c>
      <c r="U1365" t="s">
        <v>27</v>
      </c>
      <c r="V1365">
        <v>0.06</v>
      </c>
      <c r="W1365">
        <v>0.50700000000000001</v>
      </c>
      <c r="X1365">
        <v>1.5209999999999999</v>
      </c>
      <c r="Y1365" t="s">
        <v>27</v>
      </c>
      <c r="Z1365" t="s">
        <v>27</v>
      </c>
      <c r="AA1365" t="s">
        <v>27</v>
      </c>
      <c r="AB1365" t="s">
        <v>27</v>
      </c>
      <c r="AC1365" t="s">
        <v>27</v>
      </c>
      <c r="AD1365" t="s">
        <v>27</v>
      </c>
      <c r="AE1365" t="s">
        <v>27</v>
      </c>
      <c r="AF1365" t="s">
        <v>27</v>
      </c>
      <c r="AG1365">
        <v>17.93</v>
      </c>
    </row>
    <row r="1366" spans="1:33" x14ac:dyDescent="0.25">
      <c r="A1366" t="s">
        <v>57</v>
      </c>
      <c r="B1366" s="3">
        <v>44827</v>
      </c>
      <c r="C1366">
        <v>2022266</v>
      </c>
      <c r="D1366" t="s">
        <v>27</v>
      </c>
      <c r="E1366" t="s">
        <v>27</v>
      </c>
      <c r="F1366">
        <v>8</v>
      </c>
      <c r="G1366">
        <v>13.2</v>
      </c>
      <c r="H1366">
        <v>2.5</v>
      </c>
      <c r="I1366">
        <v>70.3</v>
      </c>
      <c r="J1366">
        <v>51.5</v>
      </c>
      <c r="K1366">
        <v>1.4</v>
      </c>
      <c r="L1366">
        <v>3.6</v>
      </c>
      <c r="M1366">
        <v>0</v>
      </c>
      <c r="N1366">
        <v>0</v>
      </c>
      <c r="O1366" t="s">
        <v>27</v>
      </c>
      <c r="P1366" t="s">
        <v>27</v>
      </c>
      <c r="Q1366" t="s">
        <v>27</v>
      </c>
      <c r="R1366" t="s">
        <v>27</v>
      </c>
      <c r="S1366">
        <v>9.4</v>
      </c>
      <c r="T1366">
        <v>9.1999999999999993</v>
      </c>
      <c r="U1366" t="s">
        <v>27</v>
      </c>
      <c r="V1366">
        <v>5.8000000000000003E-2</v>
      </c>
      <c r="W1366">
        <v>0.77900000000000003</v>
      </c>
      <c r="X1366">
        <v>0.73399999999999999</v>
      </c>
      <c r="Y1366" t="s">
        <v>27</v>
      </c>
      <c r="Z1366" t="s">
        <v>27</v>
      </c>
      <c r="AA1366" t="s">
        <v>27</v>
      </c>
      <c r="AB1366" t="s">
        <v>27</v>
      </c>
      <c r="AC1366" t="s">
        <v>27</v>
      </c>
      <c r="AD1366" t="s">
        <v>27</v>
      </c>
      <c r="AE1366" t="s">
        <v>27</v>
      </c>
      <c r="AF1366" t="s">
        <v>27</v>
      </c>
      <c r="AG1366">
        <v>17.68</v>
      </c>
    </row>
    <row r="1367" spans="1:33" x14ac:dyDescent="0.25">
      <c r="A1367" t="s">
        <v>57</v>
      </c>
      <c r="B1367" s="3">
        <v>44828</v>
      </c>
      <c r="C1367">
        <v>2022267</v>
      </c>
      <c r="D1367" t="s">
        <v>27</v>
      </c>
      <c r="E1367" t="s">
        <v>27</v>
      </c>
      <c r="F1367">
        <v>7.1</v>
      </c>
      <c r="G1367">
        <v>17.100000000000001</v>
      </c>
      <c r="H1367">
        <v>-1.6</v>
      </c>
      <c r="I1367">
        <v>76.900000000000006</v>
      </c>
      <c r="J1367">
        <v>42.6</v>
      </c>
      <c r="K1367">
        <v>0.4</v>
      </c>
      <c r="L1367">
        <v>2.1</v>
      </c>
      <c r="M1367">
        <v>0</v>
      </c>
      <c r="N1367">
        <v>0</v>
      </c>
      <c r="O1367" t="s">
        <v>27</v>
      </c>
      <c r="P1367" t="s">
        <v>27</v>
      </c>
      <c r="Q1367" t="s">
        <v>27</v>
      </c>
      <c r="R1367" t="s">
        <v>27</v>
      </c>
      <c r="S1367">
        <v>9.1</v>
      </c>
      <c r="T1367">
        <v>9.3000000000000007</v>
      </c>
      <c r="U1367" t="s">
        <v>27</v>
      </c>
      <c r="V1367">
        <v>5.5E-2</v>
      </c>
      <c r="W1367">
        <v>0.82899999999999996</v>
      </c>
      <c r="X1367">
        <v>1.117</v>
      </c>
      <c r="Y1367" t="s">
        <v>27</v>
      </c>
      <c r="Z1367" t="s">
        <v>27</v>
      </c>
      <c r="AA1367" t="s">
        <v>27</v>
      </c>
      <c r="AB1367" t="s">
        <v>27</v>
      </c>
      <c r="AC1367" t="s">
        <v>27</v>
      </c>
      <c r="AD1367" t="s">
        <v>27</v>
      </c>
      <c r="AE1367" t="s">
        <v>27</v>
      </c>
      <c r="AF1367" t="s">
        <v>27</v>
      </c>
      <c r="AG1367">
        <v>17.43</v>
      </c>
    </row>
    <row r="1368" spans="1:33" x14ac:dyDescent="0.25">
      <c r="A1368" t="s">
        <v>57</v>
      </c>
      <c r="B1368" s="3">
        <v>44829</v>
      </c>
      <c r="C1368">
        <v>2022268</v>
      </c>
      <c r="D1368" t="s">
        <v>27</v>
      </c>
      <c r="E1368" t="s">
        <v>27</v>
      </c>
      <c r="F1368">
        <v>10.5</v>
      </c>
      <c r="G1368">
        <v>22.5</v>
      </c>
      <c r="H1368">
        <v>1.3</v>
      </c>
      <c r="I1368">
        <v>73</v>
      </c>
      <c r="J1368">
        <v>36.5</v>
      </c>
      <c r="K1368">
        <v>0.3</v>
      </c>
      <c r="L1368">
        <v>2</v>
      </c>
      <c r="M1368">
        <v>0</v>
      </c>
      <c r="N1368">
        <v>0</v>
      </c>
      <c r="O1368" t="s">
        <v>27</v>
      </c>
      <c r="P1368" t="s">
        <v>27</v>
      </c>
      <c r="Q1368" t="s">
        <v>27</v>
      </c>
      <c r="R1368" t="s">
        <v>27</v>
      </c>
      <c r="S1368">
        <v>11.2</v>
      </c>
      <c r="T1368">
        <v>9.6999999999999993</v>
      </c>
      <c r="U1368" t="s">
        <v>27</v>
      </c>
      <c r="V1368">
        <v>5.2999999999999999E-2</v>
      </c>
      <c r="W1368">
        <v>0.99299999999999999</v>
      </c>
      <c r="X1368">
        <v>1.728</v>
      </c>
      <c r="Y1368" t="s">
        <v>27</v>
      </c>
      <c r="Z1368" t="s">
        <v>27</v>
      </c>
      <c r="AA1368" t="s">
        <v>27</v>
      </c>
      <c r="AB1368" t="s">
        <v>27</v>
      </c>
      <c r="AC1368" t="s">
        <v>27</v>
      </c>
      <c r="AD1368" t="s">
        <v>27</v>
      </c>
      <c r="AE1368" t="s">
        <v>27</v>
      </c>
      <c r="AF1368" t="s">
        <v>27</v>
      </c>
      <c r="AG1368">
        <v>17.170000000000002</v>
      </c>
    </row>
    <row r="1369" spans="1:33" x14ac:dyDescent="0.25">
      <c r="A1369" t="s">
        <v>57</v>
      </c>
      <c r="B1369" s="3">
        <v>44830</v>
      </c>
      <c r="C1369">
        <v>2022269</v>
      </c>
      <c r="D1369" t="s">
        <v>27</v>
      </c>
      <c r="E1369" t="s">
        <v>27</v>
      </c>
      <c r="F1369">
        <v>11.1</v>
      </c>
      <c r="G1369">
        <v>23</v>
      </c>
      <c r="H1369">
        <v>2.9</v>
      </c>
      <c r="I1369">
        <v>68.2</v>
      </c>
      <c r="J1369">
        <v>24.9</v>
      </c>
      <c r="K1369">
        <v>0.4</v>
      </c>
      <c r="L1369">
        <v>2.4</v>
      </c>
      <c r="M1369">
        <v>0</v>
      </c>
      <c r="N1369">
        <v>0</v>
      </c>
      <c r="O1369" t="s">
        <v>27</v>
      </c>
      <c r="P1369" t="s">
        <v>27</v>
      </c>
      <c r="Q1369" t="s">
        <v>27</v>
      </c>
      <c r="R1369" t="s">
        <v>27</v>
      </c>
      <c r="S1369">
        <v>10</v>
      </c>
      <c r="T1369">
        <v>9.9</v>
      </c>
      <c r="U1369" t="s">
        <v>27</v>
      </c>
      <c r="V1369">
        <v>5.0999999999999997E-2</v>
      </c>
      <c r="W1369">
        <v>0.69899999999999995</v>
      </c>
      <c r="X1369">
        <v>2.1080000000000001</v>
      </c>
      <c r="Y1369" t="s">
        <v>27</v>
      </c>
      <c r="Z1369" t="s">
        <v>27</v>
      </c>
      <c r="AA1369" t="s">
        <v>27</v>
      </c>
      <c r="AB1369" t="s">
        <v>27</v>
      </c>
      <c r="AC1369" t="s">
        <v>27</v>
      </c>
      <c r="AD1369" t="s">
        <v>27</v>
      </c>
      <c r="AE1369" t="s">
        <v>27</v>
      </c>
      <c r="AF1369" t="s">
        <v>27</v>
      </c>
      <c r="AG1369">
        <v>16.93</v>
      </c>
    </row>
    <row r="1370" spans="1:33" x14ac:dyDescent="0.25">
      <c r="A1370" t="s">
        <v>57</v>
      </c>
      <c r="B1370" s="3">
        <v>44831</v>
      </c>
      <c r="C1370">
        <v>2022270</v>
      </c>
      <c r="D1370" t="s">
        <v>27</v>
      </c>
      <c r="E1370" t="s">
        <v>27</v>
      </c>
      <c r="F1370">
        <v>12.1</v>
      </c>
      <c r="G1370">
        <v>25.6</v>
      </c>
      <c r="H1370">
        <v>2.5</v>
      </c>
      <c r="I1370">
        <v>63.1</v>
      </c>
      <c r="J1370">
        <v>20.399999999999999</v>
      </c>
      <c r="K1370">
        <v>0.4</v>
      </c>
      <c r="L1370">
        <v>2.6</v>
      </c>
      <c r="M1370">
        <v>0</v>
      </c>
      <c r="N1370">
        <v>0</v>
      </c>
      <c r="O1370" t="s">
        <v>27</v>
      </c>
      <c r="P1370" t="s">
        <v>27</v>
      </c>
      <c r="Q1370" t="s">
        <v>27</v>
      </c>
      <c r="R1370" t="s">
        <v>27</v>
      </c>
      <c r="S1370">
        <v>11.7</v>
      </c>
      <c r="T1370">
        <v>10.1</v>
      </c>
      <c r="U1370" t="s">
        <v>27</v>
      </c>
      <c r="V1370">
        <v>4.8000000000000001E-2</v>
      </c>
      <c r="W1370">
        <v>0.67</v>
      </c>
      <c r="X1370">
        <v>2.6139999999999999</v>
      </c>
      <c r="Y1370" t="s">
        <v>27</v>
      </c>
      <c r="Z1370" t="s">
        <v>27</v>
      </c>
      <c r="AA1370" t="s">
        <v>27</v>
      </c>
      <c r="AB1370" t="s">
        <v>27</v>
      </c>
      <c r="AC1370" t="s">
        <v>27</v>
      </c>
      <c r="AD1370" t="s">
        <v>27</v>
      </c>
      <c r="AE1370" t="s">
        <v>27</v>
      </c>
      <c r="AF1370" t="s">
        <v>27</v>
      </c>
      <c r="AG1370">
        <v>16.68</v>
      </c>
    </row>
    <row r="1371" spans="1:33" x14ac:dyDescent="0.25">
      <c r="A1371" t="s">
        <v>57</v>
      </c>
      <c r="B1371" s="3">
        <v>44832</v>
      </c>
      <c r="C1371">
        <v>2022271</v>
      </c>
      <c r="D1371" t="s">
        <v>27</v>
      </c>
      <c r="E1371" t="s">
        <v>27</v>
      </c>
      <c r="F1371">
        <v>11.2</v>
      </c>
      <c r="G1371">
        <v>22.8</v>
      </c>
      <c r="H1371">
        <v>2.4</v>
      </c>
      <c r="I1371">
        <v>71.099999999999994</v>
      </c>
      <c r="J1371">
        <v>31.7</v>
      </c>
      <c r="K1371">
        <v>0.4</v>
      </c>
      <c r="L1371">
        <v>2.8</v>
      </c>
      <c r="M1371">
        <v>0.6</v>
      </c>
      <c r="N1371">
        <v>0</v>
      </c>
      <c r="O1371" t="s">
        <v>27</v>
      </c>
      <c r="P1371" t="s">
        <v>27</v>
      </c>
      <c r="Q1371" t="s">
        <v>27</v>
      </c>
      <c r="R1371" t="s">
        <v>27</v>
      </c>
      <c r="S1371">
        <v>11.9</v>
      </c>
      <c r="T1371">
        <v>10.3</v>
      </c>
      <c r="U1371" t="s">
        <v>27</v>
      </c>
      <c r="V1371">
        <v>4.5999999999999999E-2</v>
      </c>
      <c r="W1371">
        <v>0.88100000000000001</v>
      </c>
      <c r="X1371">
        <v>1.8979999999999999</v>
      </c>
      <c r="Y1371" t="s">
        <v>27</v>
      </c>
      <c r="Z1371" t="s">
        <v>27</v>
      </c>
      <c r="AA1371" t="s">
        <v>27</v>
      </c>
      <c r="AB1371" t="s">
        <v>27</v>
      </c>
      <c r="AC1371" t="s">
        <v>27</v>
      </c>
      <c r="AD1371" t="s">
        <v>27</v>
      </c>
      <c r="AE1371" t="s">
        <v>27</v>
      </c>
      <c r="AF1371" t="s">
        <v>27</v>
      </c>
      <c r="AG1371">
        <v>16.43</v>
      </c>
    </row>
    <row r="1372" spans="1:33" x14ac:dyDescent="0.25">
      <c r="A1372" t="s">
        <v>57</v>
      </c>
      <c r="B1372" s="3">
        <v>44833</v>
      </c>
      <c r="C1372">
        <v>2022272</v>
      </c>
      <c r="D1372" t="s">
        <v>27</v>
      </c>
      <c r="E1372" t="s">
        <v>27</v>
      </c>
      <c r="F1372">
        <v>7.2</v>
      </c>
      <c r="G1372">
        <v>11.4</v>
      </c>
      <c r="H1372">
        <v>3.1</v>
      </c>
      <c r="I1372">
        <v>92.4</v>
      </c>
      <c r="J1372">
        <v>69.2</v>
      </c>
      <c r="K1372">
        <v>0.1</v>
      </c>
      <c r="L1372">
        <v>1.4</v>
      </c>
      <c r="M1372">
        <v>1.3</v>
      </c>
      <c r="N1372">
        <v>0</v>
      </c>
      <c r="O1372" t="s">
        <v>27</v>
      </c>
      <c r="P1372" t="s">
        <v>27</v>
      </c>
      <c r="Q1372" t="s">
        <v>27</v>
      </c>
      <c r="R1372" t="s">
        <v>27</v>
      </c>
      <c r="S1372">
        <v>7.2</v>
      </c>
      <c r="T1372">
        <v>9.9</v>
      </c>
      <c r="U1372" t="s">
        <v>27</v>
      </c>
      <c r="V1372">
        <v>4.4999999999999998E-2</v>
      </c>
      <c r="W1372">
        <v>0.93</v>
      </c>
      <c r="X1372">
        <v>0.41399999999999998</v>
      </c>
      <c r="Y1372" t="s">
        <v>27</v>
      </c>
      <c r="Z1372" t="s">
        <v>27</v>
      </c>
      <c r="AA1372" t="s">
        <v>27</v>
      </c>
      <c r="AB1372" t="s">
        <v>27</v>
      </c>
      <c r="AC1372" t="s">
        <v>27</v>
      </c>
      <c r="AD1372" t="s">
        <v>27</v>
      </c>
      <c r="AE1372" t="s">
        <v>27</v>
      </c>
      <c r="AF1372" t="s">
        <v>27</v>
      </c>
      <c r="AG1372">
        <v>16.18</v>
      </c>
    </row>
    <row r="1373" spans="1:33" x14ac:dyDescent="0.25">
      <c r="A1373" t="s">
        <v>57</v>
      </c>
      <c r="B1373" s="3">
        <v>44834</v>
      </c>
      <c r="C1373">
        <v>2022273</v>
      </c>
      <c r="D1373" t="s">
        <v>27</v>
      </c>
      <c r="E1373" t="s">
        <v>27</v>
      </c>
      <c r="F1373">
        <v>8.5</v>
      </c>
      <c r="G1373">
        <v>16.899999999999999</v>
      </c>
      <c r="H1373">
        <v>2.2999999999999998</v>
      </c>
      <c r="I1373">
        <v>83.5</v>
      </c>
      <c r="J1373">
        <v>49.7</v>
      </c>
      <c r="K1373">
        <v>0.5</v>
      </c>
      <c r="L1373">
        <v>2.2999999999999998</v>
      </c>
      <c r="M1373">
        <v>0.1</v>
      </c>
      <c r="N1373">
        <v>0</v>
      </c>
      <c r="O1373" t="s">
        <v>27</v>
      </c>
      <c r="P1373" t="s">
        <v>27</v>
      </c>
      <c r="Q1373" t="s">
        <v>27</v>
      </c>
      <c r="R1373" t="s">
        <v>27</v>
      </c>
      <c r="S1373">
        <v>7.8</v>
      </c>
      <c r="T1373">
        <v>9.1</v>
      </c>
      <c r="U1373" t="s">
        <v>27</v>
      </c>
      <c r="V1373">
        <v>4.3999999999999997E-2</v>
      </c>
      <c r="W1373">
        <v>0.95699999999999996</v>
      </c>
      <c r="X1373">
        <v>0.96899999999999997</v>
      </c>
      <c r="Y1373" t="s">
        <v>27</v>
      </c>
      <c r="Z1373" t="s">
        <v>27</v>
      </c>
      <c r="AA1373" t="s">
        <v>27</v>
      </c>
      <c r="AB1373" t="s">
        <v>27</v>
      </c>
      <c r="AC1373" t="s">
        <v>27</v>
      </c>
      <c r="AD1373" t="s">
        <v>27</v>
      </c>
      <c r="AE1373" t="s">
        <v>27</v>
      </c>
      <c r="AF1373" t="s">
        <v>27</v>
      </c>
      <c r="AG1373">
        <v>15.93</v>
      </c>
    </row>
    <row r="1374" spans="1:33" x14ac:dyDescent="0.25">
      <c r="A1374" t="s">
        <v>57</v>
      </c>
      <c r="B1374" s="3">
        <v>44835</v>
      </c>
      <c r="C1374">
        <v>2022274</v>
      </c>
      <c r="D1374" t="s">
        <v>27</v>
      </c>
      <c r="E1374" t="s">
        <v>27</v>
      </c>
      <c r="F1374">
        <v>10</v>
      </c>
      <c r="G1374">
        <v>20.9</v>
      </c>
      <c r="H1374">
        <v>2.6</v>
      </c>
      <c r="I1374">
        <v>77.8</v>
      </c>
      <c r="J1374">
        <v>32.299999999999997</v>
      </c>
      <c r="K1374">
        <v>0.3</v>
      </c>
      <c r="L1374">
        <v>2.4</v>
      </c>
      <c r="M1374">
        <v>0</v>
      </c>
      <c r="N1374">
        <v>0</v>
      </c>
      <c r="O1374" t="s">
        <v>27</v>
      </c>
      <c r="P1374" t="s">
        <v>27</v>
      </c>
      <c r="Q1374" t="s">
        <v>27</v>
      </c>
      <c r="R1374" t="s">
        <v>27</v>
      </c>
      <c r="S1374">
        <v>9.1</v>
      </c>
      <c r="T1374">
        <v>9.3000000000000007</v>
      </c>
      <c r="U1374" t="s">
        <v>27</v>
      </c>
      <c r="V1374">
        <v>4.2000000000000003E-2</v>
      </c>
      <c r="W1374">
        <v>0.8</v>
      </c>
      <c r="X1374">
        <v>1.677</v>
      </c>
      <c r="Y1374" t="s">
        <v>27</v>
      </c>
      <c r="Z1374" t="s">
        <v>27</v>
      </c>
      <c r="AA1374" t="s">
        <v>27</v>
      </c>
      <c r="AB1374" t="s">
        <v>27</v>
      </c>
      <c r="AC1374" t="s">
        <v>27</v>
      </c>
      <c r="AD1374" t="s">
        <v>27</v>
      </c>
      <c r="AE1374" t="s">
        <v>27</v>
      </c>
      <c r="AF1374" t="s">
        <v>27</v>
      </c>
      <c r="AG1374">
        <v>15.69</v>
      </c>
    </row>
    <row r="1375" spans="1:33" x14ac:dyDescent="0.25">
      <c r="A1375" t="s">
        <v>57</v>
      </c>
      <c r="B1375" s="3">
        <v>44836</v>
      </c>
      <c r="C1375">
        <v>2022275</v>
      </c>
      <c r="D1375" t="s">
        <v>27</v>
      </c>
      <c r="E1375" t="s">
        <v>27</v>
      </c>
      <c r="F1375">
        <v>10.1</v>
      </c>
      <c r="G1375">
        <v>20.8</v>
      </c>
      <c r="H1375">
        <v>2.1</v>
      </c>
      <c r="I1375">
        <v>73</v>
      </c>
      <c r="J1375">
        <v>31.3</v>
      </c>
      <c r="K1375">
        <v>0.3</v>
      </c>
      <c r="L1375">
        <v>2.2999999999999998</v>
      </c>
      <c r="M1375">
        <v>0</v>
      </c>
      <c r="N1375">
        <v>0</v>
      </c>
      <c r="O1375" t="s">
        <v>27</v>
      </c>
      <c r="P1375" t="s">
        <v>27</v>
      </c>
      <c r="Q1375" t="s">
        <v>27</v>
      </c>
      <c r="R1375" t="s">
        <v>27</v>
      </c>
      <c r="S1375">
        <v>9.1999999999999993</v>
      </c>
      <c r="T1375">
        <v>9.3000000000000007</v>
      </c>
      <c r="U1375" t="s">
        <v>27</v>
      </c>
      <c r="V1375">
        <v>4.1000000000000002E-2</v>
      </c>
      <c r="W1375">
        <v>0.76700000000000002</v>
      </c>
      <c r="X1375">
        <v>1.6830000000000001</v>
      </c>
      <c r="Y1375" t="s">
        <v>27</v>
      </c>
      <c r="Z1375" t="s">
        <v>27</v>
      </c>
      <c r="AA1375" t="s">
        <v>27</v>
      </c>
      <c r="AB1375" t="s">
        <v>27</v>
      </c>
      <c r="AC1375" t="s">
        <v>27</v>
      </c>
      <c r="AD1375" t="s">
        <v>27</v>
      </c>
      <c r="AE1375" t="s">
        <v>27</v>
      </c>
      <c r="AF1375" t="s">
        <v>27</v>
      </c>
      <c r="AG1375">
        <v>15.45</v>
      </c>
    </row>
    <row r="1376" spans="1:33" x14ac:dyDescent="0.25">
      <c r="A1376" t="s">
        <v>57</v>
      </c>
      <c r="B1376" s="3">
        <v>44837</v>
      </c>
      <c r="C1376">
        <v>2022276</v>
      </c>
      <c r="D1376" t="s">
        <v>27</v>
      </c>
      <c r="E1376" t="s">
        <v>27</v>
      </c>
      <c r="F1376">
        <v>10.4</v>
      </c>
      <c r="G1376">
        <v>22.7</v>
      </c>
      <c r="H1376">
        <v>2.7</v>
      </c>
      <c r="I1376">
        <v>71.400000000000006</v>
      </c>
      <c r="J1376">
        <v>27.7</v>
      </c>
      <c r="K1376">
        <v>0.3</v>
      </c>
      <c r="L1376">
        <v>2.1</v>
      </c>
      <c r="M1376">
        <v>0</v>
      </c>
      <c r="N1376">
        <v>0</v>
      </c>
      <c r="O1376" t="s">
        <v>27</v>
      </c>
      <c r="P1376" t="s">
        <v>27</v>
      </c>
      <c r="Q1376" t="s">
        <v>27</v>
      </c>
      <c r="R1376" t="s">
        <v>27</v>
      </c>
      <c r="S1376">
        <v>9.6</v>
      </c>
      <c r="T1376">
        <v>9.3000000000000007</v>
      </c>
      <c r="U1376" t="s">
        <v>27</v>
      </c>
      <c r="V1376">
        <v>3.9E-2</v>
      </c>
      <c r="W1376">
        <v>0.76200000000000001</v>
      </c>
      <c r="X1376">
        <v>1.9890000000000001</v>
      </c>
      <c r="Y1376" t="s">
        <v>27</v>
      </c>
      <c r="Z1376" t="s">
        <v>27</v>
      </c>
      <c r="AA1376" t="s">
        <v>27</v>
      </c>
      <c r="AB1376" t="s">
        <v>27</v>
      </c>
      <c r="AC1376" t="s">
        <v>27</v>
      </c>
      <c r="AD1376" t="s">
        <v>27</v>
      </c>
      <c r="AE1376" t="s">
        <v>27</v>
      </c>
      <c r="AF1376" t="s">
        <v>27</v>
      </c>
      <c r="AG1376">
        <v>15.2</v>
      </c>
    </row>
    <row r="1377" spans="1:33" x14ac:dyDescent="0.25">
      <c r="A1377" t="s">
        <v>57</v>
      </c>
      <c r="B1377" s="3">
        <v>44838</v>
      </c>
      <c r="C1377">
        <v>2022277</v>
      </c>
      <c r="D1377" t="s">
        <v>27</v>
      </c>
      <c r="E1377" t="s">
        <v>27</v>
      </c>
      <c r="F1377">
        <v>10.1</v>
      </c>
      <c r="G1377">
        <v>21.3</v>
      </c>
      <c r="H1377">
        <v>2</v>
      </c>
      <c r="I1377">
        <v>70.7</v>
      </c>
      <c r="J1377">
        <v>31.4</v>
      </c>
      <c r="K1377">
        <v>0.3</v>
      </c>
      <c r="L1377">
        <v>2.2999999999999998</v>
      </c>
      <c r="M1377">
        <v>0</v>
      </c>
      <c r="N1377">
        <v>0</v>
      </c>
      <c r="O1377" t="s">
        <v>27</v>
      </c>
      <c r="P1377" t="s">
        <v>27</v>
      </c>
      <c r="Q1377" t="s">
        <v>27</v>
      </c>
      <c r="R1377" t="s">
        <v>27</v>
      </c>
      <c r="S1377">
        <v>9.8000000000000007</v>
      </c>
      <c r="T1377">
        <v>9.3000000000000007</v>
      </c>
      <c r="U1377" t="s">
        <v>27</v>
      </c>
      <c r="V1377">
        <v>3.7999999999999999E-2</v>
      </c>
      <c r="W1377">
        <v>0.79400000000000004</v>
      </c>
      <c r="X1377">
        <v>1.7350000000000001</v>
      </c>
      <c r="Y1377" t="s">
        <v>27</v>
      </c>
      <c r="Z1377" t="s">
        <v>27</v>
      </c>
      <c r="AA1377" t="s">
        <v>27</v>
      </c>
      <c r="AB1377" t="s">
        <v>27</v>
      </c>
      <c r="AC1377" t="s">
        <v>27</v>
      </c>
      <c r="AD1377" t="s">
        <v>27</v>
      </c>
      <c r="AE1377" t="s">
        <v>27</v>
      </c>
      <c r="AF1377" t="s">
        <v>27</v>
      </c>
      <c r="AG1377">
        <v>14.96</v>
      </c>
    </row>
    <row r="1378" spans="1:33" x14ac:dyDescent="0.25">
      <c r="A1378" t="s">
        <v>57</v>
      </c>
      <c r="B1378" s="3">
        <v>44839</v>
      </c>
      <c r="C1378">
        <v>2022278</v>
      </c>
      <c r="D1378" t="s">
        <v>27</v>
      </c>
      <c r="E1378" t="s">
        <v>27</v>
      </c>
      <c r="F1378">
        <v>9.4</v>
      </c>
      <c r="G1378">
        <v>20.399999999999999</v>
      </c>
      <c r="H1378">
        <v>2.1</v>
      </c>
      <c r="I1378">
        <v>70.2</v>
      </c>
      <c r="J1378">
        <v>28.2</v>
      </c>
      <c r="K1378">
        <v>0.3</v>
      </c>
      <c r="L1378">
        <v>2.2000000000000002</v>
      </c>
      <c r="M1378">
        <v>0</v>
      </c>
      <c r="N1378">
        <v>0</v>
      </c>
      <c r="O1378" t="s">
        <v>27</v>
      </c>
      <c r="P1378" t="s">
        <v>27</v>
      </c>
      <c r="Q1378" t="s">
        <v>27</v>
      </c>
      <c r="R1378" t="s">
        <v>27</v>
      </c>
      <c r="S1378">
        <v>8.6</v>
      </c>
      <c r="T1378">
        <v>9.1999999999999993</v>
      </c>
      <c r="U1378" t="s">
        <v>27</v>
      </c>
      <c r="V1378">
        <v>3.6999999999999998E-2</v>
      </c>
      <c r="W1378">
        <v>0.67600000000000005</v>
      </c>
      <c r="X1378">
        <v>1.7210000000000001</v>
      </c>
      <c r="Y1378" t="s">
        <v>27</v>
      </c>
      <c r="Z1378" t="s">
        <v>27</v>
      </c>
      <c r="AA1378" t="s">
        <v>27</v>
      </c>
      <c r="AB1378" t="s">
        <v>27</v>
      </c>
      <c r="AC1378" t="s">
        <v>27</v>
      </c>
      <c r="AD1378" t="s">
        <v>27</v>
      </c>
      <c r="AE1378" t="s">
        <v>27</v>
      </c>
      <c r="AF1378" t="s">
        <v>27</v>
      </c>
      <c r="AG1378">
        <v>14.72</v>
      </c>
    </row>
    <row r="1379" spans="1:33" x14ac:dyDescent="0.25">
      <c r="A1379" t="s">
        <v>57</v>
      </c>
      <c r="B1379" s="3">
        <v>44840</v>
      </c>
      <c r="C1379">
        <v>2022279</v>
      </c>
      <c r="D1379" t="s">
        <v>27</v>
      </c>
      <c r="E1379" t="s">
        <v>27</v>
      </c>
      <c r="F1379">
        <v>9.3000000000000007</v>
      </c>
      <c r="G1379">
        <v>19.3</v>
      </c>
      <c r="H1379">
        <v>1.4</v>
      </c>
      <c r="I1379">
        <v>70.8</v>
      </c>
      <c r="J1379">
        <v>35.299999999999997</v>
      </c>
      <c r="K1379">
        <v>0.4</v>
      </c>
      <c r="L1379">
        <v>2.2000000000000002</v>
      </c>
      <c r="M1379">
        <v>0</v>
      </c>
      <c r="N1379">
        <v>0</v>
      </c>
      <c r="O1379" t="s">
        <v>27</v>
      </c>
      <c r="P1379" t="s">
        <v>27</v>
      </c>
      <c r="Q1379" t="s">
        <v>27</v>
      </c>
      <c r="R1379" t="s">
        <v>27</v>
      </c>
      <c r="S1379">
        <v>8.6</v>
      </c>
      <c r="T1379">
        <v>8.9</v>
      </c>
      <c r="U1379" t="s">
        <v>27</v>
      </c>
      <c r="V1379">
        <v>3.5999999999999997E-2</v>
      </c>
      <c r="W1379">
        <v>0.79100000000000004</v>
      </c>
      <c r="X1379">
        <v>1.45</v>
      </c>
      <c r="Y1379" t="s">
        <v>27</v>
      </c>
      <c r="Z1379" t="s">
        <v>27</v>
      </c>
      <c r="AA1379" t="s">
        <v>27</v>
      </c>
      <c r="AB1379" t="s">
        <v>27</v>
      </c>
      <c r="AC1379" t="s">
        <v>27</v>
      </c>
      <c r="AD1379" t="s">
        <v>27</v>
      </c>
      <c r="AE1379" t="s">
        <v>27</v>
      </c>
      <c r="AF1379" t="s">
        <v>27</v>
      </c>
      <c r="AG1379">
        <v>14.48</v>
      </c>
    </row>
    <row r="1380" spans="1:33" x14ac:dyDescent="0.25">
      <c r="A1380" t="s">
        <v>57</v>
      </c>
      <c r="B1380" s="3">
        <v>44841</v>
      </c>
      <c r="C1380">
        <v>2022280</v>
      </c>
      <c r="D1380" t="s">
        <v>27</v>
      </c>
      <c r="E1380" t="s">
        <v>27</v>
      </c>
      <c r="F1380">
        <v>9.5</v>
      </c>
      <c r="G1380">
        <v>20.3</v>
      </c>
      <c r="H1380">
        <v>2.4</v>
      </c>
      <c r="I1380">
        <v>75.099999999999994</v>
      </c>
      <c r="J1380">
        <v>34.700000000000003</v>
      </c>
      <c r="K1380">
        <v>0.1</v>
      </c>
      <c r="L1380">
        <v>1.4</v>
      </c>
      <c r="M1380">
        <v>0</v>
      </c>
      <c r="N1380">
        <v>0</v>
      </c>
      <c r="O1380" t="s">
        <v>27</v>
      </c>
      <c r="P1380" t="s">
        <v>27</v>
      </c>
      <c r="Q1380" t="s">
        <v>27</v>
      </c>
      <c r="R1380" t="s">
        <v>27</v>
      </c>
      <c r="S1380">
        <v>8.9</v>
      </c>
      <c r="T1380">
        <v>8.9</v>
      </c>
      <c r="U1380" t="s">
        <v>27</v>
      </c>
      <c r="V1380">
        <v>3.5000000000000003E-2</v>
      </c>
      <c r="W1380">
        <v>0.82699999999999996</v>
      </c>
      <c r="X1380">
        <v>1.556</v>
      </c>
      <c r="Y1380" t="s">
        <v>27</v>
      </c>
      <c r="Z1380" t="s">
        <v>27</v>
      </c>
      <c r="AA1380" t="s">
        <v>27</v>
      </c>
      <c r="AB1380" t="s">
        <v>27</v>
      </c>
      <c r="AC1380" t="s">
        <v>27</v>
      </c>
      <c r="AD1380" t="s">
        <v>27</v>
      </c>
      <c r="AE1380" t="s">
        <v>27</v>
      </c>
      <c r="AF1380" t="s">
        <v>27</v>
      </c>
      <c r="AG1380">
        <v>14.24</v>
      </c>
    </row>
    <row r="1381" spans="1:33" x14ac:dyDescent="0.25">
      <c r="A1381" t="s">
        <v>57</v>
      </c>
      <c r="B1381" s="3">
        <v>44842</v>
      </c>
      <c r="C1381">
        <v>2022281</v>
      </c>
      <c r="D1381" t="s">
        <v>27</v>
      </c>
      <c r="E1381" t="s">
        <v>27</v>
      </c>
      <c r="F1381">
        <v>9.1</v>
      </c>
      <c r="G1381">
        <v>19.899999999999999</v>
      </c>
      <c r="H1381">
        <v>1.9</v>
      </c>
      <c r="I1381">
        <v>71</v>
      </c>
      <c r="J1381">
        <v>33.1</v>
      </c>
      <c r="K1381">
        <v>0.3</v>
      </c>
      <c r="L1381">
        <v>1.9</v>
      </c>
      <c r="M1381">
        <v>0</v>
      </c>
      <c r="N1381">
        <v>0</v>
      </c>
      <c r="O1381" t="s">
        <v>27</v>
      </c>
      <c r="P1381" t="s">
        <v>27</v>
      </c>
      <c r="Q1381" t="s">
        <v>27</v>
      </c>
      <c r="R1381" t="s">
        <v>27</v>
      </c>
      <c r="S1381">
        <v>8.3000000000000007</v>
      </c>
      <c r="T1381">
        <v>8.8000000000000007</v>
      </c>
      <c r="U1381" t="s">
        <v>27</v>
      </c>
      <c r="V1381">
        <v>3.5000000000000003E-2</v>
      </c>
      <c r="W1381">
        <v>0.77</v>
      </c>
      <c r="X1381">
        <v>1.556</v>
      </c>
      <c r="Y1381" t="s">
        <v>27</v>
      </c>
      <c r="Z1381" t="s">
        <v>27</v>
      </c>
      <c r="AA1381" t="s">
        <v>27</v>
      </c>
      <c r="AB1381" t="s">
        <v>27</v>
      </c>
      <c r="AC1381" t="s">
        <v>27</v>
      </c>
      <c r="AD1381" t="s">
        <v>27</v>
      </c>
      <c r="AE1381" t="s">
        <v>27</v>
      </c>
      <c r="AF1381" t="s">
        <v>27</v>
      </c>
      <c r="AG1381">
        <v>14.01</v>
      </c>
    </row>
    <row r="1382" spans="1:33" x14ac:dyDescent="0.25">
      <c r="A1382" t="s">
        <v>57</v>
      </c>
      <c r="B1382" s="3">
        <v>44843</v>
      </c>
      <c r="C1382">
        <v>2022282</v>
      </c>
      <c r="D1382" t="s">
        <v>27</v>
      </c>
      <c r="E1382" t="s">
        <v>27</v>
      </c>
      <c r="F1382">
        <v>7.3</v>
      </c>
      <c r="G1382">
        <v>18.5</v>
      </c>
      <c r="H1382">
        <v>-0.5</v>
      </c>
      <c r="I1382">
        <v>71.099999999999994</v>
      </c>
      <c r="J1382">
        <v>29.6</v>
      </c>
      <c r="K1382">
        <v>0.4</v>
      </c>
      <c r="L1382">
        <v>2</v>
      </c>
      <c r="M1382">
        <v>0</v>
      </c>
      <c r="N1382">
        <v>0</v>
      </c>
      <c r="O1382" t="s">
        <v>27</v>
      </c>
      <c r="P1382" t="s">
        <v>27</v>
      </c>
      <c r="Q1382" t="s">
        <v>27</v>
      </c>
      <c r="R1382" t="s">
        <v>27</v>
      </c>
      <c r="S1382">
        <v>6.5</v>
      </c>
      <c r="T1382">
        <v>8.1999999999999993</v>
      </c>
      <c r="U1382" t="s">
        <v>27</v>
      </c>
      <c r="V1382">
        <v>3.4000000000000002E-2</v>
      </c>
      <c r="W1382">
        <v>0.63200000000000001</v>
      </c>
      <c r="X1382">
        <v>1.5029999999999999</v>
      </c>
      <c r="Y1382" t="s">
        <v>27</v>
      </c>
      <c r="Z1382" t="s">
        <v>27</v>
      </c>
      <c r="AA1382" t="s">
        <v>27</v>
      </c>
      <c r="AB1382" t="s">
        <v>27</v>
      </c>
      <c r="AC1382" t="s">
        <v>27</v>
      </c>
      <c r="AD1382" t="s">
        <v>27</v>
      </c>
      <c r="AE1382" t="s">
        <v>27</v>
      </c>
      <c r="AF1382" t="s">
        <v>27</v>
      </c>
      <c r="AG1382">
        <v>13.78</v>
      </c>
    </row>
    <row r="1383" spans="1:33" x14ac:dyDescent="0.25">
      <c r="A1383" t="s">
        <v>57</v>
      </c>
      <c r="B1383" s="3">
        <v>44844</v>
      </c>
      <c r="C1383">
        <v>2022283</v>
      </c>
      <c r="D1383" t="s">
        <v>27</v>
      </c>
      <c r="E1383" t="s">
        <v>27</v>
      </c>
      <c r="F1383">
        <v>8.1999999999999993</v>
      </c>
      <c r="G1383">
        <v>15.6</v>
      </c>
      <c r="H1383">
        <v>-0.1</v>
      </c>
      <c r="I1383">
        <v>65.8</v>
      </c>
      <c r="J1383">
        <v>39.4</v>
      </c>
      <c r="K1383">
        <v>1.5</v>
      </c>
      <c r="L1383">
        <v>5.2</v>
      </c>
      <c r="M1383">
        <v>0</v>
      </c>
      <c r="N1383">
        <v>0</v>
      </c>
      <c r="O1383" t="s">
        <v>27</v>
      </c>
      <c r="P1383" t="s">
        <v>27</v>
      </c>
      <c r="Q1383" t="s">
        <v>27</v>
      </c>
      <c r="R1383" t="s">
        <v>27</v>
      </c>
      <c r="S1383">
        <v>6.8</v>
      </c>
      <c r="T1383">
        <v>7.9</v>
      </c>
      <c r="U1383" t="s">
        <v>27</v>
      </c>
      <c r="V1383">
        <v>3.4000000000000002E-2</v>
      </c>
      <c r="W1383">
        <v>0.69599999999999995</v>
      </c>
      <c r="X1383">
        <v>1.07</v>
      </c>
      <c r="Y1383" t="s">
        <v>27</v>
      </c>
      <c r="Z1383" t="s">
        <v>27</v>
      </c>
      <c r="AA1383" t="s">
        <v>27</v>
      </c>
      <c r="AB1383" t="s">
        <v>27</v>
      </c>
      <c r="AC1383" t="s">
        <v>27</v>
      </c>
      <c r="AD1383" t="s">
        <v>27</v>
      </c>
      <c r="AE1383" t="s">
        <v>27</v>
      </c>
      <c r="AF1383" t="s">
        <v>27</v>
      </c>
      <c r="AG1383">
        <v>13.55</v>
      </c>
    </row>
    <row r="1384" spans="1:33" x14ac:dyDescent="0.25">
      <c r="A1384" t="s">
        <v>57</v>
      </c>
      <c r="B1384" s="3">
        <v>44845</v>
      </c>
      <c r="C1384">
        <v>2022284</v>
      </c>
      <c r="D1384" t="s">
        <v>27</v>
      </c>
      <c r="E1384" t="s">
        <v>27</v>
      </c>
      <c r="F1384">
        <v>7.1</v>
      </c>
      <c r="G1384">
        <v>14.4</v>
      </c>
      <c r="H1384">
        <v>0.3</v>
      </c>
      <c r="I1384">
        <v>53.1</v>
      </c>
      <c r="J1384">
        <v>37.4</v>
      </c>
      <c r="K1384">
        <v>1.1000000000000001</v>
      </c>
      <c r="L1384">
        <v>3.6</v>
      </c>
      <c r="M1384">
        <v>0</v>
      </c>
      <c r="N1384">
        <v>0</v>
      </c>
      <c r="O1384" t="s">
        <v>27</v>
      </c>
      <c r="P1384" t="s">
        <v>27</v>
      </c>
      <c r="Q1384" t="s">
        <v>27</v>
      </c>
      <c r="R1384" t="s">
        <v>27</v>
      </c>
      <c r="S1384">
        <v>6.3</v>
      </c>
      <c r="T1384">
        <v>7.7</v>
      </c>
      <c r="U1384" t="s">
        <v>27</v>
      </c>
      <c r="V1384">
        <v>3.3000000000000002E-2</v>
      </c>
      <c r="W1384">
        <v>0.61299999999999999</v>
      </c>
      <c r="X1384">
        <v>1.026</v>
      </c>
      <c r="Y1384" t="s">
        <v>27</v>
      </c>
      <c r="Z1384" t="s">
        <v>27</v>
      </c>
      <c r="AA1384" t="s">
        <v>27</v>
      </c>
      <c r="AB1384" t="s">
        <v>27</v>
      </c>
      <c r="AC1384" t="s">
        <v>27</v>
      </c>
      <c r="AD1384" t="s">
        <v>27</v>
      </c>
      <c r="AE1384" t="s">
        <v>27</v>
      </c>
      <c r="AF1384" t="s">
        <v>27</v>
      </c>
      <c r="AG1384">
        <v>13.32</v>
      </c>
    </row>
    <row r="1385" spans="1:33" x14ac:dyDescent="0.25">
      <c r="A1385" t="s">
        <v>57</v>
      </c>
      <c r="B1385" s="3">
        <v>44846</v>
      </c>
      <c r="C1385">
        <v>2022285</v>
      </c>
      <c r="D1385" t="s">
        <v>27</v>
      </c>
      <c r="E1385" t="s">
        <v>27</v>
      </c>
      <c r="F1385">
        <v>5.4</v>
      </c>
      <c r="G1385">
        <v>15.4</v>
      </c>
      <c r="H1385">
        <v>-0.9</v>
      </c>
      <c r="I1385">
        <v>74.3</v>
      </c>
      <c r="J1385">
        <v>37.700000000000003</v>
      </c>
      <c r="K1385">
        <v>0.5</v>
      </c>
      <c r="L1385">
        <v>2.4</v>
      </c>
      <c r="M1385">
        <v>0</v>
      </c>
      <c r="N1385">
        <v>0</v>
      </c>
      <c r="O1385" t="s">
        <v>27</v>
      </c>
      <c r="P1385" t="s">
        <v>27</v>
      </c>
      <c r="Q1385" t="s">
        <v>27</v>
      </c>
      <c r="R1385" t="s">
        <v>27</v>
      </c>
      <c r="S1385">
        <v>5</v>
      </c>
      <c r="T1385">
        <v>7.3</v>
      </c>
      <c r="U1385" t="s">
        <v>27</v>
      </c>
      <c r="V1385">
        <v>3.3000000000000002E-2</v>
      </c>
      <c r="W1385">
        <v>0.65700000000000003</v>
      </c>
      <c r="X1385">
        <v>1.0860000000000001</v>
      </c>
      <c r="Y1385" t="s">
        <v>27</v>
      </c>
      <c r="Z1385" t="s">
        <v>27</v>
      </c>
      <c r="AA1385" t="s">
        <v>27</v>
      </c>
      <c r="AB1385" t="s">
        <v>27</v>
      </c>
      <c r="AC1385" t="s">
        <v>27</v>
      </c>
      <c r="AD1385" t="s">
        <v>27</v>
      </c>
      <c r="AE1385" t="s">
        <v>27</v>
      </c>
      <c r="AF1385" t="s">
        <v>27</v>
      </c>
      <c r="AG1385">
        <v>13.09</v>
      </c>
    </row>
    <row r="1386" spans="1:33" x14ac:dyDescent="0.25">
      <c r="A1386" t="s">
        <v>57</v>
      </c>
      <c r="B1386" s="3">
        <v>44847</v>
      </c>
      <c r="C1386">
        <v>2022286</v>
      </c>
      <c r="D1386" t="s">
        <v>27</v>
      </c>
      <c r="E1386" t="s">
        <v>27</v>
      </c>
      <c r="F1386">
        <v>7.1</v>
      </c>
      <c r="G1386">
        <v>20.8</v>
      </c>
      <c r="H1386">
        <v>-1.6</v>
      </c>
      <c r="I1386">
        <v>70.7</v>
      </c>
      <c r="J1386">
        <v>22.9</v>
      </c>
      <c r="K1386">
        <v>0.3</v>
      </c>
      <c r="L1386">
        <v>2.4</v>
      </c>
      <c r="M1386">
        <v>0</v>
      </c>
      <c r="N1386">
        <v>0</v>
      </c>
      <c r="O1386" t="s">
        <v>27</v>
      </c>
      <c r="P1386" t="s">
        <v>27</v>
      </c>
      <c r="Q1386" t="s">
        <v>27</v>
      </c>
      <c r="R1386" t="s">
        <v>27</v>
      </c>
      <c r="S1386">
        <v>5.2</v>
      </c>
      <c r="T1386">
        <v>6.9</v>
      </c>
      <c r="U1386" t="s">
        <v>27</v>
      </c>
      <c r="V1386">
        <v>3.3000000000000002E-2</v>
      </c>
      <c r="W1386">
        <v>0.56100000000000005</v>
      </c>
      <c r="X1386">
        <v>1.889</v>
      </c>
      <c r="Y1386" t="s">
        <v>27</v>
      </c>
      <c r="Z1386" t="s">
        <v>27</v>
      </c>
      <c r="AA1386" t="s">
        <v>27</v>
      </c>
      <c r="AB1386" t="s">
        <v>27</v>
      </c>
      <c r="AC1386" t="s">
        <v>27</v>
      </c>
      <c r="AD1386" t="s">
        <v>27</v>
      </c>
      <c r="AE1386" t="s">
        <v>27</v>
      </c>
      <c r="AF1386" t="s">
        <v>27</v>
      </c>
      <c r="AG1386">
        <v>12.87</v>
      </c>
    </row>
    <row r="1387" spans="1:33" x14ac:dyDescent="0.25">
      <c r="A1387" t="s">
        <v>57</v>
      </c>
      <c r="B1387" s="3">
        <v>44848</v>
      </c>
      <c r="C1387">
        <v>2022287</v>
      </c>
      <c r="D1387" t="s">
        <v>27</v>
      </c>
      <c r="E1387" t="s">
        <v>27</v>
      </c>
      <c r="F1387">
        <v>7.8</v>
      </c>
      <c r="G1387">
        <v>17.8</v>
      </c>
      <c r="H1387">
        <v>-0.1</v>
      </c>
      <c r="I1387">
        <v>69.400000000000006</v>
      </c>
      <c r="J1387">
        <v>28.9</v>
      </c>
      <c r="K1387">
        <v>0.5</v>
      </c>
      <c r="L1387">
        <v>2.2000000000000002</v>
      </c>
      <c r="M1387">
        <v>0</v>
      </c>
      <c r="N1387">
        <v>0</v>
      </c>
      <c r="O1387" t="s">
        <v>27</v>
      </c>
      <c r="P1387" t="s">
        <v>27</v>
      </c>
      <c r="Q1387" t="s">
        <v>27</v>
      </c>
      <c r="R1387" t="s">
        <v>27</v>
      </c>
      <c r="S1387">
        <v>6.1</v>
      </c>
      <c r="T1387">
        <v>7</v>
      </c>
      <c r="U1387" t="s">
        <v>27</v>
      </c>
      <c r="V1387">
        <v>3.2000000000000001E-2</v>
      </c>
      <c r="W1387">
        <v>0.58899999999999997</v>
      </c>
      <c r="X1387">
        <v>1.4490000000000001</v>
      </c>
      <c r="Y1387" t="s">
        <v>27</v>
      </c>
      <c r="Z1387" t="s">
        <v>27</v>
      </c>
      <c r="AA1387" t="s">
        <v>27</v>
      </c>
      <c r="AB1387" t="s">
        <v>27</v>
      </c>
      <c r="AC1387" t="s">
        <v>27</v>
      </c>
      <c r="AD1387" t="s">
        <v>27</v>
      </c>
      <c r="AE1387" t="s">
        <v>27</v>
      </c>
      <c r="AF1387" t="s">
        <v>27</v>
      </c>
      <c r="AG1387">
        <v>12.65</v>
      </c>
    </row>
    <row r="1388" spans="1:33" x14ac:dyDescent="0.25">
      <c r="A1388" t="s">
        <v>57</v>
      </c>
      <c r="B1388" s="3">
        <v>44849</v>
      </c>
      <c r="C1388">
        <v>2022288</v>
      </c>
      <c r="D1388" t="s">
        <v>27</v>
      </c>
      <c r="E1388" t="s">
        <v>27</v>
      </c>
      <c r="F1388">
        <v>6.6</v>
      </c>
      <c r="G1388">
        <v>18.5</v>
      </c>
      <c r="H1388">
        <v>-1.1000000000000001</v>
      </c>
      <c r="I1388">
        <v>74.2</v>
      </c>
      <c r="J1388">
        <v>36</v>
      </c>
      <c r="K1388">
        <v>0.4</v>
      </c>
      <c r="L1388">
        <v>2.5</v>
      </c>
      <c r="M1388">
        <v>0</v>
      </c>
      <c r="N1388">
        <v>0</v>
      </c>
      <c r="O1388" t="s">
        <v>27</v>
      </c>
      <c r="P1388" t="s">
        <v>27</v>
      </c>
      <c r="Q1388" t="s">
        <v>27</v>
      </c>
      <c r="R1388" t="s">
        <v>27</v>
      </c>
      <c r="S1388">
        <v>4.5999999999999996</v>
      </c>
      <c r="T1388">
        <v>6.8</v>
      </c>
      <c r="U1388" t="s">
        <v>27</v>
      </c>
      <c r="V1388">
        <v>3.2000000000000001E-2</v>
      </c>
      <c r="W1388">
        <v>0.76700000000000002</v>
      </c>
      <c r="X1388">
        <v>1.3640000000000001</v>
      </c>
      <c r="Y1388" t="s">
        <v>27</v>
      </c>
      <c r="Z1388" t="s">
        <v>27</v>
      </c>
      <c r="AA1388" t="s">
        <v>27</v>
      </c>
      <c r="AB1388" t="s">
        <v>27</v>
      </c>
      <c r="AC1388" t="s">
        <v>27</v>
      </c>
      <c r="AD1388" t="s">
        <v>27</v>
      </c>
      <c r="AE1388" t="s">
        <v>27</v>
      </c>
      <c r="AF1388" t="s">
        <v>27</v>
      </c>
      <c r="AG1388">
        <v>12.43</v>
      </c>
    </row>
    <row r="1389" spans="1:33" x14ac:dyDescent="0.25">
      <c r="A1389" t="s">
        <v>57</v>
      </c>
      <c r="B1389" s="3">
        <v>44850</v>
      </c>
      <c r="C1389">
        <v>2022289</v>
      </c>
      <c r="D1389" t="s">
        <v>27</v>
      </c>
      <c r="E1389" t="s">
        <v>27</v>
      </c>
      <c r="F1389">
        <v>7</v>
      </c>
      <c r="G1389">
        <v>19.3</v>
      </c>
      <c r="H1389">
        <v>-1</v>
      </c>
      <c r="I1389">
        <v>62.1</v>
      </c>
      <c r="J1389">
        <v>21.9</v>
      </c>
      <c r="K1389">
        <v>0.5</v>
      </c>
      <c r="L1389">
        <v>2.1</v>
      </c>
      <c r="M1389">
        <v>0</v>
      </c>
      <c r="N1389">
        <v>0</v>
      </c>
      <c r="O1389" t="s">
        <v>27</v>
      </c>
      <c r="P1389" t="s">
        <v>27</v>
      </c>
      <c r="Q1389" t="s">
        <v>27</v>
      </c>
      <c r="R1389" t="s">
        <v>27</v>
      </c>
      <c r="S1389">
        <v>4.0999999999999996</v>
      </c>
      <c r="T1389">
        <v>6.4</v>
      </c>
      <c r="U1389" t="s">
        <v>27</v>
      </c>
      <c r="V1389">
        <v>3.2000000000000001E-2</v>
      </c>
      <c r="W1389">
        <v>0.48899999999999999</v>
      </c>
      <c r="X1389">
        <v>1.744</v>
      </c>
      <c r="Y1389" t="s">
        <v>27</v>
      </c>
      <c r="Z1389" t="s">
        <v>27</v>
      </c>
      <c r="AA1389" t="s">
        <v>27</v>
      </c>
      <c r="AB1389" t="s">
        <v>27</v>
      </c>
      <c r="AC1389" t="s">
        <v>27</v>
      </c>
      <c r="AD1389" t="s">
        <v>27</v>
      </c>
      <c r="AE1389" t="s">
        <v>27</v>
      </c>
      <c r="AF1389" t="s">
        <v>27</v>
      </c>
      <c r="AG1389">
        <v>12.21</v>
      </c>
    </row>
    <row r="1390" spans="1:33" x14ac:dyDescent="0.25">
      <c r="A1390" t="s">
        <v>57</v>
      </c>
      <c r="B1390" s="3">
        <v>44851</v>
      </c>
      <c r="C1390">
        <v>2022290</v>
      </c>
      <c r="D1390" t="s">
        <v>27</v>
      </c>
      <c r="E1390" t="s">
        <v>27</v>
      </c>
      <c r="F1390">
        <v>5.7</v>
      </c>
      <c r="G1390">
        <v>19</v>
      </c>
      <c r="H1390">
        <v>-2.6</v>
      </c>
      <c r="I1390">
        <v>64.400000000000006</v>
      </c>
      <c r="J1390">
        <v>28.7</v>
      </c>
      <c r="K1390">
        <v>0.1</v>
      </c>
      <c r="L1390">
        <v>1.3</v>
      </c>
      <c r="M1390">
        <v>0</v>
      </c>
      <c r="N1390">
        <v>0</v>
      </c>
      <c r="O1390" t="s">
        <v>27</v>
      </c>
      <c r="P1390" t="s">
        <v>27</v>
      </c>
      <c r="Q1390" t="s">
        <v>27</v>
      </c>
      <c r="R1390" t="s">
        <v>27</v>
      </c>
      <c r="S1390">
        <v>3.5</v>
      </c>
      <c r="T1390">
        <v>6</v>
      </c>
      <c r="U1390" t="s">
        <v>27</v>
      </c>
      <c r="V1390">
        <v>3.2000000000000001E-2</v>
      </c>
      <c r="W1390">
        <v>0.63</v>
      </c>
      <c r="X1390">
        <v>1.5649999999999999</v>
      </c>
      <c r="Y1390" t="s">
        <v>27</v>
      </c>
      <c r="Z1390" t="s">
        <v>27</v>
      </c>
      <c r="AA1390" t="s">
        <v>27</v>
      </c>
      <c r="AB1390" t="s">
        <v>27</v>
      </c>
      <c r="AC1390" t="s">
        <v>27</v>
      </c>
      <c r="AD1390" t="s">
        <v>27</v>
      </c>
      <c r="AE1390" t="s">
        <v>27</v>
      </c>
      <c r="AF1390" t="s">
        <v>27</v>
      </c>
      <c r="AG1390">
        <v>11.99</v>
      </c>
    </row>
    <row r="1391" spans="1:33" x14ac:dyDescent="0.25">
      <c r="A1391" t="s">
        <v>57</v>
      </c>
      <c r="B1391" s="3">
        <v>44852</v>
      </c>
      <c r="C1391">
        <v>2022291</v>
      </c>
      <c r="D1391" t="s">
        <v>27</v>
      </c>
      <c r="E1391" t="s">
        <v>27</v>
      </c>
      <c r="F1391">
        <v>7.1</v>
      </c>
      <c r="G1391">
        <v>21.9</v>
      </c>
      <c r="H1391">
        <v>-1.7</v>
      </c>
      <c r="I1391">
        <v>60.3</v>
      </c>
      <c r="J1391">
        <v>17.600000000000001</v>
      </c>
      <c r="K1391">
        <v>0.3</v>
      </c>
      <c r="L1391">
        <v>2.1</v>
      </c>
      <c r="M1391">
        <v>0</v>
      </c>
      <c r="N1391">
        <v>0</v>
      </c>
      <c r="O1391" t="s">
        <v>27</v>
      </c>
      <c r="P1391" t="s">
        <v>27</v>
      </c>
      <c r="Q1391" t="s">
        <v>27</v>
      </c>
      <c r="R1391" t="s">
        <v>27</v>
      </c>
      <c r="S1391">
        <v>4</v>
      </c>
      <c r="T1391">
        <v>5.9</v>
      </c>
      <c r="U1391" t="s">
        <v>27</v>
      </c>
      <c r="V1391">
        <v>3.2000000000000001E-2</v>
      </c>
      <c r="W1391">
        <v>0.46300000000000002</v>
      </c>
      <c r="X1391">
        <v>2.1680000000000001</v>
      </c>
      <c r="Y1391" t="s">
        <v>27</v>
      </c>
      <c r="Z1391" t="s">
        <v>27</v>
      </c>
      <c r="AA1391" t="s">
        <v>27</v>
      </c>
      <c r="AB1391" t="s">
        <v>27</v>
      </c>
      <c r="AC1391" t="s">
        <v>27</v>
      </c>
      <c r="AD1391" t="s">
        <v>27</v>
      </c>
      <c r="AE1391" t="s">
        <v>27</v>
      </c>
      <c r="AF1391" t="s">
        <v>27</v>
      </c>
      <c r="AG1391">
        <v>11.78</v>
      </c>
    </row>
    <row r="1392" spans="1:33" x14ac:dyDescent="0.25">
      <c r="A1392" t="s">
        <v>57</v>
      </c>
      <c r="B1392" s="3">
        <v>44853</v>
      </c>
      <c r="C1392">
        <v>2022292</v>
      </c>
      <c r="D1392" t="s">
        <v>27</v>
      </c>
      <c r="E1392" t="s">
        <v>27</v>
      </c>
      <c r="F1392">
        <v>7.6</v>
      </c>
      <c r="G1392">
        <v>20.5</v>
      </c>
      <c r="H1392">
        <v>-1</v>
      </c>
      <c r="I1392">
        <v>55.4</v>
      </c>
      <c r="J1392">
        <v>20</v>
      </c>
      <c r="K1392">
        <v>0.4</v>
      </c>
      <c r="L1392">
        <v>2.5</v>
      </c>
      <c r="M1392">
        <v>0</v>
      </c>
      <c r="N1392">
        <v>0</v>
      </c>
      <c r="O1392" t="s">
        <v>27</v>
      </c>
      <c r="P1392" t="s">
        <v>27</v>
      </c>
      <c r="Q1392" t="s">
        <v>27</v>
      </c>
      <c r="R1392" t="s">
        <v>27</v>
      </c>
      <c r="S1392">
        <v>4.9000000000000004</v>
      </c>
      <c r="T1392">
        <v>6</v>
      </c>
      <c r="U1392" t="s">
        <v>27</v>
      </c>
      <c r="V1392">
        <v>3.2000000000000001E-2</v>
      </c>
      <c r="W1392">
        <v>0.48099999999999998</v>
      </c>
      <c r="X1392">
        <v>1.9239999999999999</v>
      </c>
      <c r="Y1392" t="s">
        <v>27</v>
      </c>
      <c r="Z1392" t="s">
        <v>27</v>
      </c>
      <c r="AA1392" t="s">
        <v>27</v>
      </c>
      <c r="AB1392" t="s">
        <v>27</v>
      </c>
      <c r="AC1392" t="s">
        <v>27</v>
      </c>
      <c r="AD1392" t="s">
        <v>27</v>
      </c>
      <c r="AE1392" t="s">
        <v>27</v>
      </c>
      <c r="AF1392" t="s">
        <v>27</v>
      </c>
      <c r="AG1392">
        <v>11.57</v>
      </c>
    </row>
    <row r="1393" spans="1:33" x14ac:dyDescent="0.25">
      <c r="A1393" t="s">
        <v>57</v>
      </c>
      <c r="B1393" s="3">
        <v>44854</v>
      </c>
      <c r="C1393">
        <v>2022293</v>
      </c>
      <c r="D1393" t="s">
        <v>27</v>
      </c>
      <c r="E1393" t="s">
        <v>27</v>
      </c>
      <c r="F1393">
        <v>6.2</v>
      </c>
      <c r="G1393">
        <v>11.9</v>
      </c>
      <c r="H1393">
        <v>3.4</v>
      </c>
      <c r="I1393">
        <v>69.400000000000006</v>
      </c>
      <c r="J1393">
        <v>51.9</v>
      </c>
      <c r="K1393">
        <v>1.1000000000000001</v>
      </c>
      <c r="L1393">
        <v>3.4</v>
      </c>
      <c r="M1393">
        <v>0</v>
      </c>
      <c r="N1393">
        <v>0</v>
      </c>
      <c r="O1393" t="s">
        <v>27</v>
      </c>
      <c r="P1393" t="s">
        <v>27</v>
      </c>
      <c r="Q1393" t="s">
        <v>27</v>
      </c>
      <c r="R1393" t="s">
        <v>27</v>
      </c>
      <c r="S1393">
        <v>5</v>
      </c>
      <c r="T1393">
        <v>6.3</v>
      </c>
      <c r="U1393" t="s">
        <v>27</v>
      </c>
      <c r="V1393">
        <v>3.1E-2</v>
      </c>
      <c r="W1393">
        <v>0.72499999999999998</v>
      </c>
      <c r="X1393">
        <v>0.67200000000000004</v>
      </c>
      <c r="Y1393" t="s">
        <v>27</v>
      </c>
      <c r="Z1393" t="s">
        <v>27</v>
      </c>
      <c r="AA1393" t="s">
        <v>27</v>
      </c>
      <c r="AB1393" t="s">
        <v>27</v>
      </c>
      <c r="AC1393" t="s">
        <v>27</v>
      </c>
      <c r="AD1393" t="s">
        <v>27</v>
      </c>
      <c r="AE1393" t="s">
        <v>27</v>
      </c>
      <c r="AF1393" t="s">
        <v>27</v>
      </c>
      <c r="AG1393">
        <v>11.36</v>
      </c>
    </row>
    <row r="1394" spans="1:33" x14ac:dyDescent="0.25">
      <c r="A1394" t="s">
        <v>57</v>
      </c>
      <c r="B1394" s="3">
        <v>44855</v>
      </c>
      <c r="C1394">
        <v>2022294</v>
      </c>
      <c r="D1394" t="s">
        <v>27</v>
      </c>
      <c r="E1394" t="s">
        <v>27</v>
      </c>
      <c r="F1394">
        <v>0.5</v>
      </c>
      <c r="G1394">
        <v>4.8</v>
      </c>
      <c r="H1394">
        <v>-2.4</v>
      </c>
      <c r="I1394">
        <v>85.4</v>
      </c>
      <c r="J1394">
        <v>66.8</v>
      </c>
      <c r="K1394">
        <v>1</v>
      </c>
      <c r="L1394">
        <v>4.3</v>
      </c>
      <c r="M1394">
        <v>2.7</v>
      </c>
      <c r="N1394">
        <v>5.9000000000000163E-2</v>
      </c>
      <c r="O1394" t="s">
        <v>27</v>
      </c>
      <c r="P1394" t="s">
        <v>27</v>
      </c>
      <c r="Q1394" t="s">
        <v>27</v>
      </c>
      <c r="R1394" t="s">
        <v>27</v>
      </c>
      <c r="S1394">
        <v>1.4</v>
      </c>
      <c r="T1394">
        <v>5.5</v>
      </c>
      <c r="U1394" t="s">
        <v>27</v>
      </c>
      <c r="V1394">
        <v>3.1E-2</v>
      </c>
      <c r="W1394">
        <v>0.57299999999999995</v>
      </c>
      <c r="X1394">
        <v>0.28499999999999998</v>
      </c>
      <c r="Y1394" t="s">
        <v>27</v>
      </c>
      <c r="Z1394" t="s">
        <v>27</v>
      </c>
      <c r="AA1394" t="s">
        <v>27</v>
      </c>
      <c r="AB1394" t="s">
        <v>27</v>
      </c>
      <c r="AC1394" t="s">
        <v>27</v>
      </c>
      <c r="AD1394" t="s">
        <v>27</v>
      </c>
      <c r="AE1394" t="s">
        <v>27</v>
      </c>
      <c r="AF1394" t="s">
        <v>27</v>
      </c>
      <c r="AG1394">
        <v>11.15</v>
      </c>
    </row>
    <row r="1395" spans="1:33" x14ac:dyDescent="0.25">
      <c r="A1395" t="s">
        <v>57</v>
      </c>
      <c r="B1395" s="3">
        <v>44856</v>
      </c>
      <c r="C1395">
        <v>2022295</v>
      </c>
      <c r="D1395" t="s">
        <v>27</v>
      </c>
      <c r="E1395" t="s">
        <v>27</v>
      </c>
      <c r="F1395">
        <v>-1.9</v>
      </c>
      <c r="G1395">
        <v>0.7</v>
      </c>
      <c r="H1395">
        <v>-3.9</v>
      </c>
      <c r="I1395">
        <v>86.4</v>
      </c>
      <c r="J1395">
        <v>70.7</v>
      </c>
      <c r="K1395">
        <v>0.7</v>
      </c>
      <c r="L1395">
        <v>2.8</v>
      </c>
      <c r="M1395">
        <v>2.2000000000000002</v>
      </c>
      <c r="N1395">
        <v>2.0000000000000018E-2</v>
      </c>
      <c r="O1395" t="s">
        <v>27</v>
      </c>
      <c r="P1395" t="s">
        <v>27</v>
      </c>
      <c r="Q1395" t="s">
        <v>27</v>
      </c>
      <c r="R1395" t="s">
        <v>27</v>
      </c>
      <c r="S1395">
        <v>0.8</v>
      </c>
      <c r="T1395">
        <v>4.7</v>
      </c>
      <c r="U1395" t="s">
        <v>27</v>
      </c>
      <c r="V1395">
        <v>3.1E-2</v>
      </c>
      <c r="W1395">
        <v>0.45300000000000001</v>
      </c>
      <c r="X1395">
        <v>0.188</v>
      </c>
      <c r="Y1395" t="s">
        <v>27</v>
      </c>
      <c r="Z1395" t="s">
        <v>27</v>
      </c>
      <c r="AA1395" t="s">
        <v>27</v>
      </c>
      <c r="AB1395" t="s">
        <v>27</v>
      </c>
      <c r="AC1395" t="s">
        <v>27</v>
      </c>
      <c r="AD1395" t="s">
        <v>27</v>
      </c>
      <c r="AE1395" t="s">
        <v>27</v>
      </c>
      <c r="AF1395" t="s">
        <v>27</v>
      </c>
      <c r="AG1395">
        <v>10.95</v>
      </c>
    </row>
    <row r="1396" spans="1:33" x14ac:dyDescent="0.25">
      <c r="A1396" t="s">
        <v>57</v>
      </c>
      <c r="B1396" s="3">
        <v>44857</v>
      </c>
      <c r="C1396">
        <v>2022296</v>
      </c>
      <c r="D1396" t="s">
        <v>27</v>
      </c>
      <c r="E1396" t="s">
        <v>27</v>
      </c>
      <c r="F1396">
        <v>-0.8</v>
      </c>
      <c r="G1396">
        <v>4.8</v>
      </c>
      <c r="H1396">
        <v>-2.7</v>
      </c>
      <c r="I1396">
        <v>82.1</v>
      </c>
      <c r="J1396">
        <v>56</v>
      </c>
      <c r="K1396">
        <v>0.5</v>
      </c>
      <c r="L1396">
        <v>2.8</v>
      </c>
      <c r="M1396">
        <v>2.1</v>
      </c>
      <c r="N1396">
        <v>7.0000000000001172E-3</v>
      </c>
      <c r="O1396" t="s">
        <v>27</v>
      </c>
      <c r="P1396" t="s">
        <v>27</v>
      </c>
      <c r="Q1396" t="s">
        <v>27</v>
      </c>
      <c r="R1396" t="s">
        <v>27</v>
      </c>
      <c r="S1396">
        <v>0.5</v>
      </c>
      <c r="T1396">
        <v>4.2</v>
      </c>
      <c r="U1396" t="s">
        <v>27</v>
      </c>
      <c r="V1396">
        <v>3.2000000000000001E-2</v>
      </c>
      <c r="W1396">
        <v>0.48099999999999998</v>
      </c>
      <c r="X1396">
        <v>0.378</v>
      </c>
      <c r="Y1396" t="s">
        <v>27</v>
      </c>
      <c r="Z1396" t="s">
        <v>27</v>
      </c>
      <c r="AA1396" t="s">
        <v>27</v>
      </c>
      <c r="AB1396" t="s">
        <v>27</v>
      </c>
      <c r="AC1396" t="s">
        <v>27</v>
      </c>
      <c r="AD1396" t="s">
        <v>27</v>
      </c>
      <c r="AE1396" t="s">
        <v>27</v>
      </c>
      <c r="AF1396" t="s">
        <v>27</v>
      </c>
      <c r="AG1396">
        <v>10.75</v>
      </c>
    </row>
    <row r="1397" spans="1:33" x14ac:dyDescent="0.25">
      <c r="A1397" t="s">
        <v>57</v>
      </c>
      <c r="B1397" s="3">
        <v>44858</v>
      </c>
      <c r="C1397">
        <v>2022297</v>
      </c>
      <c r="D1397" t="s">
        <v>27</v>
      </c>
      <c r="E1397" t="s">
        <v>27</v>
      </c>
      <c r="F1397">
        <v>-0.8</v>
      </c>
      <c r="G1397">
        <v>0.9</v>
      </c>
      <c r="H1397">
        <v>-2.2999999999999998</v>
      </c>
      <c r="I1397">
        <v>89.8</v>
      </c>
      <c r="J1397">
        <v>81.8</v>
      </c>
      <c r="K1397">
        <v>0.8</v>
      </c>
      <c r="L1397">
        <v>3.3</v>
      </c>
      <c r="M1397">
        <v>1.4</v>
      </c>
      <c r="N1397">
        <v>7.6000000000000068E-2</v>
      </c>
      <c r="O1397" t="s">
        <v>27</v>
      </c>
      <c r="P1397" t="s">
        <v>27</v>
      </c>
      <c r="Q1397" t="s">
        <v>27</v>
      </c>
      <c r="R1397" t="s">
        <v>27</v>
      </c>
      <c r="S1397">
        <v>0.5</v>
      </c>
      <c r="T1397">
        <v>3.8</v>
      </c>
      <c r="U1397" t="s">
        <v>27</v>
      </c>
      <c r="V1397">
        <v>3.2000000000000001E-2</v>
      </c>
      <c r="W1397">
        <v>0.53100000000000003</v>
      </c>
      <c r="X1397">
        <v>0.11799999999999999</v>
      </c>
      <c r="Y1397" t="s">
        <v>27</v>
      </c>
      <c r="Z1397" t="s">
        <v>27</v>
      </c>
      <c r="AA1397" t="s">
        <v>27</v>
      </c>
      <c r="AB1397" t="s">
        <v>27</v>
      </c>
      <c r="AC1397" t="s">
        <v>27</v>
      </c>
      <c r="AD1397" t="s">
        <v>27</v>
      </c>
      <c r="AE1397" t="s">
        <v>27</v>
      </c>
      <c r="AF1397" t="s">
        <v>27</v>
      </c>
      <c r="AG1397">
        <v>10.55</v>
      </c>
    </row>
    <row r="1398" spans="1:33" x14ac:dyDescent="0.25">
      <c r="A1398" t="s">
        <v>57</v>
      </c>
      <c r="B1398" s="3">
        <v>44859</v>
      </c>
      <c r="C1398">
        <v>2022298</v>
      </c>
      <c r="D1398" t="s">
        <v>27</v>
      </c>
      <c r="E1398" t="s">
        <v>27</v>
      </c>
      <c r="F1398">
        <v>-0.7</v>
      </c>
      <c r="G1398">
        <v>3</v>
      </c>
      <c r="H1398">
        <v>-2.7</v>
      </c>
      <c r="I1398">
        <v>81.099999999999994</v>
      </c>
      <c r="J1398">
        <v>55.2</v>
      </c>
      <c r="K1398">
        <v>1.2</v>
      </c>
      <c r="L1398">
        <v>3.1</v>
      </c>
      <c r="M1398">
        <v>2.7</v>
      </c>
      <c r="N1398">
        <v>9.9000000000000199E-2</v>
      </c>
      <c r="O1398" t="s">
        <v>27</v>
      </c>
      <c r="P1398" t="s">
        <v>27</v>
      </c>
      <c r="Q1398" t="s">
        <v>27</v>
      </c>
      <c r="R1398" t="s">
        <v>27</v>
      </c>
      <c r="S1398">
        <v>0.7</v>
      </c>
      <c r="T1398">
        <v>3.7</v>
      </c>
      <c r="U1398" t="s">
        <v>27</v>
      </c>
      <c r="V1398">
        <v>3.2000000000000001E-2</v>
      </c>
      <c r="W1398">
        <v>0.41899999999999998</v>
      </c>
      <c r="X1398">
        <v>0.34</v>
      </c>
      <c r="Y1398" t="s">
        <v>27</v>
      </c>
      <c r="Z1398" t="s">
        <v>27</v>
      </c>
      <c r="AA1398" t="s">
        <v>27</v>
      </c>
      <c r="AB1398" t="s">
        <v>27</v>
      </c>
      <c r="AC1398" t="s">
        <v>27</v>
      </c>
      <c r="AD1398" t="s">
        <v>27</v>
      </c>
      <c r="AE1398" t="s">
        <v>27</v>
      </c>
      <c r="AF1398" t="s">
        <v>27</v>
      </c>
      <c r="AG1398">
        <v>10.36</v>
      </c>
    </row>
    <row r="1399" spans="1:33" x14ac:dyDescent="0.25">
      <c r="A1399" t="s">
        <v>57</v>
      </c>
      <c r="B1399" s="3">
        <v>44860</v>
      </c>
      <c r="C1399">
        <v>2022299</v>
      </c>
      <c r="D1399" t="s">
        <v>27</v>
      </c>
      <c r="E1399" t="s">
        <v>27</v>
      </c>
      <c r="F1399">
        <v>-1.2</v>
      </c>
      <c r="G1399">
        <v>1.5</v>
      </c>
      <c r="H1399">
        <v>-2.4</v>
      </c>
      <c r="I1399">
        <v>85.4</v>
      </c>
      <c r="J1399">
        <v>67.400000000000006</v>
      </c>
      <c r="K1399">
        <v>0.7</v>
      </c>
      <c r="L1399">
        <v>3</v>
      </c>
      <c r="M1399">
        <v>0.1</v>
      </c>
      <c r="N1399">
        <v>0.1030000000000002</v>
      </c>
      <c r="O1399" t="s">
        <v>27</v>
      </c>
      <c r="P1399" t="s">
        <v>27</v>
      </c>
      <c r="Q1399" t="s">
        <v>27</v>
      </c>
      <c r="R1399" t="s">
        <v>27</v>
      </c>
      <c r="S1399">
        <v>0.6</v>
      </c>
      <c r="T1399">
        <v>3.4</v>
      </c>
      <c r="U1399" t="s">
        <v>27</v>
      </c>
      <c r="V1399">
        <v>3.3000000000000002E-2</v>
      </c>
      <c r="W1399">
        <v>0.45900000000000002</v>
      </c>
      <c r="X1399">
        <v>0.222</v>
      </c>
      <c r="Y1399" t="s">
        <v>27</v>
      </c>
      <c r="Z1399" t="s">
        <v>27</v>
      </c>
      <c r="AA1399" t="s">
        <v>27</v>
      </c>
      <c r="AB1399" t="s">
        <v>27</v>
      </c>
      <c r="AC1399" t="s">
        <v>27</v>
      </c>
      <c r="AD1399" t="s">
        <v>27</v>
      </c>
      <c r="AE1399" t="s">
        <v>27</v>
      </c>
      <c r="AF1399" t="s">
        <v>27</v>
      </c>
      <c r="AG1399">
        <v>10.17</v>
      </c>
    </row>
    <row r="1400" spans="1:33" x14ac:dyDescent="0.25">
      <c r="A1400" t="s">
        <v>57</v>
      </c>
      <c r="B1400" s="3">
        <v>44861</v>
      </c>
      <c r="C1400">
        <v>2022300</v>
      </c>
      <c r="D1400" t="s">
        <v>27</v>
      </c>
      <c r="E1400" t="s">
        <v>27</v>
      </c>
      <c r="F1400">
        <v>0.6</v>
      </c>
      <c r="G1400">
        <v>5.3</v>
      </c>
      <c r="H1400">
        <v>-3.9</v>
      </c>
      <c r="I1400">
        <v>84</v>
      </c>
      <c r="J1400">
        <v>65.2</v>
      </c>
      <c r="K1400">
        <v>0.9</v>
      </c>
      <c r="L1400">
        <v>3.4</v>
      </c>
      <c r="M1400">
        <v>4.0999999999999996</v>
      </c>
      <c r="N1400">
        <v>5.699999999999994E-2</v>
      </c>
      <c r="O1400" t="s">
        <v>27</v>
      </c>
      <c r="P1400" t="s">
        <v>27</v>
      </c>
      <c r="Q1400" t="s">
        <v>27</v>
      </c>
      <c r="R1400" t="s">
        <v>27</v>
      </c>
      <c r="S1400">
        <v>0.6</v>
      </c>
      <c r="T1400">
        <v>3.2</v>
      </c>
      <c r="U1400" t="s">
        <v>27</v>
      </c>
      <c r="V1400">
        <v>3.5000000000000003E-2</v>
      </c>
      <c r="W1400">
        <v>0.58199999999999996</v>
      </c>
      <c r="X1400">
        <v>0.311</v>
      </c>
      <c r="Y1400" t="s">
        <v>27</v>
      </c>
      <c r="Z1400" t="s">
        <v>27</v>
      </c>
      <c r="AA1400" t="s">
        <v>27</v>
      </c>
      <c r="AB1400" t="s">
        <v>27</v>
      </c>
      <c r="AC1400" t="s">
        <v>27</v>
      </c>
      <c r="AD1400" t="s">
        <v>27</v>
      </c>
      <c r="AE1400" t="s">
        <v>27</v>
      </c>
      <c r="AF1400" t="s">
        <v>27</v>
      </c>
      <c r="AG1400">
        <v>9.98</v>
      </c>
    </row>
    <row r="1401" spans="1:33" x14ac:dyDescent="0.25">
      <c r="A1401" t="s">
        <v>57</v>
      </c>
      <c r="B1401" s="3">
        <v>44862</v>
      </c>
      <c r="C1401">
        <v>2022301</v>
      </c>
      <c r="D1401" t="s">
        <v>27</v>
      </c>
      <c r="E1401" t="s">
        <v>27</v>
      </c>
      <c r="F1401">
        <v>1</v>
      </c>
      <c r="G1401">
        <v>5.7</v>
      </c>
      <c r="H1401">
        <v>-2.5</v>
      </c>
      <c r="I1401">
        <v>88.8</v>
      </c>
      <c r="J1401">
        <v>53.3</v>
      </c>
      <c r="K1401">
        <v>0.5</v>
      </c>
      <c r="L1401">
        <v>3.1</v>
      </c>
      <c r="M1401">
        <v>4.2</v>
      </c>
      <c r="N1401">
        <v>5.0000000000000266E-2</v>
      </c>
      <c r="O1401">
        <v>0.4</v>
      </c>
      <c r="P1401" t="s">
        <v>27</v>
      </c>
      <c r="Q1401" t="s">
        <v>27</v>
      </c>
      <c r="R1401" t="s">
        <v>27</v>
      </c>
      <c r="S1401">
        <v>0.4</v>
      </c>
      <c r="T1401">
        <v>3</v>
      </c>
      <c r="U1401" t="s">
        <v>27</v>
      </c>
      <c r="V1401">
        <v>6.6000000000000003E-2</v>
      </c>
      <c r="W1401">
        <v>0.48799999999999999</v>
      </c>
      <c r="X1401">
        <v>0.42799999999999999</v>
      </c>
      <c r="Y1401" t="s">
        <v>27</v>
      </c>
      <c r="Z1401" t="s">
        <v>27</v>
      </c>
      <c r="AA1401" t="s">
        <v>27</v>
      </c>
      <c r="AB1401" t="s">
        <v>27</v>
      </c>
      <c r="AC1401" t="s">
        <v>27</v>
      </c>
      <c r="AD1401" t="s">
        <v>27</v>
      </c>
      <c r="AE1401" t="s">
        <v>27</v>
      </c>
      <c r="AF1401" t="s">
        <v>27</v>
      </c>
      <c r="AG1401">
        <v>9.8000000000000007</v>
      </c>
    </row>
    <row r="1402" spans="1:33" x14ac:dyDescent="0.25">
      <c r="A1402" t="s">
        <v>57</v>
      </c>
      <c r="B1402" s="3">
        <v>44863</v>
      </c>
      <c r="C1402">
        <v>2022302</v>
      </c>
      <c r="D1402" t="s">
        <v>27</v>
      </c>
      <c r="E1402" t="s">
        <v>27</v>
      </c>
      <c r="F1402">
        <v>0.2</v>
      </c>
      <c r="G1402">
        <v>5.3</v>
      </c>
      <c r="H1402">
        <v>-3.4</v>
      </c>
      <c r="I1402">
        <v>76.5</v>
      </c>
      <c r="J1402">
        <v>46.1</v>
      </c>
      <c r="K1402">
        <v>0.5</v>
      </c>
      <c r="L1402">
        <v>3</v>
      </c>
      <c r="M1402">
        <v>2.4</v>
      </c>
      <c r="N1402">
        <v>5.400000000000027E-2</v>
      </c>
      <c r="O1402">
        <v>0.5</v>
      </c>
      <c r="P1402" t="s">
        <v>27</v>
      </c>
      <c r="Q1402" t="s">
        <v>27</v>
      </c>
      <c r="R1402" t="s">
        <v>27</v>
      </c>
      <c r="S1402">
        <v>0.5</v>
      </c>
      <c r="T1402">
        <v>2.9</v>
      </c>
      <c r="U1402" t="s">
        <v>27</v>
      </c>
      <c r="V1402">
        <v>7.4999999999999997E-2</v>
      </c>
      <c r="W1402">
        <v>0.41099999999999998</v>
      </c>
      <c r="X1402">
        <v>0.48099999999999998</v>
      </c>
      <c r="Y1402" t="s">
        <v>27</v>
      </c>
      <c r="Z1402" t="s">
        <v>27</v>
      </c>
      <c r="AA1402" t="s">
        <v>27</v>
      </c>
      <c r="AB1402" t="s">
        <v>27</v>
      </c>
      <c r="AC1402" t="s">
        <v>27</v>
      </c>
      <c r="AD1402" t="s">
        <v>27</v>
      </c>
      <c r="AE1402" t="s">
        <v>27</v>
      </c>
      <c r="AF1402" t="s">
        <v>27</v>
      </c>
      <c r="AG1402">
        <v>9.6199999999999992</v>
      </c>
    </row>
    <row r="1403" spans="1:33" x14ac:dyDescent="0.25">
      <c r="A1403" t="s">
        <v>57</v>
      </c>
      <c r="B1403" s="3">
        <v>44864</v>
      </c>
      <c r="C1403">
        <v>2022303</v>
      </c>
      <c r="D1403" t="s">
        <v>27</v>
      </c>
      <c r="E1403" t="s">
        <v>27</v>
      </c>
      <c r="F1403">
        <v>1.3</v>
      </c>
      <c r="G1403">
        <v>3.4</v>
      </c>
      <c r="H1403">
        <v>-1</v>
      </c>
      <c r="I1403">
        <v>89.8</v>
      </c>
      <c r="J1403">
        <v>73.900000000000006</v>
      </c>
      <c r="K1403">
        <v>0.2</v>
      </c>
      <c r="L1403">
        <v>2.2999999999999998</v>
      </c>
      <c r="M1403">
        <v>6.7</v>
      </c>
      <c r="N1403">
        <v>5.0000000000000266E-2</v>
      </c>
      <c r="O1403">
        <v>0.5</v>
      </c>
      <c r="P1403" t="s">
        <v>27</v>
      </c>
      <c r="Q1403" t="s">
        <v>27</v>
      </c>
      <c r="R1403" t="s">
        <v>27</v>
      </c>
      <c r="S1403">
        <v>0.5</v>
      </c>
      <c r="T1403">
        <v>2.8</v>
      </c>
      <c r="U1403" t="s">
        <v>27</v>
      </c>
      <c r="V1403">
        <v>0.08</v>
      </c>
      <c r="W1403">
        <v>0.57399999999999995</v>
      </c>
      <c r="X1403">
        <v>0.20300000000000001</v>
      </c>
      <c r="Y1403" t="s">
        <v>27</v>
      </c>
      <c r="Z1403" t="s">
        <v>27</v>
      </c>
      <c r="AA1403" t="s">
        <v>27</v>
      </c>
      <c r="AB1403" t="s">
        <v>27</v>
      </c>
      <c r="AC1403" t="s">
        <v>27</v>
      </c>
      <c r="AD1403" t="s">
        <v>27</v>
      </c>
      <c r="AE1403" t="s">
        <v>27</v>
      </c>
      <c r="AF1403" t="s">
        <v>27</v>
      </c>
      <c r="AG1403">
        <v>9.44</v>
      </c>
    </row>
    <row r="1404" spans="1:33" x14ac:dyDescent="0.25">
      <c r="A1404" t="s">
        <v>57</v>
      </c>
      <c r="B1404" s="3">
        <v>44865</v>
      </c>
      <c r="C1404">
        <v>2022304</v>
      </c>
      <c r="D1404" t="s">
        <v>27</v>
      </c>
      <c r="E1404" t="s">
        <v>27</v>
      </c>
      <c r="F1404">
        <v>0.7</v>
      </c>
      <c r="G1404">
        <v>3.8</v>
      </c>
      <c r="H1404">
        <v>-2.1</v>
      </c>
      <c r="I1404">
        <v>88.4</v>
      </c>
      <c r="J1404">
        <v>65.3</v>
      </c>
      <c r="K1404">
        <v>0.7</v>
      </c>
      <c r="L1404">
        <v>4.0999999999999996</v>
      </c>
      <c r="M1404">
        <v>4.8</v>
      </c>
      <c r="N1404">
        <v>5.0000000000000266E-2</v>
      </c>
      <c r="O1404">
        <v>0.5</v>
      </c>
      <c r="P1404" t="s">
        <v>27</v>
      </c>
      <c r="Q1404" t="s">
        <v>27</v>
      </c>
      <c r="R1404" t="s">
        <v>27</v>
      </c>
      <c r="S1404">
        <v>0.5</v>
      </c>
      <c r="T1404">
        <v>2.6</v>
      </c>
      <c r="U1404" t="s">
        <v>27</v>
      </c>
      <c r="V1404">
        <v>0.11</v>
      </c>
      <c r="W1404">
        <v>0.52300000000000002</v>
      </c>
      <c r="X1404">
        <v>0.27800000000000002</v>
      </c>
      <c r="Y1404" t="s">
        <v>27</v>
      </c>
      <c r="Z1404" t="s">
        <v>27</v>
      </c>
      <c r="AA1404" t="s">
        <v>27</v>
      </c>
      <c r="AB1404" t="s">
        <v>27</v>
      </c>
      <c r="AC1404" t="s">
        <v>27</v>
      </c>
      <c r="AD1404" t="s">
        <v>27</v>
      </c>
      <c r="AE1404" t="s">
        <v>27</v>
      </c>
      <c r="AF1404" t="s">
        <v>27</v>
      </c>
      <c r="AG1404">
        <v>9.26</v>
      </c>
    </row>
    <row r="1405" spans="1:33" x14ac:dyDescent="0.25">
      <c r="A1405" t="s">
        <v>57</v>
      </c>
      <c r="B1405" s="3">
        <v>44866</v>
      </c>
      <c r="C1405">
        <v>2022305</v>
      </c>
      <c r="D1405" t="s">
        <v>27</v>
      </c>
      <c r="E1405" t="s">
        <v>27</v>
      </c>
      <c r="F1405">
        <v>-2.6</v>
      </c>
      <c r="G1405">
        <v>0</v>
      </c>
      <c r="H1405">
        <v>-4.5</v>
      </c>
      <c r="I1405">
        <v>80.8</v>
      </c>
      <c r="J1405">
        <v>57.4</v>
      </c>
      <c r="K1405">
        <v>0.5</v>
      </c>
      <c r="L1405">
        <v>2.1</v>
      </c>
      <c r="M1405">
        <v>0.2</v>
      </c>
      <c r="N1405">
        <v>4.7000000000000153E-2</v>
      </c>
      <c r="O1405">
        <v>0.3</v>
      </c>
      <c r="P1405" t="s">
        <v>27</v>
      </c>
      <c r="Q1405" t="s">
        <v>27</v>
      </c>
      <c r="R1405" t="s">
        <v>27</v>
      </c>
      <c r="S1405">
        <v>0.3</v>
      </c>
      <c r="T1405">
        <v>2.5</v>
      </c>
      <c r="U1405" t="s">
        <v>27</v>
      </c>
      <c r="V1405">
        <v>0.10100000000000001</v>
      </c>
      <c r="W1405">
        <v>0.35199999999999998</v>
      </c>
      <c r="X1405">
        <v>0.26100000000000001</v>
      </c>
      <c r="Y1405" t="s">
        <v>27</v>
      </c>
      <c r="Z1405" t="s">
        <v>27</v>
      </c>
      <c r="AA1405" t="s">
        <v>27</v>
      </c>
      <c r="AB1405" t="s">
        <v>27</v>
      </c>
      <c r="AC1405" t="s">
        <v>27</v>
      </c>
      <c r="AD1405" t="s">
        <v>27</v>
      </c>
      <c r="AE1405" t="s">
        <v>27</v>
      </c>
      <c r="AF1405" t="s">
        <v>27</v>
      </c>
      <c r="AG1405">
        <v>9.09</v>
      </c>
    </row>
    <row r="1406" spans="1:33" x14ac:dyDescent="0.25">
      <c r="A1406" t="s">
        <v>57</v>
      </c>
      <c r="B1406" s="3">
        <v>44867</v>
      </c>
      <c r="C1406">
        <v>2022306</v>
      </c>
      <c r="D1406" t="s">
        <v>27</v>
      </c>
      <c r="E1406" t="s">
        <v>27</v>
      </c>
      <c r="F1406">
        <v>-6.3</v>
      </c>
      <c r="G1406">
        <v>-4</v>
      </c>
      <c r="H1406">
        <v>-14.6</v>
      </c>
      <c r="I1406">
        <v>82.2</v>
      </c>
      <c r="J1406">
        <v>70.8</v>
      </c>
      <c r="K1406">
        <v>0.6</v>
      </c>
      <c r="L1406">
        <v>2.2000000000000002</v>
      </c>
      <c r="M1406">
        <v>2.2000000000000002</v>
      </c>
      <c r="N1406">
        <v>5.2000000000000046E-2</v>
      </c>
      <c r="O1406">
        <v>0</v>
      </c>
      <c r="P1406" t="s">
        <v>27</v>
      </c>
      <c r="Q1406" t="s">
        <v>27</v>
      </c>
      <c r="R1406" t="s">
        <v>27</v>
      </c>
      <c r="S1406">
        <v>0</v>
      </c>
      <c r="T1406">
        <v>2.2999999999999998</v>
      </c>
      <c r="U1406" t="s">
        <v>27</v>
      </c>
      <c r="V1406">
        <v>9.4E-2</v>
      </c>
      <c r="W1406">
        <v>0.32300000000000001</v>
      </c>
      <c r="X1406">
        <v>0.13300000000000001</v>
      </c>
      <c r="Y1406" t="s">
        <v>27</v>
      </c>
      <c r="Z1406" t="s">
        <v>27</v>
      </c>
      <c r="AA1406" t="s">
        <v>27</v>
      </c>
      <c r="AB1406" t="s">
        <v>27</v>
      </c>
      <c r="AC1406" t="s">
        <v>27</v>
      </c>
      <c r="AD1406" t="s">
        <v>27</v>
      </c>
      <c r="AE1406" t="s">
        <v>27</v>
      </c>
      <c r="AF1406" t="s">
        <v>27</v>
      </c>
      <c r="AG1406">
        <v>8.92</v>
      </c>
    </row>
    <row r="1407" spans="1:33" x14ac:dyDescent="0.25">
      <c r="A1407" t="s">
        <v>57</v>
      </c>
      <c r="B1407" s="3">
        <v>44868</v>
      </c>
      <c r="C1407">
        <v>2022307</v>
      </c>
      <c r="D1407" t="s">
        <v>27</v>
      </c>
      <c r="E1407" t="s">
        <v>27</v>
      </c>
      <c r="F1407">
        <v>-8.9</v>
      </c>
      <c r="G1407">
        <v>-2.5</v>
      </c>
      <c r="H1407">
        <v>-16.600000000000001</v>
      </c>
      <c r="I1407">
        <v>82.1</v>
      </c>
      <c r="J1407">
        <v>49.7</v>
      </c>
      <c r="K1407">
        <v>0.5</v>
      </c>
      <c r="L1407">
        <v>2.6</v>
      </c>
      <c r="M1407">
        <v>7.4</v>
      </c>
      <c r="N1407">
        <v>0.17399999999999993</v>
      </c>
      <c r="O1407">
        <v>-1.5</v>
      </c>
      <c r="P1407" t="s">
        <v>27</v>
      </c>
      <c r="Q1407" t="s">
        <v>27</v>
      </c>
      <c r="R1407" t="s">
        <v>27</v>
      </c>
      <c r="S1407">
        <v>-1.5</v>
      </c>
      <c r="T1407">
        <v>1.9</v>
      </c>
      <c r="U1407" t="s">
        <v>27</v>
      </c>
      <c r="V1407">
        <v>8.7999999999999995E-2</v>
      </c>
      <c r="W1407">
        <v>0.252</v>
      </c>
      <c r="X1407">
        <v>0.255</v>
      </c>
      <c r="Y1407" t="s">
        <v>27</v>
      </c>
      <c r="Z1407" t="s">
        <v>27</v>
      </c>
      <c r="AA1407" t="s">
        <v>27</v>
      </c>
      <c r="AB1407" t="s">
        <v>27</v>
      </c>
      <c r="AC1407" t="s">
        <v>27</v>
      </c>
      <c r="AD1407" t="s">
        <v>27</v>
      </c>
      <c r="AE1407" t="s">
        <v>27</v>
      </c>
      <c r="AF1407" t="s">
        <v>27</v>
      </c>
      <c r="AG1407">
        <v>8.76</v>
      </c>
    </row>
    <row r="1408" spans="1:33" x14ac:dyDescent="0.25">
      <c r="A1408" t="s">
        <v>57</v>
      </c>
      <c r="B1408" s="3">
        <v>44869</v>
      </c>
      <c r="C1408">
        <v>2022308</v>
      </c>
      <c r="D1408" t="s">
        <v>27</v>
      </c>
      <c r="E1408" t="s">
        <v>27</v>
      </c>
      <c r="F1408">
        <v>-3.7</v>
      </c>
      <c r="G1408">
        <v>0.4</v>
      </c>
      <c r="H1408">
        <v>-6</v>
      </c>
      <c r="I1408">
        <v>91.8</v>
      </c>
      <c r="J1408">
        <v>82.5</v>
      </c>
      <c r="K1408">
        <v>0.4</v>
      </c>
      <c r="L1408">
        <v>4.0999999999999996</v>
      </c>
      <c r="M1408">
        <v>26</v>
      </c>
      <c r="N1408">
        <v>0.42300000000000004</v>
      </c>
      <c r="O1408">
        <v>-1.5</v>
      </c>
      <c r="P1408" t="s">
        <v>27</v>
      </c>
      <c r="Q1408" t="s">
        <v>27</v>
      </c>
      <c r="R1408" t="s">
        <v>27</v>
      </c>
      <c r="S1408">
        <v>-0.4</v>
      </c>
      <c r="T1408">
        <v>1.6</v>
      </c>
      <c r="U1408" t="s">
        <v>27</v>
      </c>
      <c r="V1408">
        <v>8.5999999999999993E-2</v>
      </c>
      <c r="W1408">
        <v>0.51800000000000002</v>
      </c>
      <c r="X1408">
        <v>0.11</v>
      </c>
      <c r="Y1408" t="s">
        <v>27</v>
      </c>
      <c r="Z1408" t="s">
        <v>27</v>
      </c>
      <c r="AA1408" t="s">
        <v>27</v>
      </c>
      <c r="AB1408" t="s">
        <v>27</v>
      </c>
      <c r="AC1408" t="s">
        <v>27</v>
      </c>
      <c r="AD1408" t="s">
        <v>27</v>
      </c>
      <c r="AE1408" t="s">
        <v>27</v>
      </c>
      <c r="AF1408" t="s">
        <v>27</v>
      </c>
      <c r="AG1408">
        <v>8.59</v>
      </c>
    </row>
    <row r="1409" spans="1:33" x14ac:dyDescent="0.25">
      <c r="A1409" t="s">
        <v>57</v>
      </c>
      <c r="B1409" s="3">
        <v>44870</v>
      </c>
      <c r="C1409">
        <v>2022309</v>
      </c>
      <c r="D1409" t="s">
        <v>27</v>
      </c>
      <c r="E1409" t="s">
        <v>27</v>
      </c>
      <c r="F1409">
        <v>-5.9</v>
      </c>
      <c r="G1409">
        <v>-0.6</v>
      </c>
      <c r="H1409">
        <v>-13.4</v>
      </c>
      <c r="I1409">
        <v>90.2</v>
      </c>
      <c r="J1409">
        <v>76.400000000000006</v>
      </c>
      <c r="K1409">
        <v>1.3</v>
      </c>
      <c r="L1409">
        <v>5.7</v>
      </c>
      <c r="M1409">
        <v>18.7</v>
      </c>
      <c r="N1409">
        <v>0.53500000000000014</v>
      </c>
      <c r="O1409">
        <v>-1.1000000000000001</v>
      </c>
      <c r="P1409" t="s">
        <v>27</v>
      </c>
      <c r="Q1409" t="s">
        <v>27</v>
      </c>
      <c r="R1409" t="s">
        <v>27</v>
      </c>
      <c r="S1409">
        <v>-0.2</v>
      </c>
      <c r="T1409">
        <v>1.6</v>
      </c>
      <c r="U1409" t="s">
        <v>27</v>
      </c>
      <c r="V1409">
        <v>8.5000000000000006E-2</v>
      </c>
      <c r="W1409">
        <v>0.44700000000000001</v>
      </c>
      <c r="X1409">
        <v>0.13800000000000001</v>
      </c>
      <c r="Y1409" t="s">
        <v>27</v>
      </c>
      <c r="Z1409" t="s">
        <v>27</v>
      </c>
      <c r="AA1409" t="s">
        <v>27</v>
      </c>
      <c r="AB1409" t="s">
        <v>27</v>
      </c>
      <c r="AC1409" t="s">
        <v>27</v>
      </c>
      <c r="AD1409" t="s">
        <v>27</v>
      </c>
      <c r="AE1409" t="s">
        <v>27</v>
      </c>
      <c r="AF1409" t="s">
        <v>27</v>
      </c>
      <c r="AG1409">
        <v>8.43</v>
      </c>
    </row>
    <row r="1410" spans="1:33" x14ac:dyDescent="0.25">
      <c r="A1410" t="s">
        <v>57</v>
      </c>
      <c r="B1410" s="3">
        <v>44871</v>
      </c>
      <c r="C1410">
        <v>2022310</v>
      </c>
      <c r="D1410" t="s">
        <v>27</v>
      </c>
      <c r="E1410" t="s">
        <v>27</v>
      </c>
      <c r="F1410">
        <v>-8</v>
      </c>
      <c r="G1410">
        <v>-5.4</v>
      </c>
      <c r="H1410">
        <v>-15.8</v>
      </c>
      <c r="I1410">
        <v>89.7</v>
      </c>
      <c r="J1410">
        <v>82.8</v>
      </c>
      <c r="K1410">
        <v>1.1000000000000001</v>
      </c>
      <c r="L1410">
        <v>2.8</v>
      </c>
      <c r="M1410">
        <v>0</v>
      </c>
      <c r="N1410">
        <v>0.62400000000000011</v>
      </c>
      <c r="O1410">
        <v>-1.4</v>
      </c>
      <c r="P1410" t="s">
        <v>27</v>
      </c>
      <c r="Q1410" t="s">
        <v>27</v>
      </c>
      <c r="R1410" t="s">
        <v>27</v>
      </c>
      <c r="S1410">
        <v>-0.1</v>
      </c>
      <c r="T1410">
        <v>1.6</v>
      </c>
      <c r="U1410" t="s">
        <v>27</v>
      </c>
      <c r="V1410">
        <v>8.4000000000000005E-2</v>
      </c>
      <c r="W1410">
        <v>0.33900000000000002</v>
      </c>
      <c r="X1410">
        <v>7.0000000000000007E-2</v>
      </c>
      <c r="Y1410" t="s">
        <v>27</v>
      </c>
      <c r="Z1410" t="s">
        <v>27</v>
      </c>
      <c r="AA1410" t="s">
        <v>27</v>
      </c>
      <c r="AB1410" t="s">
        <v>27</v>
      </c>
      <c r="AC1410" t="s">
        <v>27</v>
      </c>
      <c r="AD1410" t="s">
        <v>27</v>
      </c>
      <c r="AE1410" t="s">
        <v>27</v>
      </c>
      <c r="AF1410" t="s">
        <v>27</v>
      </c>
      <c r="AG1410">
        <v>8.2799999999999994</v>
      </c>
    </row>
    <row r="1411" spans="1:33" x14ac:dyDescent="0.25">
      <c r="A1411" t="s">
        <v>57</v>
      </c>
      <c r="B1411" s="3">
        <v>44872</v>
      </c>
      <c r="C1411">
        <v>2022311</v>
      </c>
      <c r="D1411" t="s">
        <v>27</v>
      </c>
      <c r="E1411" t="s">
        <v>27</v>
      </c>
      <c r="F1411">
        <v>-8.8000000000000007</v>
      </c>
      <c r="G1411">
        <v>-5.7</v>
      </c>
      <c r="H1411">
        <v>-13.5</v>
      </c>
      <c r="I1411">
        <v>89</v>
      </c>
      <c r="J1411">
        <v>84.9</v>
      </c>
      <c r="K1411">
        <v>0.5</v>
      </c>
      <c r="L1411">
        <v>1.6</v>
      </c>
      <c r="M1411">
        <v>16.899999999999999</v>
      </c>
      <c r="N1411">
        <v>0.71500000000000008</v>
      </c>
      <c r="O1411">
        <v>-1.2</v>
      </c>
      <c r="P1411" t="s">
        <v>27</v>
      </c>
      <c r="Q1411" t="s">
        <v>27</v>
      </c>
      <c r="R1411" t="s">
        <v>27</v>
      </c>
      <c r="S1411">
        <v>0</v>
      </c>
      <c r="T1411">
        <v>1.6</v>
      </c>
      <c r="U1411" t="s">
        <v>27</v>
      </c>
      <c r="V1411">
        <v>8.4000000000000005E-2</v>
      </c>
      <c r="W1411">
        <v>0.34</v>
      </c>
      <c r="X1411">
        <v>0.06</v>
      </c>
      <c r="Y1411" t="s">
        <v>27</v>
      </c>
      <c r="Z1411" t="s">
        <v>27</v>
      </c>
      <c r="AA1411" t="s">
        <v>27</v>
      </c>
      <c r="AB1411" t="s">
        <v>27</v>
      </c>
      <c r="AC1411" t="s">
        <v>27</v>
      </c>
      <c r="AD1411" t="s">
        <v>27</v>
      </c>
      <c r="AE1411" t="s">
        <v>27</v>
      </c>
      <c r="AF1411" t="s">
        <v>27</v>
      </c>
      <c r="AG1411">
        <v>8.1199999999999992</v>
      </c>
    </row>
    <row r="1412" spans="1:33" x14ac:dyDescent="0.25">
      <c r="A1412" t="s">
        <v>57</v>
      </c>
      <c r="B1412" s="3">
        <v>44873</v>
      </c>
      <c r="C1412">
        <v>2022312</v>
      </c>
      <c r="D1412" t="s">
        <v>27</v>
      </c>
      <c r="E1412" t="s">
        <v>27</v>
      </c>
      <c r="F1412">
        <v>-11.8</v>
      </c>
      <c r="G1412">
        <v>-5.6</v>
      </c>
      <c r="H1412">
        <v>-16.8</v>
      </c>
      <c r="I1412">
        <v>86.2</v>
      </c>
      <c r="J1412">
        <v>81.8</v>
      </c>
      <c r="K1412">
        <v>0.4</v>
      </c>
      <c r="L1412">
        <v>1.8</v>
      </c>
      <c r="M1412">
        <v>10.199999999999999</v>
      </c>
      <c r="N1412">
        <v>0.65300000000000002</v>
      </c>
      <c r="O1412">
        <v>-1.1000000000000001</v>
      </c>
      <c r="P1412" t="s">
        <v>27</v>
      </c>
      <c r="Q1412" t="s">
        <v>27</v>
      </c>
      <c r="R1412" t="s">
        <v>27</v>
      </c>
      <c r="S1412">
        <v>0</v>
      </c>
      <c r="T1412">
        <v>1.6</v>
      </c>
      <c r="U1412" t="s">
        <v>27</v>
      </c>
      <c r="V1412">
        <v>8.4000000000000005E-2</v>
      </c>
      <c r="W1412">
        <v>0.33</v>
      </c>
      <c r="X1412">
        <v>7.2999999999999995E-2</v>
      </c>
      <c r="Y1412" t="s">
        <v>27</v>
      </c>
      <c r="Z1412" t="s">
        <v>27</v>
      </c>
      <c r="AA1412" t="s">
        <v>27</v>
      </c>
      <c r="AB1412" t="s">
        <v>27</v>
      </c>
      <c r="AC1412" t="s">
        <v>27</v>
      </c>
      <c r="AD1412" t="s">
        <v>27</v>
      </c>
      <c r="AE1412" t="s">
        <v>27</v>
      </c>
      <c r="AF1412" t="s">
        <v>27</v>
      </c>
      <c r="AG1412">
        <v>7.98</v>
      </c>
    </row>
    <row r="1413" spans="1:33" x14ac:dyDescent="0.25">
      <c r="A1413" t="s">
        <v>57</v>
      </c>
      <c r="B1413" s="3">
        <v>44874</v>
      </c>
      <c r="C1413">
        <v>2022313</v>
      </c>
      <c r="D1413" t="s">
        <v>27</v>
      </c>
      <c r="E1413" t="s">
        <v>27</v>
      </c>
      <c r="F1413">
        <v>-11.6</v>
      </c>
      <c r="G1413">
        <v>-4.2</v>
      </c>
      <c r="H1413">
        <v>-18.8</v>
      </c>
      <c r="I1413">
        <v>86.4</v>
      </c>
      <c r="J1413">
        <v>79.599999999999994</v>
      </c>
      <c r="K1413">
        <v>0.3</v>
      </c>
      <c r="L1413">
        <v>2</v>
      </c>
      <c r="M1413">
        <v>2.9</v>
      </c>
      <c r="N1413">
        <v>0.60200000000000009</v>
      </c>
      <c r="O1413">
        <v>-1.3</v>
      </c>
      <c r="P1413" t="s">
        <v>27</v>
      </c>
      <c r="Q1413" t="s">
        <v>27</v>
      </c>
      <c r="R1413" t="s">
        <v>27</v>
      </c>
      <c r="S1413">
        <v>0</v>
      </c>
      <c r="T1413">
        <v>1.6</v>
      </c>
      <c r="U1413" t="s">
        <v>27</v>
      </c>
      <c r="V1413">
        <v>8.3000000000000004E-2</v>
      </c>
      <c r="W1413">
        <v>0.35599999999999998</v>
      </c>
      <c r="X1413">
        <v>9.0999999999999998E-2</v>
      </c>
      <c r="Y1413" t="s">
        <v>27</v>
      </c>
      <c r="Z1413" t="s">
        <v>27</v>
      </c>
      <c r="AA1413" t="s">
        <v>27</v>
      </c>
      <c r="AB1413" t="s">
        <v>27</v>
      </c>
      <c r="AC1413" t="s">
        <v>27</v>
      </c>
      <c r="AD1413" t="s">
        <v>27</v>
      </c>
      <c r="AE1413" t="s">
        <v>27</v>
      </c>
      <c r="AF1413" t="s">
        <v>27</v>
      </c>
      <c r="AG1413">
        <v>7.83</v>
      </c>
    </row>
    <row r="1414" spans="1:33" x14ac:dyDescent="0.25">
      <c r="A1414" t="s">
        <v>57</v>
      </c>
      <c r="B1414" s="3">
        <v>44875</v>
      </c>
      <c r="C1414">
        <v>2022314</v>
      </c>
      <c r="D1414" t="s">
        <v>27</v>
      </c>
      <c r="E1414" t="s">
        <v>27</v>
      </c>
      <c r="F1414">
        <v>-12.7</v>
      </c>
      <c r="G1414">
        <v>-2.8</v>
      </c>
      <c r="H1414">
        <v>-19</v>
      </c>
      <c r="I1414">
        <v>85.2</v>
      </c>
      <c r="J1414">
        <v>79.400000000000006</v>
      </c>
      <c r="K1414">
        <v>0.3</v>
      </c>
      <c r="L1414">
        <v>2</v>
      </c>
      <c r="M1414">
        <v>0</v>
      </c>
      <c r="N1414">
        <v>0.55700000000000016</v>
      </c>
      <c r="O1414">
        <v>-1.8</v>
      </c>
      <c r="P1414" t="s">
        <v>27</v>
      </c>
      <c r="Q1414" t="s">
        <v>27</v>
      </c>
      <c r="R1414" t="s">
        <v>27</v>
      </c>
      <c r="S1414">
        <v>0</v>
      </c>
      <c r="T1414">
        <v>1.6</v>
      </c>
      <c r="U1414" t="s">
        <v>27</v>
      </c>
      <c r="V1414">
        <v>8.2000000000000003E-2</v>
      </c>
      <c r="W1414">
        <v>0.39500000000000002</v>
      </c>
      <c r="X1414">
        <v>0.10199999999999999</v>
      </c>
      <c r="Y1414" t="s">
        <v>27</v>
      </c>
      <c r="Z1414" t="s">
        <v>27</v>
      </c>
      <c r="AA1414" t="s">
        <v>27</v>
      </c>
      <c r="AB1414" t="s">
        <v>27</v>
      </c>
      <c r="AC1414" t="s">
        <v>27</v>
      </c>
      <c r="AD1414" t="s">
        <v>27</v>
      </c>
      <c r="AE1414" t="s">
        <v>27</v>
      </c>
      <c r="AF1414" t="s">
        <v>27</v>
      </c>
      <c r="AG1414">
        <v>7.69</v>
      </c>
    </row>
    <row r="1415" spans="1:33" x14ac:dyDescent="0.25">
      <c r="A1415" t="s">
        <v>57</v>
      </c>
      <c r="B1415" s="3">
        <v>44876</v>
      </c>
      <c r="C1415">
        <v>2022315</v>
      </c>
      <c r="D1415" t="s">
        <v>27</v>
      </c>
      <c r="E1415" t="s">
        <v>27</v>
      </c>
      <c r="F1415">
        <v>-11</v>
      </c>
      <c r="G1415">
        <v>-7.9</v>
      </c>
      <c r="H1415">
        <v>-16.399999999999999</v>
      </c>
      <c r="I1415">
        <v>87.1</v>
      </c>
      <c r="J1415">
        <v>81.8</v>
      </c>
      <c r="K1415">
        <v>0.5</v>
      </c>
      <c r="L1415">
        <v>1.6</v>
      </c>
      <c r="M1415">
        <v>0</v>
      </c>
      <c r="N1415">
        <v>0.52900000000000014</v>
      </c>
      <c r="O1415">
        <v>-2.1</v>
      </c>
      <c r="P1415" t="s">
        <v>27</v>
      </c>
      <c r="Q1415" t="s">
        <v>27</v>
      </c>
      <c r="R1415" t="s">
        <v>27</v>
      </c>
      <c r="S1415">
        <v>0.1</v>
      </c>
      <c r="T1415">
        <v>1.6</v>
      </c>
      <c r="U1415" t="s">
        <v>27</v>
      </c>
      <c r="V1415">
        <v>8.1000000000000003E-2</v>
      </c>
      <c r="W1415">
        <v>0.27600000000000002</v>
      </c>
      <c r="X1415">
        <v>6.0999999999999999E-2</v>
      </c>
      <c r="Y1415" t="s">
        <v>27</v>
      </c>
      <c r="Z1415" t="s">
        <v>27</v>
      </c>
      <c r="AA1415" t="s">
        <v>27</v>
      </c>
      <c r="AB1415" t="s">
        <v>27</v>
      </c>
      <c r="AC1415" t="s">
        <v>27</v>
      </c>
      <c r="AD1415" t="s">
        <v>27</v>
      </c>
      <c r="AE1415" t="s">
        <v>27</v>
      </c>
      <c r="AF1415" t="s">
        <v>27</v>
      </c>
      <c r="AG1415">
        <v>7.55</v>
      </c>
    </row>
    <row r="1416" spans="1:33" x14ac:dyDescent="0.25">
      <c r="A1416" t="s">
        <v>57</v>
      </c>
      <c r="B1416" s="3">
        <v>44877</v>
      </c>
      <c r="C1416">
        <v>2022316</v>
      </c>
      <c r="D1416" t="s">
        <v>27</v>
      </c>
      <c r="E1416" t="s">
        <v>27</v>
      </c>
      <c r="F1416">
        <v>-7.4</v>
      </c>
      <c r="G1416">
        <v>-0.3</v>
      </c>
      <c r="H1416">
        <v>-15.2</v>
      </c>
      <c r="I1416">
        <v>89.3</v>
      </c>
      <c r="J1416">
        <v>83</v>
      </c>
      <c r="K1416">
        <v>0.3</v>
      </c>
      <c r="L1416">
        <v>1.5</v>
      </c>
      <c r="M1416">
        <v>0</v>
      </c>
      <c r="N1416">
        <v>0.502</v>
      </c>
      <c r="O1416">
        <v>-2</v>
      </c>
      <c r="P1416" t="s">
        <v>27</v>
      </c>
      <c r="Q1416" t="s">
        <v>27</v>
      </c>
      <c r="R1416" t="s">
        <v>27</v>
      </c>
      <c r="S1416">
        <v>0.1</v>
      </c>
      <c r="T1416">
        <v>1.6</v>
      </c>
      <c r="U1416" t="s">
        <v>27</v>
      </c>
      <c r="V1416">
        <v>0.08</v>
      </c>
      <c r="W1416">
        <v>0.496</v>
      </c>
      <c r="X1416">
        <v>0.10199999999999999</v>
      </c>
      <c r="Y1416" t="s">
        <v>27</v>
      </c>
      <c r="Z1416" t="s">
        <v>27</v>
      </c>
      <c r="AA1416" t="s">
        <v>27</v>
      </c>
      <c r="AB1416" t="s">
        <v>27</v>
      </c>
      <c r="AC1416" t="s">
        <v>27</v>
      </c>
      <c r="AD1416" t="s">
        <v>27</v>
      </c>
      <c r="AE1416" t="s">
        <v>27</v>
      </c>
      <c r="AF1416" t="s">
        <v>27</v>
      </c>
      <c r="AG1416">
        <v>7.41</v>
      </c>
    </row>
    <row r="1417" spans="1:33" x14ac:dyDescent="0.25">
      <c r="A1417" t="s">
        <v>57</v>
      </c>
      <c r="B1417" s="3">
        <v>44878</v>
      </c>
      <c r="C1417">
        <v>2022317</v>
      </c>
      <c r="D1417" t="s">
        <v>27</v>
      </c>
      <c r="E1417" t="s">
        <v>27</v>
      </c>
      <c r="F1417">
        <v>-4.4000000000000004</v>
      </c>
      <c r="G1417">
        <v>-1.7</v>
      </c>
      <c r="H1417">
        <v>-6.9</v>
      </c>
      <c r="I1417">
        <v>84.8</v>
      </c>
      <c r="J1417">
        <v>62.8</v>
      </c>
      <c r="K1417">
        <v>1.1000000000000001</v>
      </c>
      <c r="L1417">
        <v>3.4</v>
      </c>
      <c r="M1417">
        <v>0.1</v>
      </c>
      <c r="N1417">
        <v>0.48200000000000021</v>
      </c>
      <c r="O1417">
        <v>-1.7</v>
      </c>
      <c r="P1417" t="s">
        <v>27</v>
      </c>
      <c r="Q1417" t="s">
        <v>27</v>
      </c>
      <c r="R1417" t="s">
        <v>27</v>
      </c>
      <c r="S1417">
        <v>0.2</v>
      </c>
      <c r="T1417">
        <v>1.6</v>
      </c>
      <c r="U1417" t="s">
        <v>27</v>
      </c>
      <c r="V1417">
        <v>7.9000000000000001E-2</v>
      </c>
      <c r="W1417">
        <v>0.33700000000000002</v>
      </c>
      <c r="X1417">
        <v>0.2</v>
      </c>
      <c r="Y1417" t="s">
        <v>27</v>
      </c>
      <c r="Z1417" t="s">
        <v>27</v>
      </c>
      <c r="AA1417" t="s">
        <v>27</v>
      </c>
      <c r="AB1417" t="s">
        <v>27</v>
      </c>
      <c r="AC1417" t="s">
        <v>27</v>
      </c>
      <c r="AD1417" t="s">
        <v>27</v>
      </c>
      <c r="AE1417" t="s">
        <v>27</v>
      </c>
      <c r="AF1417" t="s">
        <v>27</v>
      </c>
      <c r="AG1417">
        <v>7.28</v>
      </c>
    </row>
    <row r="1418" spans="1:33" x14ac:dyDescent="0.25">
      <c r="A1418" t="s">
        <v>57</v>
      </c>
      <c r="B1418" s="3">
        <v>44879</v>
      </c>
      <c r="C1418">
        <v>2022318</v>
      </c>
      <c r="D1418" t="s">
        <v>27</v>
      </c>
      <c r="E1418" t="s">
        <v>27</v>
      </c>
      <c r="F1418">
        <v>-3.2</v>
      </c>
      <c r="G1418">
        <v>3.2</v>
      </c>
      <c r="H1418">
        <v>-11</v>
      </c>
      <c r="I1418">
        <v>84.9</v>
      </c>
      <c r="J1418">
        <v>64.7</v>
      </c>
      <c r="K1418">
        <v>0.7</v>
      </c>
      <c r="L1418">
        <v>2.4</v>
      </c>
      <c r="M1418">
        <v>2.6</v>
      </c>
      <c r="N1418">
        <v>0.46700000000000008</v>
      </c>
      <c r="O1418">
        <v>-1.5</v>
      </c>
      <c r="P1418" t="s">
        <v>27</v>
      </c>
      <c r="Q1418" t="s">
        <v>27</v>
      </c>
      <c r="R1418" t="s">
        <v>27</v>
      </c>
      <c r="S1418">
        <v>0.2</v>
      </c>
      <c r="T1418">
        <v>1.6</v>
      </c>
      <c r="U1418" t="s">
        <v>27</v>
      </c>
      <c r="V1418">
        <v>7.8E-2</v>
      </c>
      <c r="W1418">
        <v>0.496</v>
      </c>
      <c r="X1418">
        <v>0.27100000000000002</v>
      </c>
      <c r="Y1418" t="s">
        <v>27</v>
      </c>
      <c r="Z1418" t="s">
        <v>27</v>
      </c>
      <c r="AA1418" t="s">
        <v>27</v>
      </c>
      <c r="AB1418" t="s">
        <v>27</v>
      </c>
      <c r="AC1418" t="s">
        <v>27</v>
      </c>
      <c r="AD1418" t="s">
        <v>27</v>
      </c>
      <c r="AE1418" t="s">
        <v>27</v>
      </c>
      <c r="AF1418" t="s">
        <v>27</v>
      </c>
      <c r="AG1418">
        <v>7.16</v>
      </c>
    </row>
    <row r="1419" spans="1:33" x14ac:dyDescent="0.25">
      <c r="A1419" t="s">
        <v>57</v>
      </c>
      <c r="B1419" s="3">
        <v>44880</v>
      </c>
      <c r="C1419">
        <v>2022319</v>
      </c>
      <c r="D1419" t="s">
        <v>27</v>
      </c>
      <c r="E1419" t="s">
        <v>27</v>
      </c>
      <c r="F1419">
        <v>-5.6</v>
      </c>
      <c r="G1419">
        <v>5.9</v>
      </c>
      <c r="H1419">
        <v>-13.2</v>
      </c>
      <c r="I1419">
        <v>79</v>
      </c>
      <c r="J1419">
        <v>27.7</v>
      </c>
      <c r="K1419">
        <v>0.2</v>
      </c>
      <c r="L1419">
        <v>1.7</v>
      </c>
      <c r="M1419">
        <v>0</v>
      </c>
      <c r="N1419">
        <v>0.45100000000000007</v>
      </c>
      <c r="O1419">
        <v>-2</v>
      </c>
      <c r="P1419" t="s">
        <v>27</v>
      </c>
      <c r="Q1419" t="s">
        <v>27</v>
      </c>
      <c r="R1419" t="s">
        <v>27</v>
      </c>
      <c r="S1419">
        <v>0.2</v>
      </c>
      <c r="T1419">
        <v>1.6</v>
      </c>
      <c r="U1419" t="s">
        <v>27</v>
      </c>
      <c r="V1419">
        <v>7.8E-2</v>
      </c>
      <c r="W1419">
        <v>0.25700000000000001</v>
      </c>
      <c r="X1419">
        <v>0.67100000000000004</v>
      </c>
      <c r="Y1419" t="s">
        <v>27</v>
      </c>
      <c r="Z1419" t="s">
        <v>27</v>
      </c>
      <c r="AA1419" t="s">
        <v>27</v>
      </c>
      <c r="AB1419" t="s">
        <v>27</v>
      </c>
      <c r="AC1419" t="s">
        <v>27</v>
      </c>
      <c r="AD1419" t="s">
        <v>27</v>
      </c>
      <c r="AE1419" t="s">
        <v>27</v>
      </c>
      <c r="AF1419" t="s">
        <v>27</v>
      </c>
      <c r="AG1419">
        <v>7.03</v>
      </c>
    </row>
    <row r="1420" spans="1:33" x14ac:dyDescent="0.25">
      <c r="A1420" t="s">
        <v>57</v>
      </c>
      <c r="B1420" s="3">
        <v>44881</v>
      </c>
      <c r="C1420">
        <v>2022320</v>
      </c>
      <c r="D1420" t="s">
        <v>27</v>
      </c>
      <c r="E1420" t="s">
        <v>27</v>
      </c>
      <c r="F1420">
        <v>-4.5999999999999996</v>
      </c>
      <c r="G1420">
        <v>4.8</v>
      </c>
      <c r="H1420">
        <v>-10.6</v>
      </c>
      <c r="I1420">
        <v>81</v>
      </c>
      <c r="J1420">
        <v>44.8</v>
      </c>
      <c r="K1420">
        <v>0.7</v>
      </c>
      <c r="L1420">
        <v>2.5</v>
      </c>
      <c r="M1420">
        <v>0</v>
      </c>
      <c r="N1420">
        <v>0.44600000000000017</v>
      </c>
      <c r="O1420">
        <v>-2.1</v>
      </c>
      <c r="P1420" t="s">
        <v>27</v>
      </c>
      <c r="Q1420" t="s">
        <v>27</v>
      </c>
      <c r="R1420" t="s">
        <v>27</v>
      </c>
      <c r="S1420">
        <v>0.2</v>
      </c>
      <c r="T1420">
        <v>1.6</v>
      </c>
      <c r="U1420" t="s">
        <v>27</v>
      </c>
      <c r="V1420">
        <v>7.6999999999999999E-2</v>
      </c>
      <c r="W1420">
        <v>0.38500000000000001</v>
      </c>
      <c r="X1420">
        <v>0.47399999999999998</v>
      </c>
      <c r="Y1420" t="s">
        <v>27</v>
      </c>
      <c r="Z1420" t="s">
        <v>27</v>
      </c>
      <c r="AA1420" t="s">
        <v>27</v>
      </c>
      <c r="AB1420" t="s">
        <v>27</v>
      </c>
      <c r="AC1420" t="s">
        <v>27</v>
      </c>
      <c r="AD1420" t="s">
        <v>27</v>
      </c>
      <c r="AE1420" t="s">
        <v>27</v>
      </c>
      <c r="AF1420" t="s">
        <v>27</v>
      </c>
      <c r="AG1420">
        <v>6.91</v>
      </c>
    </row>
    <row r="1421" spans="1:33" x14ac:dyDescent="0.25">
      <c r="A1421" t="s">
        <v>57</v>
      </c>
      <c r="B1421" s="3">
        <v>44882</v>
      </c>
      <c r="C1421">
        <v>2022321</v>
      </c>
      <c r="D1421" t="s">
        <v>27</v>
      </c>
      <c r="E1421" t="s">
        <v>27</v>
      </c>
      <c r="F1421">
        <v>-9.5</v>
      </c>
      <c r="G1421">
        <v>-2.9</v>
      </c>
      <c r="H1421">
        <v>-16.3</v>
      </c>
      <c r="I1421">
        <v>83.8</v>
      </c>
      <c r="J1421">
        <v>51.7</v>
      </c>
      <c r="K1421">
        <v>0.4</v>
      </c>
      <c r="L1421">
        <v>2.2000000000000002</v>
      </c>
      <c r="M1421">
        <v>3.9</v>
      </c>
      <c r="N1421">
        <v>0.44300000000000006</v>
      </c>
      <c r="O1421">
        <v>-1.8</v>
      </c>
      <c r="P1421" t="s">
        <v>27</v>
      </c>
      <c r="Q1421" t="s">
        <v>27</v>
      </c>
      <c r="R1421" t="s">
        <v>27</v>
      </c>
      <c r="S1421">
        <v>0.2</v>
      </c>
      <c r="T1421">
        <v>1.5</v>
      </c>
      <c r="U1421" t="s">
        <v>27</v>
      </c>
      <c r="V1421">
        <v>7.6999999999999999E-2</v>
      </c>
      <c r="W1421">
        <v>0.25600000000000001</v>
      </c>
      <c r="X1421">
        <v>0.23899999999999999</v>
      </c>
      <c r="Y1421" t="s">
        <v>27</v>
      </c>
      <c r="Z1421" t="s">
        <v>27</v>
      </c>
      <c r="AA1421" t="s">
        <v>27</v>
      </c>
      <c r="AB1421" t="s">
        <v>27</v>
      </c>
      <c r="AC1421" t="s">
        <v>27</v>
      </c>
      <c r="AD1421" t="s">
        <v>27</v>
      </c>
      <c r="AE1421" t="s">
        <v>27</v>
      </c>
      <c r="AF1421" t="s">
        <v>27</v>
      </c>
      <c r="AG1421">
        <v>6.8</v>
      </c>
    </row>
    <row r="1422" spans="1:33" x14ac:dyDescent="0.25">
      <c r="A1422" t="s">
        <v>57</v>
      </c>
      <c r="B1422" s="3">
        <v>44883</v>
      </c>
      <c r="C1422">
        <v>2022322</v>
      </c>
      <c r="D1422" t="s">
        <v>27</v>
      </c>
      <c r="E1422" t="s">
        <v>27</v>
      </c>
      <c r="F1422">
        <v>-11.8</v>
      </c>
      <c r="G1422">
        <v>0.2</v>
      </c>
      <c r="H1422">
        <v>-18.3</v>
      </c>
      <c r="I1422">
        <v>71</v>
      </c>
      <c r="J1422">
        <v>21</v>
      </c>
      <c r="K1422">
        <v>0.4</v>
      </c>
      <c r="L1422">
        <v>1.9</v>
      </c>
      <c r="M1422">
        <v>3.2</v>
      </c>
      <c r="N1422">
        <v>0.43999999999999995</v>
      </c>
      <c r="O1422">
        <v>-3</v>
      </c>
      <c r="P1422" t="s">
        <v>27</v>
      </c>
      <c r="Q1422" t="s">
        <v>27</v>
      </c>
      <c r="R1422" t="s">
        <v>27</v>
      </c>
      <c r="S1422">
        <v>0.1</v>
      </c>
      <c r="T1422">
        <v>1.5</v>
      </c>
      <c r="U1422" t="s">
        <v>27</v>
      </c>
      <c r="V1422">
        <v>7.6999999999999999E-2</v>
      </c>
      <c r="W1422">
        <v>0.13</v>
      </c>
      <c r="X1422">
        <v>0.48899999999999999</v>
      </c>
      <c r="Y1422" t="s">
        <v>27</v>
      </c>
      <c r="Z1422" t="s">
        <v>27</v>
      </c>
      <c r="AA1422" t="s">
        <v>27</v>
      </c>
      <c r="AB1422" t="s">
        <v>27</v>
      </c>
      <c r="AC1422" t="s">
        <v>27</v>
      </c>
      <c r="AD1422" t="s">
        <v>27</v>
      </c>
      <c r="AE1422" t="s">
        <v>27</v>
      </c>
      <c r="AF1422" t="s">
        <v>27</v>
      </c>
      <c r="AG1422">
        <v>6.68</v>
      </c>
    </row>
    <row r="1423" spans="1:33" x14ac:dyDescent="0.25">
      <c r="A1423" t="s">
        <v>57</v>
      </c>
      <c r="B1423" s="3">
        <v>44884</v>
      </c>
      <c r="C1423">
        <v>2022323</v>
      </c>
      <c r="D1423" t="s">
        <v>27</v>
      </c>
      <c r="E1423" t="s">
        <v>27</v>
      </c>
      <c r="F1423">
        <v>-11.8</v>
      </c>
      <c r="G1423">
        <v>-3.1</v>
      </c>
      <c r="H1423">
        <v>-16.899999999999999</v>
      </c>
      <c r="I1423">
        <v>77.2</v>
      </c>
      <c r="J1423">
        <v>51.7</v>
      </c>
      <c r="K1423">
        <v>0.4</v>
      </c>
      <c r="L1423">
        <v>1.4</v>
      </c>
      <c r="M1423">
        <v>0</v>
      </c>
      <c r="N1423">
        <v>0.43400000000000016</v>
      </c>
      <c r="O1423">
        <v>-3.5</v>
      </c>
      <c r="P1423" t="s">
        <v>27</v>
      </c>
      <c r="Q1423" t="s">
        <v>27</v>
      </c>
      <c r="R1423" t="s">
        <v>27</v>
      </c>
      <c r="S1423">
        <v>0.1</v>
      </c>
      <c r="T1423">
        <v>1.4</v>
      </c>
      <c r="U1423" t="s">
        <v>27</v>
      </c>
      <c r="V1423">
        <v>7.6999999999999999E-2</v>
      </c>
      <c r="W1423">
        <v>0.251</v>
      </c>
      <c r="X1423">
        <v>0.23400000000000001</v>
      </c>
      <c r="Y1423" t="s">
        <v>27</v>
      </c>
      <c r="Z1423" t="s">
        <v>27</v>
      </c>
      <c r="AA1423" t="s">
        <v>27</v>
      </c>
      <c r="AB1423" t="s">
        <v>27</v>
      </c>
      <c r="AC1423" t="s">
        <v>27</v>
      </c>
      <c r="AD1423" t="s">
        <v>27</v>
      </c>
      <c r="AE1423" t="s">
        <v>27</v>
      </c>
      <c r="AF1423" t="s">
        <v>27</v>
      </c>
      <c r="AG1423">
        <v>6.57</v>
      </c>
    </row>
    <row r="1424" spans="1:33" x14ac:dyDescent="0.25">
      <c r="A1424" t="s">
        <v>57</v>
      </c>
      <c r="B1424" s="3">
        <v>44885</v>
      </c>
      <c r="C1424">
        <v>2022324</v>
      </c>
      <c r="D1424" t="s">
        <v>27</v>
      </c>
      <c r="E1424" t="s">
        <v>27</v>
      </c>
      <c r="F1424">
        <v>-7.7</v>
      </c>
      <c r="G1424">
        <v>-2.2000000000000002</v>
      </c>
      <c r="H1424">
        <v>-14.9</v>
      </c>
      <c r="I1424">
        <v>70.2</v>
      </c>
      <c r="J1424">
        <v>44.6</v>
      </c>
      <c r="K1424">
        <v>0.3</v>
      </c>
      <c r="L1424">
        <v>1.3</v>
      </c>
      <c r="M1424">
        <v>0</v>
      </c>
      <c r="N1424">
        <v>0.43199999999999994</v>
      </c>
      <c r="O1424">
        <v>-3.1</v>
      </c>
      <c r="P1424" t="s">
        <v>27</v>
      </c>
      <c r="Q1424" t="s">
        <v>27</v>
      </c>
      <c r="R1424" t="s">
        <v>27</v>
      </c>
      <c r="S1424">
        <v>0</v>
      </c>
      <c r="T1424">
        <v>1.4</v>
      </c>
      <c r="U1424" t="s">
        <v>27</v>
      </c>
      <c r="V1424">
        <v>7.5999999999999998E-2</v>
      </c>
      <c r="W1424">
        <v>0.23100000000000001</v>
      </c>
      <c r="X1424">
        <v>0.28699999999999998</v>
      </c>
      <c r="Y1424" t="s">
        <v>27</v>
      </c>
      <c r="Z1424" t="s">
        <v>27</v>
      </c>
      <c r="AA1424" t="s">
        <v>27</v>
      </c>
      <c r="AB1424" t="s">
        <v>27</v>
      </c>
      <c r="AC1424" t="s">
        <v>27</v>
      </c>
      <c r="AD1424" t="s">
        <v>27</v>
      </c>
      <c r="AE1424" t="s">
        <v>27</v>
      </c>
      <c r="AF1424" t="s">
        <v>27</v>
      </c>
      <c r="AG1424">
        <v>6.47</v>
      </c>
    </row>
    <row r="1425" spans="1:33" x14ac:dyDescent="0.25">
      <c r="A1425" t="s">
        <v>57</v>
      </c>
      <c r="B1425" s="3">
        <v>44886</v>
      </c>
      <c r="C1425">
        <v>2022325</v>
      </c>
      <c r="D1425" t="s">
        <v>27</v>
      </c>
      <c r="E1425" t="s">
        <v>27</v>
      </c>
      <c r="F1425">
        <v>-4.0999999999999996</v>
      </c>
      <c r="G1425">
        <v>-0.5</v>
      </c>
      <c r="H1425">
        <v>-5.9</v>
      </c>
      <c r="I1425">
        <v>86</v>
      </c>
      <c r="J1425">
        <v>71.900000000000006</v>
      </c>
      <c r="K1425">
        <v>0.3</v>
      </c>
      <c r="L1425">
        <v>1.5</v>
      </c>
      <c r="M1425">
        <v>0</v>
      </c>
      <c r="N1425">
        <v>0.44100000000000028</v>
      </c>
      <c r="O1425">
        <v>-1.6</v>
      </c>
      <c r="P1425" t="s">
        <v>27</v>
      </c>
      <c r="Q1425" t="s">
        <v>27</v>
      </c>
      <c r="R1425" t="s">
        <v>27</v>
      </c>
      <c r="S1425">
        <v>0</v>
      </c>
      <c r="T1425">
        <v>1.4</v>
      </c>
      <c r="U1425" t="s">
        <v>27</v>
      </c>
      <c r="V1425">
        <v>7.4999999999999997E-2</v>
      </c>
      <c r="W1425">
        <v>0.42499999999999999</v>
      </c>
      <c r="X1425">
        <v>0.16600000000000001</v>
      </c>
      <c r="Y1425" t="s">
        <v>27</v>
      </c>
      <c r="Z1425" t="s">
        <v>27</v>
      </c>
      <c r="AA1425" t="s">
        <v>27</v>
      </c>
      <c r="AB1425" t="s">
        <v>27</v>
      </c>
      <c r="AC1425" t="s">
        <v>27</v>
      </c>
      <c r="AD1425" t="s">
        <v>27</v>
      </c>
      <c r="AE1425" t="s">
        <v>27</v>
      </c>
      <c r="AF1425" t="s">
        <v>27</v>
      </c>
      <c r="AG1425">
        <v>6.37</v>
      </c>
    </row>
    <row r="1426" spans="1:33" x14ac:dyDescent="0.25">
      <c r="A1426" t="s">
        <v>57</v>
      </c>
      <c r="B1426" s="3">
        <v>44887</v>
      </c>
      <c r="C1426">
        <v>2022326</v>
      </c>
      <c r="D1426" t="s">
        <v>27</v>
      </c>
      <c r="E1426" t="s">
        <v>27</v>
      </c>
      <c r="F1426">
        <v>-5.0999999999999996</v>
      </c>
      <c r="G1426">
        <v>-2</v>
      </c>
      <c r="H1426">
        <v>-6.4</v>
      </c>
      <c r="I1426">
        <v>88.5</v>
      </c>
      <c r="J1426">
        <v>82.1</v>
      </c>
      <c r="K1426">
        <v>1</v>
      </c>
      <c r="L1426">
        <v>3</v>
      </c>
      <c r="M1426">
        <v>0</v>
      </c>
      <c r="N1426">
        <v>0.4780000000000002</v>
      </c>
      <c r="O1426">
        <v>-1.1000000000000001</v>
      </c>
      <c r="P1426" t="s">
        <v>27</v>
      </c>
      <c r="Q1426" t="s">
        <v>27</v>
      </c>
      <c r="R1426" t="s">
        <v>27</v>
      </c>
      <c r="S1426">
        <v>0.1</v>
      </c>
      <c r="T1426">
        <v>1.4</v>
      </c>
      <c r="U1426" t="s">
        <v>27</v>
      </c>
      <c r="V1426">
        <v>7.4999999999999997E-2</v>
      </c>
      <c r="W1426">
        <v>0.432</v>
      </c>
      <c r="X1426">
        <v>9.4E-2</v>
      </c>
      <c r="Y1426" t="s">
        <v>27</v>
      </c>
      <c r="Z1426" t="s">
        <v>27</v>
      </c>
      <c r="AA1426" t="s">
        <v>27</v>
      </c>
      <c r="AB1426" t="s">
        <v>27</v>
      </c>
      <c r="AC1426" t="s">
        <v>27</v>
      </c>
      <c r="AD1426" t="s">
        <v>27</v>
      </c>
      <c r="AE1426" t="s">
        <v>27</v>
      </c>
      <c r="AF1426" t="s">
        <v>27</v>
      </c>
      <c r="AG1426">
        <v>6.26</v>
      </c>
    </row>
    <row r="1427" spans="1:33" x14ac:dyDescent="0.25">
      <c r="A1427" t="s">
        <v>57</v>
      </c>
      <c r="B1427" s="3">
        <v>44888</v>
      </c>
      <c r="C1427">
        <v>2022327</v>
      </c>
      <c r="D1427" t="s">
        <v>27</v>
      </c>
      <c r="E1427" t="s">
        <v>27</v>
      </c>
      <c r="F1427">
        <v>-1.9</v>
      </c>
      <c r="G1427">
        <v>2</v>
      </c>
      <c r="H1427">
        <v>-3.8</v>
      </c>
      <c r="I1427">
        <v>85</v>
      </c>
      <c r="J1427">
        <v>63.2</v>
      </c>
      <c r="K1427">
        <v>0.6</v>
      </c>
      <c r="L1427">
        <v>2.9</v>
      </c>
      <c r="M1427">
        <v>3.8</v>
      </c>
      <c r="N1427">
        <v>0.46700000000000008</v>
      </c>
      <c r="O1427">
        <v>-0.9</v>
      </c>
      <c r="P1427" t="s">
        <v>27</v>
      </c>
      <c r="Q1427" t="s">
        <v>27</v>
      </c>
      <c r="R1427" t="s">
        <v>27</v>
      </c>
      <c r="S1427">
        <v>0.1</v>
      </c>
      <c r="T1427">
        <v>1.4</v>
      </c>
      <c r="U1427" t="s">
        <v>27</v>
      </c>
      <c r="V1427">
        <v>7.3999999999999996E-2</v>
      </c>
      <c r="W1427">
        <v>0.44600000000000001</v>
      </c>
      <c r="X1427">
        <v>0.26</v>
      </c>
      <c r="Y1427" t="s">
        <v>27</v>
      </c>
      <c r="Z1427" t="s">
        <v>27</v>
      </c>
      <c r="AA1427" t="s">
        <v>27</v>
      </c>
      <c r="AB1427" t="s">
        <v>27</v>
      </c>
      <c r="AC1427" t="s">
        <v>27</v>
      </c>
      <c r="AD1427" t="s">
        <v>27</v>
      </c>
      <c r="AE1427" t="s">
        <v>27</v>
      </c>
      <c r="AF1427" t="s">
        <v>27</v>
      </c>
      <c r="AG1427">
        <v>6.17</v>
      </c>
    </row>
    <row r="1428" spans="1:33" x14ac:dyDescent="0.25">
      <c r="A1428" t="s">
        <v>57</v>
      </c>
      <c r="B1428" s="3">
        <v>44889</v>
      </c>
      <c r="C1428">
        <v>2022328</v>
      </c>
      <c r="D1428" t="s">
        <v>27</v>
      </c>
      <c r="E1428" t="s">
        <v>27</v>
      </c>
      <c r="F1428">
        <v>-3.6</v>
      </c>
      <c r="G1428">
        <v>-1.7</v>
      </c>
      <c r="H1428">
        <v>-5.4</v>
      </c>
      <c r="I1428">
        <v>91.4</v>
      </c>
      <c r="J1428">
        <v>85.8</v>
      </c>
      <c r="K1428">
        <v>0.9</v>
      </c>
      <c r="L1428">
        <v>2.1</v>
      </c>
      <c r="M1428">
        <v>0.2</v>
      </c>
      <c r="N1428">
        <v>0.45700000000000029</v>
      </c>
      <c r="O1428">
        <v>-0.8</v>
      </c>
      <c r="P1428" t="s">
        <v>27</v>
      </c>
      <c r="Q1428" t="s">
        <v>27</v>
      </c>
      <c r="R1428" t="s">
        <v>27</v>
      </c>
      <c r="S1428">
        <v>0.2</v>
      </c>
      <c r="T1428">
        <v>1.4</v>
      </c>
      <c r="U1428" t="s">
        <v>27</v>
      </c>
      <c r="V1428">
        <v>7.3999999999999996E-2</v>
      </c>
      <c r="W1428">
        <v>0.46100000000000002</v>
      </c>
      <c r="X1428">
        <v>7.5999999999999998E-2</v>
      </c>
      <c r="Y1428" t="s">
        <v>27</v>
      </c>
      <c r="Z1428" t="s">
        <v>27</v>
      </c>
      <c r="AA1428" t="s">
        <v>27</v>
      </c>
      <c r="AB1428" t="s">
        <v>27</v>
      </c>
      <c r="AC1428" t="s">
        <v>27</v>
      </c>
      <c r="AD1428" t="s">
        <v>27</v>
      </c>
      <c r="AE1428" t="s">
        <v>27</v>
      </c>
      <c r="AF1428" t="s">
        <v>27</v>
      </c>
      <c r="AG1428">
        <v>6.07</v>
      </c>
    </row>
    <row r="1429" spans="1:33" x14ac:dyDescent="0.25">
      <c r="A1429" t="s">
        <v>57</v>
      </c>
      <c r="B1429" s="3">
        <v>44890</v>
      </c>
      <c r="C1429">
        <v>2022329</v>
      </c>
      <c r="D1429" t="s">
        <v>27</v>
      </c>
      <c r="E1429" t="s">
        <v>27</v>
      </c>
      <c r="F1429">
        <v>-4.4000000000000004</v>
      </c>
      <c r="G1429">
        <v>0.6</v>
      </c>
      <c r="H1429">
        <v>-9</v>
      </c>
      <c r="I1429">
        <v>89.5</v>
      </c>
      <c r="J1429">
        <v>77.900000000000006</v>
      </c>
      <c r="K1429">
        <v>0.6</v>
      </c>
      <c r="L1429">
        <v>3</v>
      </c>
      <c r="M1429">
        <v>2.4</v>
      </c>
      <c r="N1429">
        <v>0.48500000000000032</v>
      </c>
      <c r="O1429">
        <v>-1.1000000000000001</v>
      </c>
      <c r="P1429" t="s">
        <v>27</v>
      </c>
      <c r="Q1429" t="s">
        <v>27</v>
      </c>
      <c r="R1429" t="s">
        <v>27</v>
      </c>
      <c r="S1429">
        <v>0.2</v>
      </c>
      <c r="T1429">
        <v>1.4</v>
      </c>
      <c r="U1429" t="s">
        <v>27</v>
      </c>
      <c r="V1429">
        <v>7.3999999999999996E-2</v>
      </c>
      <c r="W1429">
        <v>0.495</v>
      </c>
      <c r="X1429">
        <v>0.14000000000000001</v>
      </c>
      <c r="Y1429" t="s">
        <v>27</v>
      </c>
      <c r="Z1429" t="s">
        <v>27</v>
      </c>
      <c r="AA1429" t="s">
        <v>27</v>
      </c>
      <c r="AB1429" t="s">
        <v>27</v>
      </c>
      <c r="AC1429" t="s">
        <v>27</v>
      </c>
      <c r="AD1429" t="s">
        <v>27</v>
      </c>
      <c r="AE1429" t="s">
        <v>27</v>
      </c>
      <c r="AF1429" t="s">
        <v>27</v>
      </c>
      <c r="AG1429">
        <v>5.99</v>
      </c>
    </row>
    <row r="1430" spans="1:33" x14ac:dyDescent="0.25">
      <c r="A1430" t="s">
        <v>57</v>
      </c>
      <c r="B1430" s="3">
        <v>44891</v>
      </c>
      <c r="C1430">
        <v>2022330</v>
      </c>
      <c r="D1430" t="s">
        <v>27</v>
      </c>
      <c r="E1430" t="s">
        <v>27</v>
      </c>
      <c r="F1430">
        <v>-4.5</v>
      </c>
      <c r="G1430">
        <v>-1.1000000000000001</v>
      </c>
      <c r="H1430">
        <v>-9.4</v>
      </c>
      <c r="I1430">
        <v>85.5</v>
      </c>
      <c r="J1430">
        <v>69.8</v>
      </c>
      <c r="K1430">
        <v>0.7</v>
      </c>
      <c r="L1430">
        <v>3.1</v>
      </c>
      <c r="M1430">
        <v>0.3</v>
      </c>
      <c r="N1430">
        <v>0.47500000000000009</v>
      </c>
      <c r="O1430">
        <v>-1</v>
      </c>
      <c r="P1430" t="s">
        <v>27</v>
      </c>
      <c r="Q1430" t="s">
        <v>27</v>
      </c>
      <c r="R1430" t="s">
        <v>27</v>
      </c>
      <c r="S1430">
        <v>0.2</v>
      </c>
      <c r="T1430">
        <v>1.4</v>
      </c>
      <c r="U1430" t="s">
        <v>27</v>
      </c>
      <c r="V1430">
        <v>7.3999999999999996E-2</v>
      </c>
      <c r="W1430">
        <v>0.39300000000000002</v>
      </c>
      <c r="X1430">
        <v>0.17</v>
      </c>
      <c r="Y1430" t="s">
        <v>27</v>
      </c>
      <c r="Z1430" t="s">
        <v>27</v>
      </c>
      <c r="AA1430" t="s">
        <v>27</v>
      </c>
      <c r="AB1430" t="s">
        <v>27</v>
      </c>
      <c r="AC1430" t="s">
        <v>27</v>
      </c>
      <c r="AD1430" t="s">
        <v>27</v>
      </c>
      <c r="AE1430" t="s">
        <v>27</v>
      </c>
      <c r="AF1430" t="s">
        <v>27</v>
      </c>
      <c r="AG1430">
        <v>5.9</v>
      </c>
    </row>
    <row r="1431" spans="1:33" x14ac:dyDescent="0.25">
      <c r="A1431" t="s">
        <v>57</v>
      </c>
      <c r="B1431" s="3">
        <v>44892</v>
      </c>
      <c r="C1431">
        <v>2022331</v>
      </c>
      <c r="D1431" t="s">
        <v>27</v>
      </c>
      <c r="E1431" t="s">
        <v>27</v>
      </c>
      <c r="F1431">
        <v>-8</v>
      </c>
      <c r="G1431">
        <v>-3.8</v>
      </c>
      <c r="H1431">
        <v>-11.3</v>
      </c>
      <c r="I1431">
        <v>89.6</v>
      </c>
      <c r="J1431">
        <v>87.1</v>
      </c>
      <c r="K1431">
        <v>0.2</v>
      </c>
      <c r="L1431">
        <v>3.4</v>
      </c>
      <c r="M1431">
        <v>7.7</v>
      </c>
      <c r="N1431">
        <v>0.65900000000000003</v>
      </c>
      <c r="O1431">
        <v>-1</v>
      </c>
      <c r="P1431" t="s">
        <v>27</v>
      </c>
      <c r="Q1431" t="s">
        <v>27</v>
      </c>
      <c r="R1431" t="s">
        <v>27</v>
      </c>
      <c r="S1431">
        <v>0.2</v>
      </c>
      <c r="T1431">
        <v>1.3</v>
      </c>
      <c r="U1431" t="s">
        <v>27</v>
      </c>
      <c r="V1431">
        <v>7.2999999999999995E-2</v>
      </c>
      <c r="W1431">
        <v>0.40200000000000002</v>
      </c>
      <c r="X1431">
        <v>0.06</v>
      </c>
      <c r="Y1431" t="s">
        <v>27</v>
      </c>
      <c r="Z1431" t="s">
        <v>27</v>
      </c>
      <c r="AA1431" t="s">
        <v>27</v>
      </c>
      <c r="AB1431" t="s">
        <v>27</v>
      </c>
      <c r="AC1431" t="s">
        <v>27</v>
      </c>
      <c r="AD1431" t="s">
        <v>27</v>
      </c>
      <c r="AE1431" t="s">
        <v>27</v>
      </c>
      <c r="AF1431" t="s">
        <v>27</v>
      </c>
      <c r="AG1431">
        <v>5.82</v>
      </c>
    </row>
    <row r="1432" spans="1:33" x14ac:dyDescent="0.25">
      <c r="A1432" t="s">
        <v>57</v>
      </c>
      <c r="B1432" s="3">
        <v>44893</v>
      </c>
      <c r="C1432">
        <v>2022332</v>
      </c>
      <c r="D1432" t="s">
        <v>27</v>
      </c>
      <c r="E1432" t="s">
        <v>27</v>
      </c>
      <c r="F1432">
        <v>-14.9</v>
      </c>
      <c r="G1432">
        <v>-9</v>
      </c>
      <c r="H1432">
        <v>-18</v>
      </c>
      <c r="I1432">
        <v>83.2</v>
      </c>
      <c r="J1432">
        <v>80.3</v>
      </c>
      <c r="K1432">
        <v>0.4</v>
      </c>
      <c r="L1432">
        <v>2</v>
      </c>
      <c r="M1432">
        <v>6.3</v>
      </c>
      <c r="N1432">
        <v>0.66600000000000015</v>
      </c>
      <c r="O1432">
        <v>-1</v>
      </c>
      <c r="P1432" t="s">
        <v>27</v>
      </c>
      <c r="Q1432" t="s">
        <v>27</v>
      </c>
      <c r="R1432" t="s">
        <v>27</v>
      </c>
      <c r="S1432">
        <v>0.2</v>
      </c>
      <c r="T1432">
        <v>1.3</v>
      </c>
      <c r="U1432" t="s">
        <v>27</v>
      </c>
      <c r="V1432">
        <v>7.2999999999999995E-2</v>
      </c>
      <c r="W1432">
        <v>0.248</v>
      </c>
      <c r="X1432">
        <v>6.0999999999999999E-2</v>
      </c>
      <c r="Y1432" t="s">
        <v>27</v>
      </c>
      <c r="Z1432" t="s">
        <v>27</v>
      </c>
      <c r="AA1432" t="s">
        <v>27</v>
      </c>
      <c r="AB1432" t="s">
        <v>27</v>
      </c>
      <c r="AC1432" t="s">
        <v>27</v>
      </c>
      <c r="AD1432" t="s">
        <v>27</v>
      </c>
      <c r="AE1432" t="s">
        <v>27</v>
      </c>
      <c r="AF1432" t="s">
        <v>27</v>
      </c>
      <c r="AG1432">
        <v>5.74</v>
      </c>
    </row>
    <row r="1433" spans="1:33" x14ac:dyDescent="0.25">
      <c r="A1433" t="s">
        <v>57</v>
      </c>
      <c r="B1433" s="3">
        <v>44894</v>
      </c>
      <c r="C1433">
        <v>2022333</v>
      </c>
      <c r="D1433" t="s">
        <v>27</v>
      </c>
      <c r="E1433" t="s">
        <v>27</v>
      </c>
      <c r="F1433">
        <v>-16.5</v>
      </c>
      <c r="G1433">
        <v>-10.5</v>
      </c>
      <c r="H1433">
        <v>-24.1</v>
      </c>
      <c r="I1433">
        <v>82</v>
      </c>
      <c r="J1433">
        <v>75.900000000000006</v>
      </c>
      <c r="K1433">
        <v>0.6</v>
      </c>
      <c r="L1433">
        <v>3.1</v>
      </c>
      <c r="M1433">
        <v>0</v>
      </c>
      <c r="N1433">
        <v>0.65600000000000014</v>
      </c>
      <c r="O1433">
        <v>-1.1000000000000001</v>
      </c>
      <c r="P1433" t="s">
        <v>27</v>
      </c>
      <c r="Q1433" t="s">
        <v>27</v>
      </c>
      <c r="R1433" t="s">
        <v>27</v>
      </c>
      <c r="S1433">
        <v>0.2</v>
      </c>
      <c r="T1433">
        <v>1.3</v>
      </c>
      <c r="U1433" t="s">
        <v>27</v>
      </c>
      <c r="V1433">
        <v>7.2999999999999995E-2</v>
      </c>
      <c r="W1433">
        <v>0.20799999999999999</v>
      </c>
      <c r="X1433">
        <v>6.6000000000000003E-2</v>
      </c>
      <c r="Y1433" t="s">
        <v>27</v>
      </c>
      <c r="Z1433" t="s">
        <v>27</v>
      </c>
      <c r="AA1433" t="s">
        <v>27</v>
      </c>
      <c r="AB1433" t="s">
        <v>27</v>
      </c>
      <c r="AC1433" t="s">
        <v>27</v>
      </c>
      <c r="AD1433" t="s">
        <v>27</v>
      </c>
      <c r="AE1433" t="s">
        <v>27</v>
      </c>
      <c r="AF1433" t="s">
        <v>27</v>
      </c>
      <c r="AG1433">
        <v>5.67</v>
      </c>
    </row>
    <row r="1434" spans="1:33" x14ac:dyDescent="0.25">
      <c r="A1434" t="s">
        <v>57</v>
      </c>
      <c r="B1434" s="3">
        <v>44895</v>
      </c>
      <c r="C1434">
        <v>2022334</v>
      </c>
      <c r="D1434" t="s">
        <v>27</v>
      </c>
      <c r="E1434" t="s">
        <v>27</v>
      </c>
      <c r="F1434">
        <v>-9.4</v>
      </c>
      <c r="G1434">
        <v>-4.0999999999999996</v>
      </c>
      <c r="H1434">
        <v>-11.9</v>
      </c>
      <c r="I1434">
        <v>88.5</v>
      </c>
      <c r="J1434">
        <v>86.4</v>
      </c>
      <c r="K1434">
        <v>0.6</v>
      </c>
      <c r="L1434">
        <v>3</v>
      </c>
      <c r="M1434">
        <v>1.8</v>
      </c>
      <c r="N1434">
        <v>0.68000000000000016</v>
      </c>
      <c r="O1434">
        <v>-1.3</v>
      </c>
      <c r="P1434" t="s">
        <v>27</v>
      </c>
      <c r="Q1434" t="s">
        <v>27</v>
      </c>
      <c r="R1434" t="s">
        <v>27</v>
      </c>
      <c r="S1434">
        <v>0.2</v>
      </c>
      <c r="T1434">
        <v>1.3</v>
      </c>
      <c r="U1434" t="s">
        <v>27</v>
      </c>
      <c r="V1434">
        <v>7.1999999999999995E-2</v>
      </c>
      <c r="W1434">
        <v>0.38900000000000001</v>
      </c>
      <c r="X1434">
        <v>6.0999999999999999E-2</v>
      </c>
      <c r="Y1434" t="s">
        <v>27</v>
      </c>
      <c r="Z1434" t="s">
        <v>27</v>
      </c>
      <c r="AA1434" t="s">
        <v>27</v>
      </c>
      <c r="AB1434" t="s">
        <v>27</v>
      </c>
      <c r="AC1434" t="s">
        <v>27</v>
      </c>
      <c r="AD1434" t="s">
        <v>27</v>
      </c>
      <c r="AE1434" t="s">
        <v>27</v>
      </c>
      <c r="AF1434" t="s">
        <v>27</v>
      </c>
      <c r="AG1434">
        <v>5.6</v>
      </c>
    </row>
    <row r="1435" spans="1:33" x14ac:dyDescent="0.25">
      <c r="A1435" t="s">
        <v>57</v>
      </c>
      <c r="B1435" s="3">
        <v>44896</v>
      </c>
      <c r="C1435">
        <v>2022335</v>
      </c>
      <c r="D1435" t="s">
        <v>27</v>
      </c>
      <c r="E1435" t="s">
        <v>27</v>
      </c>
      <c r="F1435">
        <v>-18</v>
      </c>
      <c r="G1435">
        <v>-10.6</v>
      </c>
      <c r="H1435">
        <v>-27.1</v>
      </c>
      <c r="I1435">
        <v>80.900000000000006</v>
      </c>
      <c r="J1435">
        <v>74.2</v>
      </c>
      <c r="K1435">
        <v>0.8</v>
      </c>
      <c r="L1435">
        <v>2.2000000000000002</v>
      </c>
      <c r="M1435">
        <v>6.8</v>
      </c>
      <c r="N1435">
        <v>0.68200000000000016</v>
      </c>
      <c r="O1435">
        <v>-1.2</v>
      </c>
      <c r="P1435" t="s">
        <v>27</v>
      </c>
      <c r="Q1435" t="s">
        <v>27</v>
      </c>
      <c r="R1435" t="s">
        <v>27</v>
      </c>
      <c r="S1435">
        <v>0.2</v>
      </c>
      <c r="T1435">
        <v>1.2</v>
      </c>
      <c r="U1435" t="s">
        <v>27</v>
      </c>
      <c r="V1435">
        <v>7.1999999999999995E-2</v>
      </c>
      <c r="W1435">
        <v>0.20200000000000001</v>
      </c>
      <c r="X1435">
        <v>7.0000000000000007E-2</v>
      </c>
      <c r="Y1435" t="s">
        <v>27</v>
      </c>
      <c r="Z1435" t="s">
        <v>27</v>
      </c>
      <c r="AA1435" t="s">
        <v>27</v>
      </c>
      <c r="AB1435" t="s">
        <v>27</v>
      </c>
      <c r="AC1435" t="s">
        <v>27</v>
      </c>
      <c r="AD1435" t="s">
        <v>27</v>
      </c>
      <c r="AE1435" t="s">
        <v>27</v>
      </c>
      <c r="AF1435" t="s">
        <v>27</v>
      </c>
      <c r="AG1435">
        <v>5.53</v>
      </c>
    </row>
    <row r="1436" spans="1:33" x14ac:dyDescent="0.25">
      <c r="A1436" t="s">
        <v>57</v>
      </c>
      <c r="B1436" s="3">
        <v>44897</v>
      </c>
      <c r="C1436">
        <v>2022336</v>
      </c>
      <c r="D1436" t="s">
        <v>27</v>
      </c>
      <c r="E1436" t="s">
        <v>27</v>
      </c>
      <c r="F1436">
        <v>-17.100000000000001</v>
      </c>
      <c r="G1436">
        <v>-9.8000000000000007</v>
      </c>
      <c r="H1436">
        <v>-26.4</v>
      </c>
      <c r="I1436">
        <v>81.7</v>
      </c>
      <c r="J1436">
        <v>74.599999999999994</v>
      </c>
      <c r="K1436">
        <v>0.1</v>
      </c>
      <c r="L1436">
        <v>1.4</v>
      </c>
      <c r="M1436">
        <v>0</v>
      </c>
      <c r="N1436">
        <v>0.65800000000000014</v>
      </c>
      <c r="O1436">
        <v>-1.4</v>
      </c>
      <c r="P1436" t="s">
        <v>27</v>
      </c>
      <c r="Q1436" t="s">
        <v>27</v>
      </c>
      <c r="R1436" t="s">
        <v>27</v>
      </c>
      <c r="S1436">
        <v>0.2</v>
      </c>
      <c r="T1436">
        <v>1.2</v>
      </c>
      <c r="U1436" t="s">
        <v>27</v>
      </c>
      <c r="V1436">
        <v>7.0999999999999994E-2</v>
      </c>
      <c r="W1436">
        <v>0.217</v>
      </c>
      <c r="X1436">
        <v>7.3999999999999996E-2</v>
      </c>
      <c r="Y1436" t="s">
        <v>27</v>
      </c>
      <c r="Z1436" t="s">
        <v>27</v>
      </c>
      <c r="AA1436" t="s">
        <v>27</v>
      </c>
      <c r="AB1436" t="s">
        <v>27</v>
      </c>
      <c r="AC1436" t="s">
        <v>27</v>
      </c>
      <c r="AD1436" t="s">
        <v>27</v>
      </c>
      <c r="AE1436" t="s">
        <v>27</v>
      </c>
      <c r="AF1436" t="s">
        <v>27</v>
      </c>
      <c r="AG1436">
        <v>5.47</v>
      </c>
    </row>
    <row r="1437" spans="1:33" x14ac:dyDescent="0.25">
      <c r="A1437" t="s">
        <v>57</v>
      </c>
      <c r="B1437" s="3">
        <v>44898</v>
      </c>
      <c r="C1437">
        <v>2022337</v>
      </c>
      <c r="D1437" t="s">
        <v>27</v>
      </c>
      <c r="E1437" t="s">
        <v>27</v>
      </c>
      <c r="F1437">
        <v>-11.5</v>
      </c>
      <c r="G1437">
        <v>-7.3</v>
      </c>
      <c r="H1437">
        <v>-19</v>
      </c>
      <c r="I1437">
        <v>86.4</v>
      </c>
      <c r="J1437">
        <v>79.2</v>
      </c>
      <c r="K1437">
        <v>0.2</v>
      </c>
      <c r="L1437">
        <v>1.1000000000000001</v>
      </c>
      <c r="M1437">
        <v>1.3</v>
      </c>
      <c r="N1437">
        <v>0.63900000000000001</v>
      </c>
      <c r="O1437">
        <v>-1.5</v>
      </c>
      <c r="P1437" t="s">
        <v>27</v>
      </c>
      <c r="Q1437" t="s">
        <v>27</v>
      </c>
      <c r="R1437" t="s">
        <v>27</v>
      </c>
      <c r="S1437">
        <v>0.2</v>
      </c>
      <c r="T1437">
        <v>1.2</v>
      </c>
      <c r="U1437" t="s">
        <v>27</v>
      </c>
      <c r="V1437">
        <v>7.0000000000000007E-2</v>
      </c>
      <c r="W1437">
        <v>0.28000000000000003</v>
      </c>
      <c r="X1437">
        <v>7.3999999999999996E-2</v>
      </c>
      <c r="Y1437" t="s">
        <v>27</v>
      </c>
      <c r="Z1437" t="s">
        <v>27</v>
      </c>
      <c r="AA1437" t="s">
        <v>27</v>
      </c>
      <c r="AB1437" t="s">
        <v>27</v>
      </c>
      <c r="AC1437" t="s">
        <v>27</v>
      </c>
      <c r="AD1437" t="s">
        <v>27</v>
      </c>
      <c r="AE1437" t="s">
        <v>27</v>
      </c>
      <c r="AF1437" t="s">
        <v>27</v>
      </c>
      <c r="AG1437">
        <v>5.41</v>
      </c>
    </row>
    <row r="1438" spans="1:33" x14ac:dyDescent="0.25">
      <c r="A1438" t="s">
        <v>57</v>
      </c>
      <c r="B1438" s="3">
        <v>44899</v>
      </c>
      <c r="C1438">
        <v>2022338</v>
      </c>
      <c r="D1438" t="s">
        <v>27</v>
      </c>
      <c r="E1438" t="s">
        <v>27</v>
      </c>
      <c r="F1438">
        <v>-13.5</v>
      </c>
      <c r="G1438">
        <v>-3.8</v>
      </c>
      <c r="H1438">
        <v>-20</v>
      </c>
      <c r="I1438">
        <v>84.4</v>
      </c>
      <c r="J1438">
        <v>78.2</v>
      </c>
      <c r="K1438">
        <v>0.5</v>
      </c>
      <c r="L1438">
        <v>2.1</v>
      </c>
      <c r="M1438">
        <v>2.4</v>
      </c>
      <c r="N1438">
        <v>0.63400000000000012</v>
      </c>
      <c r="O1438">
        <v>-1.6</v>
      </c>
      <c r="P1438" t="s">
        <v>27</v>
      </c>
      <c r="Q1438" t="s">
        <v>27</v>
      </c>
      <c r="R1438" t="s">
        <v>27</v>
      </c>
      <c r="S1438">
        <v>0.1</v>
      </c>
      <c r="T1438">
        <v>1.2</v>
      </c>
      <c r="U1438" t="s">
        <v>27</v>
      </c>
      <c r="V1438">
        <v>6.9000000000000006E-2</v>
      </c>
      <c r="W1438">
        <v>0.36199999999999999</v>
      </c>
      <c r="X1438">
        <v>0.10100000000000001</v>
      </c>
      <c r="Y1438" t="s">
        <v>27</v>
      </c>
      <c r="Z1438" t="s">
        <v>27</v>
      </c>
      <c r="AA1438" t="s">
        <v>27</v>
      </c>
      <c r="AB1438" t="s">
        <v>27</v>
      </c>
      <c r="AC1438" t="s">
        <v>27</v>
      </c>
      <c r="AD1438" t="s">
        <v>27</v>
      </c>
      <c r="AE1438" t="s">
        <v>27</v>
      </c>
      <c r="AF1438" t="s">
        <v>27</v>
      </c>
      <c r="AG1438">
        <v>5.35</v>
      </c>
    </row>
    <row r="1439" spans="1:33" x14ac:dyDescent="0.25">
      <c r="A1439" t="s">
        <v>57</v>
      </c>
      <c r="B1439" s="3">
        <v>44900</v>
      </c>
      <c r="C1439">
        <v>2022339</v>
      </c>
      <c r="D1439" t="s">
        <v>27</v>
      </c>
      <c r="E1439" t="s">
        <v>27</v>
      </c>
      <c r="F1439">
        <v>-9.4</v>
      </c>
      <c r="G1439">
        <v>-6.5</v>
      </c>
      <c r="H1439">
        <v>-15.2</v>
      </c>
      <c r="I1439">
        <v>88.1</v>
      </c>
      <c r="J1439">
        <v>84</v>
      </c>
      <c r="K1439">
        <v>0.9</v>
      </c>
      <c r="L1439">
        <v>2.6</v>
      </c>
      <c r="M1439">
        <v>0</v>
      </c>
      <c r="N1439">
        <v>0.6120000000000001</v>
      </c>
      <c r="O1439">
        <v>-1.7</v>
      </c>
      <c r="P1439" t="s">
        <v>27</v>
      </c>
      <c r="Q1439" t="s">
        <v>27</v>
      </c>
      <c r="R1439" t="s">
        <v>27</v>
      </c>
      <c r="S1439">
        <v>0.2</v>
      </c>
      <c r="T1439">
        <v>1.2</v>
      </c>
      <c r="U1439" t="s">
        <v>27</v>
      </c>
      <c r="V1439">
        <v>6.8000000000000005E-2</v>
      </c>
      <c r="W1439">
        <v>0.314</v>
      </c>
      <c r="X1439">
        <v>0.06</v>
      </c>
      <c r="Y1439" t="s">
        <v>27</v>
      </c>
      <c r="Z1439" t="s">
        <v>27</v>
      </c>
      <c r="AA1439" t="s">
        <v>27</v>
      </c>
      <c r="AB1439" t="s">
        <v>27</v>
      </c>
      <c r="AC1439" t="s">
        <v>27</v>
      </c>
      <c r="AD1439" t="s">
        <v>27</v>
      </c>
      <c r="AE1439" t="s">
        <v>27</v>
      </c>
      <c r="AF1439" t="s">
        <v>27</v>
      </c>
      <c r="AG1439">
        <v>5.3</v>
      </c>
    </row>
    <row r="1440" spans="1:33" x14ac:dyDescent="0.25">
      <c r="A1440" t="s">
        <v>57</v>
      </c>
      <c r="B1440" s="3">
        <v>44901</v>
      </c>
      <c r="C1440">
        <v>2022340</v>
      </c>
      <c r="D1440" t="s">
        <v>27</v>
      </c>
      <c r="E1440" t="s">
        <v>27</v>
      </c>
      <c r="F1440">
        <v>-7.7</v>
      </c>
      <c r="G1440">
        <v>-4.7</v>
      </c>
      <c r="H1440">
        <v>-13</v>
      </c>
      <c r="I1440">
        <v>87</v>
      </c>
      <c r="J1440">
        <v>80.099999999999994</v>
      </c>
      <c r="K1440">
        <v>1.2</v>
      </c>
      <c r="L1440">
        <v>4.3</v>
      </c>
      <c r="M1440">
        <v>5.9</v>
      </c>
      <c r="N1440">
        <v>0.60400000000000009</v>
      </c>
      <c r="O1440">
        <v>-1.6</v>
      </c>
      <c r="P1440" t="s">
        <v>27</v>
      </c>
      <c r="Q1440" t="s">
        <v>27</v>
      </c>
      <c r="R1440" t="s">
        <v>27</v>
      </c>
      <c r="S1440">
        <v>0.1</v>
      </c>
      <c r="T1440">
        <v>1.2</v>
      </c>
      <c r="U1440" t="s">
        <v>27</v>
      </c>
      <c r="V1440">
        <v>6.7000000000000004E-2</v>
      </c>
      <c r="W1440">
        <v>0.34399999999999997</v>
      </c>
      <c r="X1440">
        <v>8.5000000000000006E-2</v>
      </c>
      <c r="Y1440" t="s">
        <v>27</v>
      </c>
      <c r="Z1440" t="s">
        <v>27</v>
      </c>
      <c r="AA1440" t="s">
        <v>27</v>
      </c>
      <c r="AB1440" t="s">
        <v>27</v>
      </c>
      <c r="AC1440" t="s">
        <v>27</v>
      </c>
      <c r="AD1440" t="s">
        <v>27</v>
      </c>
      <c r="AE1440" t="s">
        <v>27</v>
      </c>
      <c r="AF1440" t="s">
        <v>27</v>
      </c>
      <c r="AG1440">
        <v>5.24</v>
      </c>
    </row>
    <row r="1441" spans="1:33" x14ac:dyDescent="0.25">
      <c r="A1441" t="s">
        <v>57</v>
      </c>
      <c r="B1441" s="3">
        <v>44902</v>
      </c>
      <c r="C1441">
        <v>2022341</v>
      </c>
      <c r="D1441" t="s">
        <v>27</v>
      </c>
      <c r="E1441" t="s">
        <v>27</v>
      </c>
      <c r="F1441">
        <v>-10.5</v>
      </c>
      <c r="G1441">
        <v>-3.3</v>
      </c>
      <c r="H1441">
        <v>-15.8</v>
      </c>
      <c r="I1441">
        <v>85.1</v>
      </c>
      <c r="J1441">
        <v>73.599999999999994</v>
      </c>
      <c r="K1441">
        <v>0.5</v>
      </c>
      <c r="L1441">
        <v>2</v>
      </c>
      <c r="M1441">
        <v>0</v>
      </c>
      <c r="N1441">
        <v>0.6010000000000002</v>
      </c>
      <c r="O1441">
        <v>-1.6</v>
      </c>
      <c r="P1441" t="s">
        <v>27</v>
      </c>
      <c r="Q1441" t="s">
        <v>27</v>
      </c>
      <c r="R1441" t="s">
        <v>27</v>
      </c>
      <c r="S1441">
        <v>0.1</v>
      </c>
      <c r="T1441">
        <v>1.2</v>
      </c>
      <c r="U1441" t="s">
        <v>27</v>
      </c>
      <c r="V1441">
        <v>6.7000000000000004E-2</v>
      </c>
      <c r="W1441">
        <v>0.35199999999999998</v>
      </c>
      <c r="X1441">
        <v>0.126</v>
      </c>
      <c r="Y1441" t="s">
        <v>27</v>
      </c>
      <c r="Z1441" t="s">
        <v>27</v>
      </c>
      <c r="AA1441" t="s">
        <v>27</v>
      </c>
      <c r="AB1441" t="s">
        <v>27</v>
      </c>
      <c r="AC1441" t="s">
        <v>27</v>
      </c>
      <c r="AD1441" t="s">
        <v>27</v>
      </c>
      <c r="AE1441" t="s">
        <v>27</v>
      </c>
      <c r="AF1441" t="s">
        <v>27</v>
      </c>
      <c r="AG1441">
        <v>5.2</v>
      </c>
    </row>
    <row r="1442" spans="1:33" x14ac:dyDescent="0.25">
      <c r="A1442" t="s">
        <v>57</v>
      </c>
      <c r="B1442" s="3">
        <v>44903</v>
      </c>
      <c r="C1442">
        <v>2022342</v>
      </c>
      <c r="D1442" t="s">
        <v>27</v>
      </c>
      <c r="E1442" t="s">
        <v>27</v>
      </c>
      <c r="F1442">
        <v>-7.2</v>
      </c>
      <c r="G1442">
        <v>-4.5999999999999996</v>
      </c>
      <c r="H1442">
        <v>-10.8</v>
      </c>
      <c r="I1442">
        <v>90.2</v>
      </c>
      <c r="J1442">
        <v>86.9</v>
      </c>
      <c r="K1442">
        <v>0.6</v>
      </c>
      <c r="L1442">
        <v>3</v>
      </c>
      <c r="M1442">
        <v>0.4</v>
      </c>
      <c r="N1442">
        <v>0.59100000000000019</v>
      </c>
      <c r="O1442">
        <v>-1.7</v>
      </c>
      <c r="P1442" t="s">
        <v>27</v>
      </c>
      <c r="Q1442" t="s">
        <v>27</v>
      </c>
      <c r="R1442" t="s">
        <v>27</v>
      </c>
      <c r="S1442">
        <v>0.1</v>
      </c>
      <c r="T1442">
        <v>1.2</v>
      </c>
      <c r="U1442" t="s">
        <v>27</v>
      </c>
      <c r="V1442">
        <v>6.6000000000000003E-2</v>
      </c>
      <c r="W1442">
        <v>0.378</v>
      </c>
      <c r="X1442">
        <v>5.7000000000000002E-2</v>
      </c>
      <c r="Y1442" t="s">
        <v>27</v>
      </c>
      <c r="Z1442" t="s">
        <v>27</v>
      </c>
      <c r="AA1442" t="s">
        <v>27</v>
      </c>
      <c r="AB1442" t="s">
        <v>27</v>
      </c>
      <c r="AC1442" t="s">
        <v>27</v>
      </c>
      <c r="AD1442" t="s">
        <v>27</v>
      </c>
      <c r="AE1442" t="s">
        <v>27</v>
      </c>
      <c r="AF1442" t="s">
        <v>27</v>
      </c>
      <c r="AG1442">
        <v>5.15</v>
      </c>
    </row>
    <row r="1443" spans="1:33" x14ac:dyDescent="0.25">
      <c r="A1443" t="s">
        <v>57</v>
      </c>
      <c r="B1443" s="3">
        <v>44904</v>
      </c>
      <c r="C1443">
        <v>2022343</v>
      </c>
      <c r="D1443" t="s">
        <v>27</v>
      </c>
      <c r="E1443" t="s">
        <v>27</v>
      </c>
      <c r="F1443">
        <v>-10.4</v>
      </c>
      <c r="G1443">
        <v>-7.1</v>
      </c>
      <c r="H1443">
        <v>-17.100000000000001</v>
      </c>
      <c r="I1443">
        <v>86.8</v>
      </c>
      <c r="J1443">
        <v>80.7</v>
      </c>
      <c r="K1443">
        <v>0.6</v>
      </c>
      <c r="L1443">
        <v>3.3</v>
      </c>
      <c r="M1443">
        <v>0</v>
      </c>
      <c r="N1443">
        <v>0.60700000000000021</v>
      </c>
      <c r="O1443">
        <v>-1.5</v>
      </c>
      <c r="P1443" t="s">
        <v>27</v>
      </c>
      <c r="Q1443" t="s">
        <v>27</v>
      </c>
      <c r="R1443" t="s">
        <v>27</v>
      </c>
      <c r="S1443">
        <v>0.1</v>
      </c>
      <c r="T1443">
        <v>1.1000000000000001</v>
      </c>
      <c r="U1443" t="s">
        <v>27</v>
      </c>
      <c r="V1443">
        <v>6.6000000000000003E-2</v>
      </c>
      <c r="W1443">
        <v>0.28899999999999998</v>
      </c>
      <c r="X1443">
        <v>6.9000000000000006E-2</v>
      </c>
      <c r="Y1443" t="s">
        <v>27</v>
      </c>
      <c r="Z1443" t="s">
        <v>27</v>
      </c>
      <c r="AA1443" t="s">
        <v>27</v>
      </c>
      <c r="AB1443" t="s">
        <v>27</v>
      </c>
      <c r="AC1443" t="s">
        <v>27</v>
      </c>
      <c r="AD1443" t="s">
        <v>27</v>
      </c>
      <c r="AE1443" t="s">
        <v>27</v>
      </c>
      <c r="AF1443" t="s">
        <v>27</v>
      </c>
      <c r="AG1443">
        <v>5.1100000000000003</v>
      </c>
    </row>
    <row r="1444" spans="1:33" x14ac:dyDescent="0.25">
      <c r="A1444" t="s">
        <v>57</v>
      </c>
      <c r="B1444" s="3">
        <v>44905</v>
      </c>
      <c r="C1444">
        <v>2022344</v>
      </c>
      <c r="D1444" t="s">
        <v>27</v>
      </c>
      <c r="E1444" t="s">
        <v>27</v>
      </c>
      <c r="F1444">
        <v>-4.9000000000000004</v>
      </c>
      <c r="G1444">
        <v>-3.5</v>
      </c>
      <c r="H1444">
        <v>-7.5</v>
      </c>
      <c r="I1444">
        <v>89.4</v>
      </c>
      <c r="J1444">
        <v>84.2</v>
      </c>
      <c r="K1444">
        <v>1</v>
      </c>
      <c r="L1444">
        <v>3.3</v>
      </c>
      <c r="M1444">
        <v>0</v>
      </c>
      <c r="N1444">
        <v>0.61899999999999999</v>
      </c>
      <c r="O1444">
        <v>-1.5</v>
      </c>
      <c r="P1444" t="s">
        <v>27</v>
      </c>
      <c r="Q1444" t="s">
        <v>27</v>
      </c>
      <c r="R1444" t="s">
        <v>27</v>
      </c>
      <c r="S1444">
        <v>0.1</v>
      </c>
      <c r="T1444">
        <v>1.1000000000000001</v>
      </c>
      <c r="U1444" t="s">
        <v>27</v>
      </c>
      <c r="V1444">
        <v>6.6000000000000003E-2</v>
      </c>
      <c r="W1444">
        <v>0.39600000000000002</v>
      </c>
      <c r="X1444">
        <v>7.3999999999999996E-2</v>
      </c>
      <c r="Y1444" t="s">
        <v>27</v>
      </c>
      <c r="Z1444" t="s">
        <v>27</v>
      </c>
      <c r="AA1444" t="s">
        <v>27</v>
      </c>
      <c r="AB1444" t="s">
        <v>27</v>
      </c>
      <c r="AC1444" t="s">
        <v>27</v>
      </c>
      <c r="AD1444" t="s">
        <v>27</v>
      </c>
      <c r="AE1444" t="s">
        <v>27</v>
      </c>
      <c r="AF1444" t="s">
        <v>27</v>
      </c>
      <c r="AG1444">
        <v>5.08</v>
      </c>
    </row>
    <row r="1445" spans="1:33" x14ac:dyDescent="0.25">
      <c r="A1445" t="s">
        <v>57</v>
      </c>
      <c r="B1445" s="3">
        <v>44906</v>
      </c>
      <c r="C1445">
        <v>2022345</v>
      </c>
      <c r="D1445" t="s">
        <v>27</v>
      </c>
      <c r="E1445" t="s">
        <v>27</v>
      </c>
      <c r="F1445">
        <v>-2.9</v>
      </c>
      <c r="G1445">
        <v>0.2</v>
      </c>
      <c r="H1445">
        <v>-6</v>
      </c>
      <c r="I1445">
        <v>91.8</v>
      </c>
      <c r="J1445">
        <v>82.8</v>
      </c>
      <c r="K1445">
        <v>0.3</v>
      </c>
      <c r="L1445">
        <v>1.7</v>
      </c>
      <c r="M1445">
        <v>3.7</v>
      </c>
      <c r="N1445">
        <v>0.623</v>
      </c>
      <c r="O1445">
        <v>-1.1000000000000001</v>
      </c>
      <c r="P1445" t="s">
        <v>27</v>
      </c>
      <c r="Q1445" t="s">
        <v>27</v>
      </c>
      <c r="R1445" t="s">
        <v>27</v>
      </c>
      <c r="S1445">
        <v>0.1</v>
      </c>
      <c r="T1445">
        <v>1.1000000000000001</v>
      </c>
      <c r="U1445" t="s">
        <v>27</v>
      </c>
      <c r="V1445">
        <v>6.5000000000000002E-2</v>
      </c>
      <c r="W1445">
        <v>0.51500000000000001</v>
      </c>
      <c r="X1445">
        <v>0.107</v>
      </c>
      <c r="Y1445" t="s">
        <v>27</v>
      </c>
      <c r="Z1445" t="s">
        <v>27</v>
      </c>
      <c r="AA1445" t="s">
        <v>27</v>
      </c>
      <c r="AB1445" t="s">
        <v>27</v>
      </c>
      <c r="AC1445" t="s">
        <v>27</v>
      </c>
      <c r="AD1445" t="s">
        <v>27</v>
      </c>
      <c r="AE1445" t="s">
        <v>27</v>
      </c>
      <c r="AF1445" t="s">
        <v>27</v>
      </c>
      <c r="AG1445">
        <v>5.04</v>
      </c>
    </row>
    <row r="1446" spans="1:33" x14ac:dyDescent="0.25">
      <c r="A1446" t="s">
        <v>57</v>
      </c>
      <c r="B1446" s="3">
        <v>44907</v>
      </c>
      <c r="C1446">
        <v>2022346</v>
      </c>
      <c r="D1446" t="s">
        <v>27</v>
      </c>
      <c r="E1446" t="s">
        <v>27</v>
      </c>
      <c r="F1446">
        <v>-7.5</v>
      </c>
      <c r="G1446">
        <v>-3.7</v>
      </c>
      <c r="H1446">
        <v>-13.9</v>
      </c>
      <c r="I1446">
        <v>89.3</v>
      </c>
      <c r="J1446">
        <v>82.1</v>
      </c>
      <c r="K1446">
        <v>0.6</v>
      </c>
      <c r="L1446">
        <v>2.7</v>
      </c>
      <c r="M1446">
        <v>5.9</v>
      </c>
      <c r="N1446">
        <v>0.61899999999999999</v>
      </c>
      <c r="O1446">
        <v>-0.8</v>
      </c>
      <c r="P1446" t="s">
        <v>27</v>
      </c>
      <c r="Q1446" t="s">
        <v>27</v>
      </c>
      <c r="R1446" t="s">
        <v>27</v>
      </c>
      <c r="S1446">
        <v>0.1</v>
      </c>
      <c r="T1446">
        <v>1.1000000000000001</v>
      </c>
      <c r="U1446" t="s">
        <v>27</v>
      </c>
      <c r="V1446">
        <v>6.5000000000000002E-2</v>
      </c>
      <c r="W1446">
        <v>0.38100000000000001</v>
      </c>
      <c r="X1446">
        <v>8.3000000000000004E-2</v>
      </c>
      <c r="Y1446" t="s">
        <v>27</v>
      </c>
      <c r="Z1446" t="s">
        <v>27</v>
      </c>
      <c r="AA1446" t="s">
        <v>27</v>
      </c>
      <c r="AB1446" t="s">
        <v>27</v>
      </c>
      <c r="AC1446" t="s">
        <v>27</v>
      </c>
      <c r="AD1446" t="s">
        <v>27</v>
      </c>
      <c r="AE1446" t="s">
        <v>27</v>
      </c>
      <c r="AF1446" t="s">
        <v>27</v>
      </c>
      <c r="AG1446">
        <v>5.01</v>
      </c>
    </row>
    <row r="1447" spans="1:33" x14ac:dyDescent="0.25">
      <c r="A1447" t="s">
        <v>57</v>
      </c>
      <c r="B1447" s="3">
        <v>44908</v>
      </c>
      <c r="C1447">
        <v>2022347</v>
      </c>
      <c r="D1447" t="s">
        <v>27</v>
      </c>
      <c r="E1447" t="s">
        <v>27</v>
      </c>
      <c r="F1447">
        <v>-5.3</v>
      </c>
      <c r="G1447">
        <v>-2.4</v>
      </c>
      <c r="H1447">
        <v>-10.3</v>
      </c>
      <c r="I1447">
        <v>90</v>
      </c>
      <c r="J1447">
        <v>78.900000000000006</v>
      </c>
      <c r="K1447">
        <v>0</v>
      </c>
      <c r="L1447">
        <v>1.4</v>
      </c>
      <c r="M1447">
        <v>0</v>
      </c>
      <c r="N1447">
        <v>0.61299999999999999</v>
      </c>
      <c r="O1447">
        <v>-0.9</v>
      </c>
      <c r="P1447" t="s">
        <v>27</v>
      </c>
      <c r="Q1447" t="s">
        <v>27</v>
      </c>
      <c r="R1447" t="s">
        <v>27</v>
      </c>
      <c r="S1447">
        <v>0.2</v>
      </c>
      <c r="T1447">
        <v>1.1000000000000001</v>
      </c>
      <c r="U1447" t="s">
        <v>27</v>
      </c>
      <c r="V1447">
        <v>6.5000000000000002E-2</v>
      </c>
      <c r="W1447">
        <v>0.40400000000000003</v>
      </c>
      <c r="X1447">
        <v>0.108</v>
      </c>
      <c r="Y1447" t="s">
        <v>27</v>
      </c>
      <c r="Z1447" t="s">
        <v>27</v>
      </c>
      <c r="AA1447" t="s">
        <v>27</v>
      </c>
      <c r="AB1447" t="s">
        <v>27</v>
      </c>
      <c r="AC1447" t="s">
        <v>27</v>
      </c>
      <c r="AD1447" t="s">
        <v>27</v>
      </c>
      <c r="AE1447" t="s">
        <v>27</v>
      </c>
      <c r="AF1447" t="s">
        <v>27</v>
      </c>
      <c r="AG1447">
        <v>4.99</v>
      </c>
    </row>
    <row r="1448" spans="1:33" x14ac:dyDescent="0.25">
      <c r="A1448" t="s">
        <v>57</v>
      </c>
      <c r="B1448" s="3">
        <v>44909</v>
      </c>
      <c r="C1448">
        <v>2022348</v>
      </c>
      <c r="D1448" t="s">
        <v>27</v>
      </c>
      <c r="E1448" t="s">
        <v>27</v>
      </c>
      <c r="F1448">
        <v>-8</v>
      </c>
      <c r="G1448">
        <v>-4.5</v>
      </c>
      <c r="H1448">
        <v>-11.4</v>
      </c>
      <c r="I1448">
        <v>84.2</v>
      </c>
      <c r="J1448">
        <v>74</v>
      </c>
      <c r="K1448">
        <v>1.1000000000000001</v>
      </c>
      <c r="L1448">
        <v>3.6</v>
      </c>
      <c r="M1448">
        <v>0.4</v>
      </c>
      <c r="N1448">
        <v>0.62400000000000011</v>
      </c>
      <c r="O1448">
        <v>-0.9</v>
      </c>
      <c r="P1448" t="s">
        <v>27</v>
      </c>
      <c r="Q1448" t="s">
        <v>27</v>
      </c>
      <c r="R1448" t="s">
        <v>27</v>
      </c>
      <c r="S1448">
        <v>0.1</v>
      </c>
      <c r="T1448">
        <v>1.1000000000000001</v>
      </c>
      <c r="U1448" t="s">
        <v>27</v>
      </c>
      <c r="V1448">
        <v>6.5000000000000002E-2</v>
      </c>
      <c r="W1448">
        <v>0.32500000000000001</v>
      </c>
      <c r="X1448">
        <v>0.114</v>
      </c>
      <c r="Y1448" t="s">
        <v>27</v>
      </c>
      <c r="Z1448" t="s">
        <v>27</v>
      </c>
      <c r="AA1448" t="s">
        <v>27</v>
      </c>
      <c r="AB1448" t="s">
        <v>27</v>
      </c>
      <c r="AC1448" t="s">
        <v>27</v>
      </c>
      <c r="AD1448" t="s">
        <v>27</v>
      </c>
      <c r="AE1448" t="s">
        <v>27</v>
      </c>
      <c r="AF1448" t="s">
        <v>27</v>
      </c>
      <c r="AG1448">
        <v>4.97</v>
      </c>
    </row>
    <row r="1449" spans="1:33" x14ac:dyDescent="0.25">
      <c r="A1449" t="s">
        <v>57</v>
      </c>
      <c r="B1449" s="3">
        <v>44910</v>
      </c>
      <c r="C1449">
        <v>2022349</v>
      </c>
      <c r="D1449" t="s">
        <v>27</v>
      </c>
      <c r="E1449" t="s">
        <v>27</v>
      </c>
      <c r="F1449">
        <v>-6.4</v>
      </c>
      <c r="G1449">
        <v>-4</v>
      </c>
      <c r="H1449">
        <v>-11.7</v>
      </c>
      <c r="I1449">
        <v>87.4</v>
      </c>
      <c r="J1449">
        <v>83.1</v>
      </c>
      <c r="K1449">
        <v>1</v>
      </c>
      <c r="L1449">
        <v>5</v>
      </c>
      <c r="M1449">
        <v>12.1</v>
      </c>
      <c r="N1449">
        <v>0.6180000000000001</v>
      </c>
      <c r="O1449">
        <v>-1.1000000000000001</v>
      </c>
      <c r="P1449" t="s">
        <v>27</v>
      </c>
      <c r="Q1449" t="s">
        <v>27</v>
      </c>
      <c r="R1449" t="s">
        <v>27</v>
      </c>
      <c r="S1449">
        <v>0.2</v>
      </c>
      <c r="T1449">
        <v>1.1000000000000001</v>
      </c>
      <c r="U1449" t="s">
        <v>27</v>
      </c>
      <c r="V1449">
        <v>6.5000000000000002E-2</v>
      </c>
      <c r="W1449">
        <v>0.377</v>
      </c>
      <c r="X1449">
        <v>7.6999999999999999E-2</v>
      </c>
      <c r="Y1449" t="s">
        <v>27</v>
      </c>
      <c r="Z1449" t="s">
        <v>27</v>
      </c>
      <c r="AA1449" t="s">
        <v>27</v>
      </c>
      <c r="AB1449" t="s">
        <v>27</v>
      </c>
      <c r="AC1449" t="s">
        <v>27</v>
      </c>
      <c r="AD1449" t="s">
        <v>27</v>
      </c>
      <c r="AE1449" t="s">
        <v>27</v>
      </c>
      <c r="AF1449" t="s">
        <v>27</v>
      </c>
      <c r="AG1449">
        <v>4.9400000000000004</v>
      </c>
    </row>
    <row r="1450" spans="1:33" x14ac:dyDescent="0.25">
      <c r="A1450" t="s">
        <v>57</v>
      </c>
      <c r="B1450" s="3">
        <v>44911</v>
      </c>
      <c r="C1450">
        <v>2022350</v>
      </c>
      <c r="D1450" t="s">
        <v>27</v>
      </c>
      <c r="E1450" t="s">
        <v>27</v>
      </c>
      <c r="F1450">
        <v>-4.8</v>
      </c>
      <c r="G1450">
        <v>2.9</v>
      </c>
      <c r="H1450">
        <v>-12.7</v>
      </c>
      <c r="I1450">
        <v>76.3</v>
      </c>
      <c r="J1450">
        <v>48</v>
      </c>
      <c r="K1450">
        <v>0.7</v>
      </c>
      <c r="L1450">
        <v>3.2</v>
      </c>
      <c r="M1450">
        <v>0</v>
      </c>
      <c r="N1450">
        <v>0.6120000000000001</v>
      </c>
      <c r="O1450">
        <v>-1.2</v>
      </c>
      <c r="P1450" t="s">
        <v>27</v>
      </c>
      <c r="Q1450" t="s">
        <v>27</v>
      </c>
      <c r="R1450" t="s">
        <v>27</v>
      </c>
      <c r="S1450">
        <v>0.1</v>
      </c>
      <c r="T1450">
        <v>1.1000000000000001</v>
      </c>
      <c r="U1450" t="s">
        <v>27</v>
      </c>
      <c r="V1450">
        <v>6.5000000000000002E-2</v>
      </c>
      <c r="W1450">
        <v>0.36199999999999999</v>
      </c>
      <c r="X1450">
        <v>0.39200000000000002</v>
      </c>
      <c r="Y1450" t="s">
        <v>27</v>
      </c>
      <c r="Z1450" t="s">
        <v>27</v>
      </c>
      <c r="AA1450" t="s">
        <v>27</v>
      </c>
      <c r="AB1450" t="s">
        <v>27</v>
      </c>
      <c r="AC1450" t="s">
        <v>27</v>
      </c>
      <c r="AD1450" t="s">
        <v>27</v>
      </c>
      <c r="AE1450" t="s">
        <v>27</v>
      </c>
      <c r="AF1450" t="s">
        <v>27</v>
      </c>
      <c r="AG1450">
        <v>4.93</v>
      </c>
    </row>
    <row r="1451" spans="1:33" x14ac:dyDescent="0.25">
      <c r="A1451" t="s">
        <v>57</v>
      </c>
      <c r="B1451" s="3">
        <v>44912</v>
      </c>
      <c r="C1451">
        <v>2022351</v>
      </c>
      <c r="D1451" t="s">
        <v>27</v>
      </c>
      <c r="E1451" t="s">
        <v>27</v>
      </c>
      <c r="F1451">
        <v>-10.8</v>
      </c>
      <c r="G1451">
        <v>-4.9000000000000004</v>
      </c>
      <c r="H1451">
        <v>-16</v>
      </c>
      <c r="I1451">
        <v>84.4</v>
      </c>
      <c r="J1451">
        <v>76.900000000000006</v>
      </c>
      <c r="K1451">
        <v>0.6</v>
      </c>
      <c r="L1451">
        <v>2.2999999999999998</v>
      </c>
      <c r="M1451">
        <v>0</v>
      </c>
      <c r="N1451">
        <v>0.64700000000000002</v>
      </c>
      <c r="O1451">
        <v>-1.4</v>
      </c>
      <c r="P1451" t="s">
        <v>27</v>
      </c>
      <c r="Q1451" t="s">
        <v>27</v>
      </c>
      <c r="R1451" t="s">
        <v>27</v>
      </c>
      <c r="S1451">
        <v>0.1</v>
      </c>
      <c r="T1451">
        <v>1</v>
      </c>
      <c r="U1451" t="s">
        <v>27</v>
      </c>
      <c r="V1451">
        <v>6.5000000000000002E-2</v>
      </c>
      <c r="W1451">
        <v>0.32500000000000001</v>
      </c>
      <c r="X1451">
        <v>9.8000000000000004E-2</v>
      </c>
      <c r="Y1451" t="s">
        <v>27</v>
      </c>
      <c r="Z1451" t="s">
        <v>27</v>
      </c>
      <c r="AA1451" t="s">
        <v>27</v>
      </c>
      <c r="AB1451" t="s">
        <v>27</v>
      </c>
      <c r="AC1451" t="s">
        <v>27</v>
      </c>
      <c r="AD1451" t="s">
        <v>27</v>
      </c>
      <c r="AE1451" t="s">
        <v>27</v>
      </c>
      <c r="AF1451" t="s">
        <v>27</v>
      </c>
      <c r="AG1451">
        <v>4.92</v>
      </c>
    </row>
    <row r="1452" spans="1:33" x14ac:dyDescent="0.25">
      <c r="A1452" t="s">
        <v>57</v>
      </c>
      <c r="B1452" s="3">
        <v>44913</v>
      </c>
      <c r="C1452">
        <v>2022352</v>
      </c>
      <c r="D1452" t="s">
        <v>27</v>
      </c>
      <c r="E1452" t="s">
        <v>27</v>
      </c>
      <c r="F1452">
        <v>-20.399999999999999</v>
      </c>
      <c r="G1452">
        <v>-12.9</v>
      </c>
      <c r="H1452">
        <v>-27.1</v>
      </c>
      <c r="I1452">
        <v>77.099999999999994</v>
      </c>
      <c r="J1452">
        <v>73.3</v>
      </c>
      <c r="K1452">
        <v>1.3</v>
      </c>
      <c r="L1452">
        <v>2.9</v>
      </c>
      <c r="M1452">
        <v>4.0999999999999996</v>
      </c>
      <c r="N1452">
        <v>0.65900000000000003</v>
      </c>
      <c r="O1452">
        <v>-1.6</v>
      </c>
      <c r="P1452" t="s">
        <v>27</v>
      </c>
      <c r="Q1452" t="s">
        <v>27</v>
      </c>
      <c r="R1452" t="s">
        <v>27</v>
      </c>
      <c r="S1452">
        <v>0</v>
      </c>
      <c r="T1452">
        <v>1</v>
      </c>
      <c r="U1452" t="s">
        <v>27</v>
      </c>
      <c r="V1452">
        <v>6.4000000000000001E-2</v>
      </c>
      <c r="W1452">
        <v>0.16600000000000001</v>
      </c>
      <c r="X1452">
        <v>0.06</v>
      </c>
      <c r="Y1452" t="s">
        <v>27</v>
      </c>
      <c r="Z1452" t="s">
        <v>27</v>
      </c>
      <c r="AA1452" t="s">
        <v>27</v>
      </c>
      <c r="AB1452" t="s">
        <v>27</v>
      </c>
      <c r="AC1452" t="s">
        <v>27</v>
      </c>
      <c r="AD1452" t="s">
        <v>27</v>
      </c>
      <c r="AE1452" t="s">
        <v>27</v>
      </c>
      <c r="AF1452" t="s">
        <v>27</v>
      </c>
      <c r="AG1452">
        <v>4.91</v>
      </c>
    </row>
    <row r="1453" spans="1:33" x14ac:dyDescent="0.25">
      <c r="A1453" t="s">
        <v>57</v>
      </c>
      <c r="B1453" s="3">
        <v>44914</v>
      </c>
      <c r="C1453">
        <v>2022353</v>
      </c>
      <c r="D1453" t="s">
        <v>27</v>
      </c>
      <c r="E1453" t="s">
        <v>27</v>
      </c>
      <c r="F1453">
        <v>-23.3</v>
      </c>
      <c r="G1453">
        <v>-18.3</v>
      </c>
      <c r="H1453">
        <v>-27.2</v>
      </c>
      <c r="I1453">
        <v>74.5</v>
      </c>
      <c r="J1453">
        <v>70.2</v>
      </c>
      <c r="K1453">
        <v>0.6</v>
      </c>
      <c r="L1453">
        <v>2</v>
      </c>
      <c r="M1453">
        <v>0</v>
      </c>
      <c r="N1453">
        <v>0.65500000000000003</v>
      </c>
      <c r="O1453">
        <v>-1.8</v>
      </c>
      <c r="P1453" t="s">
        <v>27</v>
      </c>
      <c r="Q1453" t="s">
        <v>27</v>
      </c>
      <c r="R1453" t="s">
        <v>27</v>
      </c>
      <c r="S1453">
        <v>0</v>
      </c>
      <c r="T1453">
        <v>0.9</v>
      </c>
      <c r="U1453" t="s">
        <v>27</v>
      </c>
      <c r="V1453">
        <v>6.4000000000000001E-2</v>
      </c>
      <c r="W1453">
        <v>0.10199999999999999</v>
      </c>
      <c r="X1453">
        <v>4.2999999999999997E-2</v>
      </c>
      <c r="Y1453" t="s">
        <v>27</v>
      </c>
      <c r="Z1453" t="s">
        <v>27</v>
      </c>
      <c r="AA1453" t="s">
        <v>27</v>
      </c>
      <c r="AB1453" t="s">
        <v>27</v>
      </c>
      <c r="AC1453" t="s">
        <v>27</v>
      </c>
      <c r="AD1453" t="s">
        <v>27</v>
      </c>
      <c r="AE1453" t="s">
        <v>27</v>
      </c>
      <c r="AF1453" t="s">
        <v>27</v>
      </c>
      <c r="AG1453">
        <v>4.9000000000000004</v>
      </c>
    </row>
    <row r="1454" spans="1:33" x14ac:dyDescent="0.25">
      <c r="A1454" t="s">
        <v>57</v>
      </c>
      <c r="B1454" s="3">
        <v>44915</v>
      </c>
      <c r="C1454">
        <v>2022354</v>
      </c>
      <c r="D1454" t="s">
        <v>27</v>
      </c>
      <c r="E1454" t="s">
        <v>27</v>
      </c>
      <c r="F1454">
        <v>-19.100000000000001</v>
      </c>
      <c r="G1454">
        <v>-15.1</v>
      </c>
      <c r="H1454">
        <v>-26.9</v>
      </c>
      <c r="I1454">
        <v>77.8</v>
      </c>
      <c r="J1454">
        <v>72.400000000000006</v>
      </c>
      <c r="K1454">
        <v>0.8</v>
      </c>
      <c r="L1454">
        <v>1.9</v>
      </c>
      <c r="M1454">
        <v>2</v>
      </c>
      <c r="N1454">
        <v>0.752</v>
      </c>
      <c r="O1454">
        <v>-2</v>
      </c>
      <c r="P1454" t="s">
        <v>27</v>
      </c>
      <c r="Q1454" t="s">
        <v>27</v>
      </c>
      <c r="R1454" t="s">
        <v>27</v>
      </c>
      <c r="S1454">
        <v>0</v>
      </c>
      <c r="T1454">
        <v>0.9</v>
      </c>
      <c r="U1454" t="s">
        <v>27</v>
      </c>
      <c r="V1454">
        <v>6.3E-2</v>
      </c>
      <c r="W1454">
        <v>0.13700000000000001</v>
      </c>
      <c r="X1454">
        <v>5.1999999999999998E-2</v>
      </c>
      <c r="Y1454" t="s">
        <v>27</v>
      </c>
      <c r="Z1454" t="s">
        <v>27</v>
      </c>
      <c r="AA1454" t="s">
        <v>27</v>
      </c>
      <c r="AB1454" t="s">
        <v>27</v>
      </c>
      <c r="AC1454" t="s">
        <v>27</v>
      </c>
      <c r="AD1454" t="s">
        <v>27</v>
      </c>
      <c r="AE1454" t="s">
        <v>27</v>
      </c>
      <c r="AF1454" t="s">
        <v>27</v>
      </c>
      <c r="AG1454">
        <v>4.9000000000000004</v>
      </c>
    </row>
    <row r="1455" spans="1:33" x14ac:dyDescent="0.25">
      <c r="A1455" t="s">
        <v>57</v>
      </c>
      <c r="B1455" s="3">
        <v>44916</v>
      </c>
      <c r="C1455">
        <v>2022355</v>
      </c>
      <c r="D1455" t="s">
        <v>27</v>
      </c>
      <c r="E1455" t="s">
        <v>27</v>
      </c>
      <c r="F1455">
        <v>-28.9</v>
      </c>
      <c r="G1455">
        <v>-26.1</v>
      </c>
      <c r="H1455">
        <v>-33.9</v>
      </c>
      <c r="I1455">
        <v>71.400000000000006</v>
      </c>
      <c r="J1455">
        <v>67</v>
      </c>
      <c r="K1455">
        <v>0.9</v>
      </c>
      <c r="L1455">
        <v>2.1</v>
      </c>
      <c r="M1455">
        <v>4</v>
      </c>
      <c r="N1455">
        <v>0.7390000000000001</v>
      </c>
      <c r="O1455">
        <v>-2.1</v>
      </c>
      <c r="P1455" t="s">
        <v>27</v>
      </c>
      <c r="Q1455" t="s">
        <v>27</v>
      </c>
      <c r="R1455" t="s">
        <v>27</v>
      </c>
      <c r="S1455">
        <v>-0.1</v>
      </c>
      <c r="T1455">
        <v>0.8</v>
      </c>
      <c r="U1455" t="s">
        <v>27</v>
      </c>
      <c r="V1455">
        <v>6.2E-2</v>
      </c>
      <c r="W1455">
        <v>4.9000000000000002E-2</v>
      </c>
      <c r="X1455">
        <v>2.4E-2</v>
      </c>
      <c r="Y1455" t="s">
        <v>27</v>
      </c>
      <c r="Z1455" t="s">
        <v>27</v>
      </c>
      <c r="AA1455" t="s">
        <v>27</v>
      </c>
      <c r="AB1455" t="s">
        <v>27</v>
      </c>
      <c r="AC1455" t="s">
        <v>27</v>
      </c>
      <c r="AD1455" t="s">
        <v>27</v>
      </c>
      <c r="AE1455" t="s">
        <v>27</v>
      </c>
      <c r="AF1455" t="s">
        <v>27</v>
      </c>
      <c r="AG1455">
        <v>4.9000000000000004</v>
      </c>
    </row>
    <row r="1456" spans="1:33" x14ac:dyDescent="0.25">
      <c r="A1456" t="s">
        <v>57</v>
      </c>
      <c r="B1456" s="3">
        <v>44917</v>
      </c>
      <c r="C1456">
        <v>2022356</v>
      </c>
      <c r="D1456" t="s">
        <v>27</v>
      </c>
      <c r="E1456" t="s">
        <v>27</v>
      </c>
      <c r="F1456">
        <v>-26.4</v>
      </c>
      <c r="G1456">
        <v>-20.2</v>
      </c>
      <c r="H1456">
        <v>-35.6</v>
      </c>
      <c r="I1456">
        <v>70.099999999999994</v>
      </c>
      <c r="J1456">
        <v>63.9</v>
      </c>
      <c r="K1456">
        <v>0.7</v>
      </c>
      <c r="L1456">
        <v>1.9</v>
      </c>
      <c r="M1456">
        <v>0</v>
      </c>
      <c r="N1456">
        <v>0.73100000000000009</v>
      </c>
      <c r="O1456">
        <v>-2.2999999999999998</v>
      </c>
      <c r="P1456" t="s">
        <v>27</v>
      </c>
      <c r="Q1456" t="s">
        <v>27</v>
      </c>
      <c r="R1456" t="s">
        <v>27</v>
      </c>
      <c r="S1456">
        <v>-0.1</v>
      </c>
      <c r="T1456">
        <v>0.8</v>
      </c>
      <c r="U1456" t="s">
        <v>27</v>
      </c>
      <c r="V1456">
        <v>6.0999999999999999E-2</v>
      </c>
      <c r="W1456">
        <v>7.8E-2</v>
      </c>
      <c r="X1456">
        <v>4.3999999999999997E-2</v>
      </c>
      <c r="Y1456" t="s">
        <v>27</v>
      </c>
      <c r="Z1456" t="s">
        <v>27</v>
      </c>
      <c r="AA1456" t="s">
        <v>27</v>
      </c>
      <c r="AB1456" t="s">
        <v>27</v>
      </c>
      <c r="AC1456" t="s">
        <v>27</v>
      </c>
      <c r="AD1456" t="s">
        <v>27</v>
      </c>
      <c r="AE1456" t="s">
        <v>27</v>
      </c>
      <c r="AF1456" t="s">
        <v>27</v>
      </c>
      <c r="AG1456">
        <v>4.9000000000000004</v>
      </c>
    </row>
    <row r="1457" spans="1:33" x14ac:dyDescent="0.25">
      <c r="A1457" t="s">
        <v>57</v>
      </c>
      <c r="B1457" s="3">
        <v>44918</v>
      </c>
      <c r="C1457">
        <v>2022357</v>
      </c>
      <c r="D1457" t="s">
        <v>27</v>
      </c>
      <c r="E1457" t="s">
        <v>27</v>
      </c>
      <c r="F1457">
        <v>-17.7</v>
      </c>
      <c r="G1457">
        <v>-12.9</v>
      </c>
      <c r="H1457">
        <v>-21.4</v>
      </c>
      <c r="I1457">
        <v>78.400000000000006</v>
      </c>
      <c r="J1457">
        <v>73.8</v>
      </c>
      <c r="K1457">
        <v>1.2</v>
      </c>
      <c r="L1457">
        <v>2.1</v>
      </c>
      <c r="M1457">
        <v>0</v>
      </c>
      <c r="N1457">
        <v>0.77700000000000014</v>
      </c>
      <c r="O1457">
        <v>-2.4</v>
      </c>
      <c r="P1457" t="s">
        <v>27</v>
      </c>
      <c r="Q1457" t="s">
        <v>27</v>
      </c>
      <c r="R1457" t="s">
        <v>27</v>
      </c>
      <c r="S1457">
        <v>-0.1</v>
      </c>
      <c r="T1457">
        <v>0.9</v>
      </c>
      <c r="U1457" t="s">
        <v>27</v>
      </c>
      <c r="V1457">
        <v>0.06</v>
      </c>
      <c r="W1457">
        <v>0.16800000000000001</v>
      </c>
      <c r="X1457">
        <v>0.06</v>
      </c>
      <c r="Y1457" t="s">
        <v>27</v>
      </c>
      <c r="Z1457" t="s">
        <v>27</v>
      </c>
      <c r="AA1457" t="s">
        <v>27</v>
      </c>
      <c r="AB1457" t="s">
        <v>27</v>
      </c>
      <c r="AC1457" t="s">
        <v>27</v>
      </c>
      <c r="AD1457" t="s">
        <v>27</v>
      </c>
      <c r="AE1457" t="s">
        <v>27</v>
      </c>
      <c r="AF1457" t="s">
        <v>27</v>
      </c>
      <c r="AG1457">
        <v>4.9000000000000004</v>
      </c>
    </row>
    <row r="1458" spans="1:33" x14ac:dyDescent="0.25">
      <c r="A1458" t="s">
        <v>57</v>
      </c>
      <c r="B1458" s="3">
        <v>44919</v>
      </c>
      <c r="C1458">
        <v>2022358</v>
      </c>
      <c r="D1458" t="s">
        <v>27</v>
      </c>
      <c r="E1458" t="s">
        <v>27</v>
      </c>
      <c r="F1458">
        <v>-8.1999999999999993</v>
      </c>
      <c r="G1458">
        <v>-2.4</v>
      </c>
      <c r="H1458">
        <v>-13.4</v>
      </c>
      <c r="I1458">
        <v>89.1</v>
      </c>
      <c r="J1458">
        <v>84.2</v>
      </c>
      <c r="K1458">
        <v>0.7</v>
      </c>
      <c r="L1458">
        <v>2.2999999999999998</v>
      </c>
      <c r="M1458">
        <v>0</v>
      </c>
      <c r="N1458">
        <v>0.77900000000000014</v>
      </c>
      <c r="O1458">
        <v>-2.2999999999999998</v>
      </c>
      <c r="P1458" t="s">
        <v>27</v>
      </c>
      <c r="Q1458" t="s">
        <v>27</v>
      </c>
      <c r="R1458" t="s">
        <v>27</v>
      </c>
      <c r="S1458">
        <v>-0.1</v>
      </c>
      <c r="T1458">
        <v>0.9</v>
      </c>
      <c r="U1458" t="s">
        <v>27</v>
      </c>
      <c r="V1458">
        <v>5.8999999999999997E-2</v>
      </c>
      <c r="W1458">
        <v>0.432</v>
      </c>
      <c r="X1458">
        <v>8.1000000000000003E-2</v>
      </c>
      <c r="Y1458" t="s">
        <v>27</v>
      </c>
      <c r="Z1458" t="s">
        <v>27</v>
      </c>
      <c r="AA1458" t="s">
        <v>27</v>
      </c>
      <c r="AB1458" t="s">
        <v>27</v>
      </c>
      <c r="AC1458" t="s">
        <v>27</v>
      </c>
      <c r="AD1458" t="s">
        <v>27</v>
      </c>
      <c r="AE1458" t="s">
        <v>27</v>
      </c>
      <c r="AF1458" t="s">
        <v>27</v>
      </c>
      <c r="AG1458">
        <v>4.92</v>
      </c>
    </row>
    <row r="1459" spans="1:33" x14ac:dyDescent="0.25">
      <c r="A1459" t="s">
        <v>57</v>
      </c>
      <c r="B1459" s="3">
        <v>44920</v>
      </c>
      <c r="C1459">
        <v>2022359</v>
      </c>
      <c r="D1459" t="s">
        <v>27</v>
      </c>
      <c r="E1459" t="s">
        <v>27</v>
      </c>
      <c r="F1459">
        <v>-1.3</v>
      </c>
      <c r="G1459">
        <v>0.9</v>
      </c>
      <c r="H1459">
        <v>-4.5999999999999996</v>
      </c>
      <c r="I1459">
        <v>93.9</v>
      </c>
      <c r="J1459">
        <v>88.7</v>
      </c>
      <c r="K1459">
        <v>0.3</v>
      </c>
      <c r="L1459">
        <v>2.6</v>
      </c>
      <c r="M1459">
        <v>0</v>
      </c>
      <c r="N1459">
        <v>0.80200000000000005</v>
      </c>
      <c r="O1459">
        <v>-1.9</v>
      </c>
      <c r="P1459" t="s">
        <v>27</v>
      </c>
      <c r="Q1459" t="s">
        <v>27</v>
      </c>
      <c r="R1459" t="s">
        <v>27</v>
      </c>
      <c r="S1459">
        <v>-0.1</v>
      </c>
      <c r="T1459">
        <v>0.9</v>
      </c>
      <c r="U1459" t="s">
        <v>27</v>
      </c>
      <c r="V1459">
        <v>5.8000000000000003E-2</v>
      </c>
      <c r="W1459">
        <v>0.57599999999999996</v>
      </c>
      <c r="X1459">
        <v>7.2999999999999995E-2</v>
      </c>
      <c r="Y1459" t="s">
        <v>27</v>
      </c>
      <c r="Z1459" t="s">
        <v>27</v>
      </c>
      <c r="AA1459" t="s">
        <v>27</v>
      </c>
      <c r="AB1459" t="s">
        <v>27</v>
      </c>
      <c r="AC1459" t="s">
        <v>27</v>
      </c>
      <c r="AD1459" t="s">
        <v>27</v>
      </c>
      <c r="AE1459" t="s">
        <v>27</v>
      </c>
      <c r="AF1459" t="s">
        <v>27</v>
      </c>
      <c r="AG1459">
        <v>4.93</v>
      </c>
    </row>
    <row r="1460" spans="1:33" x14ac:dyDescent="0.25">
      <c r="A1460" t="s">
        <v>57</v>
      </c>
      <c r="B1460" s="3">
        <v>44921</v>
      </c>
      <c r="C1460">
        <v>2022360</v>
      </c>
      <c r="D1460" t="s">
        <v>27</v>
      </c>
      <c r="E1460" t="s">
        <v>27</v>
      </c>
      <c r="F1460">
        <v>0.6</v>
      </c>
      <c r="G1460">
        <v>2.4</v>
      </c>
      <c r="H1460">
        <v>-1.2</v>
      </c>
      <c r="I1460">
        <v>94.5</v>
      </c>
      <c r="J1460">
        <v>86.3</v>
      </c>
      <c r="K1460">
        <v>1.1000000000000001</v>
      </c>
      <c r="L1460">
        <v>5</v>
      </c>
      <c r="M1460">
        <v>17</v>
      </c>
      <c r="N1460">
        <v>0.80700000000000016</v>
      </c>
      <c r="O1460">
        <v>-1.4</v>
      </c>
      <c r="P1460" t="s">
        <v>27</v>
      </c>
      <c r="Q1460" t="s">
        <v>27</v>
      </c>
      <c r="R1460" t="s">
        <v>27</v>
      </c>
      <c r="S1460">
        <v>-0.1</v>
      </c>
      <c r="T1460">
        <v>0.8</v>
      </c>
      <c r="U1460" t="s">
        <v>27</v>
      </c>
      <c r="V1460">
        <v>5.8999999999999997E-2</v>
      </c>
      <c r="W1460">
        <v>0.625</v>
      </c>
      <c r="X1460">
        <v>9.9000000000000005E-2</v>
      </c>
      <c r="Y1460" t="s">
        <v>27</v>
      </c>
      <c r="Z1460" t="s">
        <v>27</v>
      </c>
      <c r="AA1460" t="s">
        <v>27</v>
      </c>
      <c r="AB1460" t="s">
        <v>27</v>
      </c>
      <c r="AC1460" t="s">
        <v>27</v>
      </c>
      <c r="AD1460" t="s">
        <v>27</v>
      </c>
      <c r="AE1460" t="s">
        <v>27</v>
      </c>
      <c r="AF1460" t="s">
        <v>27</v>
      </c>
      <c r="AG1460">
        <v>4.95</v>
      </c>
    </row>
    <row r="1461" spans="1:33" x14ac:dyDescent="0.25">
      <c r="A1461" t="s">
        <v>57</v>
      </c>
      <c r="B1461" s="3">
        <v>44922</v>
      </c>
      <c r="C1461">
        <v>2022361</v>
      </c>
      <c r="D1461" t="s">
        <v>27</v>
      </c>
      <c r="E1461" t="s">
        <v>27</v>
      </c>
      <c r="F1461">
        <v>0</v>
      </c>
      <c r="G1461">
        <v>1</v>
      </c>
      <c r="H1461">
        <v>-1</v>
      </c>
      <c r="I1461">
        <v>94.2</v>
      </c>
      <c r="J1461">
        <v>90.5</v>
      </c>
      <c r="K1461">
        <v>0.9</v>
      </c>
      <c r="L1461">
        <v>2.9</v>
      </c>
      <c r="M1461">
        <v>0</v>
      </c>
      <c r="N1461">
        <v>0.89000000000000012</v>
      </c>
      <c r="O1461">
        <v>-1</v>
      </c>
      <c r="P1461" t="s">
        <v>27</v>
      </c>
      <c r="Q1461" t="s">
        <v>27</v>
      </c>
      <c r="R1461" t="s">
        <v>27</v>
      </c>
      <c r="S1461">
        <v>-0.1</v>
      </c>
      <c r="T1461">
        <v>0.8</v>
      </c>
      <c r="U1461" t="s">
        <v>27</v>
      </c>
      <c r="V1461">
        <v>0.06</v>
      </c>
      <c r="W1461">
        <v>0.59499999999999997</v>
      </c>
      <c r="X1461">
        <v>6.2E-2</v>
      </c>
      <c r="Y1461" t="s">
        <v>27</v>
      </c>
      <c r="Z1461" t="s">
        <v>27</v>
      </c>
      <c r="AA1461" t="s">
        <v>27</v>
      </c>
      <c r="AB1461" t="s">
        <v>27</v>
      </c>
      <c r="AC1461" t="s">
        <v>27</v>
      </c>
      <c r="AD1461" t="s">
        <v>27</v>
      </c>
      <c r="AE1461" t="s">
        <v>27</v>
      </c>
      <c r="AF1461" t="s">
        <v>27</v>
      </c>
      <c r="AG1461">
        <v>4.97</v>
      </c>
    </row>
    <row r="1462" spans="1:33" x14ac:dyDescent="0.25">
      <c r="A1462" t="s">
        <v>57</v>
      </c>
      <c r="B1462" s="3">
        <v>44923</v>
      </c>
      <c r="C1462">
        <v>2022362</v>
      </c>
      <c r="D1462" t="s">
        <v>27</v>
      </c>
      <c r="E1462" t="s">
        <v>27</v>
      </c>
      <c r="F1462">
        <v>-4.2</v>
      </c>
      <c r="G1462">
        <v>-0.6</v>
      </c>
      <c r="H1462">
        <v>-12.1</v>
      </c>
      <c r="I1462">
        <v>88.7</v>
      </c>
      <c r="J1462">
        <v>81</v>
      </c>
      <c r="K1462">
        <v>1</v>
      </c>
      <c r="L1462">
        <v>3.2</v>
      </c>
      <c r="M1462">
        <v>3</v>
      </c>
      <c r="N1462">
        <v>0.95700000000000007</v>
      </c>
      <c r="O1462">
        <v>-0.7</v>
      </c>
      <c r="P1462" t="s">
        <v>27</v>
      </c>
      <c r="Q1462" t="s">
        <v>27</v>
      </c>
      <c r="R1462" t="s">
        <v>27</v>
      </c>
      <c r="S1462">
        <v>-0.1</v>
      </c>
      <c r="T1462">
        <v>0.8</v>
      </c>
      <c r="U1462" t="s">
        <v>27</v>
      </c>
      <c r="V1462">
        <v>6.0999999999999999E-2</v>
      </c>
      <c r="W1462">
        <v>0.47499999999999998</v>
      </c>
      <c r="X1462">
        <v>0.111</v>
      </c>
      <c r="Y1462" t="s">
        <v>27</v>
      </c>
      <c r="Z1462" t="s">
        <v>27</v>
      </c>
      <c r="AA1462" t="s">
        <v>27</v>
      </c>
      <c r="AB1462" t="s">
        <v>27</v>
      </c>
      <c r="AC1462" t="s">
        <v>27</v>
      </c>
      <c r="AD1462" t="s">
        <v>27</v>
      </c>
      <c r="AE1462" t="s">
        <v>27</v>
      </c>
      <c r="AF1462" t="s">
        <v>27</v>
      </c>
      <c r="AG1462">
        <v>5</v>
      </c>
    </row>
    <row r="1463" spans="1:33" x14ac:dyDescent="0.25">
      <c r="A1463" t="s">
        <v>57</v>
      </c>
      <c r="B1463" s="3">
        <v>44924</v>
      </c>
      <c r="C1463">
        <v>2022363</v>
      </c>
      <c r="D1463" t="s">
        <v>27</v>
      </c>
      <c r="E1463" t="s">
        <v>27</v>
      </c>
      <c r="F1463">
        <v>-8.6999999999999993</v>
      </c>
      <c r="G1463">
        <v>-4.3</v>
      </c>
      <c r="H1463">
        <v>-16.5</v>
      </c>
      <c r="I1463">
        <v>88.7</v>
      </c>
      <c r="J1463">
        <v>81.2</v>
      </c>
      <c r="K1463">
        <v>0.4</v>
      </c>
      <c r="L1463">
        <v>1.4</v>
      </c>
      <c r="M1463">
        <v>7</v>
      </c>
      <c r="N1463">
        <v>0.996</v>
      </c>
      <c r="O1463">
        <v>-0.5</v>
      </c>
      <c r="P1463" t="s">
        <v>27</v>
      </c>
      <c r="Q1463" t="s">
        <v>27</v>
      </c>
      <c r="R1463" t="s">
        <v>27</v>
      </c>
      <c r="S1463">
        <v>0</v>
      </c>
      <c r="T1463">
        <v>0.8</v>
      </c>
      <c r="U1463" t="s">
        <v>27</v>
      </c>
      <c r="V1463">
        <v>6.2E-2</v>
      </c>
      <c r="W1463">
        <v>0.36</v>
      </c>
      <c r="X1463">
        <v>8.3000000000000004E-2</v>
      </c>
      <c r="Y1463" t="s">
        <v>27</v>
      </c>
      <c r="Z1463" t="s">
        <v>27</v>
      </c>
      <c r="AA1463" t="s">
        <v>27</v>
      </c>
      <c r="AB1463" t="s">
        <v>27</v>
      </c>
      <c r="AC1463" t="s">
        <v>27</v>
      </c>
      <c r="AD1463" t="s">
        <v>27</v>
      </c>
      <c r="AE1463" t="s">
        <v>27</v>
      </c>
      <c r="AF1463" t="s">
        <v>27</v>
      </c>
      <c r="AG1463">
        <v>5.0199999999999996</v>
      </c>
    </row>
    <row r="1464" spans="1:33" x14ac:dyDescent="0.25">
      <c r="A1464" t="s">
        <v>57</v>
      </c>
      <c r="B1464" s="3">
        <v>44925</v>
      </c>
      <c r="C1464">
        <v>2022364</v>
      </c>
      <c r="D1464" t="s">
        <v>27</v>
      </c>
      <c r="E1464" t="s">
        <v>27</v>
      </c>
      <c r="F1464">
        <v>-4.2</v>
      </c>
      <c r="G1464">
        <v>-2.1</v>
      </c>
      <c r="H1464">
        <v>-6.1</v>
      </c>
      <c r="I1464">
        <v>91.6</v>
      </c>
      <c r="J1464">
        <v>86.6</v>
      </c>
      <c r="K1464">
        <v>0.5</v>
      </c>
      <c r="L1464">
        <v>1.9</v>
      </c>
      <c r="M1464">
        <v>2</v>
      </c>
      <c r="N1464">
        <v>0.96900000000000008</v>
      </c>
      <c r="O1464">
        <v>-0.5</v>
      </c>
      <c r="P1464" t="s">
        <v>27</v>
      </c>
      <c r="Q1464" t="s">
        <v>27</v>
      </c>
      <c r="R1464" t="s">
        <v>27</v>
      </c>
      <c r="S1464">
        <v>0</v>
      </c>
      <c r="T1464">
        <v>0.8</v>
      </c>
      <c r="U1464" t="s">
        <v>27</v>
      </c>
      <c r="V1464">
        <v>6.2E-2</v>
      </c>
      <c r="W1464">
        <v>0.45300000000000001</v>
      </c>
      <c r="X1464">
        <v>7.0000000000000007E-2</v>
      </c>
      <c r="Y1464" t="s">
        <v>27</v>
      </c>
      <c r="Z1464" t="s">
        <v>27</v>
      </c>
      <c r="AA1464" t="s">
        <v>27</v>
      </c>
      <c r="AB1464" t="s">
        <v>27</v>
      </c>
      <c r="AC1464" t="s">
        <v>27</v>
      </c>
      <c r="AD1464" t="s">
        <v>27</v>
      </c>
      <c r="AE1464" t="s">
        <v>27</v>
      </c>
      <c r="AF1464" t="s">
        <v>27</v>
      </c>
      <c r="AG1464">
        <v>5.05</v>
      </c>
    </row>
    <row r="1465" spans="1:33" x14ac:dyDescent="0.25">
      <c r="A1465" t="s">
        <v>57</v>
      </c>
      <c r="B1465" s="3">
        <v>44926</v>
      </c>
      <c r="C1465">
        <v>2022365</v>
      </c>
      <c r="D1465" t="s">
        <v>27</v>
      </c>
      <c r="E1465" t="s">
        <v>27</v>
      </c>
      <c r="F1465">
        <v>-3.5</v>
      </c>
      <c r="G1465">
        <v>-0.8</v>
      </c>
      <c r="H1465">
        <v>-5.9</v>
      </c>
      <c r="I1465">
        <v>89.9</v>
      </c>
      <c r="J1465">
        <v>79.900000000000006</v>
      </c>
      <c r="K1465">
        <v>0.4</v>
      </c>
      <c r="L1465">
        <v>1.8</v>
      </c>
      <c r="M1465">
        <v>1</v>
      </c>
      <c r="N1465">
        <v>0.98200000000000021</v>
      </c>
      <c r="O1465">
        <v>-0.5</v>
      </c>
      <c r="P1465" t="s">
        <v>27</v>
      </c>
      <c r="Q1465" t="s">
        <v>27</v>
      </c>
      <c r="R1465" t="s">
        <v>27</v>
      </c>
      <c r="S1465">
        <v>0</v>
      </c>
      <c r="T1465">
        <v>0.8</v>
      </c>
      <c r="U1465" t="s">
        <v>27</v>
      </c>
      <c r="V1465">
        <v>6.2E-2</v>
      </c>
      <c r="W1465">
        <v>0.46100000000000002</v>
      </c>
      <c r="X1465">
        <v>0.11600000000000001</v>
      </c>
      <c r="Y1465" t="s">
        <v>27</v>
      </c>
      <c r="Z1465" t="s">
        <v>27</v>
      </c>
      <c r="AA1465" t="s">
        <v>27</v>
      </c>
      <c r="AB1465" t="s">
        <v>27</v>
      </c>
      <c r="AC1465" t="s">
        <v>27</v>
      </c>
      <c r="AD1465" t="s">
        <v>27</v>
      </c>
      <c r="AE1465" t="s">
        <v>27</v>
      </c>
      <c r="AF1465" t="s">
        <v>27</v>
      </c>
      <c r="AG1465">
        <v>5.09</v>
      </c>
    </row>
    <row r="1466" spans="1:33" x14ac:dyDescent="0.25">
      <c r="A1466" t="s">
        <v>57</v>
      </c>
      <c r="B1466" s="5">
        <v>44927</v>
      </c>
      <c r="C1466">
        <v>2023001</v>
      </c>
      <c r="D1466" t="s">
        <v>27</v>
      </c>
      <c r="E1466" t="s">
        <v>27</v>
      </c>
      <c r="F1466">
        <v>-5.8</v>
      </c>
      <c r="G1466">
        <v>-0.9</v>
      </c>
      <c r="H1466">
        <v>-13.7</v>
      </c>
      <c r="I1466">
        <v>85</v>
      </c>
      <c r="J1466">
        <v>64.599999999999994</v>
      </c>
      <c r="K1466">
        <v>0.3</v>
      </c>
      <c r="L1466">
        <v>1.8</v>
      </c>
      <c r="M1466">
        <v>8</v>
      </c>
      <c r="N1466">
        <v>0.95100000000000007</v>
      </c>
      <c r="O1466">
        <v>-0.5</v>
      </c>
      <c r="P1466" t="s">
        <v>27</v>
      </c>
      <c r="Q1466" t="s">
        <v>27</v>
      </c>
      <c r="R1466" t="s">
        <v>27</v>
      </c>
      <c r="S1466">
        <v>0</v>
      </c>
      <c r="T1466">
        <v>0.8</v>
      </c>
      <c r="U1466" t="s">
        <v>27</v>
      </c>
      <c r="V1466">
        <v>6.2E-2</v>
      </c>
      <c r="W1466">
        <v>0.37</v>
      </c>
      <c r="X1466">
        <v>0.20300000000000001</v>
      </c>
      <c r="Y1466" t="s">
        <v>27</v>
      </c>
      <c r="Z1466" t="s">
        <v>27</v>
      </c>
      <c r="AA1466" t="s">
        <v>27</v>
      </c>
      <c r="AB1466" t="s">
        <v>27</v>
      </c>
      <c r="AC1466" t="s">
        <v>27</v>
      </c>
      <c r="AD1466" t="s">
        <v>27</v>
      </c>
      <c r="AE1466" t="s">
        <v>27</v>
      </c>
      <c r="AF1466" t="s">
        <v>27</v>
      </c>
      <c r="AG1466">
        <v>5.14</v>
      </c>
    </row>
    <row r="1467" spans="1:33" x14ac:dyDescent="0.25">
      <c r="A1467" t="s">
        <v>57</v>
      </c>
      <c r="B1467" s="3">
        <v>44928</v>
      </c>
      <c r="C1467">
        <v>2023002</v>
      </c>
      <c r="D1467" t="s">
        <v>27</v>
      </c>
      <c r="E1467" t="s">
        <v>27</v>
      </c>
      <c r="F1467">
        <v>-9.6</v>
      </c>
      <c r="G1467">
        <v>-5.9</v>
      </c>
      <c r="H1467">
        <v>-14.2</v>
      </c>
      <c r="I1467">
        <v>88.8</v>
      </c>
      <c r="J1467">
        <v>83.5</v>
      </c>
      <c r="K1467">
        <v>0.5</v>
      </c>
      <c r="L1467">
        <v>1.9</v>
      </c>
      <c r="M1467">
        <v>4</v>
      </c>
      <c r="N1467">
        <v>0.92200000000000015</v>
      </c>
      <c r="O1467">
        <v>-0.5</v>
      </c>
      <c r="P1467" t="s">
        <v>27</v>
      </c>
      <c r="Q1467" t="s">
        <v>27</v>
      </c>
      <c r="R1467" t="s">
        <v>27</v>
      </c>
      <c r="S1467">
        <v>0</v>
      </c>
      <c r="T1467">
        <v>0.8</v>
      </c>
      <c r="U1467" t="s">
        <v>27</v>
      </c>
      <c r="V1467">
        <v>6.2E-2</v>
      </c>
      <c r="W1467">
        <v>0.32900000000000001</v>
      </c>
      <c r="X1467">
        <v>6.5000000000000002E-2</v>
      </c>
      <c r="Y1467" t="s">
        <v>27</v>
      </c>
      <c r="Z1467" t="s">
        <v>27</v>
      </c>
      <c r="AA1467" t="s">
        <v>27</v>
      </c>
      <c r="AB1467" t="s">
        <v>27</v>
      </c>
      <c r="AC1467" t="s">
        <v>27</v>
      </c>
      <c r="AD1467" t="s">
        <v>27</v>
      </c>
      <c r="AE1467" t="s">
        <v>27</v>
      </c>
      <c r="AF1467" t="s">
        <v>27</v>
      </c>
      <c r="AG1467">
        <v>5.18</v>
      </c>
    </row>
    <row r="1468" spans="1:33" x14ac:dyDescent="0.25">
      <c r="A1468" t="s">
        <v>57</v>
      </c>
      <c r="B1468" s="3">
        <v>44929</v>
      </c>
      <c r="C1468">
        <v>2023003</v>
      </c>
      <c r="D1468" t="s">
        <v>27</v>
      </c>
      <c r="E1468" t="s">
        <v>27</v>
      </c>
      <c r="F1468">
        <v>-8.1</v>
      </c>
      <c r="G1468">
        <v>-6.6</v>
      </c>
      <c r="H1468">
        <v>-9.6999999999999993</v>
      </c>
      <c r="I1468">
        <v>89.6</v>
      </c>
      <c r="J1468">
        <v>88.4</v>
      </c>
      <c r="K1468">
        <v>0.2</v>
      </c>
      <c r="L1468">
        <v>1.2</v>
      </c>
      <c r="M1468">
        <v>2</v>
      </c>
      <c r="N1468">
        <v>0.90000000000000013</v>
      </c>
      <c r="O1468">
        <v>-0.5</v>
      </c>
      <c r="P1468" t="s">
        <v>27</v>
      </c>
      <c r="Q1468" t="s">
        <v>27</v>
      </c>
      <c r="R1468" t="s">
        <v>27</v>
      </c>
      <c r="S1468">
        <v>0.1</v>
      </c>
      <c r="T1468">
        <v>0.8</v>
      </c>
      <c r="U1468" t="s">
        <v>27</v>
      </c>
      <c r="V1468">
        <v>6.2E-2</v>
      </c>
      <c r="W1468">
        <v>0.33</v>
      </c>
      <c r="X1468">
        <v>4.2999999999999997E-2</v>
      </c>
      <c r="Y1468" t="s">
        <v>27</v>
      </c>
      <c r="Z1468" t="s">
        <v>27</v>
      </c>
      <c r="AA1468" t="s">
        <v>27</v>
      </c>
      <c r="AB1468" t="s">
        <v>27</v>
      </c>
      <c r="AC1468" t="s">
        <v>27</v>
      </c>
      <c r="AD1468" t="s">
        <v>27</v>
      </c>
      <c r="AE1468" t="s">
        <v>27</v>
      </c>
      <c r="AF1468" t="s">
        <v>27</v>
      </c>
      <c r="AG1468">
        <v>5.22</v>
      </c>
    </row>
    <row r="1469" spans="1:33" x14ac:dyDescent="0.25">
      <c r="A1469" t="s">
        <v>57</v>
      </c>
      <c r="B1469" s="3">
        <v>44930</v>
      </c>
      <c r="C1469">
        <v>2023004</v>
      </c>
      <c r="D1469" t="s">
        <v>27</v>
      </c>
      <c r="E1469" t="s">
        <v>27</v>
      </c>
      <c r="F1469">
        <v>-6.9</v>
      </c>
      <c r="G1469">
        <v>-4.8</v>
      </c>
      <c r="H1469">
        <v>-8.8000000000000007</v>
      </c>
      <c r="I1469">
        <v>90</v>
      </c>
      <c r="J1469">
        <v>88.5</v>
      </c>
      <c r="K1469">
        <v>0.6</v>
      </c>
      <c r="L1469">
        <v>2.2999999999999998</v>
      </c>
      <c r="M1469">
        <v>1</v>
      </c>
      <c r="N1469">
        <v>0.88800000000000012</v>
      </c>
      <c r="O1469">
        <v>-0.5</v>
      </c>
      <c r="P1469" t="s">
        <v>27</v>
      </c>
      <c r="Q1469" t="s">
        <v>27</v>
      </c>
      <c r="R1469" t="s">
        <v>27</v>
      </c>
      <c r="S1469">
        <v>0.1</v>
      </c>
      <c r="T1469">
        <v>0.9</v>
      </c>
      <c r="U1469" t="s">
        <v>27</v>
      </c>
      <c r="V1469">
        <v>6.2E-2</v>
      </c>
      <c r="W1469">
        <v>0.378</v>
      </c>
      <c r="X1469">
        <v>4.9000000000000002E-2</v>
      </c>
      <c r="Y1469" t="s">
        <v>27</v>
      </c>
      <c r="Z1469" t="s">
        <v>27</v>
      </c>
      <c r="AA1469" t="s">
        <v>27</v>
      </c>
      <c r="AB1469" t="s">
        <v>27</v>
      </c>
      <c r="AC1469" t="s">
        <v>27</v>
      </c>
      <c r="AD1469" t="s">
        <v>27</v>
      </c>
      <c r="AE1469" t="s">
        <v>27</v>
      </c>
      <c r="AF1469" t="s">
        <v>27</v>
      </c>
      <c r="AG1469">
        <v>5.27</v>
      </c>
    </row>
    <row r="1470" spans="1:33" x14ac:dyDescent="0.25">
      <c r="A1470" t="s">
        <v>57</v>
      </c>
      <c r="B1470" s="3">
        <v>44931</v>
      </c>
      <c r="C1470">
        <v>2023005</v>
      </c>
      <c r="D1470" t="s">
        <v>27</v>
      </c>
      <c r="E1470" t="s">
        <v>27</v>
      </c>
      <c r="F1470">
        <v>-2.1</v>
      </c>
      <c r="G1470">
        <v>0.3</v>
      </c>
      <c r="H1470">
        <v>-5</v>
      </c>
      <c r="I1470">
        <v>88.8</v>
      </c>
      <c r="J1470">
        <v>84.2</v>
      </c>
      <c r="K1470">
        <v>1.2</v>
      </c>
      <c r="L1470">
        <v>3.4</v>
      </c>
      <c r="M1470">
        <v>0</v>
      </c>
      <c r="N1470">
        <v>0.877</v>
      </c>
      <c r="O1470">
        <v>-0.5</v>
      </c>
      <c r="P1470" t="s">
        <v>27</v>
      </c>
      <c r="Q1470" t="s">
        <v>27</v>
      </c>
      <c r="R1470" t="s">
        <v>27</v>
      </c>
      <c r="S1470">
        <v>0.1</v>
      </c>
      <c r="T1470">
        <v>0.9</v>
      </c>
      <c r="U1470" t="s">
        <v>27</v>
      </c>
      <c r="V1470">
        <v>6.2E-2</v>
      </c>
      <c r="W1470">
        <v>0.52600000000000002</v>
      </c>
      <c r="X1470">
        <v>9.9000000000000005E-2</v>
      </c>
      <c r="Y1470" t="s">
        <v>27</v>
      </c>
      <c r="Z1470" t="s">
        <v>27</v>
      </c>
      <c r="AA1470" t="s">
        <v>27</v>
      </c>
      <c r="AB1470" t="s">
        <v>27</v>
      </c>
      <c r="AC1470" t="s">
        <v>27</v>
      </c>
      <c r="AD1470" t="s">
        <v>27</v>
      </c>
      <c r="AE1470" t="s">
        <v>27</v>
      </c>
      <c r="AF1470" t="s">
        <v>27</v>
      </c>
      <c r="AG1470">
        <v>5.32</v>
      </c>
    </row>
    <row r="1471" spans="1:33" x14ac:dyDescent="0.25">
      <c r="A1471" t="s">
        <v>57</v>
      </c>
      <c r="B1471" s="3">
        <v>44932</v>
      </c>
      <c r="C1471">
        <v>2023006</v>
      </c>
      <c r="D1471" t="s">
        <v>27</v>
      </c>
      <c r="E1471" t="s">
        <v>27</v>
      </c>
      <c r="F1471">
        <v>-2.6</v>
      </c>
      <c r="G1471">
        <v>-0.1</v>
      </c>
      <c r="H1471">
        <v>-5.3</v>
      </c>
      <c r="I1471">
        <v>91.7</v>
      </c>
      <c r="J1471">
        <v>83.7</v>
      </c>
      <c r="K1471">
        <v>0.6</v>
      </c>
      <c r="L1471">
        <v>1.9</v>
      </c>
      <c r="M1471">
        <v>2</v>
      </c>
      <c r="N1471">
        <v>0.86699999999999999</v>
      </c>
      <c r="O1471">
        <v>-0.5</v>
      </c>
      <c r="P1471" t="s">
        <v>27</v>
      </c>
      <c r="Q1471" t="s">
        <v>27</v>
      </c>
      <c r="R1471" t="s">
        <v>27</v>
      </c>
      <c r="S1471">
        <v>0.1</v>
      </c>
      <c r="T1471">
        <v>0.9</v>
      </c>
      <c r="U1471" t="s">
        <v>27</v>
      </c>
      <c r="V1471">
        <v>6.2E-2</v>
      </c>
      <c r="W1471">
        <v>0.50900000000000001</v>
      </c>
      <c r="X1471">
        <v>9.9000000000000005E-2</v>
      </c>
      <c r="Y1471" t="s">
        <v>27</v>
      </c>
      <c r="Z1471" t="s">
        <v>27</v>
      </c>
      <c r="AA1471" t="s">
        <v>27</v>
      </c>
      <c r="AB1471" t="s">
        <v>27</v>
      </c>
      <c r="AC1471" t="s">
        <v>27</v>
      </c>
      <c r="AD1471" t="s">
        <v>27</v>
      </c>
      <c r="AE1471" t="s">
        <v>27</v>
      </c>
      <c r="AF1471" t="s">
        <v>27</v>
      </c>
      <c r="AG1471">
        <v>5.37</v>
      </c>
    </row>
    <row r="1472" spans="1:33" x14ac:dyDescent="0.25">
      <c r="A1472" t="s">
        <v>57</v>
      </c>
      <c r="B1472" s="3">
        <v>44933</v>
      </c>
      <c r="C1472">
        <v>2023007</v>
      </c>
      <c r="D1472" t="s">
        <v>27</v>
      </c>
      <c r="E1472" t="s">
        <v>27</v>
      </c>
      <c r="F1472">
        <v>-1.7</v>
      </c>
      <c r="G1472">
        <v>1.2</v>
      </c>
      <c r="H1472">
        <v>-3</v>
      </c>
      <c r="I1472">
        <v>89.4</v>
      </c>
      <c r="J1472">
        <v>80.3</v>
      </c>
      <c r="K1472">
        <v>1.2</v>
      </c>
      <c r="L1472">
        <v>3.5</v>
      </c>
      <c r="M1472">
        <v>1</v>
      </c>
      <c r="N1472">
        <v>0.86899999999999999</v>
      </c>
      <c r="O1472">
        <v>-0.5</v>
      </c>
      <c r="P1472" t="s">
        <v>27</v>
      </c>
      <c r="Q1472" t="s">
        <v>27</v>
      </c>
      <c r="R1472" t="s">
        <v>27</v>
      </c>
      <c r="S1472">
        <v>0.1</v>
      </c>
      <c r="T1472">
        <v>0.9</v>
      </c>
      <c r="U1472" t="s">
        <v>27</v>
      </c>
      <c r="V1472">
        <v>6.2E-2</v>
      </c>
      <c r="W1472">
        <v>0.53400000000000003</v>
      </c>
      <c r="X1472">
        <v>0.13100000000000001</v>
      </c>
      <c r="Y1472" t="s">
        <v>27</v>
      </c>
      <c r="Z1472" t="s">
        <v>27</v>
      </c>
      <c r="AA1472" t="s">
        <v>27</v>
      </c>
      <c r="AB1472" t="s">
        <v>27</v>
      </c>
      <c r="AC1472" t="s">
        <v>27</v>
      </c>
      <c r="AD1472" t="s">
        <v>27</v>
      </c>
      <c r="AE1472" t="s">
        <v>27</v>
      </c>
      <c r="AF1472" t="s">
        <v>27</v>
      </c>
      <c r="AG1472">
        <v>5.43</v>
      </c>
    </row>
    <row r="1473" spans="1:33" x14ac:dyDescent="0.25">
      <c r="A1473" t="s">
        <v>57</v>
      </c>
      <c r="B1473" s="3">
        <v>44934</v>
      </c>
      <c r="C1473">
        <v>2023008</v>
      </c>
      <c r="D1473" t="s">
        <v>27</v>
      </c>
      <c r="E1473" t="s">
        <v>27</v>
      </c>
      <c r="F1473">
        <v>-1.6</v>
      </c>
      <c r="G1473">
        <v>0.2</v>
      </c>
      <c r="H1473">
        <v>-4.8</v>
      </c>
      <c r="I1473">
        <v>90.9</v>
      </c>
      <c r="J1473">
        <v>82.4</v>
      </c>
      <c r="K1473">
        <v>0.7</v>
      </c>
      <c r="L1473">
        <v>2.8</v>
      </c>
      <c r="M1473">
        <v>1</v>
      </c>
      <c r="N1473">
        <v>0.89300000000000002</v>
      </c>
      <c r="O1473">
        <v>-0.4</v>
      </c>
      <c r="P1473" t="s">
        <v>27</v>
      </c>
      <c r="Q1473" t="s">
        <v>27</v>
      </c>
      <c r="R1473" t="s">
        <v>27</v>
      </c>
      <c r="S1473">
        <v>0.1</v>
      </c>
      <c r="T1473">
        <v>0.9</v>
      </c>
      <c r="U1473" t="s">
        <v>27</v>
      </c>
      <c r="V1473">
        <v>6.2E-2</v>
      </c>
      <c r="W1473">
        <v>0.51100000000000001</v>
      </c>
      <c r="X1473">
        <v>0.109</v>
      </c>
      <c r="Y1473" t="s">
        <v>27</v>
      </c>
      <c r="Z1473" t="s">
        <v>27</v>
      </c>
      <c r="AA1473" t="s">
        <v>27</v>
      </c>
      <c r="AB1473" t="s">
        <v>27</v>
      </c>
      <c r="AC1473" t="s">
        <v>27</v>
      </c>
      <c r="AD1473" t="s">
        <v>27</v>
      </c>
      <c r="AE1473" t="s">
        <v>27</v>
      </c>
      <c r="AF1473" t="s">
        <v>27</v>
      </c>
      <c r="AG1473">
        <v>5.49</v>
      </c>
    </row>
    <row r="1474" spans="1:33" x14ac:dyDescent="0.25">
      <c r="A1474" t="s">
        <v>57</v>
      </c>
      <c r="B1474" s="3">
        <v>44935</v>
      </c>
      <c r="C1474">
        <v>2023009</v>
      </c>
      <c r="D1474" t="s">
        <v>27</v>
      </c>
      <c r="E1474" t="s">
        <v>27</v>
      </c>
      <c r="F1474">
        <v>-4.2</v>
      </c>
      <c r="G1474">
        <v>-2.2000000000000002</v>
      </c>
      <c r="H1474">
        <v>-8.4</v>
      </c>
      <c r="I1474">
        <v>91.4</v>
      </c>
      <c r="J1474">
        <v>87.8</v>
      </c>
      <c r="K1474">
        <v>0.4</v>
      </c>
      <c r="L1474">
        <v>2</v>
      </c>
      <c r="M1474">
        <v>4</v>
      </c>
      <c r="N1474">
        <v>0.88100000000000001</v>
      </c>
      <c r="O1474">
        <v>-0.4</v>
      </c>
      <c r="P1474" t="s">
        <v>27</v>
      </c>
      <c r="Q1474" t="s">
        <v>27</v>
      </c>
      <c r="R1474" t="s">
        <v>27</v>
      </c>
      <c r="S1474">
        <v>0.1</v>
      </c>
      <c r="T1474">
        <v>0.9</v>
      </c>
      <c r="U1474" t="s">
        <v>27</v>
      </c>
      <c r="V1474">
        <v>6.3E-2</v>
      </c>
      <c r="W1474">
        <v>0.45500000000000002</v>
      </c>
      <c r="X1474">
        <v>6.3E-2</v>
      </c>
      <c r="Y1474" t="s">
        <v>27</v>
      </c>
      <c r="Z1474" t="s">
        <v>27</v>
      </c>
      <c r="AA1474" t="s">
        <v>27</v>
      </c>
      <c r="AB1474" t="s">
        <v>27</v>
      </c>
      <c r="AC1474" t="s">
        <v>27</v>
      </c>
      <c r="AD1474" t="s">
        <v>27</v>
      </c>
      <c r="AE1474" t="s">
        <v>27</v>
      </c>
      <c r="AF1474" t="s">
        <v>27</v>
      </c>
      <c r="AG1474">
        <v>5.56</v>
      </c>
    </row>
    <row r="1475" spans="1:33" x14ac:dyDescent="0.25">
      <c r="A1475" t="s">
        <v>57</v>
      </c>
      <c r="B1475" s="3">
        <v>44936</v>
      </c>
      <c r="C1475">
        <v>2023010</v>
      </c>
      <c r="D1475" t="s">
        <v>27</v>
      </c>
      <c r="E1475" t="s">
        <v>27</v>
      </c>
      <c r="F1475">
        <v>-3.8</v>
      </c>
      <c r="G1475">
        <v>-0.5</v>
      </c>
      <c r="H1475">
        <v>-8.6</v>
      </c>
      <c r="I1475">
        <v>91.3</v>
      </c>
      <c r="J1475">
        <v>83.3</v>
      </c>
      <c r="K1475">
        <v>0.4</v>
      </c>
      <c r="L1475">
        <v>1.6</v>
      </c>
      <c r="M1475">
        <v>2</v>
      </c>
      <c r="N1475">
        <v>0.88100000000000001</v>
      </c>
      <c r="O1475">
        <v>-0.4</v>
      </c>
      <c r="P1475" t="s">
        <v>27</v>
      </c>
      <c r="Q1475" t="s">
        <v>27</v>
      </c>
      <c r="R1475" t="s">
        <v>27</v>
      </c>
      <c r="S1475">
        <v>0.1</v>
      </c>
      <c r="T1475">
        <v>0.9</v>
      </c>
      <c r="U1475" t="s">
        <v>27</v>
      </c>
      <c r="V1475">
        <v>6.3E-2</v>
      </c>
      <c r="W1475">
        <v>0.49099999999999999</v>
      </c>
      <c r="X1475">
        <v>9.8000000000000004E-2</v>
      </c>
      <c r="Y1475" t="s">
        <v>27</v>
      </c>
      <c r="Z1475" t="s">
        <v>27</v>
      </c>
      <c r="AA1475" t="s">
        <v>27</v>
      </c>
      <c r="AB1475" t="s">
        <v>27</v>
      </c>
      <c r="AC1475" t="s">
        <v>27</v>
      </c>
      <c r="AD1475" t="s">
        <v>27</v>
      </c>
      <c r="AE1475" t="s">
        <v>27</v>
      </c>
      <c r="AF1475" t="s">
        <v>27</v>
      </c>
      <c r="AG1475">
        <v>5.63</v>
      </c>
    </row>
    <row r="1476" spans="1:33" x14ac:dyDescent="0.25">
      <c r="A1476" t="s">
        <v>57</v>
      </c>
      <c r="B1476" s="3">
        <v>44937</v>
      </c>
      <c r="C1476">
        <v>2023011</v>
      </c>
      <c r="D1476" t="s">
        <v>27</v>
      </c>
      <c r="E1476" t="s">
        <v>27</v>
      </c>
      <c r="F1476">
        <v>-5</v>
      </c>
      <c r="G1476">
        <v>0.9</v>
      </c>
      <c r="H1476">
        <v>-11.5</v>
      </c>
      <c r="I1476">
        <v>89.5</v>
      </c>
      <c r="J1476">
        <v>77.2</v>
      </c>
      <c r="K1476">
        <v>0.6</v>
      </c>
      <c r="L1476">
        <v>2.7</v>
      </c>
      <c r="M1476">
        <v>1</v>
      </c>
      <c r="N1476">
        <v>0.8680000000000001</v>
      </c>
      <c r="O1476">
        <v>-0.4</v>
      </c>
      <c r="P1476" t="s">
        <v>27</v>
      </c>
      <c r="Q1476" t="s">
        <v>27</v>
      </c>
      <c r="R1476" t="s">
        <v>27</v>
      </c>
      <c r="S1476">
        <v>0.1</v>
      </c>
      <c r="T1476">
        <v>0.9</v>
      </c>
      <c r="U1476" t="s">
        <v>27</v>
      </c>
      <c r="V1476">
        <v>6.3E-2</v>
      </c>
      <c r="W1476">
        <v>0.501</v>
      </c>
      <c r="X1476">
        <v>0.14799999999999999</v>
      </c>
      <c r="Y1476" t="s">
        <v>27</v>
      </c>
      <c r="Z1476" t="s">
        <v>27</v>
      </c>
      <c r="AA1476" t="s">
        <v>27</v>
      </c>
      <c r="AB1476" t="s">
        <v>27</v>
      </c>
      <c r="AC1476" t="s">
        <v>27</v>
      </c>
      <c r="AD1476" t="s">
        <v>27</v>
      </c>
      <c r="AE1476" t="s">
        <v>27</v>
      </c>
      <c r="AF1476" t="s">
        <v>27</v>
      </c>
      <c r="AG1476">
        <v>5.7</v>
      </c>
    </row>
    <row r="1477" spans="1:33" x14ac:dyDescent="0.25">
      <c r="A1477" t="s">
        <v>57</v>
      </c>
      <c r="B1477" s="3">
        <v>44938</v>
      </c>
      <c r="C1477">
        <v>2023012</v>
      </c>
      <c r="D1477" t="s">
        <v>27</v>
      </c>
      <c r="E1477" t="s">
        <v>27</v>
      </c>
      <c r="F1477">
        <v>-1.5</v>
      </c>
      <c r="G1477">
        <v>-0.1</v>
      </c>
      <c r="H1477">
        <v>-2.8</v>
      </c>
      <c r="I1477">
        <v>92.6</v>
      </c>
      <c r="J1477">
        <v>87.8</v>
      </c>
      <c r="K1477">
        <v>0.8</v>
      </c>
      <c r="L1477">
        <v>2.4</v>
      </c>
      <c r="M1477">
        <v>4</v>
      </c>
      <c r="N1477">
        <v>0.996</v>
      </c>
      <c r="O1477">
        <v>-0.5</v>
      </c>
      <c r="P1477" t="s">
        <v>27</v>
      </c>
      <c r="Q1477" t="s">
        <v>27</v>
      </c>
      <c r="R1477" t="s">
        <v>27</v>
      </c>
      <c r="S1477">
        <v>0.2</v>
      </c>
      <c r="T1477">
        <v>0.9</v>
      </c>
      <c r="U1477" t="s">
        <v>27</v>
      </c>
      <c r="V1477">
        <v>6.3E-2</v>
      </c>
      <c r="W1477">
        <v>0.53300000000000003</v>
      </c>
      <c r="X1477">
        <v>7.3999999999999996E-2</v>
      </c>
      <c r="Y1477" t="s">
        <v>27</v>
      </c>
      <c r="Z1477" t="s">
        <v>27</v>
      </c>
      <c r="AA1477" t="s">
        <v>27</v>
      </c>
      <c r="AB1477" t="s">
        <v>27</v>
      </c>
      <c r="AC1477" t="s">
        <v>27</v>
      </c>
      <c r="AD1477" t="s">
        <v>27</v>
      </c>
      <c r="AE1477" t="s">
        <v>27</v>
      </c>
      <c r="AF1477" t="s">
        <v>27</v>
      </c>
      <c r="AG1477">
        <v>5.77</v>
      </c>
    </row>
    <row r="1478" spans="1:33" x14ac:dyDescent="0.25">
      <c r="A1478" t="s">
        <v>57</v>
      </c>
      <c r="B1478" s="3">
        <v>44939</v>
      </c>
      <c r="C1478">
        <v>2023013</v>
      </c>
      <c r="D1478" t="s">
        <v>27</v>
      </c>
      <c r="E1478" t="s">
        <v>27</v>
      </c>
      <c r="F1478">
        <v>1.2</v>
      </c>
      <c r="G1478">
        <v>2.7</v>
      </c>
      <c r="H1478">
        <v>-0.5</v>
      </c>
      <c r="I1478">
        <v>94.6</v>
      </c>
      <c r="J1478">
        <v>90</v>
      </c>
      <c r="K1478">
        <v>0.9</v>
      </c>
      <c r="L1478">
        <v>3.1</v>
      </c>
      <c r="M1478">
        <v>13</v>
      </c>
      <c r="N1478">
        <v>0.93600000000000017</v>
      </c>
      <c r="O1478">
        <v>-0.4</v>
      </c>
      <c r="P1478" t="s">
        <v>27</v>
      </c>
      <c r="Q1478" t="s">
        <v>27</v>
      </c>
      <c r="R1478" t="s">
        <v>27</v>
      </c>
      <c r="S1478">
        <v>0.2</v>
      </c>
      <c r="T1478">
        <v>0.9</v>
      </c>
      <c r="U1478" t="s">
        <v>27</v>
      </c>
      <c r="V1478">
        <v>6.4000000000000001E-2</v>
      </c>
      <c r="W1478">
        <v>0.66900000000000004</v>
      </c>
      <c r="X1478">
        <v>7.3999999999999996E-2</v>
      </c>
      <c r="Y1478" t="s">
        <v>27</v>
      </c>
      <c r="Z1478" t="s">
        <v>27</v>
      </c>
      <c r="AA1478" t="s">
        <v>27</v>
      </c>
      <c r="AB1478" t="s">
        <v>27</v>
      </c>
      <c r="AC1478" t="s">
        <v>27</v>
      </c>
      <c r="AD1478" t="s">
        <v>27</v>
      </c>
      <c r="AE1478" t="s">
        <v>27</v>
      </c>
      <c r="AF1478" t="s">
        <v>27</v>
      </c>
      <c r="AG1478">
        <v>5.85</v>
      </c>
    </row>
    <row r="1479" spans="1:33" x14ac:dyDescent="0.25">
      <c r="A1479" t="s">
        <v>57</v>
      </c>
      <c r="B1479" s="3">
        <v>44940</v>
      </c>
      <c r="C1479">
        <v>2023014</v>
      </c>
      <c r="D1479" t="s">
        <v>27</v>
      </c>
      <c r="E1479" t="s">
        <v>27</v>
      </c>
      <c r="F1479">
        <v>0.3</v>
      </c>
      <c r="G1479">
        <v>1.6</v>
      </c>
      <c r="H1479">
        <v>-0.8</v>
      </c>
      <c r="I1479">
        <v>95.2</v>
      </c>
      <c r="J1479">
        <v>90.6</v>
      </c>
      <c r="K1479">
        <v>0.5</v>
      </c>
      <c r="L1479">
        <v>2.2000000000000002</v>
      </c>
      <c r="M1479">
        <v>5</v>
      </c>
      <c r="N1479">
        <v>0.93500000000000005</v>
      </c>
      <c r="O1479">
        <v>-0.3</v>
      </c>
      <c r="P1479" t="s">
        <v>27</v>
      </c>
      <c r="Q1479" t="s">
        <v>27</v>
      </c>
      <c r="R1479" t="s">
        <v>27</v>
      </c>
      <c r="S1479">
        <v>0.2</v>
      </c>
      <c r="T1479">
        <v>0.9</v>
      </c>
      <c r="U1479" t="s">
        <v>27</v>
      </c>
      <c r="V1479">
        <v>6.5000000000000002E-2</v>
      </c>
      <c r="W1479">
        <v>0.622</v>
      </c>
      <c r="X1479">
        <v>6.5000000000000002E-2</v>
      </c>
      <c r="Y1479" t="s">
        <v>27</v>
      </c>
      <c r="Z1479" t="s">
        <v>27</v>
      </c>
      <c r="AA1479" t="s">
        <v>27</v>
      </c>
      <c r="AB1479" t="s">
        <v>27</v>
      </c>
      <c r="AC1479" t="s">
        <v>27</v>
      </c>
      <c r="AD1479" t="s">
        <v>27</v>
      </c>
      <c r="AE1479" t="s">
        <v>27</v>
      </c>
      <c r="AF1479" t="s">
        <v>27</v>
      </c>
      <c r="AG1479">
        <v>5.93</v>
      </c>
    </row>
    <row r="1480" spans="1:33" x14ac:dyDescent="0.25">
      <c r="A1480" t="s">
        <v>57</v>
      </c>
      <c r="B1480" s="3">
        <v>44941</v>
      </c>
      <c r="C1480">
        <v>2023015</v>
      </c>
      <c r="D1480" t="s">
        <v>27</v>
      </c>
      <c r="E1480" t="s">
        <v>27</v>
      </c>
      <c r="F1480">
        <v>-0.2</v>
      </c>
      <c r="G1480">
        <v>2.9</v>
      </c>
      <c r="H1480">
        <v>-1.9</v>
      </c>
      <c r="I1480">
        <v>90.8</v>
      </c>
      <c r="J1480">
        <v>78.400000000000006</v>
      </c>
      <c r="K1480">
        <v>0.7</v>
      </c>
      <c r="L1480">
        <v>2.5</v>
      </c>
      <c r="M1480">
        <v>6</v>
      </c>
      <c r="N1480">
        <v>0.95300000000000007</v>
      </c>
      <c r="O1480">
        <v>-0.1</v>
      </c>
      <c r="P1480" t="s">
        <v>27</v>
      </c>
      <c r="Q1480" t="s">
        <v>27</v>
      </c>
      <c r="R1480" t="s">
        <v>27</v>
      </c>
      <c r="S1480">
        <v>0.2</v>
      </c>
      <c r="T1480">
        <v>0.9</v>
      </c>
      <c r="U1480" t="s">
        <v>27</v>
      </c>
      <c r="V1480">
        <v>6.6000000000000003E-2</v>
      </c>
      <c r="W1480">
        <v>0.59</v>
      </c>
      <c r="X1480">
        <v>0.16300000000000001</v>
      </c>
      <c r="Y1480" t="s">
        <v>27</v>
      </c>
      <c r="Z1480" t="s">
        <v>27</v>
      </c>
      <c r="AA1480" t="s">
        <v>27</v>
      </c>
      <c r="AB1480" t="s">
        <v>27</v>
      </c>
      <c r="AC1480" t="s">
        <v>27</v>
      </c>
      <c r="AD1480" t="s">
        <v>27</v>
      </c>
      <c r="AE1480" t="s">
        <v>27</v>
      </c>
      <c r="AF1480" t="s">
        <v>27</v>
      </c>
      <c r="AG1480">
        <v>6.02</v>
      </c>
    </row>
    <row r="1481" spans="1:33" x14ac:dyDescent="0.25">
      <c r="A1481" t="s">
        <v>57</v>
      </c>
      <c r="B1481" s="3">
        <v>44942</v>
      </c>
      <c r="C1481">
        <v>2023016</v>
      </c>
      <c r="D1481" t="s">
        <v>27</v>
      </c>
      <c r="E1481" t="s">
        <v>27</v>
      </c>
      <c r="F1481">
        <v>-2</v>
      </c>
      <c r="G1481">
        <v>1.2</v>
      </c>
      <c r="H1481">
        <v>-8.5</v>
      </c>
      <c r="I1481">
        <v>90.3</v>
      </c>
      <c r="J1481">
        <v>76.5</v>
      </c>
      <c r="K1481">
        <v>0.1</v>
      </c>
      <c r="L1481">
        <v>1.3</v>
      </c>
      <c r="M1481">
        <v>3</v>
      </c>
      <c r="N1481">
        <v>0.96000000000000019</v>
      </c>
      <c r="O1481">
        <v>-0.1</v>
      </c>
      <c r="P1481" t="s">
        <v>27</v>
      </c>
      <c r="Q1481" t="s">
        <v>27</v>
      </c>
      <c r="R1481" t="s">
        <v>27</v>
      </c>
      <c r="S1481">
        <v>0.2</v>
      </c>
      <c r="T1481">
        <v>0.9</v>
      </c>
      <c r="U1481" t="s">
        <v>27</v>
      </c>
      <c r="V1481">
        <v>6.7000000000000004E-2</v>
      </c>
      <c r="W1481">
        <v>0.50800000000000001</v>
      </c>
      <c r="X1481">
        <v>0.156</v>
      </c>
      <c r="Y1481" t="s">
        <v>27</v>
      </c>
      <c r="Z1481" t="s">
        <v>27</v>
      </c>
      <c r="AA1481" t="s">
        <v>27</v>
      </c>
      <c r="AB1481" t="s">
        <v>27</v>
      </c>
      <c r="AC1481" t="s">
        <v>27</v>
      </c>
      <c r="AD1481" t="s">
        <v>27</v>
      </c>
      <c r="AE1481" t="s">
        <v>27</v>
      </c>
      <c r="AF1481" t="s">
        <v>27</v>
      </c>
      <c r="AG1481">
        <v>6.11</v>
      </c>
    </row>
    <row r="1482" spans="1:33" x14ac:dyDescent="0.25">
      <c r="A1482" t="s">
        <v>57</v>
      </c>
      <c r="B1482" s="3">
        <v>44943</v>
      </c>
      <c r="C1482">
        <v>2023017</v>
      </c>
      <c r="D1482" t="s">
        <v>27</v>
      </c>
      <c r="E1482" t="s">
        <v>27</v>
      </c>
      <c r="F1482">
        <v>-6.3</v>
      </c>
      <c r="G1482">
        <v>-1.3</v>
      </c>
      <c r="H1482">
        <v>-12.5</v>
      </c>
      <c r="I1482">
        <v>88.6</v>
      </c>
      <c r="J1482">
        <v>75.900000000000006</v>
      </c>
      <c r="K1482">
        <v>0.4</v>
      </c>
      <c r="L1482">
        <v>1.5</v>
      </c>
      <c r="M1482">
        <v>3</v>
      </c>
      <c r="N1482">
        <v>0.95100000000000007</v>
      </c>
      <c r="O1482">
        <v>-0.1</v>
      </c>
      <c r="P1482" t="s">
        <v>27</v>
      </c>
      <c r="Q1482" t="s">
        <v>27</v>
      </c>
      <c r="R1482" t="s">
        <v>27</v>
      </c>
      <c r="S1482">
        <v>0.1</v>
      </c>
      <c r="T1482">
        <v>0.8</v>
      </c>
      <c r="U1482" t="s">
        <v>27</v>
      </c>
      <c r="V1482">
        <v>6.8000000000000005E-2</v>
      </c>
      <c r="W1482">
        <v>0.42099999999999999</v>
      </c>
      <c r="X1482">
        <v>0.13400000000000001</v>
      </c>
      <c r="Y1482" t="s">
        <v>27</v>
      </c>
      <c r="Z1482" t="s">
        <v>27</v>
      </c>
      <c r="AA1482" t="s">
        <v>27</v>
      </c>
      <c r="AB1482" t="s">
        <v>27</v>
      </c>
      <c r="AC1482" t="s">
        <v>27</v>
      </c>
      <c r="AD1482" t="s">
        <v>27</v>
      </c>
      <c r="AE1482" t="s">
        <v>27</v>
      </c>
      <c r="AF1482" t="s">
        <v>27</v>
      </c>
      <c r="AG1482">
        <v>6.2</v>
      </c>
    </row>
    <row r="1483" spans="1:33" x14ac:dyDescent="0.25">
      <c r="A1483" t="s">
        <v>57</v>
      </c>
      <c r="B1483" s="3">
        <v>44944</v>
      </c>
      <c r="C1483">
        <v>2023018</v>
      </c>
      <c r="D1483" t="s">
        <v>27</v>
      </c>
      <c r="E1483" t="s">
        <v>27</v>
      </c>
      <c r="F1483">
        <v>-4</v>
      </c>
      <c r="G1483">
        <v>-1.5</v>
      </c>
      <c r="H1483">
        <v>-5.5</v>
      </c>
      <c r="I1483">
        <v>90.7</v>
      </c>
      <c r="J1483">
        <v>83.8</v>
      </c>
      <c r="K1483">
        <v>1</v>
      </c>
      <c r="L1483">
        <v>3.1</v>
      </c>
      <c r="M1483">
        <v>1</v>
      </c>
      <c r="N1483">
        <v>1</v>
      </c>
      <c r="O1483">
        <v>-0.2</v>
      </c>
      <c r="P1483" t="s">
        <v>27</v>
      </c>
      <c r="Q1483" t="s">
        <v>27</v>
      </c>
      <c r="R1483" t="s">
        <v>27</v>
      </c>
      <c r="S1483">
        <v>0.2</v>
      </c>
      <c r="T1483">
        <v>0.9</v>
      </c>
      <c r="U1483" t="s">
        <v>27</v>
      </c>
      <c r="V1483">
        <v>6.8000000000000005E-2</v>
      </c>
      <c r="W1483">
        <v>0.45800000000000002</v>
      </c>
      <c r="X1483">
        <v>8.8999999999999996E-2</v>
      </c>
      <c r="Y1483" t="s">
        <v>27</v>
      </c>
      <c r="Z1483" t="s">
        <v>27</v>
      </c>
      <c r="AA1483" t="s">
        <v>27</v>
      </c>
      <c r="AB1483" t="s">
        <v>27</v>
      </c>
      <c r="AC1483" t="s">
        <v>27</v>
      </c>
      <c r="AD1483" t="s">
        <v>27</v>
      </c>
      <c r="AE1483" t="s">
        <v>27</v>
      </c>
      <c r="AF1483" t="s">
        <v>27</v>
      </c>
      <c r="AG1483">
        <v>6.3</v>
      </c>
    </row>
    <row r="1484" spans="1:33" x14ac:dyDescent="0.25">
      <c r="A1484" t="s">
        <v>57</v>
      </c>
      <c r="B1484" s="3">
        <v>44945</v>
      </c>
      <c r="C1484">
        <v>2023019</v>
      </c>
      <c r="D1484" t="s">
        <v>27</v>
      </c>
      <c r="E1484" t="s">
        <v>27</v>
      </c>
      <c r="F1484">
        <v>-7.2</v>
      </c>
      <c r="G1484">
        <v>-2.4</v>
      </c>
      <c r="H1484">
        <v>-13.2</v>
      </c>
      <c r="I1484">
        <v>84.2</v>
      </c>
      <c r="J1484">
        <v>67.8</v>
      </c>
      <c r="K1484">
        <v>0.6</v>
      </c>
      <c r="L1484">
        <v>2.5</v>
      </c>
      <c r="M1484">
        <v>4</v>
      </c>
      <c r="N1484">
        <v>1.0370000000000001</v>
      </c>
      <c r="O1484">
        <v>-0.3</v>
      </c>
      <c r="P1484" t="s">
        <v>27</v>
      </c>
      <c r="Q1484" t="s">
        <v>27</v>
      </c>
      <c r="R1484" t="s">
        <v>27</v>
      </c>
      <c r="S1484">
        <v>0.1</v>
      </c>
      <c r="T1484">
        <v>0.8</v>
      </c>
      <c r="U1484" t="s">
        <v>27</v>
      </c>
      <c r="V1484">
        <v>6.9000000000000006E-2</v>
      </c>
      <c r="W1484">
        <v>0.34599999999999997</v>
      </c>
      <c r="X1484">
        <v>0.16400000000000001</v>
      </c>
      <c r="Y1484" t="s">
        <v>27</v>
      </c>
      <c r="Z1484" t="s">
        <v>27</v>
      </c>
      <c r="AA1484" t="s">
        <v>27</v>
      </c>
      <c r="AB1484" t="s">
        <v>27</v>
      </c>
      <c r="AC1484" t="s">
        <v>27</v>
      </c>
      <c r="AD1484" t="s">
        <v>27</v>
      </c>
      <c r="AE1484" t="s">
        <v>27</v>
      </c>
      <c r="AF1484" t="s">
        <v>27</v>
      </c>
      <c r="AG1484">
        <v>6.4</v>
      </c>
    </row>
    <row r="1485" spans="1:33" x14ac:dyDescent="0.25">
      <c r="A1485" t="s">
        <v>57</v>
      </c>
      <c r="B1485" s="3">
        <v>44946</v>
      </c>
      <c r="C1485">
        <v>2023020</v>
      </c>
      <c r="D1485" t="s">
        <v>27</v>
      </c>
      <c r="E1485" t="s">
        <v>27</v>
      </c>
      <c r="F1485">
        <v>-7.5</v>
      </c>
      <c r="G1485">
        <v>-0.8</v>
      </c>
      <c r="H1485">
        <v>-14</v>
      </c>
      <c r="I1485">
        <v>85.9</v>
      </c>
      <c r="J1485">
        <v>72.3</v>
      </c>
      <c r="K1485">
        <v>0.2</v>
      </c>
      <c r="L1485">
        <v>1.6</v>
      </c>
      <c r="M1485">
        <v>3</v>
      </c>
      <c r="N1485">
        <v>1.0010000000000001</v>
      </c>
      <c r="O1485">
        <v>-0.3</v>
      </c>
      <c r="P1485" t="s">
        <v>27</v>
      </c>
      <c r="Q1485" t="s">
        <v>27</v>
      </c>
      <c r="R1485" t="s">
        <v>27</v>
      </c>
      <c r="S1485">
        <v>0.1</v>
      </c>
      <c r="T1485">
        <v>0.8</v>
      </c>
      <c r="U1485" t="s">
        <v>27</v>
      </c>
      <c r="V1485">
        <v>6.9000000000000006E-2</v>
      </c>
      <c r="W1485">
        <v>0.41799999999999998</v>
      </c>
      <c r="X1485">
        <v>0.16</v>
      </c>
      <c r="Y1485" t="s">
        <v>27</v>
      </c>
      <c r="Z1485" t="s">
        <v>27</v>
      </c>
      <c r="AA1485" t="s">
        <v>27</v>
      </c>
      <c r="AB1485" t="s">
        <v>27</v>
      </c>
      <c r="AC1485" t="s">
        <v>27</v>
      </c>
      <c r="AD1485" t="s">
        <v>27</v>
      </c>
      <c r="AE1485" t="s">
        <v>27</v>
      </c>
      <c r="AF1485" t="s">
        <v>27</v>
      </c>
      <c r="AG1485">
        <v>6.51</v>
      </c>
    </row>
    <row r="1486" spans="1:33" x14ac:dyDescent="0.25">
      <c r="A1486" t="s">
        <v>57</v>
      </c>
      <c r="B1486" s="3">
        <v>44947</v>
      </c>
      <c r="C1486">
        <v>2023021</v>
      </c>
      <c r="D1486" t="s">
        <v>27</v>
      </c>
      <c r="E1486" t="s">
        <v>27</v>
      </c>
      <c r="F1486">
        <v>-8.1999999999999993</v>
      </c>
      <c r="G1486">
        <v>-4.9000000000000004</v>
      </c>
      <c r="H1486">
        <v>-11.9</v>
      </c>
      <c r="I1486">
        <v>88.6</v>
      </c>
      <c r="J1486">
        <v>81.3</v>
      </c>
      <c r="K1486">
        <v>0.5</v>
      </c>
      <c r="L1486">
        <v>2</v>
      </c>
      <c r="M1486">
        <v>2</v>
      </c>
      <c r="N1486">
        <v>1.032</v>
      </c>
      <c r="O1486">
        <v>-0.4</v>
      </c>
      <c r="P1486" t="s">
        <v>27</v>
      </c>
      <c r="Q1486" t="s">
        <v>27</v>
      </c>
      <c r="R1486" t="s">
        <v>27</v>
      </c>
      <c r="S1486">
        <v>0.1</v>
      </c>
      <c r="T1486">
        <v>0.8</v>
      </c>
      <c r="U1486" t="s">
        <v>27</v>
      </c>
      <c r="V1486">
        <v>6.9000000000000006E-2</v>
      </c>
      <c r="W1486">
        <v>0.34499999999999997</v>
      </c>
      <c r="X1486">
        <v>7.9000000000000001E-2</v>
      </c>
      <c r="Y1486" t="s">
        <v>27</v>
      </c>
      <c r="Z1486" t="s">
        <v>27</v>
      </c>
      <c r="AA1486" t="s">
        <v>27</v>
      </c>
      <c r="AB1486" t="s">
        <v>27</v>
      </c>
      <c r="AC1486" t="s">
        <v>27</v>
      </c>
      <c r="AD1486" t="s">
        <v>27</v>
      </c>
      <c r="AE1486" t="s">
        <v>27</v>
      </c>
      <c r="AF1486" t="s">
        <v>27</v>
      </c>
      <c r="AG1486">
        <v>6.61</v>
      </c>
    </row>
    <row r="1487" spans="1:33" x14ac:dyDescent="0.25">
      <c r="A1487" t="s">
        <v>57</v>
      </c>
      <c r="B1487" s="3">
        <v>44948</v>
      </c>
      <c r="C1487">
        <v>2023022</v>
      </c>
      <c r="D1487" t="s">
        <v>27</v>
      </c>
      <c r="E1487" t="s">
        <v>27</v>
      </c>
      <c r="F1487">
        <v>-8.1999999999999993</v>
      </c>
      <c r="G1487">
        <v>-4.8</v>
      </c>
      <c r="H1487">
        <v>-14.7</v>
      </c>
      <c r="I1487">
        <v>82.8</v>
      </c>
      <c r="J1487">
        <v>70.2</v>
      </c>
      <c r="K1487">
        <v>1.1000000000000001</v>
      </c>
      <c r="L1487">
        <v>3.5</v>
      </c>
      <c r="M1487">
        <v>2</v>
      </c>
      <c r="N1487">
        <v>1.0190000000000001</v>
      </c>
      <c r="O1487">
        <v>-0.4</v>
      </c>
      <c r="P1487" t="s">
        <v>27</v>
      </c>
      <c r="Q1487" t="s">
        <v>27</v>
      </c>
      <c r="R1487" t="s">
        <v>27</v>
      </c>
      <c r="S1487">
        <v>0.1</v>
      </c>
      <c r="T1487">
        <v>0.8</v>
      </c>
      <c r="U1487" t="s">
        <v>27</v>
      </c>
      <c r="V1487">
        <v>7.0000000000000007E-2</v>
      </c>
      <c r="W1487">
        <v>0.30099999999999999</v>
      </c>
      <c r="X1487">
        <v>0.128</v>
      </c>
      <c r="Y1487" t="s">
        <v>27</v>
      </c>
      <c r="Z1487" t="s">
        <v>27</v>
      </c>
      <c r="AA1487" t="s">
        <v>27</v>
      </c>
      <c r="AB1487" t="s">
        <v>27</v>
      </c>
      <c r="AC1487" t="s">
        <v>27</v>
      </c>
      <c r="AD1487" t="s">
        <v>27</v>
      </c>
      <c r="AE1487" t="s">
        <v>27</v>
      </c>
      <c r="AF1487" t="s">
        <v>27</v>
      </c>
      <c r="AG1487">
        <v>6.73</v>
      </c>
    </row>
    <row r="1488" spans="1:33" x14ac:dyDescent="0.25">
      <c r="A1488" t="s">
        <v>57</v>
      </c>
      <c r="B1488" s="3">
        <v>44949</v>
      </c>
      <c r="C1488">
        <v>2023023</v>
      </c>
      <c r="D1488" t="s">
        <v>27</v>
      </c>
      <c r="E1488" t="s">
        <v>27</v>
      </c>
      <c r="F1488">
        <v>-6.3</v>
      </c>
      <c r="G1488">
        <v>-0.7</v>
      </c>
      <c r="H1488">
        <v>-10.199999999999999</v>
      </c>
      <c r="I1488">
        <v>83.6</v>
      </c>
      <c r="J1488">
        <v>64.5</v>
      </c>
      <c r="K1488">
        <v>0.7</v>
      </c>
      <c r="L1488">
        <v>3.2</v>
      </c>
      <c r="M1488">
        <v>1</v>
      </c>
      <c r="N1488">
        <v>0.998</v>
      </c>
      <c r="O1488">
        <v>-0.5</v>
      </c>
      <c r="P1488" t="s">
        <v>27</v>
      </c>
      <c r="Q1488" t="s">
        <v>27</v>
      </c>
      <c r="R1488" t="s">
        <v>27</v>
      </c>
      <c r="S1488">
        <v>0.2</v>
      </c>
      <c r="T1488">
        <v>0.8</v>
      </c>
      <c r="U1488" t="s">
        <v>27</v>
      </c>
      <c r="V1488">
        <v>6.9000000000000006E-2</v>
      </c>
      <c r="W1488">
        <v>0.375</v>
      </c>
      <c r="X1488">
        <v>0.20599999999999999</v>
      </c>
      <c r="Y1488" t="s">
        <v>27</v>
      </c>
      <c r="Z1488" t="s">
        <v>27</v>
      </c>
      <c r="AA1488" t="s">
        <v>27</v>
      </c>
      <c r="AB1488" t="s">
        <v>27</v>
      </c>
      <c r="AC1488" t="s">
        <v>27</v>
      </c>
      <c r="AD1488" t="s">
        <v>27</v>
      </c>
      <c r="AE1488" t="s">
        <v>27</v>
      </c>
      <c r="AF1488" t="s">
        <v>27</v>
      </c>
      <c r="AG1488">
        <v>6.84</v>
      </c>
    </row>
    <row r="1489" spans="1:33" x14ac:dyDescent="0.25">
      <c r="A1489" t="s">
        <v>57</v>
      </c>
      <c r="B1489" s="3">
        <v>44950</v>
      </c>
      <c r="C1489">
        <v>2023024</v>
      </c>
      <c r="D1489" t="s">
        <v>27</v>
      </c>
      <c r="E1489" t="s">
        <v>27</v>
      </c>
      <c r="F1489">
        <v>-3</v>
      </c>
      <c r="G1489">
        <v>-0.6</v>
      </c>
      <c r="H1489">
        <v>-9.6999999999999993</v>
      </c>
      <c r="I1489">
        <v>86.8</v>
      </c>
      <c r="J1489">
        <v>81.5</v>
      </c>
      <c r="K1489">
        <v>1.6</v>
      </c>
      <c r="L1489">
        <v>3.7</v>
      </c>
      <c r="M1489">
        <v>0</v>
      </c>
      <c r="N1489">
        <v>1.0270000000000001</v>
      </c>
      <c r="O1489">
        <v>-0.5</v>
      </c>
      <c r="P1489" t="s">
        <v>27</v>
      </c>
      <c r="Q1489" t="s">
        <v>27</v>
      </c>
      <c r="R1489" t="s">
        <v>27</v>
      </c>
      <c r="S1489">
        <v>0.2</v>
      </c>
      <c r="T1489">
        <v>0.8</v>
      </c>
      <c r="U1489" t="s">
        <v>27</v>
      </c>
      <c r="V1489">
        <v>6.9000000000000006E-2</v>
      </c>
      <c r="W1489">
        <v>0.47799999999999998</v>
      </c>
      <c r="X1489">
        <v>0.109</v>
      </c>
      <c r="Y1489" t="s">
        <v>27</v>
      </c>
      <c r="Z1489" t="s">
        <v>27</v>
      </c>
      <c r="AA1489" t="s">
        <v>27</v>
      </c>
      <c r="AB1489" t="s">
        <v>27</v>
      </c>
      <c r="AC1489" t="s">
        <v>27</v>
      </c>
      <c r="AD1489" t="s">
        <v>27</v>
      </c>
      <c r="AE1489" t="s">
        <v>27</v>
      </c>
      <c r="AF1489" t="s">
        <v>27</v>
      </c>
      <c r="AG1489">
        <v>6.96</v>
      </c>
    </row>
    <row r="1490" spans="1:33" x14ac:dyDescent="0.25">
      <c r="A1490" t="s">
        <v>57</v>
      </c>
      <c r="B1490" s="3">
        <v>44951</v>
      </c>
      <c r="C1490">
        <v>2023025</v>
      </c>
      <c r="D1490" t="s">
        <v>27</v>
      </c>
      <c r="E1490" t="s">
        <v>27</v>
      </c>
      <c r="F1490">
        <v>1.3</v>
      </c>
      <c r="G1490">
        <v>3.6</v>
      </c>
      <c r="H1490">
        <v>-1.2</v>
      </c>
      <c r="I1490">
        <v>82.4</v>
      </c>
      <c r="J1490">
        <v>66.2</v>
      </c>
      <c r="K1490">
        <v>1.5</v>
      </c>
      <c r="L1490">
        <v>3.6</v>
      </c>
      <c r="M1490">
        <v>3</v>
      </c>
      <c r="N1490">
        <v>0.998</v>
      </c>
      <c r="O1490">
        <v>-0.5</v>
      </c>
      <c r="P1490" t="s">
        <v>27</v>
      </c>
      <c r="Q1490" t="s">
        <v>27</v>
      </c>
      <c r="R1490" t="s">
        <v>27</v>
      </c>
      <c r="S1490">
        <v>0.2</v>
      </c>
      <c r="T1490">
        <v>0.9</v>
      </c>
      <c r="U1490" t="s">
        <v>27</v>
      </c>
      <c r="V1490">
        <v>6.9000000000000006E-2</v>
      </c>
      <c r="W1490">
        <v>0.52400000000000002</v>
      </c>
      <c r="X1490">
        <v>0.26800000000000002</v>
      </c>
      <c r="Y1490" t="s">
        <v>27</v>
      </c>
      <c r="Z1490" t="s">
        <v>27</v>
      </c>
      <c r="AA1490" t="s">
        <v>27</v>
      </c>
      <c r="AB1490" t="s">
        <v>27</v>
      </c>
      <c r="AC1490" t="s">
        <v>27</v>
      </c>
      <c r="AD1490" t="s">
        <v>27</v>
      </c>
      <c r="AE1490" t="s">
        <v>27</v>
      </c>
      <c r="AF1490" t="s">
        <v>27</v>
      </c>
      <c r="AG1490">
        <v>7.09</v>
      </c>
    </row>
    <row r="1491" spans="1:33" x14ac:dyDescent="0.25">
      <c r="A1491" t="s">
        <v>57</v>
      </c>
      <c r="B1491" s="3">
        <v>44952</v>
      </c>
      <c r="C1491">
        <v>2023026</v>
      </c>
      <c r="D1491" t="s">
        <v>27</v>
      </c>
      <c r="E1491" t="s">
        <v>27</v>
      </c>
      <c r="F1491">
        <v>1.3</v>
      </c>
      <c r="G1491">
        <v>4.2</v>
      </c>
      <c r="H1491">
        <v>-1.3</v>
      </c>
      <c r="I1491">
        <v>87.3</v>
      </c>
      <c r="J1491">
        <v>61.2</v>
      </c>
      <c r="K1491">
        <v>0.6</v>
      </c>
      <c r="L1491">
        <v>3.2</v>
      </c>
      <c r="M1491">
        <v>5</v>
      </c>
      <c r="N1491">
        <v>1.0760000000000001</v>
      </c>
      <c r="O1491">
        <v>-0.4</v>
      </c>
      <c r="P1491" t="s">
        <v>27</v>
      </c>
      <c r="Q1491" t="s">
        <v>27</v>
      </c>
      <c r="R1491" t="s">
        <v>27</v>
      </c>
      <c r="S1491">
        <v>0.2</v>
      </c>
      <c r="T1491">
        <v>0.9</v>
      </c>
      <c r="U1491" t="s">
        <v>27</v>
      </c>
      <c r="V1491">
        <v>6.9000000000000006E-2</v>
      </c>
      <c r="W1491">
        <v>0.503</v>
      </c>
      <c r="X1491">
        <v>0.31900000000000001</v>
      </c>
      <c r="Y1491" t="s">
        <v>27</v>
      </c>
      <c r="Z1491" t="s">
        <v>27</v>
      </c>
      <c r="AA1491" t="s">
        <v>27</v>
      </c>
      <c r="AB1491" t="s">
        <v>27</v>
      </c>
      <c r="AC1491" t="s">
        <v>27</v>
      </c>
      <c r="AD1491" t="s">
        <v>27</v>
      </c>
      <c r="AE1491" t="s">
        <v>27</v>
      </c>
      <c r="AF1491" t="s">
        <v>27</v>
      </c>
      <c r="AG1491">
        <v>7.21</v>
      </c>
    </row>
    <row r="1492" spans="1:33" x14ac:dyDescent="0.25">
      <c r="A1492" t="s">
        <v>57</v>
      </c>
      <c r="B1492" s="3">
        <v>44953</v>
      </c>
      <c r="C1492">
        <v>2023027</v>
      </c>
      <c r="D1492" t="s">
        <v>27</v>
      </c>
      <c r="E1492" t="s">
        <v>27</v>
      </c>
      <c r="F1492">
        <v>-2.8</v>
      </c>
      <c r="G1492">
        <v>-1.2</v>
      </c>
      <c r="H1492">
        <v>-5.5</v>
      </c>
      <c r="I1492">
        <v>88.9</v>
      </c>
      <c r="J1492">
        <v>76</v>
      </c>
      <c r="K1492">
        <v>0</v>
      </c>
      <c r="L1492">
        <v>0.8</v>
      </c>
      <c r="M1492">
        <v>6</v>
      </c>
      <c r="N1492">
        <v>1.1240000000000001</v>
      </c>
      <c r="O1492">
        <v>-0.3</v>
      </c>
      <c r="P1492" t="s">
        <v>27</v>
      </c>
      <c r="Q1492" t="s">
        <v>27</v>
      </c>
      <c r="R1492" t="s">
        <v>27</v>
      </c>
      <c r="S1492">
        <v>0.2</v>
      </c>
      <c r="T1492">
        <v>0.8</v>
      </c>
      <c r="U1492" t="s">
        <v>27</v>
      </c>
      <c r="V1492">
        <v>6.9000000000000006E-2</v>
      </c>
      <c r="W1492">
        <v>0.42499999999999999</v>
      </c>
      <c r="X1492">
        <v>0.13400000000000001</v>
      </c>
      <c r="Y1492" t="s">
        <v>27</v>
      </c>
      <c r="Z1492" t="s">
        <v>27</v>
      </c>
      <c r="AA1492" t="s">
        <v>27</v>
      </c>
      <c r="AB1492" t="s">
        <v>27</v>
      </c>
      <c r="AC1492" t="s">
        <v>27</v>
      </c>
      <c r="AD1492" t="s">
        <v>27</v>
      </c>
      <c r="AE1492" t="s">
        <v>27</v>
      </c>
      <c r="AF1492" t="s">
        <v>27</v>
      </c>
      <c r="AG1492">
        <v>7.34</v>
      </c>
    </row>
    <row r="1493" spans="1:33" x14ac:dyDescent="0.25">
      <c r="A1493" t="s">
        <v>57</v>
      </c>
      <c r="B1493" s="3">
        <v>44954</v>
      </c>
      <c r="C1493">
        <v>2023028</v>
      </c>
      <c r="D1493" t="s">
        <v>27</v>
      </c>
      <c r="E1493" t="s">
        <v>27</v>
      </c>
      <c r="F1493">
        <v>-9.3000000000000007</v>
      </c>
      <c r="G1493">
        <v>-5.3</v>
      </c>
      <c r="H1493">
        <v>-15.6</v>
      </c>
      <c r="I1493">
        <v>82.2</v>
      </c>
      <c r="J1493">
        <v>67.8</v>
      </c>
      <c r="K1493">
        <v>0.4</v>
      </c>
      <c r="L1493">
        <v>2.6</v>
      </c>
      <c r="M1493">
        <v>7</v>
      </c>
      <c r="N1493">
        <v>1.0890000000000002</v>
      </c>
      <c r="O1493">
        <v>-0.3</v>
      </c>
      <c r="P1493" t="s">
        <v>27</v>
      </c>
      <c r="Q1493" t="s">
        <v>27</v>
      </c>
      <c r="R1493" t="s">
        <v>27</v>
      </c>
      <c r="S1493">
        <v>0.1</v>
      </c>
      <c r="T1493">
        <v>0.8</v>
      </c>
      <c r="U1493" t="s">
        <v>27</v>
      </c>
      <c r="V1493">
        <v>7.0000000000000007E-2</v>
      </c>
      <c r="W1493">
        <v>0.27800000000000002</v>
      </c>
      <c r="X1493">
        <v>0.13200000000000001</v>
      </c>
      <c r="Y1493" t="s">
        <v>27</v>
      </c>
      <c r="Z1493" t="s">
        <v>27</v>
      </c>
      <c r="AA1493" t="s">
        <v>27</v>
      </c>
      <c r="AB1493" t="s">
        <v>27</v>
      </c>
      <c r="AC1493" t="s">
        <v>27</v>
      </c>
      <c r="AD1493" t="s">
        <v>27</v>
      </c>
      <c r="AE1493" t="s">
        <v>27</v>
      </c>
      <c r="AF1493" t="s">
        <v>27</v>
      </c>
      <c r="AG1493">
        <v>7.47</v>
      </c>
    </row>
    <row r="1494" spans="1:33" x14ac:dyDescent="0.25">
      <c r="A1494" t="s">
        <v>57</v>
      </c>
      <c r="B1494" s="3">
        <v>44955</v>
      </c>
      <c r="C1494">
        <v>2023029</v>
      </c>
      <c r="D1494" t="s">
        <v>27</v>
      </c>
      <c r="E1494" t="s">
        <v>27</v>
      </c>
      <c r="F1494">
        <v>-16.600000000000001</v>
      </c>
      <c r="G1494">
        <v>-10.5</v>
      </c>
      <c r="H1494">
        <v>-21</v>
      </c>
      <c r="I1494">
        <v>70.400000000000006</v>
      </c>
      <c r="J1494">
        <v>48.2</v>
      </c>
      <c r="K1494">
        <v>0.7</v>
      </c>
      <c r="L1494">
        <v>2.2000000000000002</v>
      </c>
      <c r="M1494">
        <v>6</v>
      </c>
      <c r="N1494">
        <v>1.0770000000000002</v>
      </c>
      <c r="O1494">
        <v>-0.2</v>
      </c>
      <c r="P1494" t="s">
        <v>27</v>
      </c>
      <c r="Q1494" t="s">
        <v>27</v>
      </c>
      <c r="R1494" t="s">
        <v>27</v>
      </c>
      <c r="S1494">
        <v>0.1</v>
      </c>
      <c r="T1494">
        <v>0.7</v>
      </c>
      <c r="U1494" t="s">
        <v>27</v>
      </c>
      <c r="V1494">
        <v>7.0999999999999994E-2</v>
      </c>
      <c r="W1494">
        <v>0.13200000000000001</v>
      </c>
      <c r="X1494">
        <v>0.14199999999999999</v>
      </c>
      <c r="Y1494" t="s">
        <v>27</v>
      </c>
      <c r="Z1494" t="s">
        <v>27</v>
      </c>
      <c r="AA1494" t="s">
        <v>27</v>
      </c>
      <c r="AB1494" t="s">
        <v>27</v>
      </c>
      <c r="AC1494" t="s">
        <v>27</v>
      </c>
      <c r="AD1494" t="s">
        <v>27</v>
      </c>
      <c r="AE1494" t="s">
        <v>27</v>
      </c>
      <c r="AF1494" t="s">
        <v>27</v>
      </c>
      <c r="AG1494">
        <v>7.61</v>
      </c>
    </row>
    <row r="1495" spans="1:33" x14ac:dyDescent="0.25">
      <c r="A1495" t="s">
        <v>57</v>
      </c>
      <c r="B1495" s="3">
        <v>44956</v>
      </c>
      <c r="C1495">
        <v>2023030</v>
      </c>
      <c r="D1495" t="s">
        <v>27</v>
      </c>
      <c r="E1495" t="s">
        <v>27</v>
      </c>
      <c r="F1495">
        <v>-14.3</v>
      </c>
      <c r="G1495">
        <v>-6.8</v>
      </c>
      <c r="H1495">
        <v>-23.1</v>
      </c>
      <c r="I1495">
        <v>70.099999999999994</v>
      </c>
      <c r="J1495">
        <v>49.9</v>
      </c>
      <c r="K1495">
        <v>0.5</v>
      </c>
      <c r="L1495">
        <v>1.8</v>
      </c>
      <c r="M1495">
        <v>5</v>
      </c>
      <c r="N1495">
        <v>1.0680000000000001</v>
      </c>
      <c r="O1495">
        <v>-0.2</v>
      </c>
      <c r="P1495" t="s">
        <v>27</v>
      </c>
      <c r="Q1495" t="s">
        <v>27</v>
      </c>
      <c r="R1495" t="s">
        <v>27</v>
      </c>
      <c r="S1495">
        <v>0.1</v>
      </c>
      <c r="T1495">
        <v>0.8</v>
      </c>
      <c r="U1495" t="s">
        <v>27</v>
      </c>
      <c r="V1495">
        <v>7.0999999999999994E-2</v>
      </c>
      <c r="W1495">
        <v>0.183</v>
      </c>
      <c r="X1495">
        <v>0.184</v>
      </c>
      <c r="Y1495" t="s">
        <v>27</v>
      </c>
      <c r="Z1495" t="s">
        <v>27</v>
      </c>
      <c r="AA1495" t="s">
        <v>27</v>
      </c>
      <c r="AB1495" t="s">
        <v>27</v>
      </c>
      <c r="AC1495" t="s">
        <v>27</v>
      </c>
      <c r="AD1495" t="s">
        <v>27</v>
      </c>
      <c r="AE1495" t="s">
        <v>27</v>
      </c>
      <c r="AF1495" t="s">
        <v>27</v>
      </c>
      <c r="AG1495">
        <v>7.75</v>
      </c>
    </row>
    <row r="1496" spans="1:33" x14ac:dyDescent="0.25">
      <c r="A1496" t="s">
        <v>57</v>
      </c>
      <c r="B1496" s="3">
        <v>44957</v>
      </c>
      <c r="C1496">
        <v>2023031</v>
      </c>
      <c r="D1496" t="s">
        <v>27</v>
      </c>
      <c r="E1496" t="s">
        <v>27</v>
      </c>
      <c r="F1496">
        <v>-11.3</v>
      </c>
      <c r="G1496">
        <v>-6.5</v>
      </c>
      <c r="H1496">
        <v>-14.1</v>
      </c>
      <c r="I1496">
        <v>82.1</v>
      </c>
      <c r="J1496">
        <v>70.8</v>
      </c>
      <c r="K1496">
        <v>0.3</v>
      </c>
      <c r="L1496">
        <v>2</v>
      </c>
      <c r="M1496">
        <v>5</v>
      </c>
      <c r="N1496">
        <v>1.0680000000000001</v>
      </c>
      <c r="O1496">
        <v>-0.4</v>
      </c>
      <c r="P1496" t="s">
        <v>27</v>
      </c>
      <c r="Q1496" t="s">
        <v>27</v>
      </c>
      <c r="R1496" t="s">
        <v>27</v>
      </c>
      <c r="S1496">
        <v>0.1</v>
      </c>
      <c r="T1496">
        <v>0.8</v>
      </c>
      <c r="U1496" t="s">
        <v>27</v>
      </c>
      <c r="V1496">
        <v>7.0999999999999994E-2</v>
      </c>
      <c r="W1496">
        <v>0.26600000000000001</v>
      </c>
      <c r="X1496">
        <v>0.11</v>
      </c>
      <c r="Y1496" t="s">
        <v>27</v>
      </c>
      <c r="Z1496" t="s">
        <v>27</v>
      </c>
      <c r="AA1496" t="s">
        <v>27</v>
      </c>
      <c r="AB1496" t="s">
        <v>27</v>
      </c>
      <c r="AC1496" t="s">
        <v>27</v>
      </c>
      <c r="AD1496" t="s">
        <v>27</v>
      </c>
      <c r="AE1496" t="s">
        <v>27</v>
      </c>
      <c r="AF1496" t="s">
        <v>27</v>
      </c>
      <c r="AG1496">
        <v>7.9</v>
      </c>
    </row>
    <row r="1497" spans="1:33" x14ac:dyDescent="0.25">
      <c r="A1497" t="s">
        <v>57</v>
      </c>
      <c r="B1497" s="3">
        <v>44958</v>
      </c>
      <c r="C1497">
        <v>2023032</v>
      </c>
      <c r="D1497" t="s">
        <v>27</v>
      </c>
      <c r="E1497" t="s">
        <v>27</v>
      </c>
      <c r="F1497">
        <v>-6.9</v>
      </c>
      <c r="G1497">
        <v>-2.1</v>
      </c>
      <c r="H1497">
        <v>-12.4</v>
      </c>
      <c r="I1497">
        <v>88.1</v>
      </c>
      <c r="J1497">
        <v>72</v>
      </c>
      <c r="K1497">
        <v>0.3</v>
      </c>
      <c r="L1497">
        <v>1.9</v>
      </c>
      <c r="M1497">
        <v>0</v>
      </c>
      <c r="N1497">
        <v>1.143</v>
      </c>
      <c r="O1497">
        <v>-0.5</v>
      </c>
      <c r="P1497" t="s">
        <v>27</v>
      </c>
      <c r="Q1497" t="s">
        <v>27</v>
      </c>
      <c r="R1497" t="s">
        <v>27</v>
      </c>
      <c r="S1497">
        <v>0.2</v>
      </c>
      <c r="T1497">
        <v>0.8</v>
      </c>
      <c r="U1497" t="s">
        <v>27</v>
      </c>
      <c r="V1497">
        <v>7.0999999999999994E-2</v>
      </c>
      <c r="W1497">
        <v>0.376</v>
      </c>
      <c r="X1497">
        <v>0.14599999999999999</v>
      </c>
      <c r="Y1497" t="s">
        <v>27</v>
      </c>
      <c r="Z1497" t="s">
        <v>27</v>
      </c>
      <c r="AA1497" t="s">
        <v>27</v>
      </c>
      <c r="AB1497" t="s">
        <v>27</v>
      </c>
      <c r="AC1497" t="s">
        <v>27</v>
      </c>
      <c r="AD1497" t="s">
        <v>27</v>
      </c>
      <c r="AE1497" t="s">
        <v>27</v>
      </c>
      <c r="AF1497" t="s">
        <v>27</v>
      </c>
      <c r="AG1497">
        <v>8.0399999999999991</v>
      </c>
    </row>
    <row r="1498" spans="1:33" x14ac:dyDescent="0.25">
      <c r="A1498" t="s">
        <v>57</v>
      </c>
      <c r="B1498" s="3">
        <v>44959</v>
      </c>
      <c r="C1498">
        <v>2023033</v>
      </c>
      <c r="D1498" t="s">
        <v>27</v>
      </c>
      <c r="E1498" t="s">
        <v>27</v>
      </c>
      <c r="F1498">
        <v>-6.7</v>
      </c>
      <c r="G1498">
        <v>-3.6</v>
      </c>
      <c r="H1498">
        <v>-8.3000000000000007</v>
      </c>
      <c r="I1498">
        <v>83.1</v>
      </c>
      <c r="J1498">
        <v>70.400000000000006</v>
      </c>
      <c r="K1498">
        <v>0.4</v>
      </c>
      <c r="L1498">
        <v>1.6</v>
      </c>
      <c r="M1498">
        <v>0</v>
      </c>
      <c r="N1498">
        <v>1.1090000000000002</v>
      </c>
      <c r="O1498">
        <v>-0.6</v>
      </c>
      <c r="P1498" t="s">
        <v>27</v>
      </c>
      <c r="Q1498" t="s">
        <v>27</v>
      </c>
      <c r="R1498" t="s">
        <v>27</v>
      </c>
      <c r="S1498">
        <v>0.1</v>
      </c>
      <c r="T1498">
        <v>0.8</v>
      </c>
      <c r="U1498" t="s">
        <v>27</v>
      </c>
      <c r="V1498">
        <v>7.0999999999999994E-2</v>
      </c>
      <c r="W1498">
        <v>0.33100000000000002</v>
      </c>
      <c r="X1498">
        <v>0.13900000000000001</v>
      </c>
      <c r="Y1498" t="s">
        <v>27</v>
      </c>
      <c r="Z1498" t="s">
        <v>27</v>
      </c>
      <c r="AA1498" t="s">
        <v>27</v>
      </c>
      <c r="AB1498" t="s">
        <v>27</v>
      </c>
      <c r="AC1498" t="s">
        <v>27</v>
      </c>
      <c r="AD1498" t="s">
        <v>27</v>
      </c>
      <c r="AE1498" t="s">
        <v>27</v>
      </c>
      <c r="AF1498" t="s">
        <v>27</v>
      </c>
      <c r="AG1498">
        <v>8.1999999999999993</v>
      </c>
    </row>
    <row r="1499" spans="1:33" x14ac:dyDescent="0.25">
      <c r="A1499" t="s">
        <v>57</v>
      </c>
      <c r="B1499" s="3">
        <v>44960</v>
      </c>
      <c r="C1499">
        <v>2023034</v>
      </c>
      <c r="D1499" t="s">
        <v>27</v>
      </c>
      <c r="E1499" t="s">
        <v>27</v>
      </c>
      <c r="F1499">
        <v>-4.8</v>
      </c>
      <c r="G1499">
        <v>-0.5</v>
      </c>
      <c r="H1499">
        <v>-8.5</v>
      </c>
      <c r="I1499">
        <v>83.7</v>
      </c>
      <c r="J1499">
        <v>65.400000000000006</v>
      </c>
      <c r="K1499">
        <v>0.8</v>
      </c>
      <c r="L1499">
        <v>2.5</v>
      </c>
      <c r="M1499">
        <v>0</v>
      </c>
      <c r="N1499">
        <v>1.1010000000000002</v>
      </c>
      <c r="O1499">
        <v>-0.6</v>
      </c>
      <c r="P1499" t="s">
        <v>27</v>
      </c>
      <c r="Q1499" t="s">
        <v>27</v>
      </c>
      <c r="R1499" t="s">
        <v>27</v>
      </c>
      <c r="S1499">
        <v>0.2</v>
      </c>
      <c r="T1499">
        <v>0.8</v>
      </c>
      <c r="U1499" t="s">
        <v>27</v>
      </c>
      <c r="V1499">
        <v>7.0999999999999994E-2</v>
      </c>
      <c r="W1499">
        <v>0.38600000000000001</v>
      </c>
      <c r="X1499">
        <v>0.20399999999999999</v>
      </c>
      <c r="Y1499" t="s">
        <v>27</v>
      </c>
      <c r="Z1499" t="s">
        <v>27</v>
      </c>
      <c r="AA1499" t="s">
        <v>27</v>
      </c>
      <c r="AB1499" t="s">
        <v>27</v>
      </c>
      <c r="AC1499" t="s">
        <v>27</v>
      </c>
      <c r="AD1499" t="s">
        <v>27</v>
      </c>
      <c r="AE1499" t="s">
        <v>27</v>
      </c>
      <c r="AF1499" t="s">
        <v>27</v>
      </c>
      <c r="AG1499">
        <v>8.35</v>
      </c>
    </row>
    <row r="1500" spans="1:33" x14ac:dyDescent="0.25">
      <c r="A1500" t="s">
        <v>57</v>
      </c>
      <c r="B1500" s="3">
        <v>44961</v>
      </c>
      <c r="C1500">
        <v>2023035</v>
      </c>
      <c r="D1500" t="s">
        <v>27</v>
      </c>
      <c r="E1500" t="s">
        <v>27</v>
      </c>
      <c r="F1500">
        <v>-3.5</v>
      </c>
      <c r="G1500">
        <v>-0.8</v>
      </c>
      <c r="H1500">
        <v>-7.8</v>
      </c>
      <c r="I1500">
        <v>89.5</v>
      </c>
      <c r="J1500">
        <v>80.599999999999994</v>
      </c>
      <c r="K1500">
        <v>0.6</v>
      </c>
      <c r="L1500">
        <v>2.1</v>
      </c>
      <c r="M1500">
        <v>0</v>
      </c>
      <c r="N1500">
        <v>1.0970000000000002</v>
      </c>
      <c r="O1500">
        <v>-0.6</v>
      </c>
      <c r="P1500" t="s">
        <v>27</v>
      </c>
      <c r="Q1500" t="s">
        <v>27</v>
      </c>
      <c r="R1500" t="s">
        <v>27</v>
      </c>
      <c r="S1500">
        <v>0.2</v>
      </c>
      <c r="T1500">
        <v>0.8</v>
      </c>
      <c r="U1500" t="s">
        <v>27</v>
      </c>
      <c r="V1500">
        <v>7.0999999999999994E-2</v>
      </c>
      <c r="W1500">
        <v>0.46400000000000002</v>
      </c>
      <c r="X1500">
        <v>0.112</v>
      </c>
      <c r="Y1500" t="s">
        <v>27</v>
      </c>
      <c r="Z1500" t="s">
        <v>27</v>
      </c>
      <c r="AA1500" t="s">
        <v>27</v>
      </c>
      <c r="AB1500" t="s">
        <v>27</v>
      </c>
      <c r="AC1500" t="s">
        <v>27</v>
      </c>
      <c r="AD1500" t="s">
        <v>27</v>
      </c>
      <c r="AE1500" t="s">
        <v>27</v>
      </c>
      <c r="AF1500" t="s">
        <v>27</v>
      </c>
      <c r="AG1500">
        <v>8.52</v>
      </c>
    </row>
    <row r="1501" spans="1:33" x14ac:dyDescent="0.25">
      <c r="A1501" t="s">
        <v>57</v>
      </c>
      <c r="B1501" s="3">
        <v>44962</v>
      </c>
      <c r="C1501">
        <v>2023036</v>
      </c>
      <c r="D1501" t="s">
        <v>27</v>
      </c>
      <c r="E1501" t="s">
        <v>27</v>
      </c>
      <c r="F1501">
        <v>-1.4</v>
      </c>
      <c r="G1501">
        <v>-0.1</v>
      </c>
      <c r="H1501">
        <v>-2.8</v>
      </c>
      <c r="I1501">
        <v>88.1</v>
      </c>
      <c r="J1501">
        <v>79.7</v>
      </c>
      <c r="K1501">
        <v>1.2</v>
      </c>
      <c r="L1501">
        <v>3.1</v>
      </c>
      <c r="M1501">
        <v>0</v>
      </c>
      <c r="N1501">
        <v>1.1030000000000002</v>
      </c>
      <c r="O1501">
        <v>-0.5</v>
      </c>
      <c r="P1501" t="s">
        <v>27</v>
      </c>
      <c r="Q1501" t="s">
        <v>27</v>
      </c>
      <c r="R1501" t="s">
        <v>27</v>
      </c>
      <c r="S1501">
        <v>0.2</v>
      </c>
      <c r="T1501">
        <v>0.8</v>
      </c>
      <c r="U1501" t="s">
        <v>27</v>
      </c>
      <c r="V1501">
        <v>7.0000000000000007E-2</v>
      </c>
      <c r="W1501">
        <v>0.48499999999999999</v>
      </c>
      <c r="X1501">
        <v>0.124</v>
      </c>
      <c r="Y1501" t="s">
        <v>27</v>
      </c>
      <c r="Z1501" t="s">
        <v>27</v>
      </c>
      <c r="AA1501" t="s">
        <v>27</v>
      </c>
      <c r="AB1501" t="s">
        <v>27</v>
      </c>
      <c r="AC1501" t="s">
        <v>27</v>
      </c>
      <c r="AD1501" t="s">
        <v>27</v>
      </c>
      <c r="AE1501" t="s">
        <v>27</v>
      </c>
      <c r="AF1501" t="s">
        <v>27</v>
      </c>
      <c r="AG1501">
        <v>8.68</v>
      </c>
    </row>
    <row r="1502" spans="1:33" x14ac:dyDescent="0.25">
      <c r="A1502" t="s">
        <v>57</v>
      </c>
      <c r="B1502" s="3">
        <v>44963</v>
      </c>
      <c r="C1502">
        <v>2023037</v>
      </c>
      <c r="D1502" t="s">
        <v>27</v>
      </c>
      <c r="E1502" t="s">
        <v>27</v>
      </c>
      <c r="F1502">
        <v>-1.4</v>
      </c>
      <c r="G1502">
        <v>1.8</v>
      </c>
      <c r="H1502">
        <v>-5.3</v>
      </c>
      <c r="I1502">
        <v>78</v>
      </c>
      <c r="J1502">
        <v>65.900000000000006</v>
      </c>
      <c r="K1502">
        <v>1.4</v>
      </c>
      <c r="L1502">
        <v>3.9</v>
      </c>
      <c r="M1502">
        <v>0</v>
      </c>
      <c r="N1502">
        <v>1.0870000000000002</v>
      </c>
      <c r="O1502">
        <v>-0.5</v>
      </c>
      <c r="P1502" t="s">
        <v>27</v>
      </c>
      <c r="Q1502" t="s">
        <v>27</v>
      </c>
      <c r="R1502" t="s">
        <v>27</v>
      </c>
      <c r="S1502">
        <v>0.2</v>
      </c>
      <c r="T1502">
        <v>0.8</v>
      </c>
      <c r="U1502" t="s">
        <v>27</v>
      </c>
      <c r="V1502">
        <v>7.0000000000000007E-2</v>
      </c>
      <c r="W1502">
        <v>0.45900000000000002</v>
      </c>
      <c r="X1502">
        <v>0.23799999999999999</v>
      </c>
      <c r="Y1502" t="s">
        <v>27</v>
      </c>
      <c r="Z1502" t="s">
        <v>27</v>
      </c>
      <c r="AA1502" t="s">
        <v>27</v>
      </c>
      <c r="AB1502" t="s">
        <v>27</v>
      </c>
      <c r="AC1502" t="s">
        <v>27</v>
      </c>
      <c r="AD1502" t="s">
        <v>27</v>
      </c>
      <c r="AE1502" t="s">
        <v>27</v>
      </c>
      <c r="AF1502" t="s">
        <v>27</v>
      </c>
      <c r="AG1502">
        <v>8.85</v>
      </c>
    </row>
    <row r="1503" spans="1:33" x14ac:dyDescent="0.25">
      <c r="A1503" t="s">
        <v>57</v>
      </c>
      <c r="B1503" s="3">
        <v>44964</v>
      </c>
      <c r="C1503">
        <v>2023038</v>
      </c>
      <c r="D1503" t="s">
        <v>27</v>
      </c>
      <c r="E1503" t="s">
        <v>27</v>
      </c>
      <c r="F1503">
        <v>-2.6</v>
      </c>
      <c r="G1503">
        <v>-0.6</v>
      </c>
      <c r="H1503">
        <v>-5</v>
      </c>
      <c r="I1503">
        <v>86.3</v>
      </c>
      <c r="J1503">
        <v>72.7</v>
      </c>
      <c r="K1503">
        <v>1.2</v>
      </c>
      <c r="L1503">
        <v>3.4</v>
      </c>
      <c r="M1503">
        <v>0</v>
      </c>
      <c r="N1503">
        <v>1.1460000000000001</v>
      </c>
      <c r="O1503">
        <v>-0.5</v>
      </c>
      <c r="P1503" t="s">
        <v>27</v>
      </c>
      <c r="Q1503" t="s">
        <v>27</v>
      </c>
      <c r="R1503" t="s">
        <v>27</v>
      </c>
      <c r="S1503">
        <v>0.1</v>
      </c>
      <c r="T1503">
        <v>0.8</v>
      </c>
      <c r="U1503" t="s">
        <v>27</v>
      </c>
      <c r="V1503">
        <v>7.0000000000000007E-2</v>
      </c>
      <c r="W1503">
        <v>0.42399999999999999</v>
      </c>
      <c r="X1503">
        <v>0.159</v>
      </c>
      <c r="Y1503" t="s">
        <v>27</v>
      </c>
      <c r="Z1503" t="s">
        <v>27</v>
      </c>
      <c r="AA1503" t="s">
        <v>27</v>
      </c>
      <c r="AB1503" t="s">
        <v>27</v>
      </c>
      <c r="AC1503" t="s">
        <v>27</v>
      </c>
      <c r="AD1503" t="s">
        <v>27</v>
      </c>
      <c r="AE1503" t="s">
        <v>27</v>
      </c>
      <c r="AF1503" t="s">
        <v>27</v>
      </c>
      <c r="AG1503">
        <v>9.02</v>
      </c>
    </row>
    <row r="1504" spans="1:33" x14ac:dyDescent="0.25">
      <c r="A1504" t="s">
        <v>57</v>
      </c>
      <c r="B1504" s="3">
        <v>44965</v>
      </c>
      <c r="C1504">
        <v>2023039</v>
      </c>
      <c r="D1504" t="s">
        <v>27</v>
      </c>
      <c r="E1504" t="s">
        <v>27</v>
      </c>
      <c r="F1504">
        <v>-6.3</v>
      </c>
      <c r="G1504">
        <v>-0.4</v>
      </c>
      <c r="H1504">
        <v>-13.1</v>
      </c>
      <c r="I1504">
        <v>76.3</v>
      </c>
      <c r="J1504">
        <v>49.4</v>
      </c>
      <c r="K1504">
        <v>1.1000000000000001</v>
      </c>
      <c r="L1504">
        <v>3.4</v>
      </c>
      <c r="M1504">
        <v>3</v>
      </c>
      <c r="N1504">
        <v>1.0980000000000001</v>
      </c>
      <c r="O1504">
        <v>-0.4</v>
      </c>
      <c r="P1504" t="s">
        <v>27</v>
      </c>
      <c r="Q1504" t="s">
        <v>27</v>
      </c>
      <c r="R1504" t="s">
        <v>27</v>
      </c>
      <c r="S1504">
        <v>0.1</v>
      </c>
      <c r="T1504">
        <v>0.7</v>
      </c>
      <c r="U1504" t="s">
        <v>27</v>
      </c>
      <c r="V1504">
        <v>7.0000000000000007E-2</v>
      </c>
      <c r="W1504">
        <v>0.29199999999999998</v>
      </c>
      <c r="X1504">
        <v>0.29899999999999999</v>
      </c>
      <c r="Y1504" t="s">
        <v>27</v>
      </c>
      <c r="Z1504" t="s">
        <v>27</v>
      </c>
      <c r="AA1504" t="s">
        <v>27</v>
      </c>
      <c r="AB1504" t="s">
        <v>27</v>
      </c>
      <c r="AC1504" t="s">
        <v>27</v>
      </c>
      <c r="AD1504" t="s">
        <v>27</v>
      </c>
      <c r="AE1504" t="s">
        <v>27</v>
      </c>
      <c r="AF1504" t="s">
        <v>27</v>
      </c>
      <c r="AG1504">
        <v>9.19</v>
      </c>
    </row>
    <row r="1505" spans="1:33" x14ac:dyDescent="0.25">
      <c r="A1505" t="s">
        <v>57</v>
      </c>
      <c r="B1505" s="3">
        <v>44966</v>
      </c>
      <c r="C1505">
        <v>2023040</v>
      </c>
      <c r="D1505" t="s">
        <v>27</v>
      </c>
      <c r="E1505" t="s">
        <v>27</v>
      </c>
      <c r="F1505">
        <v>-5.8</v>
      </c>
      <c r="G1505">
        <v>-3.5</v>
      </c>
      <c r="H1505">
        <v>-8.1999999999999993</v>
      </c>
      <c r="I1505">
        <v>87.3</v>
      </c>
      <c r="J1505">
        <v>75</v>
      </c>
      <c r="K1505">
        <v>0.9</v>
      </c>
      <c r="L1505">
        <v>1.8</v>
      </c>
      <c r="M1505">
        <v>3</v>
      </c>
      <c r="N1505">
        <v>1.1320000000000001</v>
      </c>
      <c r="O1505">
        <v>-0.4</v>
      </c>
      <c r="P1505" t="s">
        <v>27</v>
      </c>
      <c r="Q1505" t="s">
        <v>27</v>
      </c>
      <c r="R1505" t="s">
        <v>27</v>
      </c>
      <c r="S1505">
        <v>0.1</v>
      </c>
      <c r="T1505">
        <v>0.7</v>
      </c>
      <c r="U1505" t="s">
        <v>27</v>
      </c>
      <c r="V1505">
        <v>7.0000000000000007E-2</v>
      </c>
      <c r="W1505">
        <v>0.35299999999999998</v>
      </c>
      <c r="X1505">
        <v>0.11799999999999999</v>
      </c>
      <c r="Y1505" t="s">
        <v>27</v>
      </c>
      <c r="Z1505" t="s">
        <v>27</v>
      </c>
      <c r="AA1505" t="s">
        <v>27</v>
      </c>
      <c r="AB1505" t="s">
        <v>27</v>
      </c>
      <c r="AC1505" t="s">
        <v>27</v>
      </c>
      <c r="AD1505" t="s">
        <v>27</v>
      </c>
      <c r="AE1505" t="s">
        <v>27</v>
      </c>
      <c r="AF1505" t="s">
        <v>27</v>
      </c>
      <c r="AG1505">
        <v>9.3699999999999992</v>
      </c>
    </row>
    <row r="1506" spans="1:33" x14ac:dyDescent="0.25">
      <c r="A1506" t="s">
        <v>57</v>
      </c>
      <c r="B1506" s="3">
        <v>44967</v>
      </c>
      <c r="C1506">
        <v>2023041</v>
      </c>
      <c r="D1506" t="s">
        <v>27</v>
      </c>
      <c r="E1506" t="s">
        <v>27</v>
      </c>
      <c r="F1506">
        <v>-4.7</v>
      </c>
      <c r="G1506">
        <v>2.8</v>
      </c>
      <c r="H1506">
        <v>-12.5</v>
      </c>
      <c r="I1506">
        <v>76.7</v>
      </c>
      <c r="J1506">
        <v>43.3</v>
      </c>
      <c r="K1506">
        <v>0.8</v>
      </c>
      <c r="L1506">
        <v>3</v>
      </c>
      <c r="M1506">
        <v>3</v>
      </c>
      <c r="N1506">
        <v>1.1220000000000001</v>
      </c>
      <c r="O1506">
        <v>-0.4</v>
      </c>
      <c r="P1506" t="s">
        <v>27</v>
      </c>
      <c r="Q1506" t="s">
        <v>27</v>
      </c>
      <c r="R1506" t="s">
        <v>27</v>
      </c>
      <c r="S1506">
        <v>0.1</v>
      </c>
      <c r="T1506">
        <v>0.7</v>
      </c>
      <c r="U1506" t="s">
        <v>27</v>
      </c>
      <c r="V1506">
        <v>7.0999999999999994E-2</v>
      </c>
      <c r="W1506">
        <v>0.32300000000000001</v>
      </c>
      <c r="X1506">
        <v>0.42299999999999999</v>
      </c>
      <c r="Y1506" t="s">
        <v>27</v>
      </c>
      <c r="Z1506" t="s">
        <v>27</v>
      </c>
      <c r="AA1506" t="s">
        <v>27</v>
      </c>
      <c r="AB1506" t="s">
        <v>27</v>
      </c>
      <c r="AC1506" t="s">
        <v>27</v>
      </c>
      <c r="AD1506" t="s">
        <v>27</v>
      </c>
      <c r="AE1506" t="s">
        <v>27</v>
      </c>
      <c r="AF1506" t="s">
        <v>27</v>
      </c>
      <c r="AG1506">
        <v>9.5500000000000007</v>
      </c>
    </row>
    <row r="1507" spans="1:33" x14ac:dyDescent="0.25">
      <c r="A1507" t="s">
        <v>57</v>
      </c>
      <c r="B1507" s="3">
        <v>44968</v>
      </c>
      <c r="C1507">
        <v>2023042</v>
      </c>
      <c r="D1507" t="s">
        <v>27</v>
      </c>
      <c r="E1507" t="s">
        <v>27</v>
      </c>
      <c r="F1507">
        <v>-6.9</v>
      </c>
      <c r="G1507">
        <v>2.5</v>
      </c>
      <c r="H1507">
        <v>-14.8</v>
      </c>
      <c r="I1507">
        <v>78.7</v>
      </c>
      <c r="J1507">
        <v>47.9</v>
      </c>
      <c r="K1507">
        <v>0.4</v>
      </c>
      <c r="L1507">
        <v>3</v>
      </c>
      <c r="M1507">
        <v>2</v>
      </c>
      <c r="N1507">
        <v>1.1090000000000002</v>
      </c>
      <c r="O1507">
        <v>-0.4</v>
      </c>
      <c r="P1507" t="s">
        <v>27</v>
      </c>
      <c r="Q1507" t="s">
        <v>27</v>
      </c>
      <c r="R1507" t="s">
        <v>27</v>
      </c>
      <c r="S1507">
        <v>0.1</v>
      </c>
      <c r="T1507">
        <v>0.7</v>
      </c>
      <c r="U1507" t="s">
        <v>27</v>
      </c>
      <c r="V1507">
        <v>7.0999999999999994E-2</v>
      </c>
      <c r="W1507">
        <v>0.34899999999999998</v>
      </c>
      <c r="X1507">
        <v>0.38</v>
      </c>
      <c r="Y1507" t="s">
        <v>27</v>
      </c>
      <c r="Z1507" t="s">
        <v>27</v>
      </c>
      <c r="AA1507" t="s">
        <v>27</v>
      </c>
      <c r="AB1507" t="s">
        <v>27</v>
      </c>
      <c r="AC1507" t="s">
        <v>27</v>
      </c>
      <c r="AD1507" t="s">
        <v>27</v>
      </c>
      <c r="AE1507" t="s">
        <v>27</v>
      </c>
      <c r="AF1507" t="s">
        <v>27</v>
      </c>
      <c r="AG1507">
        <v>9.74</v>
      </c>
    </row>
    <row r="1508" spans="1:33" x14ac:dyDescent="0.25">
      <c r="A1508" t="s">
        <v>57</v>
      </c>
      <c r="B1508" s="3">
        <v>44969</v>
      </c>
      <c r="C1508">
        <v>2023043</v>
      </c>
      <c r="D1508" t="s">
        <v>27</v>
      </c>
      <c r="E1508" t="s">
        <v>27</v>
      </c>
      <c r="F1508">
        <v>-3.2</v>
      </c>
      <c r="G1508">
        <v>3</v>
      </c>
      <c r="H1508">
        <v>-10.9</v>
      </c>
      <c r="I1508">
        <v>87.3</v>
      </c>
      <c r="J1508">
        <v>68.2</v>
      </c>
      <c r="K1508">
        <v>0.6</v>
      </c>
      <c r="L1508">
        <v>1.9</v>
      </c>
      <c r="M1508">
        <v>3</v>
      </c>
      <c r="N1508">
        <v>1.1090000000000002</v>
      </c>
      <c r="O1508">
        <v>-0.4</v>
      </c>
      <c r="P1508" t="s">
        <v>27</v>
      </c>
      <c r="Q1508" t="s">
        <v>27</v>
      </c>
      <c r="R1508" t="s">
        <v>27</v>
      </c>
      <c r="S1508">
        <v>0.2</v>
      </c>
      <c r="T1508">
        <v>0.8</v>
      </c>
      <c r="U1508" t="s">
        <v>27</v>
      </c>
      <c r="V1508">
        <v>7.0999999999999994E-2</v>
      </c>
      <c r="W1508">
        <v>0.51700000000000002</v>
      </c>
      <c r="X1508">
        <v>0.24099999999999999</v>
      </c>
      <c r="Y1508" t="s">
        <v>27</v>
      </c>
      <c r="Z1508" t="s">
        <v>27</v>
      </c>
      <c r="AA1508" t="s">
        <v>27</v>
      </c>
      <c r="AB1508" t="s">
        <v>27</v>
      </c>
      <c r="AC1508" t="s">
        <v>27</v>
      </c>
      <c r="AD1508" t="s">
        <v>27</v>
      </c>
      <c r="AE1508" t="s">
        <v>27</v>
      </c>
      <c r="AF1508" t="s">
        <v>27</v>
      </c>
      <c r="AG1508">
        <v>9.92</v>
      </c>
    </row>
    <row r="1509" spans="1:33" x14ac:dyDescent="0.25">
      <c r="A1509" t="s">
        <v>57</v>
      </c>
      <c r="B1509" s="3">
        <v>44970</v>
      </c>
      <c r="C1509">
        <v>2023044</v>
      </c>
      <c r="D1509" t="s">
        <v>27</v>
      </c>
      <c r="E1509" t="s">
        <v>27</v>
      </c>
      <c r="F1509">
        <v>-4.4000000000000004</v>
      </c>
      <c r="G1509">
        <v>-1.8</v>
      </c>
      <c r="H1509">
        <v>-7.2</v>
      </c>
      <c r="I1509">
        <v>81.5</v>
      </c>
      <c r="J1509">
        <v>60.7</v>
      </c>
      <c r="K1509">
        <v>1.4</v>
      </c>
      <c r="L1509">
        <v>4.7</v>
      </c>
      <c r="M1509">
        <v>0</v>
      </c>
      <c r="N1509">
        <v>1.1760000000000002</v>
      </c>
      <c r="O1509">
        <v>-0.5</v>
      </c>
      <c r="P1509" t="s">
        <v>27</v>
      </c>
      <c r="Q1509" t="s">
        <v>27</v>
      </c>
      <c r="R1509" t="s">
        <v>27</v>
      </c>
      <c r="S1509">
        <v>0.1</v>
      </c>
      <c r="T1509">
        <v>0.7</v>
      </c>
      <c r="U1509" t="s">
        <v>27</v>
      </c>
      <c r="V1509">
        <v>7.0999999999999994E-2</v>
      </c>
      <c r="W1509">
        <v>0.32500000000000001</v>
      </c>
      <c r="X1509">
        <v>0.21</v>
      </c>
      <c r="Y1509" t="s">
        <v>27</v>
      </c>
      <c r="Z1509" t="s">
        <v>27</v>
      </c>
      <c r="AA1509" t="s">
        <v>27</v>
      </c>
      <c r="AB1509" t="s">
        <v>27</v>
      </c>
      <c r="AC1509" t="s">
        <v>27</v>
      </c>
      <c r="AD1509" t="s">
        <v>27</v>
      </c>
      <c r="AE1509" t="s">
        <v>27</v>
      </c>
      <c r="AF1509" t="s">
        <v>27</v>
      </c>
      <c r="AG1509">
        <v>10.119999999999999</v>
      </c>
    </row>
    <row r="1510" spans="1:33" x14ac:dyDescent="0.25">
      <c r="A1510" t="s">
        <v>57</v>
      </c>
      <c r="B1510" s="3">
        <v>44971</v>
      </c>
      <c r="C1510">
        <v>2023045</v>
      </c>
      <c r="D1510" t="s">
        <v>27</v>
      </c>
      <c r="E1510" t="s">
        <v>27</v>
      </c>
      <c r="F1510">
        <v>-7.6</v>
      </c>
      <c r="G1510">
        <v>-5.3</v>
      </c>
      <c r="H1510">
        <v>-15.6</v>
      </c>
      <c r="I1510">
        <v>85.5</v>
      </c>
      <c r="J1510">
        <v>72.7</v>
      </c>
      <c r="K1510">
        <v>0.7</v>
      </c>
      <c r="L1510">
        <v>2.4</v>
      </c>
      <c r="M1510">
        <v>2</v>
      </c>
      <c r="N1510">
        <v>1.127</v>
      </c>
      <c r="O1510">
        <v>-0.5</v>
      </c>
      <c r="P1510" t="s">
        <v>27</v>
      </c>
      <c r="Q1510" t="s">
        <v>27</v>
      </c>
      <c r="R1510" t="s">
        <v>27</v>
      </c>
      <c r="S1510">
        <v>0.1</v>
      </c>
      <c r="T1510">
        <v>0.7</v>
      </c>
      <c r="U1510" t="s">
        <v>27</v>
      </c>
      <c r="V1510">
        <v>7.0999999999999994E-2</v>
      </c>
      <c r="W1510">
        <v>0.29899999999999999</v>
      </c>
      <c r="X1510">
        <v>0.112</v>
      </c>
      <c r="Y1510" t="s">
        <v>27</v>
      </c>
      <c r="Z1510" t="s">
        <v>27</v>
      </c>
      <c r="AA1510" t="s">
        <v>27</v>
      </c>
      <c r="AB1510" t="s">
        <v>27</v>
      </c>
      <c r="AC1510" t="s">
        <v>27</v>
      </c>
      <c r="AD1510" t="s">
        <v>27</v>
      </c>
      <c r="AE1510" t="s">
        <v>27</v>
      </c>
      <c r="AF1510" t="s">
        <v>27</v>
      </c>
      <c r="AG1510">
        <v>10.31</v>
      </c>
    </row>
    <row r="1511" spans="1:33" x14ac:dyDescent="0.25">
      <c r="A1511" t="s">
        <v>57</v>
      </c>
      <c r="B1511" s="3">
        <v>44972</v>
      </c>
      <c r="C1511">
        <v>2023046</v>
      </c>
      <c r="D1511" t="s">
        <v>27</v>
      </c>
      <c r="E1511" t="s">
        <v>27</v>
      </c>
      <c r="F1511">
        <v>-11.2</v>
      </c>
      <c r="G1511">
        <v>-1.2</v>
      </c>
      <c r="H1511">
        <v>-18.8</v>
      </c>
      <c r="I1511">
        <v>76</v>
      </c>
      <c r="J1511">
        <v>48.3</v>
      </c>
      <c r="K1511">
        <v>0.2</v>
      </c>
      <c r="L1511">
        <v>2.6</v>
      </c>
      <c r="M1511">
        <v>2</v>
      </c>
      <c r="N1511">
        <v>1.1140000000000001</v>
      </c>
      <c r="O1511">
        <v>-0.5</v>
      </c>
      <c r="P1511" t="s">
        <v>27</v>
      </c>
      <c r="Q1511" t="s">
        <v>27</v>
      </c>
      <c r="R1511" t="s">
        <v>27</v>
      </c>
      <c r="S1511">
        <v>0.1</v>
      </c>
      <c r="T1511">
        <v>0.7</v>
      </c>
      <c r="U1511" t="s">
        <v>27</v>
      </c>
      <c r="V1511">
        <v>7.0999999999999994E-2</v>
      </c>
      <c r="W1511">
        <v>0.27100000000000002</v>
      </c>
      <c r="X1511">
        <v>0.28999999999999998</v>
      </c>
      <c r="Y1511" t="s">
        <v>27</v>
      </c>
      <c r="Z1511" t="s">
        <v>27</v>
      </c>
      <c r="AA1511" t="s">
        <v>27</v>
      </c>
      <c r="AB1511" t="s">
        <v>27</v>
      </c>
      <c r="AC1511" t="s">
        <v>27</v>
      </c>
      <c r="AD1511" t="s">
        <v>27</v>
      </c>
      <c r="AE1511" t="s">
        <v>27</v>
      </c>
      <c r="AF1511" t="s">
        <v>27</v>
      </c>
      <c r="AG1511">
        <v>10.51</v>
      </c>
    </row>
    <row r="1512" spans="1:33" x14ac:dyDescent="0.25">
      <c r="A1512" t="s">
        <v>57</v>
      </c>
      <c r="B1512" s="3">
        <v>44973</v>
      </c>
      <c r="C1512">
        <v>2023047</v>
      </c>
      <c r="D1512" t="s">
        <v>27</v>
      </c>
      <c r="E1512" t="s">
        <v>27</v>
      </c>
      <c r="F1512">
        <v>-6.1</v>
      </c>
      <c r="G1512">
        <v>-0.8</v>
      </c>
      <c r="H1512">
        <v>-12.4</v>
      </c>
      <c r="I1512">
        <v>78.8</v>
      </c>
      <c r="J1512">
        <v>57.7</v>
      </c>
      <c r="K1512">
        <v>0.4</v>
      </c>
      <c r="L1512">
        <v>1.8</v>
      </c>
      <c r="M1512">
        <v>0</v>
      </c>
      <c r="N1512">
        <v>1.117</v>
      </c>
      <c r="O1512">
        <v>-0.4</v>
      </c>
      <c r="P1512" t="s">
        <v>27</v>
      </c>
      <c r="Q1512" t="s">
        <v>27</v>
      </c>
      <c r="R1512" t="s">
        <v>27</v>
      </c>
      <c r="S1512">
        <v>0.1</v>
      </c>
      <c r="T1512">
        <v>0.7</v>
      </c>
      <c r="U1512" t="s">
        <v>27</v>
      </c>
      <c r="V1512">
        <v>7.0999999999999994E-2</v>
      </c>
      <c r="W1512">
        <v>0.33200000000000002</v>
      </c>
      <c r="X1512">
        <v>0.24299999999999999</v>
      </c>
      <c r="Y1512" t="s">
        <v>27</v>
      </c>
      <c r="Z1512" t="s">
        <v>27</v>
      </c>
      <c r="AA1512" t="s">
        <v>27</v>
      </c>
      <c r="AB1512" t="s">
        <v>27</v>
      </c>
      <c r="AC1512" t="s">
        <v>27</v>
      </c>
      <c r="AD1512" t="s">
        <v>27</v>
      </c>
      <c r="AE1512" t="s">
        <v>27</v>
      </c>
      <c r="AF1512" t="s">
        <v>27</v>
      </c>
      <c r="AG1512">
        <v>10.71</v>
      </c>
    </row>
    <row r="1513" spans="1:33" x14ac:dyDescent="0.25">
      <c r="A1513" t="s">
        <v>57</v>
      </c>
      <c r="B1513" s="3">
        <v>44974</v>
      </c>
      <c r="C1513">
        <v>2023048</v>
      </c>
      <c r="D1513" t="s">
        <v>27</v>
      </c>
      <c r="E1513" t="s">
        <v>27</v>
      </c>
      <c r="F1513">
        <v>-4.8</v>
      </c>
      <c r="G1513">
        <v>-1</v>
      </c>
      <c r="H1513">
        <v>-6.8</v>
      </c>
      <c r="I1513">
        <v>82.8</v>
      </c>
      <c r="J1513">
        <v>61.6</v>
      </c>
      <c r="K1513">
        <v>0.9</v>
      </c>
      <c r="L1513">
        <v>3.4</v>
      </c>
      <c r="M1513">
        <v>2</v>
      </c>
      <c r="N1513">
        <v>1.159</v>
      </c>
      <c r="O1513">
        <v>-0.5</v>
      </c>
      <c r="P1513" t="s">
        <v>27</v>
      </c>
      <c r="Q1513" t="s">
        <v>27</v>
      </c>
      <c r="R1513" t="s">
        <v>27</v>
      </c>
      <c r="S1513">
        <v>0.1</v>
      </c>
      <c r="T1513">
        <v>0.7</v>
      </c>
      <c r="U1513" t="s">
        <v>27</v>
      </c>
      <c r="V1513">
        <v>7.0999999999999994E-2</v>
      </c>
      <c r="W1513">
        <v>0.35</v>
      </c>
      <c r="X1513">
        <v>0.218</v>
      </c>
      <c r="Y1513" t="s">
        <v>27</v>
      </c>
      <c r="Z1513" t="s">
        <v>27</v>
      </c>
      <c r="AA1513" t="s">
        <v>27</v>
      </c>
      <c r="AB1513" t="s">
        <v>27</v>
      </c>
      <c r="AC1513" t="s">
        <v>27</v>
      </c>
      <c r="AD1513" t="s">
        <v>27</v>
      </c>
      <c r="AE1513" t="s">
        <v>27</v>
      </c>
      <c r="AF1513" t="s">
        <v>27</v>
      </c>
      <c r="AG1513">
        <v>10.91</v>
      </c>
    </row>
    <row r="1514" spans="1:33" x14ac:dyDescent="0.25">
      <c r="A1514" t="s">
        <v>57</v>
      </c>
      <c r="B1514" s="3">
        <v>44975</v>
      </c>
      <c r="C1514">
        <v>2023049</v>
      </c>
      <c r="D1514" t="s">
        <v>27</v>
      </c>
      <c r="E1514" t="s">
        <v>27</v>
      </c>
      <c r="F1514">
        <v>-4.5999999999999996</v>
      </c>
      <c r="G1514">
        <v>1.7</v>
      </c>
      <c r="H1514">
        <v>-11</v>
      </c>
      <c r="I1514">
        <v>76.8</v>
      </c>
      <c r="J1514">
        <v>51.6</v>
      </c>
      <c r="K1514">
        <v>1.2</v>
      </c>
      <c r="L1514">
        <v>3.8</v>
      </c>
      <c r="M1514">
        <v>0</v>
      </c>
      <c r="N1514">
        <v>1.1500000000000001</v>
      </c>
      <c r="O1514">
        <v>-0.5</v>
      </c>
      <c r="P1514" t="s">
        <v>27</v>
      </c>
      <c r="Q1514" t="s">
        <v>27</v>
      </c>
      <c r="R1514" t="s">
        <v>27</v>
      </c>
      <c r="S1514">
        <v>0.1</v>
      </c>
      <c r="T1514">
        <v>0.7</v>
      </c>
      <c r="U1514" t="s">
        <v>27</v>
      </c>
      <c r="V1514">
        <v>7.0999999999999994E-2</v>
      </c>
      <c r="W1514">
        <v>0.35499999999999998</v>
      </c>
      <c r="X1514">
        <v>0.33300000000000002</v>
      </c>
      <c r="Y1514" t="s">
        <v>27</v>
      </c>
      <c r="Z1514" t="s">
        <v>27</v>
      </c>
      <c r="AA1514" t="s">
        <v>27</v>
      </c>
      <c r="AB1514" t="s">
        <v>27</v>
      </c>
      <c r="AC1514" t="s">
        <v>27</v>
      </c>
      <c r="AD1514" t="s">
        <v>27</v>
      </c>
      <c r="AE1514" t="s">
        <v>27</v>
      </c>
      <c r="AF1514" t="s">
        <v>27</v>
      </c>
      <c r="AG1514">
        <v>11.13</v>
      </c>
    </row>
    <row r="1515" spans="1:33" x14ac:dyDescent="0.25">
      <c r="A1515" t="s">
        <v>57</v>
      </c>
      <c r="B1515" s="3">
        <v>44976</v>
      </c>
      <c r="C1515">
        <v>2023050</v>
      </c>
      <c r="D1515" t="s">
        <v>27</v>
      </c>
      <c r="E1515" t="s">
        <v>27</v>
      </c>
      <c r="F1515">
        <v>-3.1</v>
      </c>
      <c r="G1515">
        <v>-0.9</v>
      </c>
      <c r="H1515">
        <v>-9.1999999999999993</v>
      </c>
      <c r="I1515">
        <v>86.8</v>
      </c>
      <c r="J1515">
        <v>81.400000000000006</v>
      </c>
      <c r="K1515">
        <v>0.9</v>
      </c>
      <c r="L1515">
        <v>4.2</v>
      </c>
      <c r="M1515">
        <v>4</v>
      </c>
      <c r="N1515">
        <v>1.2180000000000002</v>
      </c>
      <c r="O1515">
        <v>-0.5</v>
      </c>
      <c r="P1515" t="s">
        <v>27</v>
      </c>
      <c r="Q1515" t="s">
        <v>27</v>
      </c>
      <c r="R1515" t="s">
        <v>27</v>
      </c>
      <c r="S1515">
        <v>0.1</v>
      </c>
      <c r="T1515">
        <v>0.7</v>
      </c>
      <c r="U1515" t="s">
        <v>27</v>
      </c>
      <c r="V1515">
        <v>7.0999999999999994E-2</v>
      </c>
      <c r="W1515">
        <v>0.46700000000000003</v>
      </c>
      <c r="X1515">
        <v>0.107</v>
      </c>
      <c r="Y1515" t="s">
        <v>27</v>
      </c>
      <c r="Z1515" t="s">
        <v>27</v>
      </c>
      <c r="AA1515" t="s">
        <v>27</v>
      </c>
      <c r="AB1515" t="s">
        <v>27</v>
      </c>
      <c r="AC1515" t="s">
        <v>27</v>
      </c>
      <c r="AD1515" t="s">
        <v>27</v>
      </c>
      <c r="AE1515" t="s">
        <v>27</v>
      </c>
      <c r="AF1515" t="s">
        <v>27</v>
      </c>
      <c r="AG1515">
        <v>11.33</v>
      </c>
    </row>
    <row r="1516" spans="1:33" x14ac:dyDescent="0.25">
      <c r="A1516" t="s">
        <v>57</v>
      </c>
      <c r="B1516" s="3">
        <v>44977</v>
      </c>
      <c r="C1516">
        <v>2023051</v>
      </c>
      <c r="D1516" t="s">
        <v>27</v>
      </c>
      <c r="E1516" t="s">
        <v>27</v>
      </c>
      <c r="F1516">
        <v>-1.2</v>
      </c>
      <c r="G1516">
        <v>0.2</v>
      </c>
      <c r="H1516">
        <v>-2.4</v>
      </c>
      <c r="I1516">
        <v>90.3</v>
      </c>
      <c r="J1516">
        <v>77.2</v>
      </c>
      <c r="K1516">
        <v>0.8</v>
      </c>
      <c r="L1516">
        <v>4.2</v>
      </c>
      <c r="M1516">
        <v>10</v>
      </c>
      <c r="N1516">
        <v>1.2510000000000001</v>
      </c>
      <c r="O1516">
        <v>-0.4</v>
      </c>
      <c r="P1516" t="s">
        <v>27</v>
      </c>
      <c r="Q1516" t="s">
        <v>27</v>
      </c>
      <c r="R1516" t="s">
        <v>27</v>
      </c>
      <c r="S1516">
        <v>0.1</v>
      </c>
      <c r="T1516">
        <v>0.7</v>
      </c>
      <c r="U1516" t="s">
        <v>27</v>
      </c>
      <c r="V1516">
        <v>7.0999999999999994E-2</v>
      </c>
      <c r="W1516">
        <v>0.47899999999999998</v>
      </c>
      <c r="X1516">
        <v>0.14099999999999999</v>
      </c>
      <c r="Y1516" t="s">
        <v>27</v>
      </c>
      <c r="Z1516" t="s">
        <v>27</v>
      </c>
      <c r="AA1516" t="s">
        <v>27</v>
      </c>
      <c r="AB1516" t="s">
        <v>27</v>
      </c>
      <c r="AC1516" t="s">
        <v>27</v>
      </c>
      <c r="AD1516" t="s">
        <v>27</v>
      </c>
      <c r="AE1516" t="s">
        <v>27</v>
      </c>
      <c r="AF1516" t="s">
        <v>27</v>
      </c>
      <c r="AG1516">
        <v>11.55</v>
      </c>
    </row>
    <row r="1517" spans="1:33" x14ac:dyDescent="0.25">
      <c r="A1517" t="s">
        <v>57</v>
      </c>
      <c r="B1517" s="3">
        <v>44978</v>
      </c>
      <c r="C1517">
        <v>2023052</v>
      </c>
      <c r="D1517" t="s">
        <v>27</v>
      </c>
      <c r="E1517" t="s">
        <v>27</v>
      </c>
      <c r="F1517">
        <v>-7.2</v>
      </c>
      <c r="G1517">
        <v>-2.2999999999999998</v>
      </c>
      <c r="H1517">
        <v>-14.3</v>
      </c>
      <c r="I1517">
        <v>88.2</v>
      </c>
      <c r="J1517">
        <v>74.7</v>
      </c>
      <c r="K1517">
        <v>1.5</v>
      </c>
      <c r="L1517">
        <v>4.0999999999999996</v>
      </c>
      <c r="M1517">
        <v>4</v>
      </c>
      <c r="N1517">
        <v>1.4850000000000001</v>
      </c>
      <c r="O1517">
        <v>-0.4</v>
      </c>
      <c r="P1517" t="s">
        <v>27</v>
      </c>
      <c r="Q1517" t="s">
        <v>27</v>
      </c>
      <c r="R1517" t="s">
        <v>27</v>
      </c>
      <c r="S1517">
        <v>0.1</v>
      </c>
      <c r="T1517">
        <v>0.7</v>
      </c>
      <c r="U1517" t="s">
        <v>27</v>
      </c>
      <c r="V1517">
        <v>7.0999999999999994E-2</v>
      </c>
      <c r="W1517">
        <v>0.38400000000000001</v>
      </c>
      <c r="X1517">
        <v>0.13</v>
      </c>
      <c r="Y1517" t="s">
        <v>27</v>
      </c>
      <c r="Z1517" t="s">
        <v>27</v>
      </c>
      <c r="AA1517" t="s">
        <v>27</v>
      </c>
      <c r="AB1517" t="s">
        <v>27</v>
      </c>
      <c r="AC1517" t="s">
        <v>27</v>
      </c>
      <c r="AD1517" t="s">
        <v>27</v>
      </c>
      <c r="AE1517" t="s">
        <v>27</v>
      </c>
      <c r="AF1517" t="s">
        <v>27</v>
      </c>
      <c r="AG1517">
        <v>11.76</v>
      </c>
    </row>
    <row r="1518" spans="1:33" x14ac:dyDescent="0.25">
      <c r="A1518" t="s">
        <v>57</v>
      </c>
      <c r="B1518" s="3">
        <v>44979</v>
      </c>
      <c r="C1518">
        <v>2023053</v>
      </c>
      <c r="D1518" t="s">
        <v>27</v>
      </c>
      <c r="E1518" t="s">
        <v>27</v>
      </c>
      <c r="F1518">
        <v>-15.3</v>
      </c>
      <c r="G1518">
        <v>-10</v>
      </c>
      <c r="H1518">
        <v>-18.899999999999999</v>
      </c>
      <c r="I1518">
        <v>83.1</v>
      </c>
      <c r="J1518">
        <v>79.7</v>
      </c>
      <c r="K1518">
        <v>1.1000000000000001</v>
      </c>
      <c r="L1518">
        <v>2.5</v>
      </c>
      <c r="M1518">
        <v>4</v>
      </c>
      <c r="N1518">
        <v>1.4280000000000002</v>
      </c>
      <c r="O1518">
        <v>-0.4</v>
      </c>
      <c r="P1518" t="s">
        <v>27</v>
      </c>
      <c r="Q1518" t="s">
        <v>27</v>
      </c>
      <c r="R1518" t="s">
        <v>27</v>
      </c>
      <c r="S1518">
        <v>0.1</v>
      </c>
      <c r="T1518">
        <v>0.6</v>
      </c>
      <c r="U1518" t="s">
        <v>27</v>
      </c>
      <c r="V1518">
        <v>7.0999999999999994E-2</v>
      </c>
      <c r="W1518">
        <v>0.22800000000000001</v>
      </c>
      <c r="X1518">
        <v>5.8000000000000003E-2</v>
      </c>
      <c r="Y1518" t="s">
        <v>27</v>
      </c>
      <c r="Z1518" t="s">
        <v>27</v>
      </c>
      <c r="AA1518" t="s">
        <v>27</v>
      </c>
      <c r="AB1518" t="s">
        <v>27</v>
      </c>
      <c r="AC1518" t="s">
        <v>27</v>
      </c>
      <c r="AD1518" t="s">
        <v>27</v>
      </c>
      <c r="AE1518" t="s">
        <v>27</v>
      </c>
      <c r="AF1518" t="s">
        <v>27</v>
      </c>
      <c r="AG1518">
        <v>11.98</v>
      </c>
    </row>
    <row r="1519" spans="1:33" x14ac:dyDescent="0.25">
      <c r="A1519" t="s">
        <v>57</v>
      </c>
      <c r="B1519" s="3">
        <v>44980</v>
      </c>
      <c r="C1519">
        <v>2023054</v>
      </c>
      <c r="D1519" t="s">
        <v>27</v>
      </c>
      <c r="E1519" t="s">
        <v>27</v>
      </c>
      <c r="F1519">
        <v>-17.600000000000001</v>
      </c>
      <c r="G1519">
        <v>-12.9</v>
      </c>
      <c r="H1519">
        <v>-20.7</v>
      </c>
      <c r="I1519">
        <v>80.7</v>
      </c>
      <c r="J1519">
        <v>78</v>
      </c>
      <c r="K1519">
        <v>0.7</v>
      </c>
      <c r="L1519">
        <v>1.7</v>
      </c>
      <c r="M1519">
        <v>0</v>
      </c>
      <c r="N1519">
        <v>1.3860000000000001</v>
      </c>
      <c r="O1519">
        <v>-0.4</v>
      </c>
      <c r="P1519" t="s">
        <v>27</v>
      </c>
      <c r="Q1519" t="s">
        <v>27</v>
      </c>
      <c r="R1519" t="s">
        <v>27</v>
      </c>
      <c r="S1519">
        <v>0.1</v>
      </c>
      <c r="T1519">
        <v>0.6</v>
      </c>
      <c r="U1519" t="s">
        <v>27</v>
      </c>
      <c r="V1519">
        <v>7.0999999999999994E-2</v>
      </c>
      <c r="W1519">
        <v>0.17599999999999999</v>
      </c>
      <c r="X1519">
        <v>0.05</v>
      </c>
      <c r="Y1519" t="s">
        <v>27</v>
      </c>
      <c r="Z1519" t="s">
        <v>27</v>
      </c>
      <c r="AA1519" t="s">
        <v>27</v>
      </c>
      <c r="AB1519" t="s">
        <v>27</v>
      </c>
      <c r="AC1519" t="s">
        <v>27</v>
      </c>
      <c r="AD1519" t="s">
        <v>27</v>
      </c>
      <c r="AE1519" t="s">
        <v>27</v>
      </c>
      <c r="AF1519" t="s">
        <v>27</v>
      </c>
      <c r="AG1519">
        <v>12.21</v>
      </c>
    </row>
    <row r="1520" spans="1:33" x14ac:dyDescent="0.25">
      <c r="A1520" t="s">
        <v>57</v>
      </c>
      <c r="B1520" s="3">
        <v>44981</v>
      </c>
      <c r="C1520">
        <v>2023055</v>
      </c>
      <c r="D1520" t="s">
        <v>27</v>
      </c>
      <c r="E1520" t="s">
        <v>27</v>
      </c>
      <c r="F1520">
        <v>-17</v>
      </c>
      <c r="G1520">
        <v>-7.6</v>
      </c>
      <c r="H1520">
        <v>-28.4</v>
      </c>
      <c r="I1520">
        <v>81.7</v>
      </c>
      <c r="J1520">
        <v>73.7</v>
      </c>
      <c r="K1520">
        <v>0.5</v>
      </c>
      <c r="L1520">
        <v>1.9</v>
      </c>
      <c r="M1520">
        <v>10</v>
      </c>
      <c r="N1520">
        <v>1.3460000000000001</v>
      </c>
      <c r="O1520">
        <v>-0.4</v>
      </c>
      <c r="P1520" t="s">
        <v>27</v>
      </c>
      <c r="Q1520" t="s">
        <v>27</v>
      </c>
      <c r="R1520" t="s">
        <v>27</v>
      </c>
      <c r="S1520">
        <v>0.1</v>
      </c>
      <c r="T1520">
        <v>0.6</v>
      </c>
      <c r="U1520" t="s">
        <v>27</v>
      </c>
      <c r="V1520">
        <v>7.0999999999999994E-2</v>
      </c>
      <c r="W1520">
        <v>0.254</v>
      </c>
      <c r="X1520">
        <v>9.0999999999999998E-2</v>
      </c>
      <c r="Y1520" t="s">
        <v>27</v>
      </c>
      <c r="Z1520" t="s">
        <v>27</v>
      </c>
      <c r="AA1520" t="s">
        <v>27</v>
      </c>
      <c r="AB1520" t="s">
        <v>27</v>
      </c>
      <c r="AC1520" t="s">
        <v>27</v>
      </c>
      <c r="AD1520" t="s">
        <v>27</v>
      </c>
      <c r="AE1520" t="s">
        <v>27</v>
      </c>
      <c r="AF1520" t="s">
        <v>27</v>
      </c>
      <c r="AG1520">
        <v>12.42</v>
      </c>
    </row>
    <row r="1521" spans="1:33" x14ac:dyDescent="0.25">
      <c r="A1521" t="s">
        <v>57</v>
      </c>
      <c r="B1521" s="3">
        <v>44982</v>
      </c>
      <c r="C1521">
        <v>2023056</v>
      </c>
      <c r="D1521" t="s">
        <v>27</v>
      </c>
      <c r="E1521" t="s">
        <v>27</v>
      </c>
      <c r="F1521">
        <v>-12.8</v>
      </c>
      <c r="G1521">
        <v>-10.199999999999999</v>
      </c>
      <c r="H1521">
        <v>-18.2</v>
      </c>
      <c r="I1521">
        <v>85.4</v>
      </c>
      <c r="J1521">
        <v>80.400000000000006</v>
      </c>
      <c r="K1521">
        <v>0.8</v>
      </c>
      <c r="L1521">
        <v>1.9</v>
      </c>
      <c r="M1521">
        <v>0</v>
      </c>
      <c r="N1521">
        <v>1.3550000000000002</v>
      </c>
      <c r="O1521">
        <v>-0.3</v>
      </c>
      <c r="P1521" t="s">
        <v>27</v>
      </c>
      <c r="Q1521" t="s">
        <v>27</v>
      </c>
      <c r="R1521" t="s">
        <v>27</v>
      </c>
      <c r="S1521">
        <v>0.1</v>
      </c>
      <c r="T1521">
        <v>0.7</v>
      </c>
      <c r="U1521" t="s">
        <v>27</v>
      </c>
      <c r="V1521">
        <v>7.0999999999999994E-2</v>
      </c>
      <c r="W1521">
        <v>0.22600000000000001</v>
      </c>
      <c r="X1521">
        <v>5.5E-2</v>
      </c>
      <c r="Y1521" t="s">
        <v>27</v>
      </c>
      <c r="Z1521" t="s">
        <v>27</v>
      </c>
      <c r="AA1521" t="s">
        <v>27</v>
      </c>
      <c r="AB1521" t="s">
        <v>27</v>
      </c>
      <c r="AC1521" t="s">
        <v>27</v>
      </c>
      <c r="AD1521" t="s">
        <v>27</v>
      </c>
      <c r="AE1521" t="s">
        <v>27</v>
      </c>
      <c r="AF1521" t="s">
        <v>27</v>
      </c>
      <c r="AG1521">
        <v>12.65</v>
      </c>
    </row>
    <row r="1522" spans="1:33" x14ac:dyDescent="0.25">
      <c r="A1522" t="s">
        <v>57</v>
      </c>
      <c r="B1522" s="3">
        <v>44983</v>
      </c>
      <c r="C1522">
        <v>2023057</v>
      </c>
      <c r="D1522" t="s">
        <v>27</v>
      </c>
      <c r="E1522" t="s">
        <v>27</v>
      </c>
      <c r="F1522">
        <v>-9.1999999999999993</v>
      </c>
      <c r="G1522">
        <v>-2</v>
      </c>
      <c r="H1522">
        <v>-16.399999999999999</v>
      </c>
      <c r="I1522">
        <v>88.4</v>
      </c>
      <c r="J1522">
        <v>82.3</v>
      </c>
      <c r="K1522">
        <v>1</v>
      </c>
      <c r="L1522">
        <v>4.0999999999999996</v>
      </c>
      <c r="M1522">
        <v>1</v>
      </c>
      <c r="N1522">
        <v>1.3450000000000002</v>
      </c>
      <c r="O1522">
        <v>-0.4</v>
      </c>
      <c r="P1522" t="s">
        <v>27</v>
      </c>
      <c r="Q1522" t="s">
        <v>27</v>
      </c>
      <c r="R1522" t="s">
        <v>27</v>
      </c>
      <c r="S1522">
        <v>0.1</v>
      </c>
      <c r="T1522">
        <v>0.6</v>
      </c>
      <c r="U1522" t="s">
        <v>27</v>
      </c>
      <c r="V1522">
        <v>7.0999999999999994E-2</v>
      </c>
      <c r="W1522">
        <v>0.433</v>
      </c>
      <c r="X1522">
        <v>9.2999999999999999E-2</v>
      </c>
      <c r="Y1522" t="s">
        <v>27</v>
      </c>
      <c r="Z1522" t="s">
        <v>27</v>
      </c>
      <c r="AA1522" t="s">
        <v>27</v>
      </c>
      <c r="AB1522" t="s">
        <v>27</v>
      </c>
      <c r="AC1522" t="s">
        <v>27</v>
      </c>
      <c r="AD1522" t="s">
        <v>27</v>
      </c>
      <c r="AE1522" t="s">
        <v>27</v>
      </c>
      <c r="AF1522" t="s">
        <v>27</v>
      </c>
      <c r="AG1522">
        <v>12.88</v>
      </c>
    </row>
    <row r="1523" spans="1:33" x14ac:dyDescent="0.25">
      <c r="A1523" t="s">
        <v>57</v>
      </c>
      <c r="B1523" s="3">
        <v>44984</v>
      </c>
      <c r="C1523">
        <v>2023058</v>
      </c>
      <c r="D1523" t="s">
        <v>27</v>
      </c>
      <c r="E1523" t="s">
        <v>27</v>
      </c>
      <c r="F1523">
        <v>-11.1</v>
      </c>
      <c r="G1523">
        <v>-5.0999999999999996</v>
      </c>
      <c r="H1523">
        <v>-20.399999999999999</v>
      </c>
      <c r="I1523">
        <v>86.5</v>
      </c>
      <c r="J1523">
        <v>78.400000000000006</v>
      </c>
      <c r="K1523">
        <v>0.7</v>
      </c>
      <c r="L1523">
        <v>2.4</v>
      </c>
      <c r="M1523">
        <v>0</v>
      </c>
      <c r="N1523">
        <v>1.3330000000000002</v>
      </c>
      <c r="O1523">
        <v>-0.4</v>
      </c>
      <c r="P1523" t="s">
        <v>27</v>
      </c>
      <c r="Q1523" t="s">
        <v>27</v>
      </c>
      <c r="R1523" t="s">
        <v>27</v>
      </c>
      <c r="S1523">
        <v>0.1</v>
      </c>
      <c r="T1523">
        <v>0.6</v>
      </c>
      <c r="U1523" t="s">
        <v>27</v>
      </c>
      <c r="V1523">
        <v>7.0999999999999994E-2</v>
      </c>
      <c r="W1523">
        <v>0.32700000000000001</v>
      </c>
      <c r="X1523">
        <v>0.09</v>
      </c>
      <c r="Y1523" t="s">
        <v>27</v>
      </c>
      <c r="Z1523" t="s">
        <v>27</v>
      </c>
      <c r="AA1523" t="s">
        <v>27</v>
      </c>
      <c r="AB1523" t="s">
        <v>27</v>
      </c>
      <c r="AC1523" t="s">
        <v>27</v>
      </c>
      <c r="AD1523" t="s">
        <v>27</v>
      </c>
      <c r="AE1523" t="s">
        <v>27</v>
      </c>
      <c r="AF1523" t="s">
        <v>27</v>
      </c>
      <c r="AG1523">
        <v>13.12</v>
      </c>
    </row>
    <row r="1524" spans="1:33" x14ac:dyDescent="0.25">
      <c r="A1524" t="s">
        <v>57</v>
      </c>
      <c r="B1524" s="3">
        <v>44985</v>
      </c>
      <c r="C1524">
        <v>2023059</v>
      </c>
      <c r="D1524" t="s">
        <v>27</v>
      </c>
      <c r="E1524" t="s">
        <v>27</v>
      </c>
      <c r="F1524">
        <v>-7.7</v>
      </c>
      <c r="G1524">
        <v>-5</v>
      </c>
      <c r="H1524">
        <v>-10</v>
      </c>
      <c r="I1524">
        <v>89.6</v>
      </c>
      <c r="J1524">
        <v>88.3</v>
      </c>
      <c r="K1524">
        <v>0.3</v>
      </c>
      <c r="L1524">
        <v>1.5</v>
      </c>
      <c r="M1524">
        <v>0</v>
      </c>
      <c r="N1524">
        <v>1.3740000000000001</v>
      </c>
      <c r="O1524">
        <v>-0.4</v>
      </c>
      <c r="P1524" t="s">
        <v>27</v>
      </c>
      <c r="Q1524" t="s">
        <v>27</v>
      </c>
      <c r="R1524" t="s">
        <v>27</v>
      </c>
      <c r="S1524">
        <v>0.1</v>
      </c>
      <c r="T1524">
        <v>0.7</v>
      </c>
      <c r="U1524" t="s">
        <v>27</v>
      </c>
      <c r="V1524">
        <v>7.0999999999999994E-2</v>
      </c>
      <c r="W1524">
        <v>0.372</v>
      </c>
      <c r="X1524">
        <v>4.9000000000000002E-2</v>
      </c>
      <c r="Y1524" t="s">
        <v>27</v>
      </c>
      <c r="Z1524" t="s">
        <v>27</v>
      </c>
      <c r="AA1524" t="s">
        <v>27</v>
      </c>
      <c r="AB1524" t="s">
        <v>27</v>
      </c>
      <c r="AC1524" t="s">
        <v>27</v>
      </c>
      <c r="AD1524" t="s">
        <v>27</v>
      </c>
      <c r="AE1524" t="s">
        <v>27</v>
      </c>
      <c r="AF1524" t="s">
        <v>27</v>
      </c>
      <c r="AG1524">
        <v>13.35</v>
      </c>
    </row>
    <row r="1525" spans="1:33" x14ac:dyDescent="0.25">
      <c r="A1525" t="s">
        <v>57</v>
      </c>
      <c r="B1525" s="3">
        <v>44986</v>
      </c>
      <c r="C1525">
        <v>2023060</v>
      </c>
      <c r="D1525" t="s">
        <v>27</v>
      </c>
      <c r="E1525" t="s">
        <v>27</v>
      </c>
      <c r="F1525">
        <v>-7.6</v>
      </c>
      <c r="G1525">
        <v>-5.0999999999999996</v>
      </c>
      <c r="H1525">
        <v>-9.3000000000000007</v>
      </c>
      <c r="I1525">
        <v>87.4</v>
      </c>
      <c r="J1525">
        <v>74.900000000000006</v>
      </c>
      <c r="K1525">
        <v>0.8</v>
      </c>
      <c r="L1525">
        <v>2.9</v>
      </c>
      <c r="M1525">
        <v>0</v>
      </c>
      <c r="N1525">
        <v>1.3860000000000001</v>
      </c>
      <c r="O1525">
        <v>-0.4</v>
      </c>
      <c r="P1525" t="s">
        <v>27</v>
      </c>
      <c r="Q1525" t="s">
        <v>27</v>
      </c>
      <c r="R1525" t="s">
        <v>27</v>
      </c>
      <c r="S1525">
        <v>0.1</v>
      </c>
      <c r="T1525">
        <v>0.7</v>
      </c>
      <c r="U1525" t="s">
        <v>27</v>
      </c>
      <c r="V1525">
        <v>7.0999999999999994E-2</v>
      </c>
      <c r="W1525">
        <v>0.312</v>
      </c>
      <c r="X1525">
        <v>0.105</v>
      </c>
      <c r="Y1525" t="s">
        <v>27</v>
      </c>
      <c r="Z1525" t="s">
        <v>27</v>
      </c>
      <c r="AA1525" t="s">
        <v>27</v>
      </c>
      <c r="AB1525" t="s">
        <v>27</v>
      </c>
      <c r="AC1525" t="s">
        <v>27</v>
      </c>
      <c r="AD1525" t="s">
        <v>27</v>
      </c>
      <c r="AE1525" t="s">
        <v>27</v>
      </c>
      <c r="AF1525" t="s">
        <v>27</v>
      </c>
      <c r="AG1525">
        <v>13.59</v>
      </c>
    </row>
    <row r="1526" spans="1:33" x14ac:dyDescent="0.25">
      <c r="A1526" t="s">
        <v>57</v>
      </c>
      <c r="B1526" s="3">
        <v>44987</v>
      </c>
      <c r="C1526">
        <v>2023061</v>
      </c>
      <c r="D1526" t="s">
        <v>27</v>
      </c>
      <c r="E1526" t="s">
        <v>27</v>
      </c>
      <c r="F1526">
        <v>-6.4</v>
      </c>
      <c r="G1526">
        <v>-1.5</v>
      </c>
      <c r="H1526">
        <v>-8.1999999999999993</v>
      </c>
      <c r="I1526">
        <v>79.2</v>
      </c>
      <c r="J1526">
        <v>57.3</v>
      </c>
      <c r="K1526">
        <v>1.5</v>
      </c>
      <c r="L1526">
        <v>5.2</v>
      </c>
      <c r="M1526">
        <v>2</v>
      </c>
      <c r="N1526">
        <v>1.3680000000000001</v>
      </c>
      <c r="O1526">
        <v>-0.4</v>
      </c>
      <c r="P1526" t="s">
        <v>27</v>
      </c>
      <c r="Q1526" t="s">
        <v>27</v>
      </c>
      <c r="R1526" t="s">
        <v>27</v>
      </c>
      <c r="S1526">
        <v>0.1</v>
      </c>
      <c r="T1526">
        <v>0.7</v>
      </c>
      <c r="U1526" t="s">
        <v>27</v>
      </c>
      <c r="V1526">
        <v>7.0000000000000007E-2</v>
      </c>
      <c r="W1526">
        <v>0.313</v>
      </c>
      <c r="X1526">
        <v>0.23300000000000001</v>
      </c>
      <c r="Y1526" t="s">
        <v>27</v>
      </c>
      <c r="Z1526" t="s">
        <v>27</v>
      </c>
      <c r="AA1526" t="s">
        <v>27</v>
      </c>
      <c r="AB1526" t="s">
        <v>27</v>
      </c>
      <c r="AC1526" t="s">
        <v>27</v>
      </c>
      <c r="AD1526" t="s">
        <v>27</v>
      </c>
      <c r="AE1526" t="s">
        <v>27</v>
      </c>
      <c r="AF1526" t="s">
        <v>27</v>
      </c>
      <c r="AG1526">
        <v>13.82</v>
      </c>
    </row>
    <row r="1527" spans="1:33" x14ac:dyDescent="0.25">
      <c r="A1527" t="s">
        <v>57</v>
      </c>
      <c r="B1527" s="3">
        <v>44988</v>
      </c>
      <c r="C1527">
        <v>2023062</v>
      </c>
      <c r="D1527" t="s">
        <v>27</v>
      </c>
      <c r="E1527" t="s">
        <v>27</v>
      </c>
      <c r="F1527">
        <v>-7.6</v>
      </c>
      <c r="G1527">
        <v>-3.4</v>
      </c>
      <c r="H1527">
        <v>-13.2</v>
      </c>
      <c r="I1527">
        <v>70.5</v>
      </c>
      <c r="J1527">
        <v>51.4</v>
      </c>
      <c r="K1527">
        <v>1.2</v>
      </c>
      <c r="L1527">
        <v>3.2</v>
      </c>
      <c r="M1527">
        <v>0</v>
      </c>
      <c r="N1527">
        <v>1.3410000000000002</v>
      </c>
      <c r="O1527">
        <v>-0.4</v>
      </c>
      <c r="P1527" t="s">
        <v>27</v>
      </c>
      <c r="Q1527" t="s">
        <v>27</v>
      </c>
      <c r="R1527" t="s">
        <v>27</v>
      </c>
      <c r="S1527">
        <v>0.1</v>
      </c>
      <c r="T1527">
        <v>0.6</v>
      </c>
      <c r="U1527" t="s">
        <v>27</v>
      </c>
      <c r="V1527">
        <v>7.0000000000000007E-2</v>
      </c>
      <c r="W1527">
        <v>0.24399999999999999</v>
      </c>
      <c r="X1527">
        <v>0.23100000000000001</v>
      </c>
      <c r="Y1527" t="s">
        <v>27</v>
      </c>
      <c r="Z1527" t="s">
        <v>27</v>
      </c>
      <c r="AA1527" t="s">
        <v>27</v>
      </c>
      <c r="AB1527" t="s">
        <v>27</v>
      </c>
      <c r="AC1527" t="s">
        <v>27</v>
      </c>
      <c r="AD1527" t="s">
        <v>27</v>
      </c>
      <c r="AE1527" t="s">
        <v>27</v>
      </c>
      <c r="AF1527" t="s">
        <v>27</v>
      </c>
      <c r="AG1527">
        <v>14.07</v>
      </c>
    </row>
    <row r="1528" spans="1:33" x14ac:dyDescent="0.25">
      <c r="A1528" t="s">
        <v>57</v>
      </c>
      <c r="B1528" s="3">
        <v>44989</v>
      </c>
      <c r="C1528">
        <v>2023063</v>
      </c>
      <c r="D1528" t="s">
        <v>27</v>
      </c>
      <c r="E1528" t="s">
        <v>27</v>
      </c>
      <c r="F1528">
        <v>-7</v>
      </c>
      <c r="G1528">
        <v>-2.2000000000000002</v>
      </c>
      <c r="H1528">
        <v>-13.2</v>
      </c>
      <c r="I1528">
        <v>82.3</v>
      </c>
      <c r="J1528">
        <v>63.5</v>
      </c>
      <c r="K1528">
        <v>1</v>
      </c>
      <c r="L1528">
        <v>3.4</v>
      </c>
      <c r="M1528">
        <v>1</v>
      </c>
      <c r="N1528">
        <v>1.36</v>
      </c>
      <c r="O1528">
        <v>-0.4</v>
      </c>
      <c r="P1528" t="s">
        <v>27</v>
      </c>
      <c r="Q1528" t="s">
        <v>27</v>
      </c>
      <c r="R1528" t="s">
        <v>27</v>
      </c>
      <c r="S1528">
        <v>0.1</v>
      </c>
      <c r="T1528">
        <v>0.6</v>
      </c>
      <c r="U1528" t="s">
        <v>27</v>
      </c>
      <c r="V1528">
        <v>7.0000000000000007E-2</v>
      </c>
      <c r="W1528">
        <v>0.32900000000000001</v>
      </c>
      <c r="X1528">
        <v>0.189</v>
      </c>
      <c r="Y1528" t="s">
        <v>27</v>
      </c>
      <c r="Z1528" t="s">
        <v>27</v>
      </c>
      <c r="AA1528" t="s">
        <v>27</v>
      </c>
      <c r="AB1528" t="s">
        <v>27</v>
      </c>
      <c r="AC1528" t="s">
        <v>27</v>
      </c>
      <c r="AD1528" t="s">
        <v>27</v>
      </c>
      <c r="AE1528" t="s">
        <v>27</v>
      </c>
      <c r="AF1528" t="s">
        <v>27</v>
      </c>
      <c r="AG1528">
        <v>14.31</v>
      </c>
    </row>
    <row r="1529" spans="1:33" x14ac:dyDescent="0.25">
      <c r="A1529" t="s">
        <v>57</v>
      </c>
      <c r="B1529" s="3">
        <v>44990</v>
      </c>
      <c r="C1529">
        <v>2023064</v>
      </c>
      <c r="D1529" t="s">
        <v>27</v>
      </c>
      <c r="E1529" t="s">
        <v>27</v>
      </c>
      <c r="F1529">
        <v>-7.1</v>
      </c>
      <c r="G1529">
        <v>-2</v>
      </c>
      <c r="H1529">
        <v>-14.6</v>
      </c>
      <c r="I1529">
        <v>80</v>
      </c>
      <c r="J1529">
        <v>57.3</v>
      </c>
      <c r="K1529">
        <v>0.8</v>
      </c>
      <c r="L1529">
        <v>2.1</v>
      </c>
      <c r="M1529">
        <v>0</v>
      </c>
      <c r="N1529">
        <v>1.3430000000000002</v>
      </c>
      <c r="O1529">
        <v>-0.4</v>
      </c>
      <c r="P1529" t="s">
        <v>27</v>
      </c>
      <c r="Q1529" t="s">
        <v>27</v>
      </c>
      <c r="R1529" t="s">
        <v>27</v>
      </c>
      <c r="S1529">
        <v>0.1</v>
      </c>
      <c r="T1529">
        <v>0.6</v>
      </c>
      <c r="U1529" t="s">
        <v>27</v>
      </c>
      <c r="V1529">
        <v>7.0000000000000007E-2</v>
      </c>
      <c r="W1529">
        <v>0.30199999999999999</v>
      </c>
      <c r="X1529">
        <v>0.22500000000000001</v>
      </c>
      <c r="Y1529" t="s">
        <v>27</v>
      </c>
      <c r="Z1529" t="s">
        <v>27</v>
      </c>
      <c r="AA1529" t="s">
        <v>27</v>
      </c>
      <c r="AB1529" t="s">
        <v>27</v>
      </c>
      <c r="AC1529" t="s">
        <v>27</v>
      </c>
      <c r="AD1529" t="s">
        <v>27</v>
      </c>
      <c r="AE1529" t="s">
        <v>27</v>
      </c>
      <c r="AF1529" t="s">
        <v>27</v>
      </c>
      <c r="AG1529">
        <v>14.55</v>
      </c>
    </row>
    <row r="1530" spans="1:33" x14ac:dyDescent="0.25">
      <c r="A1530" t="s">
        <v>57</v>
      </c>
      <c r="B1530" s="3">
        <v>44991</v>
      </c>
      <c r="C1530">
        <v>2023065</v>
      </c>
      <c r="D1530" t="s">
        <v>27</v>
      </c>
      <c r="E1530" t="s">
        <v>27</v>
      </c>
      <c r="F1530">
        <v>-8</v>
      </c>
      <c r="G1530">
        <v>0.4</v>
      </c>
      <c r="H1530">
        <v>-16.2</v>
      </c>
      <c r="I1530">
        <v>77.5</v>
      </c>
      <c r="J1530">
        <v>49.3</v>
      </c>
      <c r="K1530">
        <v>0.5</v>
      </c>
      <c r="L1530">
        <v>2.2000000000000002</v>
      </c>
      <c r="M1530">
        <v>4</v>
      </c>
      <c r="N1530">
        <v>1.3320000000000001</v>
      </c>
      <c r="O1530">
        <v>-0.4</v>
      </c>
      <c r="P1530" t="s">
        <v>27</v>
      </c>
      <c r="Q1530" t="s">
        <v>27</v>
      </c>
      <c r="R1530" t="s">
        <v>27</v>
      </c>
      <c r="S1530">
        <v>0.1</v>
      </c>
      <c r="T1530">
        <v>0.6</v>
      </c>
      <c r="U1530" t="s">
        <v>27</v>
      </c>
      <c r="V1530">
        <v>7.0000000000000007E-2</v>
      </c>
      <c r="W1530">
        <v>0.31</v>
      </c>
      <c r="X1530">
        <v>0.31900000000000001</v>
      </c>
      <c r="Y1530" t="s">
        <v>27</v>
      </c>
      <c r="Z1530" t="s">
        <v>27</v>
      </c>
      <c r="AA1530" t="s">
        <v>27</v>
      </c>
      <c r="AB1530" t="s">
        <v>27</v>
      </c>
      <c r="AC1530" t="s">
        <v>27</v>
      </c>
      <c r="AD1530" t="s">
        <v>27</v>
      </c>
      <c r="AE1530" t="s">
        <v>27</v>
      </c>
      <c r="AF1530" t="s">
        <v>27</v>
      </c>
      <c r="AG1530">
        <v>14.8</v>
      </c>
    </row>
    <row r="1531" spans="1:33" x14ac:dyDescent="0.25">
      <c r="A1531" t="s">
        <v>57</v>
      </c>
      <c r="B1531" s="3">
        <v>44992</v>
      </c>
      <c r="C1531">
        <v>2023066</v>
      </c>
      <c r="D1531" t="s">
        <v>27</v>
      </c>
      <c r="E1531" t="s">
        <v>27</v>
      </c>
      <c r="F1531">
        <v>-6.4</v>
      </c>
      <c r="G1531">
        <v>1.2</v>
      </c>
      <c r="H1531">
        <v>-11.8</v>
      </c>
      <c r="I1531">
        <v>79</v>
      </c>
      <c r="J1531">
        <v>47.4</v>
      </c>
      <c r="K1531">
        <v>0.3</v>
      </c>
      <c r="L1531">
        <v>2.2999999999999998</v>
      </c>
      <c r="M1531">
        <v>3</v>
      </c>
      <c r="N1531">
        <v>1.276</v>
      </c>
      <c r="O1531">
        <v>-0.4</v>
      </c>
      <c r="P1531" t="s">
        <v>27</v>
      </c>
      <c r="Q1531" t="s">
        <v>27</v>
      </c>
      <c r="R1531" t="s">
        <v>27</v>
      </c>
      <c r="S1531">
        <v>0.1</v>
      </c>
      <c r="T1531">
        <v>0.6</v>
      </c>
      <c r="U1531" t="s">
        <v>27</v>
      </c>
      <c r="V1531">
        <v>7.0000000000000007E-2</v>
      </c>
      <c r="W1531">
        <v>0.315</v>
      </c>
      <c r="X1531">
        <v>0.35</v>
      </c>
      <c r="Y1531" t="s">
        <v>27</v>
      </c>
      <c r="Z1531" t="s">
        <v>27</v>
      </c>
      <c r="AA1531" t="s">
        <v>27</v>
      </c>
      <c r="AB1531" t="s">
        <v>27</v>
      </c>
      <c r="AC1531" t="s">
        <v>27</v>
      </c>
      <c r="AD1531" t="s">
        <v>27</v>
      </c>
      <c r="AE1531" t="s">
        <v>27</v>
      </c>
      <c r="AF1531" t="s">
        <v>27</v>
      </c>
      <c r="AG1531">
        <v>15.04</v>
      </c>
    </row>
    <row r="1532" spans="1:33" x14ac:dyDescent="0.25">
      <c r="A1532" t="s">
        <v>57</v>
      </c>
      <c r="B1532" s="3">
        <v>44993</v>
      </c>
      <c r="C1532">
        <v>2023067</v>
      </c>
      <c r="D1532" t="s">
        <v>27</v>
      </c>
      <c r="E1532" t="s">
        <v>27</v>
      </c>
      <c r="F1532">
        <v>-6.9</v>
      </c>
      <c r="G1532">
        <v>1.1000000000000001</v>
      </c>
      <c r="H1532">
        <v>-13.2</v>
      </c>
      <c r="I1532">
        <v>75.900000000000006</v>
      </c>
      <c r="J1532">
        <v>38.299999999999997</v>
      </c>
      <c r="K1532">
        <v>0.6</v>
      </c>
      <c r="L1532">
        <v>2.4</v>
      </c>
      <c r="M1532">
        <v>4</v>
      </c>
      <c r="N1532">
        <v>1.2970000000000002</v>
      </c>
      <c r="O1532">
        <v>-0.4</v>
      </c>
      <c r="P1532" t="s">
        <v>27</v>
      </c>
      <c r="Q1532" t="s">
        <v>27</v>
      </c>
      <c r="R1532" t="s">
        <v>27</v>
      </c>
      <c r="S1532">
        <v>0.1</v>
      </c>
      <c r="T1532">
        <v>0.6</v>
      </c>
      <c r="U1532" t="s">
        <v>27</v>
      </c>
      <c r="V1532">
        <v>7.0000000000000007E-2</v>
      </c>
      <c r="W1532">
        <v>0.252</v>
      </c>
      <c r="X1532">
        <v>0.40600000000000003</v>
      </c>
      <c r="Y1532" t="s">
        <v>27</v>
      </c>
      <c r="Z1532" t="s">
        <v>27</v>
      </c>
      <c r="AA1532" t="s">
        <v>27</v>
      </c>
      <c r="AB1532" t="s">
        <v>27</v>
      </c>
      <c r="AC1532" t="s">
        <v>27</v>
      </c>
      <c r="AD1532" t="s">
        <v>27</v>
      </c>
      <c r="AE1532" t="s">
        <v>27</v>
      </c>
      <c r="AF1532" t="s">
        <v>27</v>
      </c>
      <c r="AG1532">
        <v>15.29</v>
      </c>
    </row>
    <row r="1533" spans="1:33" x14ac:dyDescent="0.25">
      <c r="A1533" t="s">
        <v>57</v>
      </c>
      <c r="B1533" s="3">
        <v>44994</v>
      </c>
      <c r="C1533">
        <v>2023068</v>
      </c>
      <c r="D1533" t="s">
        <v>27</v>
      </c>
      <c r="E1533" t="s">
        <v>27</v>
      </c>
      <c r="F1533">
        <v>-7.5</v>
      </c>
      <c r="G1533">
        <v>-2.2999999999999998</v>
      </c>
      <c r="H1533">
        <v>-14</v>
      </c>
      <c r="I1533">
        <v>79.5</v>
      </c>
      <c r="J1533">
        <v>64.5</v>
      </c>
      <c r="K1533">
        <v>0.8</v>
      </c>
      <c r="L1533">
        <v>2.6</v>
      </c>
      <c r="M1533">
        <v>2</v>
      </c>
      <c r="N1533">
        <v>1.3030000000000002</v>
      </c>
      <c r="O1533">
        <v>-0.4</v>
      </c>
      <c r="P1533" t="s">
        <v>27</v>
      </c>
      <c r="Q1533" t="s">
        <v>27</v>
      </c>
      <c r="R1533" t="s">
        <v>27</v>
      </c>
      <c r="S1533">
        <v>0.1</v>
      </c>
      <c r="T1533">
        <v>0.6</v>
      </c>
      <c r="U1533" t="s">
        <v>27</v>
      </c>
      <c r="V1533">
        <v>7.0000000000000007E-2</v>
      </c>
      <c r="W1533">
        <v>0.33200000000000002</v>
      </c>
      <c r="X1533">
        <v>0.183</v>
      </c>
      <c r="Y1533" t="s">
        <v>27</v>
      </c>
      <c r="Z1533" t="s">
        <v>27</v>
      </c>
      <c r="AA1533" t="s">
        <v>27</v>
      </c>
      <c r="AB1533" t="s">
        <v>27</v>
      </c>
      <c r="AC1533" t="s">
        <v>27</v>
      </c>
      <c r="AD1533" t="s">
        <v>27</v>
      </c>
      <c r="AE1533" t="s">
        <v>27</v>
      </c>
      <c r="AF1533" t="s">
        <v>27</v>
      </c>
      <c r="AG1533">
        <v>15.55</v>
      </c>
    </row>
    <row r="1534" spans="1:33" x14ac:dyDescent="0.25">
      <c r="A1534" t="s">
        <v>57</v>
      </c>
      <c r="B1534" s="3">
        <v>44995</v>
      </c>
      <c r="C1534">
        <v>2023069</v>
      </c>
      <c r="D1534" t="s">
        <v>27</v>
      </c>
      <c r="E1534" t="s">
        <v>27</v>
      </c>
      <c r="F1534">
        <v>-6.9</v>
      </c>
      <c r="G1534">
        <v>-2.6</v>
      </c>
      <c r="H1534">
        <v>-11.1</v>
      </c>
      <c r="I1534">
        <v>81.099999999999994</v>
      </c>
      <c r="J1534">
        <v>60.3</v>
      </c>
      <c r="K1534">
        <v>0.6</v>
      </c>
      <c r="L1534">
        <v>2.1</v>
      </c>
      <c r="M1534">
        <v>0</v>
      </c>
      <c r="N1534">
        <v>1.3070000000000002</v>
      </c>
      <c r="O1534">
        <v>-0.4</v>
      </c>
      <c r="P1534" t="s">
        <v>27</v>
      </c>
      <c r="Q1534" t="s">
        <v>27</v>
      </c>
      <c r="R1534" t="s">
        <v>27</v>
      </c>
      <c r="S1534">
        <v>0.1</v>
      </c>
      <c r="T1534">
        <v>0.6</v>
      </c>
      <c r="U1534" t="s">
        <v>27</v>
      </c>
      <c r="V1534">
        <v>7.0000000000000007E-2</v>
      </c>
      <c r="W1534">
        <v>0.30399999999999999</v>
      </c>
      <c r="X1534">
        <v>0.2</v>
      </c>
      <c r="Y1534" t="s">
        <v>27</v>
      </c>
      <c r="Z1534" t="s">
        <v>27</v>
      </c>
      <c r="AA1534" t="s">
        <v>27</v>
      </c>
      <c r="AB1534" t="s">
        <v>27</v>
      </c>
      <c r="AC1534" t="s">
        <v>27</v>
      </c>
      <c r="AD1534" t="s">
        <v>27</v>
      </c>
      <c r="AE1534" t="s">
        <v>27</v>
      </c>
      <c r="AF1534" t="s">
        <v>27</v>
      </c>
      <c r="AG1534">
        <v>15.8</v>
      </c>
    </row>
    <row r="1535" spans="1:33" x14ac:dyDescent="0.25">
      <c r="A1535" t="s">
        <v>57</v>
      </c>
      <c r="B1535" s="3">
        <v>44996</v>
      </c>
      <c r="C1535">
        <v>2023070</v>
      </c>
      <c r="D1535" t="s">
        <v>27</v>
      </c>
      <c r="E1535" t="s">
        <v>27</v>
      </c>
      <c r="F1535">
        <v>-5.9</v>
      </c>
      <c r="G1535">
        <v>1.8</v>
      </c>
      <c r="H1535">
        <v>-12.6</v>
      </c>
      <c r="I1535">
        <v>83.8</v>
      </c>
      <c r="J1535">
        <v>59.3</v>
      </c>
      <c r="K1535">
        <v>0.3</v>
      </c>
      <c r="L1535">
        <v>2</v>
      </c>
      <c r="M1535">
        <v>5</v>
      </c>
      <c r="N1535">
        <v>1.3070000000000002</v>
      </c>
      <c r="O1535">
        <v>-0.4</v>
      </c>
      <c r="P1535" t="s">
        <v>27</v>
      </c>
      <c r="Q1535" t="s">
        <v>27</v>
      </c>
      <c r="R1535" t="s">
        <v>27</v>
      </c>
      <c r="S1535">
        <v>0.1</v>
      </c>
      <c r="T1535">
        <v>0.6</v>
      </c>
      <c r="U1535" t="s">
        <v>27</v>
      </c>
      <c r="V1535">
        <v>7.0000000000000007E-2</v>
      </c>
      <c r="W1535">
        <v>0.41099999999999998</v>
      </c>
      <c r="X1535">
        <v>0.28199999999999997</v>
      </c>
      <c r="Y1535" t="s">
        <v>27</v>
      </c>
      <c r="Z1535" t="s">
        <v>27</v>
      </c>
      <c r="AA1535" t="s">
        <v>27</v>
      </c>
      <c r="AB1535" t="s">
        <v>27</v>
      </c>
      <c r="AC1535" t="s">
        <v>27</v>
      </c>
      <c r="AD1535" t="s">
        <v>27</v>
      </c>
      <c r="AE1535" t="s">
        <v>27</v>
      </c>
      <c r="AF1535" t="s">
        <v>27</v>
      </c>
      <c r="AG1535">
        <v>16.05</v>
      </c>
    </row>
    <row r="1536" spans="1:33" x14ac:dyDescent="0.25">
      <c r="A1536" t="s">
        <v>57</v>
      </c>
      <c r="B1536" s="3">
        <v>44997</v>
      </c>
      <c r="C1536">
        <v>2023071</v>
      </c>
      <c r="D1536" t="s">
        <v>27</v>
      </c>
      <c r="E1536" t="s">
        <v>27</v>
      </c>
      <c r="F1536">
        <v>-4.0999999999999996</v>
      </c>
      <c r="G1536">
        <v>0.1</v>
      </c>
      <c r="H1536">
        <v>-11.4</v>
      </c>
      <c r="I1536">
        <v>82.6</v>
      </c>
      <c r="J1536">
        <v>59.7</v>
      </c>
      <c r="K1536">
        <v>0.4</v>
      </c>
      <c r="L1536">
        <v>3.5</v>
      </c>
      <c r="M1536">
        <v>1</v>
      </c>
      <c r="N1536">
        <v>1.3130000000000002</v>
      </c>
      <c r="O1536">
        <v>-0.4</v>
      </c>
      <c r="P1536" t="s">
        <v>27</v>
      </c>
      <c r="Q1536" t="s">
        <v>27</v>
      </c>
      <c r="R1536" t="s">
        <v>27</v>
      </c>
      <c r="S1536">
        <v>0.1</v>
      </c>
      <c r="T1536">
        <v>0.6</v>
      </c>
      <c r="U1536" t="s">
        <v>27</v>
      </c>
      <c r="V1536">
        <v>7.0000000000000007E-2</v>
      </c>
      <c r="W1536">
        <v>0.36799999999999999</v>
      </c>
      <c r="X1536">
        <v>0.248</v>
      </c>
      <c r="Y1536" t="s">
        <v>27</v>
      </c>
      <c r="Z1536" t="s">
        <v>27</v>
      </c>
      <c r="AA1536" t="s">
        <v>27</v>
      </c>
      <c r="AB1536" t="s">
        <v>27</v>
      </c>
      <c r="AC1536" t="s">
        <v>27</v>
      </c>
      <c r="AD1536" t="s">
        <v>27</v>
      </c>
      <c r="AE1536" t="s">
        <v>27</v>
      </c>
      <c r="AF1536" t="s">
        <v>27</v>
      </c>
      <c r="AG1536">
        <v>16.309999999999999</v>
      </c>
    </row>
    <row r="1537" spans="1:33" x14ac:dyDescent="0.25">
      <c r="A1537" t="s">
        <v>57</v>
      </c>
      <c r="B1537" s="3">
        <v>44998</v>
      </c>
      <c r="C1537">
        <v>2023072</v>
      </c>
      <c r="D1537" t="s">
        <v>27</v>
      </c>
      <c r="E1537" t="s">
        <v>27</v>
      </c>
      <c r="F1537">
        <v>-1.9</v>
      </c>
      <c r="G1537">
        <v>0.8</v>
      </c>
      <c r="H1537">
        <v>-8.4</v>
      </c>
      <c r="I1537">
        <v>90.1</v>
      </c>
      <c r="J1537">
        <v>76.2</v>
      </c>
      <c r="K1537">
        <v>0.9</v>
      </c>
      <c r="L1537">
        <v>4</v>
      </c>
      <c r="M1537">
        <v>3</v>
      </c>
      <c r="N1537">
        <v>1.3560000000000001</v>
      </c>
      <c r="O1537">
        <v>-0.4</v>
      </c>
      <c r="P1537" t="s">
        <v>27</v>
      </c>
      <c r="Q1537" t="s">
        <v>27</v>
      </c>
      <c r="R1537" t="s">
        <v>27</v>
      </c>
      <c r="S1537">
        <v>0.1</v>
      </c>
      <c r="T1537">
        <v>0.6</v>
      </c>
      <c r="U1537" t="s">
        <v>27</v>
      </c>
      <c r="V1537">
        <v>7.0000000000000007E-2</v>
      </c>
      <c r="W1537">
        <v>0.49299999999999999</v>
      </c>
      <c r="X1537">
        <v>0.154</v>
      </c>
      <c r="Y1537" t="s">
        <v>27</v>
      </c>
      <c r="Z1537" t="s">
        <v>27</v>
      </c>
      <c r="AA1537" t="s">
        <v>27</v>
      </c>
      <c r="AB1537" t="s">
        <v>27</v>
      </c>
      <c r="AC1537" t="s">
        <v>27</v>
      </c>
      <c r="AD1537" t="s">
        <v>27</v>
      </c>
      <c r="AE1537" t="s">
        <v>27</v>
      </c>
      <c r="AF1537" t="s">
        <v>27</v>
      </c>
      <c r="AG1537">
        <v>16.559999999999999</v>
      </c>
    </row>
    <row r="1538" spans="1:33" x14ac:dyDescent="0.25">
      <c r="A1538" t="s">
        <v>57</v>
      </c>
      <c r="B1538" s="3">
        <v>44999</v>
      </c>
      <c r="C1538">
        <v>2023073</v>
      </c>
      <c r="D1538" t="s">
        <v>27</v>
      </c>
      <c r="E1538" t="s">
        <v>27</v>
      </c>
      <c r="F1538">
        <v>-8.1</v>
      </c>
      <c r="G1538">
        <v>0</v>
      </c>
      <c r="H1538">
        <v>-15.8</v>
      </c>
      <c r="I1538">
        <v>76.2</v>
      </c>
      <c r="J1538">
        <v>49.8</v>
      </c>
      <c r="K1538">
        <v>0.2</v>
      </c>
      <c r="L1538">
        <v>2.4</v>
      </c>
      <c r="M1538">
        <v>4</v>
      </c>
      <c r="N1538">
        <v>1.3380000000000001</v>
      </c>
      <c r="O1538">
        <v>-0.4</v>
      </c>
      <c r="P1538" t="s">
        <v>27</v>
      </c>
      <c r="Q1538" t="s">
        <v>27</v>
      </c>
      <c r="R1538" t="s">
        <v>27</v>
      </c>
      <c r="S1538">
        <v>0.1</v>
      </c>
      <c r="T1538">
        <v>0.6</v>
      </c>
      <c r="U1538" t="s">
        <v>27</v>
      </c>
      <c r="V1538">
        <v>7.0000000000000007E-2</v>
      </c>
      <c r="W1538">
        <v>0.30399999999999999</v>
      </c>
      <c r="X1538">
        <v>0.30599999999999999</v>
      </c>
      <c r="Y1538" t="s">
        <v>27</v>
      </c>
      <c r="Z1538" t="s">
        <v>27</v>
      </c>
      <c r="AA1538" t="s">
        <v>27</v>
      </c>
      <c r="AB1538" t="s">
        <v>27</v>
      </c>
      <c r="AC1538" t="s">
        <v>27</v>
      </c>
      <c r="AD1538" t="s">
        <v>27</v>
      </c>
      <c r="AE1538" t="s">
        <v>27</v>
      </c>
      <c r="AF1538" t="s">
        <v>27</v>
      </c>
      <c r="AG1538">
        <v>16.82</v>
      </c>
    </row>
    <row r="1539" spans="1:33" x14ac:dyDescent="0.25">
      <c r="A1539" t="s">
        <v>57</v>
      </c>
      <c r="B1539" s="3">
        <v>45000</v>
      </c>
      <c r="C1539">
        <v>2023074</v>
      </c>
      <c r="D1539" t="s">
        <v>27</v>
      </c>
      <c r="E1539" t="s">
        <v>27</v>
      </c>
      <c r="F1539">
        <v>-8.3000000000000007</v>
      </c>
      <c r="G1539">
        <v>-0.7</v>
      </c>
      <c r="H1539">
        <v>-16.399999999999999</v>
      </c>
      <c r="I1539">
        <v>74.3</v>
      </c>
      <c r="J1539">
        <v>49.1</v>
      </c>
      <c r="K1539">
        <v>0.7</v>
      </c>
      <c r="L1539">
        <v>3.2</v>
      </c>
      <c r="M1539">
        <v>2</v>
      </c>
      <c r="N1539">
        <v>1.3310000000000002</v>
      </c>
      <c r="O1539">
        <v>-0.4</v>
      </c>
      <c r="P1539" t="s">
        <v>27</v>
      </c>
      <c r="Q1539" t="s">
        <v>27</v>
      </c>
      <c r="R1539" t="s">
        <v>27</v>
      </c>
      <c r="S1539">
        <v>0.1</v>
      </c>
      <c r="T1539">
        <v>0.6</v>
      </c>
      <c r="U1539" t="s">
        <v>27</v>
      </c>
      <c r="V1539">
        <v>7.0000000000000007E-2</v>
      </c>
      <c r="W1539">
        <v>0.28399999999999997</v>
      </c>
      <c r="X1539">
        <v>0.29399999999999998</v>
      </c>
      <c r="Y1539" t="s">
        <v>27</v>
      </c>
      <c r="Z1539" t="s">
        <v>27</v>
      </c>
      <c r="AA1539" t="s">
        <v>27</v>
      </c>
      <c r="AB1539" t="s">
        <v>27</v>
      </c>
      <c r="AC1539" t="s">
        <v>27</v>
      </c>
      <c r="AD1539" t="s">
        <v>27</v>
      </c>
      <c r="AE1539" t="s">
        <v>27</v>
      </c>
      <c r="AF1539" t="s">
        <v>27</v>
      </c>
      <c r="AG1539">
        <v>17.079999999999998</v>
      </c>
    </row>
    <row r="1540" spans="1:33" x14ac:dyDescent="0.25">
      <c r="A1540" t="s">
        <v>57</v>
      </c>
      <c r="B1540" s="3">
        <v>45001</v>
      </c>
      <c r="C1540">
        <v>2023075</v>
      </c>
      <c r="D1540" t="s">
        <v>27</v>
      </c>
      <c r="E1540" t="s">
        <v>27</v>
      </c>
      <c r="F1540">
        <v>-6.5</v>
      </c>
      <c r="G1540">
        <v>3.9</v>
      </c>
      <c r="H1540">
        <v>-16.7</v>
      </c>
      <c r="I1540">
        <v>65.5</v>
      </c>
      <c r="J1540">
        <v>30</v>
      </c>
      <c r="K1540">
        <v>0.2</v>
      </c>
      <c r="L1540">
        <v>1.8</v>
      </c>
      <c r="M1540">
        <v>2</v>
      </c>
      <c r="N1540">
        <v>1.3150000000000002</v>
      </c>
      <c r="O1540">
        <v>-0.4</v>
      </c>
      <c r="P1540" t="s">
        <v>27</v>
      </c>
      <c r="Q1540" t="s">
        <v>27</v>
      </c>
      <c r="R1540" t="s">
        <v>27</v>
      </c>
      <c r="S1540">
        <v>0.1</v>
      </c>
      <c r="T1540">
        <v>0.6</v>
      </c>
      <c r="U1540" t="s">
        <v>27</v>
      </c>
      <c r="V1540">
        <v>7.0000000000000007E-2</v>
      </c>
      <c r="W1540">
        <v>0.24199999999999999</v>
      </c>
      <c r="X1540">
        <v>0.56499999999999995</v>
      </c>
      <c r="Y1540" t="s">
        <v>27</v>
      </c>
      <c r="Z1540" t="s">
        <v>27</v>
      </c>
      <c r="AA1540" t="s">
        <v>27</v>
      </c>
      <c r="AB1540" t="s">
        <v>27</v>
      </c>
      <c r="AC1540" t="s">
        <v>27</v>
      </c>
      <c r="AD1540" t="s">
        <v>27</v>
      </c>
      <c r="AE1540" t="s">
        <v>27</v>
      </c>
      <c r="AF1540" t="s">
        <v>27</v>
      </c>
      <c r="AG1540">
        <v>17.34</v>
      </c>
    </row>
    <row r="1541" spans="1:33" x14ac:dyDescent="0.25">
      <c r="A1541" t="s">
        <v>57</v>
      </c>
      <c r="B1541" s="3">
        <v>45002</v>
      </c>
      <c r="C1541">
        <v>2023076</v>
      </c>
      <c r="D1541">
        <v>0.16</v>
      </c>
      <c r="E1541" t="s">
        <v>27</v>
      </c>
      <c r="F1541">
        <v>-2.8</v>
      </c>
      <c r="G1541">
        <v>5.7</v>
      </c>
      <c r="H1541">
        <v>-11</v>
      </c>
      <c r="I1541">
        <v>61.1</v>
      </c>
      <c r="J1541">
        <v>32</v>
      </c>
      <c r="K1541">
        <v>0.7</v>
      </c>
      <c r="L1541">
        <v>2.9</v>
      </c>
      <c r="M1541">
        <v>6</v>
      </c>
      <c r="N1541">
        <v>1.288</v>
      </c>
      <c r="O1541">
        <v>-0.4</v>
      </c>
      <c r="P1541" t="s">
        <v>27</v>
      </c>
      <c r="Q1541" t="s">
        <v>27</v>
      </c>
      <c r="R1541" t="s">
        <v>27</v>
      </c>
      <c r="S1541">
        <v>0.1</v>
      </c>
      <c r="T1541">
        <v>0.6</v>
      </c>
      <c r="U1541" t="s">
        <v>27</v>
      </c>
      <c r="V1541">
        <v>7.0000000000000007E-2</v>
      </c>
      <c r="W1541">
        <v>0.29399999999999998</v>
      </c>
      <c r="X1541">
        <v>0.625</v>
      </c>
      <c r="Y1541" t="s">
        <v>27</v>
      </c>
      <c r="Z1541" t="s">
        <v>27</v>
      </c>
      <c r="AA1541" t="s">
        <v>27</v>
      </c>
      <c r="AB1541" t="s">
        <v>27</v>
      </c>
      <c r="AC1541" t="s">
        <v>27</v>
      </c>
      <c r="AD1541" t="s">
        <v>27</v>
      </c>
      <c r="AE1541" t="s">
        <v>27</v>
      </c>
      <c r="AF1541" t="s">
        <v>27</v>
      </c>
      <c r="AG1541">
        <v>17.600000000000001</v>
      </c>
    </row>
    <row r="1542" spans="1:33" x14ac:dyDescent="0.25">
      <c r="A1542" t="s">
        <v>57</v>
      </c>
      <c r="B1542" s="3">
        <v>45003</v>
      </c>
      <c r="C1542">
        <v>2023077</v>
      </c>
      <c r="D1542">
        <v>0.43</v>
      </c>
      <c r="E1542" t="s">
        <v>27</v>
      </c>
      <c r="F1542">
        <v>-1.7</v>
      </c>
      <c r="G1542">
        <v>7.3</v>
      </c>
      <c r="H1542">
        <v>-8.1</v>
      </c>
      <c r="I1542">
        <v>69.3</v>
      </c>
      <c r="J1542">
        <v>25.5</v>
      </c>
      <c r="K1542">
        <v>0.6</v>
      </c>
      <c r="L1542">
        <v>2.7</v>
      </c>
      <c r="M1542">
        <v>0</v>
      </c>
      <c r="N1542">
        <v>1.258</v>
      </c>
      <c r="O1542">
        <v>-0.4</v>
      </c>
      <c r="P1542" t="s">
        <v>27</v>
      </c>
      <c r="Q1542" t="s">
        <v>27</v>
      </c>
      <c r="R1542" t="s">
        <v>27</v>
      </c>
      <c r="S1542">
        <v>0.1</v>
      </c>
      <c r="T1542">
        <v>0.6</v>
      </c>
      <c r="U1542" t="s">
        <v>27</v>
      </c>
      <c r="V1542">
        <v>7.0000000000000007E-2</v>
      </c>
      <c r="W1542">
        <v>0.26100000000000001</v>
      </c>
      <c r="X1542">
        <v>0.76300000000000001</v>
      </c>
      <c r="Y1542" t="s">
        <v>27</v>
      </c>
      <c r="Z1542" t="s">
        <v>27</v>
      </c>
      <c r="AA1542" t="s">
        <v>27</v>
      </c>
      <c r="AB1542" t="s">
        <v>27</v>
      </c>
      <c r="AC1542" t="s">
        <v>27</v>
      </c>
      <c r="AD1542" t="s">
        <v>27</v>
      </c>
      <c r="AE1542" t="s">
        <v>27</v>
      </c>
      <c r="AF1542" t="s">
        <v>27</v>
      </c>
      <c r="AG1542">
        <v>17.850000000000001</v>
      </c>
    </row>
    <row r="1543" spans="1:33" x14ac:dyDescent="0.25">
      <c r="A1543" t="s">
        <v>57</v>
      </c>
      <c r="B1543" s="3">
        <v>45004</v>
      </c>
      <c r="C1543">
        <v>2023078</v>
      </c>
      <c r="D1543">
        <v>0.83</v>
      </c>
      <c r="E1543" t="s">
        <v>27</v>
      </c>
      <c r="F1543">
        <v>-1.5</v>
      </c>
      <c r="G1543">
        <v>8.3000000000000007</v>
      </c>
      <c r="H1543">
        <v>-10.8</v>
      </c>
      <c r="I1543">
        <v>65.099999999999994</v>
      </c>
      <c r="J1543">
        <v>31</v>
      </c>
      <c r="K1543">
        <v>0.7</v>
      </c>
      <c r="L1543">
        <v>2.2999999999999998</v>
      </c>
      <c r="M1543">
        <v>0</v>
      </c>
      <c r="N1543">
        <v>1.24</v>
      </c>
      <c r="O1543">
        <v>-0.4</v>
      </c>
      <c r="P1543" t="s">
        <v>27</v>
      </c>
      <c r="Q1543" t="s">
        <v>27</v>
      </c>
      <c r="R1543" t="s">
        <v>27</v>
      </c>
      <c r="S1543">
        <v>0.1</v>
      </c>
      <c r="T1543">
        <v>0.6</v>
      </c>
      <c r="U1543" t="s">
        <v>27</v>
      </c>
      <c r="V1543">
        <v>7.0000000000000007E-2</v>
      </c>
      <c r="W1543">
        <v>0.33800000000000002</v>
      </c>
      <c r="X1543">
        <v>0.752</v>
      </c>
      <c r="Y1543" t="s">
        <v>27</v>
      </c>
      <c r="Z1543" t="s">
        <v>27</v>
      </c>
      <c r="AA1543" t="s">
        <v>27</v>
      </c>
      <c r="AB1543" t="s">
        <v>27</v>
      </c>
      <c r="AC1543" t="s">
        <v>27</v>
      </c>
      <c r="AD1543" t="s">
        <v>27</v>
      </c>
      <c r="AE1543" t="s">
        <v>27</v>
      </c>
      <c r="AF1543" t="s">
        <v>27</v>
      </c>
      <c r="AG1543">
        <v>18.12</v>
      </c>
    </row>
    <row r="1544" spans="1:33" x14ac:dyDescent="0.25">
      <c r="A1544" t="s">
        <v>57</v>
      </c>
      <c r="B1544" s="3">
        <v>45005</v>
      </c>
      <c r="C1544">
        <v>2023079</v>
      </c>
      <c r="D1544">
        <v>0.52</v>
      </c>
      <c r="E1544" t="s">
        <v>27</v>
      </c>
      <c r="F1544">
        <v>0.1</v>
      </c>
      <c r="G1544">
        <v>5.8</v>
      </c>
      <c r="H1544">
        <v>-7.9</v>
      </c>
      <c r="I1544">
        <v>60.5</v>
      </c>
      <c r="J1544">
        <v>37.6</v>
      </c>
      <c r="K1544">
        <v>0.5</v>
      </c>
      <c r="L1544">
        <v>2.4</v>
      </c>
      <c r="M1544">
        <v>0</v>
      </c>
      <c r="N1544">
        <v>1.2180000000000002</v>
      </c>
      <c r="O1544">
        <v>-0.4</v>
      </c>
      <c r="P1544" t="s">
        <v>27</v>
      </c>
      <c r="Q1544" t="s">
        <v>27</v>
      </c>
      <c r="R1544" t="s">
        <v>27</v>
      </c>
      <c r="S1544">
        <v>0.1</v>
      </c>
      <c r="T1544">
        <v>0.6</v>
      </c>
      <c r="U1544" t="s">
        <v>27</v>
      </c>
      <c r="V1544">
        <v>7.0000000000000007E-2</v>
      </c>
      <c r="W1544">
        <v>0.34699999999999998</v>
      </c>
      <c r="X1544">
        <v>0.57599999999999996</v>
      </c>
      <c r="Y1544" t="s">
        <v>27</v>
      </c>
      <c r="Z1544" t="s">
        <v>27</v>
      </c>
      <c r="AA1544" t="s">
        <v>27</v>
      </c>
      <c r="AB1544" t="s">
        <v>27</v>
      </c>
      <c r="AC1544" t="s">
        <v>27</v>
      </c>
      <c r="AD1544" t="s">
        <v>27</v>
      </c>
      <c r="AE1544" t="s">
        <v>27</v>
      </c>
      <c r="AF1544" t="s">
        <v>27</v>
      </c>
      <c r="AG1544">
        <v>18.38</v>
      </c>
    </row>
    <row r="1545" spans="1:33" x14ac:dyDescent="0.25">
      <c r="A1545" t="s">
        <v>57</v>
      </c>
      <c r="B1545" s="3">
        <v>45006</v>
      </c>
      <c r="C1545">
        <v>2023080</v>
      </c>
      <c r="D1545">
        <v>1.1599999999999999</v>
      </c>
      <c r="E1545" t="s">
        <v>27</v>
      </c>
      <c r="F1545">
        <v>-1.7</v>
      </c>
      <c r="G1545">
        <v>8.6</v>
      </c>
      <c r="H1545">
        <v>-10.9</v>
      </c>
      <c r="I1545">
        <v>56.7</v>
      </c>
      <c r="J1545">
        <v>19.2</v>
      </c>
      <c r="K1545">
        <v>0.7</v>
      </c>
      <c r="L1545">
        <v>2.2999999999999998</v>
      </c>
      <c r="M1545">
        <v>0</v>
      </c>
      <c r="N1545">
        <v>1.2150000000000001</v>
      </c>
      <c r="O1545">
        <v>-0.4</v>
      </c>
      <c r="P1545" t="s">
        <v>27</v>
      </c>
      <c r="Q1545" t="s">
        <v>27</v>
      </c>
      <c r="R1545" t="s">
        <v>27</v>
      </c>
      <c r="S1545">
        <v>0.1</v>
      </c>
      <c r="T1545">
        <v>0.6</v>
      </c>
      <c r="U1545" t="s">
        <v>27</v>
      </c>
      <c r="V1545">
        <v>7.0000000000000007E-2</v>
      </c>
      <c r="W1545">
        <v>0.214</v>
      </c>
      <c r="X1545">
        <v>0.90100000000000002</v>
      </c>
      <c r="Y1545" t="s">
        <v>27</v>
      </c>
      <c r="Z1545" t="s">
        <v>27</v>
      </c>
      <c r="AA1545" t="s">
        <v>27</v>
      </c>
      <c r="AB1545" t="s">
        <v>27</v>
      </c>
      <c r="AC1545" t="s">
        <v>27</v>
      </c>
      <c r="AD1545" t="s">
        <v>27</v>
      </c>
      <c r="AE1545" t="s">
        <v>27</v>
      </c>
      <c r="AF1545" t="s">
        <v>27</v>
      </c>
      <c r="AG1545">
        <v>18.649999999999999</v>
      </c>
    </row>
    <row r="1546" spans="1:33" x14ac:dyDescent="0.25">
      <c r="A1546" t="s">
        <v>57</v>
      </c>
      <c r="B1546" s="3">
        <v>45007</v>
      </c>
      <c r="C1546">
        <v>2023081</v>
      </c>
      <c r="D1546">
        <v>1.37</v>
      </c>
      <c r="E1546" t="s">
        <v>27</v>
      </c>
      <c r="F1546">
        <v>-1.9</v>
      </c>
      <c r="G1546">
        <v>9.1999999999999993</v>
      </c>
      <c r="H1546">
        <v>-11.5</v>
      </c>
      <c r="I1546">
        <v>52.2</v>
      </c>
      <c r="J1546">
        <v>14.1</v>
      </c>
      <c r="K1546">
        <v>0.7</v>
      </c>
      <c r="L1546">
        <v>2.9</v>
      </c>
      <c r="M1546">
        <v>0</v>
      </c>
      <c r="N1546">
        <v>1.1940000000000002</v>
      </c>
      <c r="O1546">
        <v>-0.4</v>
      </c>
      <c r="P1546" t="s">
        <v>27</v>
      </c>
      <c r="Q1546" t="s">
        <v>27</v>
      </c>
      <c r="R1546" t="s">
        <v>27</v>
      </c>
      <c r="S1546">
        <v>0.1</v>
      </c>
      <c r="T1546">
        <v>0.6</v>
      </c>
      <c r="U1546" t="s">
        <v>27</v>
      </c>
      <c r="V1546">
        <v>7.0000000000000007E-2</v>
      </c>
      <c r="W1546">
        <v>0.16300000000000001</v>
      </c>
      <c r="X1546">
        <v>0.99299999999999999</v>
      </c>
      <c r="Y1546" t="s">
        <v>27</v>
      </c>
      <c r="Z1546" t="s">
        <v>27</v>
      </c>
      <c r="AA1546" t="s">
        <v>27</v>
      </c>
      <c r="AB1546" t="s">
        <v>27</v>
      </c>
      <c r="AC1546" t="s">
        <v>27</v>
      </c>
      <c r="AD1546" t="s">
        <v>27</v>
      </c>
      <c r="AE1546" t="s">
        <v>27</v>
      </c>
      <c r="AF1546" t="s">
        <v>27</v>
      </c>
      <c r="AG1546">
        <v>18.91</v>
      </c>
    </row>
    <row r="1547" spans="1:33" x14ac:dyDescent="0.25">
      <c r="A1547" t="s">
        <v>57</v>
      </c>
      <c r="B1547" s="3">
        <v>45008</v>
      </c>
      <c r="C1547">
        <v>2023082</v>
      </c>
      <c r="D1547">
        <v>0.22</v>
      </c>
      <c r="E1547" t="s">
        <v>27</v>
      </c>
      <c r="F1547">
        <v>-3.4</v>
      </c>
      <c r="G1547">
        <v>4.8</v>
      </c>
      <c r="H1547">
        <v>-10.6</v>
      </c>
      <c r="I1547">
        <v>76.599999999999994</v>
      </c>
      <c r="J1547">
        <v>32.700000000000003</v>
      </c>
      <c r="K1547">
        <v>0.4</v>
      </c>
      <c r="L1547">
        <v>2.9</v>
      </c>
      <c r="M1547">
        <v>0</v>
      </c>
      <c r="N1547">
        <v>1.2290000000000001</v>
      </c>
      <c r="O1547">
        <v>-0.4</v>
      </c>
      <c r="P1547" t="s">
        <v>27</v>
      </c>
      <c r="Q1547" t="s">
        <v>27</v>
      </c>
      <c r="R1547" t="s">
        <v>27</v>
      </c>
      <c r="S1547">
        <v>0.1</v>
      </c>
      <c r="T1547">
        <v>0.6</v>
      </c>
      <c r="U1547" t="s">
        <v>27</v>
      </c>
      <c r="V1547">
        <v>7.0000000000000007E-2</v>
      </c>
      <c r="W1547">
        <v>0.28100000000000003</v>
      </c>
      <c r="X1547">
        <v>0.57799999999999996</v>
      </c>
      <c r="Y1547" t="s">
        <v>27</v>
      </c>
      <c r="Z1547" t="s">
        <v>27</v>
      </c>
      <c r="AA1547" t="s">
        <v>27</v>
      </c>
      <c r="AB1547" t="s">
        <v>27</v>
      </c>
      <c r="AC1547" t="s">
        <v>27</v>
      </c>
      <c r="AD1547" t="s">
        <v>27</v>
      </c>
      <c r="AE1547" t="s">
        <v>27</v>
      </c>
      <c r="AF1547" t="s">
        <v>27</v>
      </c>
      <c r="AG1547">
        <v>19.170000000000002</v>
      </c>
    </row>
    <row r="1548" spans="1:33" x14ac:dyDescent="0.25">
      <c r="A1548" t="s">
        <v>57</v>
      </c>
      <c r="B1548" s="3">
        <v>45009</v>
      </c>
      <c r="C1548">
        <v>2023083</v>
      </c>
      <c r="D1548">
        <v>0</v>
      </c>
      <c r="E1548" t="s">
        <v>27</v>
      </c>
      <c r="F1548">
        <v>-5.3</v>
      </c>
      <c r="G1548">
        <v>0</v>
      </c>
      <c r="H1548">
        <v>-12.9</v>
      </c>
      <c r="I1548">
        <v>81.5</v>
      </c>
      <c r="J1548">
        <v>45.9</v>
      </c>
      <c r="K1548">
        <v>0.5</v>
      </c>
      <c r="L1548">
        <v>2.8</v>
      </c>
      <c r="M1548">
        <v>7</v>
      </c>
      <c r="N1548">
        <v>1.3260000000000001</v>
      </c>
      <c r="O1548">
        <v>-0.4</v>
      </c>
      <c r="P1548" t="s">
        <v>27</v>
      </c>
      <c r="Q1548" t="s">
        <v>27</v>
      </c>
      <c r="R1548" t="s">
        <v>27</v>
      </c>
      <c r="S1548">
        <v>0.1</v>
      </c>
      <c r="T1548">
        <v>0.6</v>
      </c>
      <c r="U1548" t="s">
        <v>27</v>
      </c>
      <c r="V1548">
        <v>7.0000000000000007E-2</v>
      </c>
      <c r="W1548">
        <v>0.28100000000000003</v>
      </c>
      <c r="X1548">
        <v>0.33100000000000002</v>
      </c>
      <c r="Y1548" t="s">
        <v>27</v>
      </c>
      <c r="Z1548" t="s">
        <v>27</v>
      </c>
      <c r="AA1548" t="s">
        <v>27</v>
      </c>
      <c r="AB1548" t="s">
        <v>27</v>
      </c>
      <c r="AC1548" t="s">
        <v>27</v>
      </c>
      <c r="AD1548" t="s">
        <v>27</v>
      </c>
      <c r="AE1548" t="s">
        <v>27</v>
      </c>
      <c r="AF1548" t="s">
        <v>27</v>
      </c>
      <c r="AG1548">
        <v>19.43</v>
      </c>
    </row>
    <row r="1549" spans="1:33" x14ac:dyDescent="0.25">
      <c r="A1549" t="s">
        <v>57</v>
      </c>
      <c r="B1549" s="3">
        <v>45010</v>
      </c>
      <c r="C1549">
        <v>2023084</v>
      </c>
      <c r="D1549">
        <v>0</v>
      </c>
      <c r="E1549" t="s">
        <v>27</v>
      </c>
      <c r="F1549">
        <v>-7.2</v>
      </c>
      <c r="G1549">
        <v>0.5</v>
      </c>
      <c r="H1549">
        <v>-14.6</v>
      </c>
      <c r="I1549">
        <v>74.3</v>
      </c>
      <c r="J1549">
        <v>43.4</v>
      </c>
      <c r="K1549">
        <v>0.5</v>
      </c>
      <c r="L1549">
        <v>2.5</v>
      </c>
      <c r="M1549">
        <v>0</v>
      </c>
      <c r="N1549">
        <v>1.294</v>
      </c>
      <c r="O1549">
        <v>-0.4</v>
      </c>
      <c r="P1549" t="s">
        <v>27</v>
      </c>
      <c r="Q1549" t="s">
        <v>27</v>
      </c>
      <c r="R1549" t="s">
        <v>27</v>
      </c>
      <c r="S1549">
        <v>0.1</v>
      </c>
      <c r="T1549">
        <v>0.6</v>
      </c>
      <c r="U1549" t="s">
        <v>27</v>
      </c>
      <c r="V1549">
        <v>7.0000000000000007E-2</v>
      </c>
      <c r="W1549">
        <v>0.27400000000000002</v>
      </c>
      <c r="X1549">
        <v>0.35699999999999998</v>
      </c>
      <c r="Y1549" t="s">
        <v>27</v>
      </c>
      <c r="Z1549" t="s">
        <v>27</v>
      </c>
      <c r="AA1549" t="s">
        <v>27</v>
      </c>
      <c r="AB1549" t="s">
        <v>27</v>
      </c>
      <c r="AC1549" t="s">
        <v>27</v>
      </c>
      <c r="AD1549" t="s">
        <v>27</v>
      </c>
      <c r="AE1549" t="s">
        <v>27</v>
      </c>
      <c r="AF1549" t="s">
        <v>27</v>
      </c>
      <c r="AG1549">
        <v>19.7</v>
      </c>
    </row>
    <row r="1550" spans="1:33" x14ac:dyDescent="0.25">
      <c r="A1550" t="s">
        <v>57</v>
      </c>
      <c r="B1550" s="3">
        <v>45011</v>
      </c>
      <c r="C1550">
        <v>2023085</v>
      </c>
      <c r="D1550">
        <v>0</v>
      </c>
      <c r="E1550" t="s">
        <v>27</v>
      </c>
      <c r="F1550">
        <v>-4.9000000000000004</v>
      </c>
      <c r="G1550">
        <v>1.3</v>
      </c>
      <c r="H1550">
        <v>-11.7</v>
      </c>
      <c r="I1550">
        <v>76.3</v>
      </c>
      <c r="J1550">
        <v>53.1</v>
      </c>
      <c r="K1550">
        <v>0.5</v>
      </c>
      <c r="L1550">
        <v>2.1</v>
      </c>
      <c r="M1550">
        <v>1</v>
      </c>
      <c r="N1550">
        <v>1.272</v>
      </c>
      <c r="O1550">
        <v>-0.4</v>
      </c>
      <c r="P1550" t="s">
        <v>27</v>
      </c>
      <c r="Q1550" t="s">
        <v>27</v>
      </c>
      <c r="R1550" t="s">
        <v>27</v>
      </c>
      <c r="S1550">
        <v>0.1</v>
      </c>
      <c r="T1550">
        <v>0.6</v>
      </c>
      <c r="U1550" t="s">
        <v>27</v>
      </c>
      <c r="V1550">
        <v>7.0999999999999994E-2</v>
      </c>
      <c r="W1550">
        <v>0.35699999999999998</v>
      </c>
      <c r="X1550">
        <v>0.315</v>
      </c>
      <c r="Y1550" t="s">
        <v>27</v>
      </c>
      <c r="Z1550" t="s">
        <v>27</v>
      </c>
      <c r="AA1550" t="s">
        <v>27</v>
      </c>
      <c r="AB1550" t="s">
        <v>27</v>
      </c>
      <c r="AC1550" t="s">
        <v>27</v>
      </c>
      <c r="AD1550" t="s">
        <v>27</v>
      </c>
      <c r="AE1550" t="s">
        <v>27</v>
      </c>
      <c r="AF1550" t="s">
        <v>27</v>
      </c>
      <c r="AG1550">
        <v>19.96</v>
      </c>
    </row>
    <row r="1551" spans="1:33" x14ac:dyDescent="0.25">
      <c r="A1551" t="s">
        <v>57</v>
      </c>
      <c r="B1551" s="3">
        <v>45012</v>
      </c>
      <c r="C1551">
        <v>2023086</v>
      </c>
      <c r="D1551">
        <v>0</v>
      </c>
      <c r="E1551" t="s">
        <v>27</v>
      </c>
      <c r="F1551">
        <v>-5</v>
      </c>
      <c r="G1551">
        <v>1.6</v>
      </c>
      <c r="H1551">
        <v>-11.7</v>
      </c>
      <c r="I1551">
        <v>73</v>
      </c>
      <c r="J1551">
        <v>41.2</v>
      </c>
      <c r="K1551">
        <v>0.4</v>
      </c>
      <c r="L1551">
        <v>2.2999999999999998</v>
      </c>
      <c r="M1551">
        <v>1</v>
      </c>
      <c r="N1551">
        <v>1.2670000000000001</v>
      </c>
      <c r="O1551">
        <v>-0.3</v>
      </c>
      <c r="P1551" t="s">
        <v>27</v>
      </c>
      <c r="Q1551" t="s">
        <v>27</v>
      </c>
      <c r="R1551" t="s">
        <v>27</v>
      </c>
      <c r="S1551">
        <v>0.1</v>
      </c>
      <c r="T1551">
        <v>0.6</v>
      </c>
      <c r="U1551" t="s">
        <v>27</v>
      </c>
      <c r="V1551">
        <v>7.0999999999999994E-2</v>
      </c>
      <c r="W1551">
        <v>0.28199999999999997</v>
      </c>
      <c r="X1551">
        <v>0.40200000000000002</v>
      </c>
      <c r="Y1551" t="s">
        <v>27</v>
      </c>
      <c r="Z1551" t="s">
        <v>27</v>
      </c>
      <c r="AA1551" t="s">
        <v>27</v>
      </c>
      <c r="AB1551" t="s">
        <v>27</v>
      </c>
      <c r="AC1551" t="s">
        <v>27</v>
      </c>
      <c r="AD1551" t="s">
        <v>27</v>
      </c>
      <c r="AE1551" t="s">
        <v>27</v>
      </c>
      <c r="AF1551" t="s">
        <v>27</v>
      </c>
      <c r="AG1551">
        <v>20.22</v>
      </c>
    </row>
    <row r="1552" spans="1:33" x14ac:dyDescent="0.25">
      <c r="A1552" t="s">
        <v>57</v>
      </c>
      <c r="B1552" s="3">
        <v>45013</v>
      </c>
      <c r="C1552">
        <v>2023087</v>
      </c>
      <c r="D1552">
        <v>0.7</v>
      </c>
      <c r="E1552" t="s">
        <v>27</v>
      </c>
      <c r="F1552">
        <v>-4.0999999999999996</v>
      </c>
      <c r="G1552">
        <v>6.1</v>
      </c>
      <c r="H1552">
        <v>-14.9</v>
      </c>
      <c r="I1552">
        <v>60</v>
      </c>
      <c r="J1552">
        <v>21.8</v>
      </c>
      <c r="K1552">
        <v>0.5</v>
      </c>
      <c r="L1552">
        <v>2.2999999999999998</v>
      </c>
      <c r="M1552">
        <v>0</v>
      </c>
      <c r="N1552">
        <v>1.2320000000000002</v>
      </c>
      <c r="O1552">
        <v>-0.3</v>
      </c>
      <c r="P1552" t="s">
        <v>27</v>
      </c>
      <c r="Q1552" t="s">
        <v>27</v>
      </c>
      <c r="R1552" t="s">
        <v>27</v>
      </c>
      <c r="S1552">
        <v>0.1</v>
      </c>
      <c r="T1552">
        <v>0.6</v>
      </c>
      <c r="U1552" t="s">
        <v>27</v>
      </c>
      <c r="V1552">
        <v>7.0999999999999994E-2</v>
      </c>
      <c r="W1552">
        <v>0.20499999999999999</v>
      </c>
      <c r="X1552">
        <v>0.73499999999999999</v>
      </c>
      <c r="Y1552" t="s">
        <v>27</v>
      </c>
      <c r="Z1552" t="s">
        <v>27</v>
      </c>
      <c r="AA1552" t="s">
        <v>27</v>
      </c>
      <c r="AB1552" t="s">
        <v>27</v>
      </c>
      <c r="AC1552" t="s">
        <v>27</v>
      </c>
      <c r="AD1552" t="s">
        <v>27</v>
      </c>
      <c r="AE1552" t="s">
        <v>27</v>
      </c>
      <c r="AF1552" t="s">
        <v>27</v>
      </c>
      <c r="AG1552">
        <v>20.48</v>
      </c>
    </row>
    <row r="1553" spans="1:33" x14ac:dyDescent="0.25">
      <c r="A1553" t="s">
        <v>57</v>
      </c>
      <c r="B1553" s="3">
        <v>45014</v>
      </c>
      <c r="C1553">
        <v>2023088</v>
      </c>
      <c r="D1553">
        <v>1.28</v>
      </c>
      <c r="E1553" t="s">
        <v>27</v>
      </c>
      <c r="F1553">
        <v>-2.4</v>
      </c>
      <c r="G1553">
        <v>7.7</v>
      </c>
      <c r="H1553">
        <v>-13.9</v>
      </c>
      <c r="I1553">
        <v>52.7</v>
      </c>
      <c r="J1553">
        <v>16.100000000000001</v>
      </c>
      <c r="K1553">
        <v>0.4</v>
      </c>
      <c r="L1553">
        <v>2.7</v>
      </c>
      <c r="M1553">
        <v>0</v>
      </c>
      <c r="N1553">
        <v>1.2140000000000002</v>
      </c>
      <c r="O1553">
        <v>-0.3</v>
      </c>
      <c r="P1553" t="s">
        <v>27</v>
      </c>
      <c r="Q1553" t="s">
        <v>27</v>
      </c>
      <c r="R1553" t="s">
        <v>27</v>
      </c>
      <c r="S1553">
        <v>0.1</v>
      </c>
      <c r="T1553">
        <v>0.6</v>
      </c>
      <c r="U1553" t="s">
        <v>27</v>
      </c>
      <c r="V1553">
        <v>7.0999999999999994E-2</v>
      </c>
      <c r="W1553">
        <v>0.16900000000000001</v>
      </c>
      <c r="X1553">
        <v>0.88100000000000001</v>
      </c>
      <c r="Y1553" t="s">
        <v>27</v>
      </c>
      <c r="Z1553" t="s">
        <v>27</v>
      </c>
      <c r="AA1553" t="s">
        <v>27</v>
      </c>
      <c r="AB1553" t="s">
        <v>27</v>
      </c>
      <c r="AC1553" t="s">
        <v>27</v>
      </c>
      <c r="AD1553" t="s">
        <v>27</v>
      </c>
      <c r="AE1553" t="s">
        <v>27</v>
      </c>
      <c r="AF1553" t="s">
        <v>27</v>
      </c>
      <c r="AG1553">
        <v>20.74</v>
      </c>
    </row>
    <row r="1554" spans="1:33" x14ac:dyDescent="0.25">
      <c r="A1554" t="s">
        <v>57</v>
      </c>
      <c r="B1554" s="3">
        <v>45015</v>
      </c>
      <c r="C1554">
        <v>2023089</v>
      </c>
      <c r="D1554">
        <v>1.19</v>
      </c>
      <c r="E1554" t="s">
        <v>27</v>
      </c>
      <c r="F1554">
        <v>-1.5</v>
      </c>
      <c r="G1554">
        <v>7.4</v>
      </c>
      <c r="H1554">
        <v>-10.4</v>
      </c>
      <c r="I1554">
        <v>53.7</v>
      </c>
      <c r="J1554">
        <v>21.1</v>
      </c>
      <c r="K1554">
        <v>0.9</v>
      </c>
      <c r="L1554">
        <v>3.1</v>
      </c>
      <c r="M1554">
        <v>0</v>
      </c>
      <c r="N1554">
        <v>1.1840000000000002</v>
      </c>
      <c r="O1554">
        <v>-0.3</v>
      </c>
      <c r="P1554" t="s">
        <v>27</v>
      </c>
      <c r="Q1554" t="s">
        <v>27</v>
      </c>
      <c r="R1554" t="s">
        <v>27</v>
      </c>
      <c r="S1554">
        <v>0.1</v>
      </c>
      <c r="T1554">
        <v>0.6</v>
      </c>
      <c r="U1554" t="s">
        <v>27</v>
      </c>
      <c r="V1554">
        <v>7.0999999999999994E-2</v>
      </c>
      <c r="W1554">
        <v>0.217</v>
      </c>
      <c r="X1554">
        <v>0.81100000000000005</v>
      </c>
      <c r="Y1554" t="s">
        <v>27</v>
      </c>
      <c r="Z1554" t="s">
        <v>27</v>
      </c>
      <c r="AA1554" t="s">
        <v>27</v>
      </c>
      <c r="AB1554" t="s">
        <v>27</v>
      </c>
      <c r="AC1554" t="s">
        <v>27</v>
      </c>
      <c r="AD1554" t="s">
        <v>27</v>
      </c>
      <c r="AE1554" t="s">
        <v>27</v>
      </c>
      <c r="AF1554" t="s">
        <v>27</v>
      </c>
      <c r="AG1554">
        <v>21</v>
      </c>
    </row>
    <row r="1555" spans="1:33" x14ac:dyDescent="0.25">
      <c r="A1555" t="s">
        <v>57</v>
      </c>
      <c r="B1555" s="3">
        <v>45016</v>
      </c>
      <c r="C1555">
        <v>2023090</v>
      </c>
      <c r="D1555">
        <v>0.09</v>
      </c>
      <c r="E1555" t="s">
        <v>27</v>
      </c>
      <c r="F1555">
        <v>-3.2</v>
      </c>
      <c r="G1555">
        <v>2.2000000000000002</v>
      </c>
      <c r="H1555">
        <v>-9.1</v>
      </c>
      <c r="I1555">
        <v>79.8</v>
      </c>
      <c r="J1555">
        <v>43.4</v>
      </c>
      <c r="K1555">
        <v>1</v>
      </c>
      <c r="L1555">
        <v>2.8</v>
      </c>
      <c r="M1555">
        <v>0</v>
      </c>
      <c r="N1555">
        <v>1.2040000000000002</v>
      </c>
      <c r="O1555">
        <v>-0.3</v>
      </c>
      <c r="P1555" t="s">
        <v>27</v>
      </c>
      <c r="Q1555" t="s">
        <v>27</v>
      </c>
      <c r="R1555" t="s">
        <v>27</v>
      </c>
      <c r="S1555">
        <v>0.1</v>
      </c>
      <c r="T1555">
        <v>0.6</v>
      </c>
      <c r="U1555" t="s">
        <v>27</v>
      </c>
      <c r="V1555">
        <v>7.1999999999999995E-2</v>
      </c>
      <c r="W1555">
        <v>0.311</v>
      </c>
      <c r="X1555">
        <v>0.40600000000000003</v>
      </c>
      <c r="Y1555" t="s">
        <v>27</v>
      </c>
      <c r="Z1555" t="s">
        <v>27</v>
      </c>
      <c r="AA1555" t="s">
        <v>27</v>
      </c>
      <c r="AB1555" t="s">
        <v>27</v>
      </c>
      <c r="AC1555" t="s">
        <v>27</v>
      </c>
      <c r="AD1555" t="s">
        <v>27</v>
      </c>
      <c r="AE1555" t="s">
        <v>27</v>
      </c>
      <c r="AF1555" t="s">
        <v>27</v>
      </c>
      <c r="AG1555">
        <v>21.27</v>
      </c>
    </row>
    <row r="1556" spans="1:33" x14ac:dyDescent="0.25">
      <c r="A1556" t="s">
        <v>57</v>
      </c>
      <c r="B1556" s="3">
        <v>45017</v>
      </c>
      <c r="C1556">
        <v>2023091</v>
      </c>
      <c r="D1556">
        <v>0</v>
      </c>
      <c r="E1556" t="s">
        <v>27</v>
      </c>
      <c r="F1556">
        <v>-3.6</v>
      </c>
      <c r="G1556">
        <v>1.2</v>
      </c>
      <c r="H1556">
        <v>-7.2</v>
      </c>
      <c r="I1556">
        <v>64.900000000000006</v>
      </c>
      <c r="J1556">
        <v>35.1</v>
      </c>
      <c r="K1556">
        <v>1.8</v>
      </c>
      <c r="L1556">
        <v>4.5</v>
      </c>
      <c r="M1556">
        <v>4</v>
      </c>
      <c r="N1556">
        <v>1.2320000000000002</v>
      </c>
      <c r="O1556">
        <v>-0.4</v>
      </c>
      <c r="P1556" t="s">
        <v>27</v>
      </c>
      <c r="Q1556" t="s">
        <v>27</v>
      </c>
      <c r="R1556" t="s">
        <v>27</v>
      </c>
      <c r="S1556">
        <v>0.1</v>
      </c>
      <c r="T1556">
        <v>0.6</v>
      </c>
      <c r="U1556" t="s">
        <v>27</v>
      </c>
      <c r="V1556">
        <v>7.1999999999999995E-2</v>
      </c>
      <c r="W1556">
        <v>0.23300000000000001</v>
      </c>
      <c r="X1556">
        <v>0.43099999999999999</v>
      </c>
      <c r="Y1556" t="s">
        <v>27</v>
      </c>
      <c r="Z1556" t="s">
        <v>27</v>
      </c>
      <c r="AA1556" t="s">
        <v>27</v>
      </c>
      <c r="AB1556" t="s">
        <v>27</v>
      </c>
      <c r="AC1556" t="s">
        <v>27</v>
      </c>
      <c r="AD1556" t="s">
        <v>27</v>
      </c>
      <c r="AE1556" t="s">
        <v>27</v>
      </c>
      <c r="AF1556" t="s">
        <v>27</v>
      </c>
      <c r="AG1556">
        <v>21.52</v>
      </c>
    </row>
    <row r="1557" spans="1:33" x14ac:dyDescent="0.25">
      <c r="A1557" t="s">
        <v>57</v>
      </c>
      <c r="B1557" s="3">
        <v>45018</v>
      </c>
      <c r="C1557">
        <v>2023092</v>
      </c>
      <c r="D1557">
        <v>0.12</v>
      </c>
      <c r="E1557" t="s">
        <v>27</v>
      </c>
      <c r="F1557">
        <v>-6.6</v>
      </c>
      <c r="G1557">
        <v>2.2000000000000002</v>
      </c>
      <c r="H1557">
        <v>-16</v>
      </c>
      <c r="I1557">
        <v>67.900000000000006</v>
      </c>
      <c r="J1557">
        <v>26.1</v>
      </c>
      <c r="K1557">
        <v>0.7</v>
      </c>
      <c r="L1557">
        <v>2.5</v>
      </c>
      <c r="M1557">
        <v>14</v>
      </c>
      <c r="N1557">
        <v>1.2210000000000001</v>
      </c>
      <c r="O1557">
        <v>-0.4</v>
      </c>
      <c r="P1557" t="s">
        <v>27</v>
      </c>
      <c r="Q1557" t="s">
        <v>27</v>
      </c>
      <c r="R1557" t="s">
        <v>27</v>
      </c>
      <c r="S1557">
        <v>0.1</v>
      </c>
      <c r="T1557">
        <v>0.6</v>
      </c>
      <c r="U1557" t="s">
        <v>27</v>
      </c>
      <c r="V1557">
        <v>7.1999999999999995E-2</v>
      </c>
      <c r="W1557">
        <v>0.187</v>
      </c>
      <c r="X1557">
        <v>0.52900000000000003</v>
      </c>
      <c r="Y1557" t="s">
        <v>27</v>
      </c>
      <c r="Z1557" t="s">
        <v>27</v>
      </c>
      <c r="AA1557" t="s">
        <v>27</v>
      </c>
      <c r="AB1557" t="s">
        <v>27</v>
      </c>
      <c r="AC1557" t="s">
        <v>27</v>
      </c>
      <c r="AD1557" t="s">
        <v>27</v>
      </c>
      <c r="AE1557" t="s">
        <v>27</v>
      </c>
      <c r="AF1557" t="s">
        <v>27</v>
      </c>
      <c r="AG1557">
        <v>21.78</v>
      </c>
    </row>
    <row r="1558" spans="1:33" x14ac:dyDescent="0.25">
      <c r="A1558" t="s">
        <v>57</v>
      </c>
      <c r="B1558" s="3">
        <v>45019</v>
      </c>
      <c r="C1558">
        <v>2023093</v>
      </c>
      <c r="D1558">
        <v>0.15</v>
      </c>
      <c r="E1558" t="s">
        <v>27</v>
      </c>
      <c r="F1558">
        <v>-6.8</v>
      </c>
      <c r="G1558">
        <v>2.6</v>
      </c>
      <c r="H1558">
        <v>-16.3</v>
      </c>
      <c r="I1558">
        <v>69.8</v>
      </c>
      <c r="J1558">
        <v>26.8</v>
      </c>
      <c r="K1558">
        <v>0.6</v>
      </c>
      <c r="L1558">
        <v>2.6</v>
      </c>
      <c r="M1558">
        <v>0</v>
      </c>
      <c r="N1558">
        <v>1.2590000000000001</v>
      </c>
      <c r="O1558">
        <v>-0.4</v>
      </c>
      <c r="P1558" t="s">
        <v>27</v>
      </c>
      <c r="Q1558" t="s">
        <v>27</v>
      </c>
      <c r="R1558" t="s">
        <v>27</v>
      </c>
      <c r="S1558">
        <v>0.1</v>
      </c>
      <c r="T1558">
        <v>0.6</v>
      </c>
      <c r="U1558" t="s">
        <v>27</v>
      </c>
      <c r="V1558">
        <v>7.1999999999999995E-2</v>
      </c>
      <c r="W1558">
        <v>0.19700000000000001</v>
      </c>
      <c r="X1558">
        <v>0.53800000000000003</v>
      </c>
      <c r="Y1558" t="s">
        <v>27</v>
      </c>
      <c r="Z1558" t="s">
        <v>27</v>
      </c>
      <c r="AA1558" t="s">
        <v>27</v>
      </c>
      <c r="AB1558" t="s">
        <v>27</v>
      </c>
      <c r="AC1558" t="s">
        <v>27</v>
      </c>
      <c r="AD1558" t="s">
        <v>27</v>
      </c>
      <c r="AE1558" t="s">
        <v>27</v>
      </c>
      <c r="AF1558" t="s">
        <v>27</v>
      </c>
      <c r="AG1558">
        <v>22.03</v>
      </c>
    </row>
    <row r="1559" spans="1:33" x14ac:dyDescent="0.25">
      <c r="A1559" t="s">
        <v>57</v>
      </c>
      <c r="B1559" s="3">
        <v>45020</v>
      </c>
      <c r="C1559">
        <v>2023094</v>
      </c>
      <c r="D1559">
        <v>0.38</v>
      </c>
      <c r="E1559" t="s">
        <v>27</v>
      </c>
      <c r="F1559">
        <v>-6.1</v>
      </c>
      <c r="G1559">
        <v>2.8</v>
      </c>
      <c r="H1559">
        <v>-15.2</v>
      </c>
      <c r="I1559">
        <v>65.8</v>
      </c>
      <c r="J1559">
        <v>28.9</v>
      </c>
      <c r="K1559">
        <v>0.6</v>
      </c>
      <c r="L1559">
        <v>2.6</v>
      </c>
      <c r="M1559">
        <v>0</v>
      </c>
      <c r="N1559">
        <v>1.2230000000000001</v>
      </c>
      <c r="O1559">
        <v>-0.4</v>
      </c>
      <c r="P1559" t="s">
        <v>27</v>
      </c>
      <c r="Q1559" t="s">
        <v>27</v>
      </c>
      <c r="R1559" t="s">
        <v>27</v>
      </c>
      <c r="S1559">
        <v>0.1</v>
      </c>
      <c r="T1559">
        <v>0.6</v>
      </c>
      <c r="U1559" t="s">
        <v>27</v>
      </c>
      <c r="V1559">
        <v>7.1999999999999995E-2</v>
      </c>
      <c r="W1559">
        <v>0.216</v>
      </c>
      <c r="X1559">
        <v>0.53100000000000003</v>
      </c>
      <c r="Y1559" t="s">
        <v>27</v>
      </c>
      <c r="Z1559" t="s">
        <v>27</v>
      </c>
      <c r="AA1559" t="s">
        <v>27</v>
      </c>
      <c r="AB1559" t="s">
        <v>27</v>
      </c>
      <c r="AC1559" t="s">
        <v>27</v>
      </c>
      <c r="AD1559" t="s">
        <v>27</v>
      </c>
      <c r="AE1559" t="s">
        <v>27</v>
      </c>
      <c r="AF1559" t="s">
        <v>27</v>
      </c>
      <c r="AG1559">
        <v>22.29</v>
      </c>
    </row>
    <row r="1560" spans="1:33" x14ac:dyDescent="0.25">
      <c r="A1560" t="s">
        <v>57</v>
      </c>
      <c r="B1560" s="3">
        <v>45021</v>
      </c>
      <c r="C1560">
        <v>2023095</v>
      </c>
      <c r="D1560">
        <v>0.73</v>
      </c>
      <c r="E1560" t="s">
        <v>27</v>
      </c>
      <c r="F1560">
        <v>-4.7</v>
      </c>
      <c r="G1560">
        <v>5.8</v>
      </c>
      <c r="H1560">
        <v>-16.100000000000001</v>
      </c>
      <c r="I1560">
        <v>56.6</v>
      </c>
      <c r="J1560">
        <v>22.8</v>
      </c>
      <c r="K1560">
        <v>0.8</v>
      </c>
      <c r="L1560">
        <v>3</v>
      </c>
      <c r="M1560">
        <v>0</v>
      </c>
      <c r="N1560">
        <v>1.2070000000000001</v>
      </c>
      <c r="O1560">
        <v>-0.4</v>
      </c>
      <c r="P1560" t="s">
        <v>27</v>
      </c>
      <c r="Q1560" t="s">
        <v>27</v>
      </c>
      <c r="R1560" t="s">
        <v>27</v>
      </c>
      <c r="S1560">
        <v>0.1</v>
      </c>
      <c r="T1560">
        <v>0.6</v>
      </c>
      <c r="U1560" t="s">
        <v>27</v>
      </c>
      <c r="V1560">
        <v>7.1999999999999995E-2</v>
      </c>
      <c r="W1560">
        <v>0.21</v>
      </c>
      <c r="X1560">
        <v>0.71099999999999997</v>
      </c>
      <c r="Y1560" t="s">
        <v>27</v>
      </c>
      <c r="Z1560" t="s">
        <v>27</v>
      </c>
      <c r="AA1560" t="s">
        <v>27</v>
      </c>
      <c r="AB1560" t="s">
        <v>27</v>
      </c>
      <c r="AC1560" t="s">
        <v>27</v>
      </c>
      <c r="AD1560" t="s">
        <v>27</v>
      </c>
      <c r="AE1560" t="s">
        <v>27</v>
      </c>
      <c r="AF1560" t="s">
        <v>27</v>
      </c>
      <c r="AG1560">
        <v>22.55</v>
      </c>
    </row>
    <row r="1561" spans="1:33" x14ac:dyDescent="0.25">
      <c r="A1561" t="s">
        <v>57</v>
      </c>
      <c r="B1561" s="3">
        <v>45022</v>
      </c>
      <c r="C1561">
        <v>2023096</v>
      </c>
      <c r="D1561">
        <v>0.35</v>
      </c>
      <c r="E1561" t="s">
        <v>27</v>
      </c>
      <c r="F1561">
        <v>-0.8</v>
      </c>
      <c r="G1561">
        <v>4.3</v>
      </c>
      <c r="H1561">
        <v>-8.1</v>
      </c>
      <c r="I1561">
        <v>68.099999999999994</v>
      </c>
      <c r="J1561">
        <v>48</v>
      </c>
      <c r="K1561">
        <v>1.2</v>
      </c>
      <c r="L1561">
        <v>3</v>
      </c>
      <c r="M1561">
        <v>0</v>
      </c>
      <c r="N1561">
        <v>1.1940000000000002</v>
      </c>
      <c r="O1561">
        <v>-0.4</v>
      </c>
      <c r="P1561" t="s">
        <v>27</v>
      </c>
      <c r="Q1561" t="s">
        <v>27</v>
      </c>
      <c r="R1561" t="s">
        <v>27</v>
      </c>
      <c r="S1561">
        <v>0.1</v>
      </c>
      <c r="T1561">
        <v>0.6</v>
      </c>
      <c r="U1561" t="s">
        <v>27</v>
      </c>
      <c r="V1561">
        <v>7.2999999999999995E-2</v>
      </c>
      <c r="W1561">
        <v>0.39900000000000002</v>
      </c>
      <c r="X1561">
        <v>0.432</v>
      </c>
      <c r="Y1561" t="s">
        <v>27</v>
      </c>
      <c r="Z1561" t="s">
        <v>27</v>
      </c>
      <c r="AA1561" t="s">
        <v>27</v>
      </c>
      <c r="AB1561" t="s">
        <v>27</v>
      </c>
      <c r="AC1561" t="s">
        <v>27</v>
      </c>
      <c r="AD1561" t="s">
        <v>27</v>
      </c>
      <c r="AE1561" t="s">
        <v>27</v>
      </c>
      <c r="AF1561" t="s">
        <v>27</v>
      </c>
      <c r="AG1561">
        <v>22.8</v>
      </c>
    </row>
    <row r="1562" spans="1:33" x14ac:dyDescent="0.25">
      <c r="A1562" t="s">
        <v>57</v>
      </c>
      <c r="B1562" s="3">
        <v>45023</v>
      </c>
      <c r="C1562">
        <v>2023097</v>
      </c>
      <c r="D1562">
        <v>0.06</v>
      </c>
      <c r="E1562" t="s">
        <v>27</v>
      </c>
      <c r="F1562">
        <v>1</v>
      </c>
      <c r="G1562">
        <v>2.8</v>
      </c>
      <c r="H1562">
        <v>-0.8</v>
      </c>
      <c r="I1562">
        <v>91</v>
      </c>
      <c r="J1562">
        <v>81.2</v>
      </c>
      <c r="K1562">
        <v>0.7</v>
      </c>
      <c r="L1562">
        <v>3.3</v>
      </c>
      <c r="M1562">
        <v>0</v>
      </c>
      <c r="N1562">
        <v>1.278</v>
      </c>
      <c r="O1562">
        <v>-0.4</v>
      </c>
      <c r="P1562" t="s">
        <v>27</v>
      </c>
      <c r="Q1562" t="s">
        <v>27</v>
      </c>
      <c r="R1562" t="s">
        <v>27</v>
      </c>
      <c r="S1562">
        <v>0.1</v>
      </c>
      <c r="T1562">
        <v>0.6</v>
      </c>
      <c r="U1562" t="s">
        <v>27</v>
      </c>
      <c r="V1562">
        <v>7.2999999999999995E-2</v>
      </c>
      <c r="W1562">
        <v>0.60499999999999998</v>
      </c>
      <c r="X1562">
        <v>0.14000000000000001</v>
      </c>
      <c r="Y1562" t="s">
        <v>27</v>
      </c>
      <c r="Z1562" t="s">
        <v>27</v>
      </c>
      <c r="AA1562" t="s">
        <v>27</v>
      </c>
      <c r="AB1562" t="s">
        <v>27</v>
      </c>
      <c r="AC1562" t="s">
        <v>27</v>
      </c>
      <c r="AD1562" t="s">
        <v>27</v>
      </c>
      <c r="AE1562" t="s">
        <v>27</v>
      </c>
      <c r="AF1562" t="s">
        <v>27</v>
      </c>
      <c r="AG1562">
        <v>23.06</v>
      </c>
    </row>
    <row r="1563" spans="1:33" x14ac:dyDescent="0.25">
      <c r="A1563" t="s">
        <v>57</v>
      </c>
      <c r="B1563" s="3">
        <v>45024</v>
      </c>
      <c r="C1563">
        <v>2023098</v>
      </c>
      <c r="D1563">
        <v>0.09</v>
      </c>
      <c r="E1563" t="s">
        <v>27</v>
      </c>
      <c r="F1563">
        <v>-0.1</v>
      </c>
      <c r="G1563">
        <v>2.8</v>
      </c>
      <c r="H1563">
        <v>-3.3</v>
      </c>
      <c r="I1563">
        <v>87.6</v>
      </c>
      <c r="J1563">
        <v>69.8</v>
      </c>
      <c r="K1563">
        <v>0.5</v>
      </c>
      <c r="L1563">
        <v>2.2000000000000002</v>
      </c>
      <c r="M1563">
        <v>0</v>
      </c>
      <c r="N1563">
        <v>1.254</v>
      </c>
      <c r="O1563">
        <v>-0.4</v>
      </c>
      <c r="P1563" t="s">
        <v>27</v>
      </c>
      <c r="Q1563" t="s">
        <v>27</v>
      </c>
      <c r="R1563" t="s">
        <v>27</v>
      </c>
      <c r="S1563">
        <v>0.1</v>
      </c>
      <c r="T1563">
        <v>0.6</v>
      </c>
      <c r="U1563" t="s">
        <v>27</v>
      </c>
      <c r="V1563">
        <v>7.2999999999999995E-2</v>
      </c>
      <c r="W1563">
        <v>0.52</v>
      </c>
      <c r="X1563">
        <v>0.22500000000000001</v>
      </c>
      <c r="Y1563" t="s">
        <v>27</v>
      </c>
      <c r="Z1563" t="s">
        <v>27</v>
      </c>
      <c r="AA1563" t="s">
        <v>27</v>
      </c>
      <c r="AB1563" t="s">
        <v>27</v>
      </c>
      <c r="AC1563" t="s">
        <v>27</v>
      </c>
      <c r="AD1563" t="s">
        <v>27</v>
      </c>
      <c r="AE1563" t="s">
        <v>27</v>
      </c>
      <c r="AF1563" t="s">
        <v>27</v>
      </c>
      <c r="AG1563">
        <v>23.31</v>
      </c>
    </row>
    <row r="1564" spans="1:33" x14ac:dyDescent="0.25">
      <c r="A1564" t="s">
        <v>57</v>
      </c>
      <c r="B1564" s="3">
        <v>45025</v>
      </c>
      <c r="C1564">
        <v>2023099</v>
      </c>
      <c r="D1564">
        <v>0.55000000000000004</v>
      </c>
      <c r="E1564" t="s">
        <v>27</v>
      </c>
      <c r="F1564">
        <v>2.5</v>
      </c>
      <c r="G1564">
        <v>6.5</v>
      </c>
      <c r="H1564">
        <v>-1.2</v>
      </c>
      <c r="I1564">
        <v>84.5</v>
      </c>
      <c r="J1564">
        <v>69.7</v>
      </c>
      <c r="K1564">
        <v>1.8</v>
      </c>
      <c r="L1564">
        <v>4.5999999999999996</v>
      </c>
      <c r="M1564">
        <v>0</v>
      </c>
      <c r="N1564">
        <v>1.2230000000000001</v>
      </c>
      <c r="O1564">
        <v>-0.3</v>
      </c>
      <c r="P1564" t="s">
        <v>27</v>
      </c>
      <c r="Q1564" t="s">
        <v>27</v>
      </c>
      <c r="R1564" t="s">
        <v>27</v>
      </c>
      <c r="S1564">
        <v>0.1</v>
      </c>
      <c r="T1564">
        <v>0.6</v>
      </c>
      <c r="U1564" t="s">
        <v>27</v>
      </c>
      <c r="V1564">
        <v>7.2999999999999995E-2</v>
      </c>
      <c r="W1564">
        <v>0.67500000000000004</v>
      </c>
      <c r="X1564">
        <v>0.29299999999999998</v>
      </c>
      <c r="Y1564" t="s">
        <v>27</v>
      </c>
      <c r="Z1564" t="s">
        <v>27</v>
      </c>
      <c r="AA1564" t="s">
        <v>27</v>
      </c>
      <c r="AB1564" t="s">
        <v>27</v>
      </c>
      <c r="AC1564" t="s">
        <v>27</v>
      </c>
      <c r="AD1564" t="s">
        <v>27</v>
      </c>
      <c r="AE1564" t="s">
        <v>27</v>
      </c>
      <c r="AF1564" t="s">
        <v>27</v>
      </c>
      <c r="AG1564">
        <v>23.56</v>
      </c>
    </row>
    <row r="1565" spans="1:33" x14ac:dyDescent="0.25">
      <c r="A1565" t="s">
        <v>57</v>
      </c>
      <c r="B1565" s="3">
        <v>45026</v>
      </c>
      <c r="C1565">
        <v>2023100</v>
      </c>
      <c r="D1565">
        <v>0.11</v>
      </c>
      <c r="E1565" t="s">
        <v>27</v>
      </c>
      <c r="F1565">
        <v>1</v>
      </c>
      <c r="G1565">
        <v>3</v>
      </c>
      <c r="H1565">
        <v>-0.7</v>
      </c>
      <c r="I1565">
        <v>93.8</v>
      </c>
      <c r="J1565">
        <v>83.3</v>
      </c>
      <c r="K1565">
        <v>0.4</v>
      </c>
      <c r="L1565">
        <v>3.1</v>
      </c>
      <c r="M1565">
        <v>3</v>
      </c>
      <c r="N1565">
        <v>1.24</v>
      </c>
      <c r="O1565">
        <v>-0.2</v>
      </c>
      <c r="P1565" t="s">
        <v>27</v>
      </c>
      <c r="Q1565" t="s">
        <v>27</v>
      </c>
      <c r="R1565" t="s">
        <v>27</v>
      </c>
      <c r="S1565">
        <v>0.1</v>
      </c>
      <c r="T1565">
        <v>0.6</v>
      </c>
      <c r="U1565" t="s">
        <v>27</v>
      </c>
      <c r="V1565">
        <v>8.3000000000000004E-2</v>
      </c>
      <c r="W1565">
        <v>0.63</v>
      </c>
      <c r="X1565">
        <v>0.126</v>
      </c>
      <c r="Y1565" t="s">
        <v>27</v>
      </c>
      <c r="Z1565" t="s">
        <v>27</v>
      </c>
      <c r="AA1565" t="s">
        <v>27</v>
      </c>
      <c r="AB1565" t="s">
        <v>27</v>
      </c>
      <c r="AC1565" t="s">
        <v>27</v>
      </c>
      <c r="AD1565" t="s">
        <v>27</v>
      </c>
      <c r="AE1565" t="s">
        <v>27</v>
      </c>
      <c r="AF1565" t="s">
        <v>27</v>
      </c>
      <c r="AG1565">
        <v>23.81</v>
      </c>
    </row>
    <row r="1566" spans="1:33" x14ac:dyDescent="0.25">
      <c r="A1566" t="s">
        <v>57</v>
      </c>
      <c r="B1566" s="3">
        <v>45027</v>
      </c>
      <c r="C1566">
        <v>2023101</v>
      </c>
      <c r="D1566">
        <v>0.13</v>
      </c>
      <c r="E1566" t="s">
        <v>27</v>
      </c>
      <c r="F1566">
        <v>-2.9</v>
      </c>
      <c r="G1566">
        <v>2</v>
      </c>
      <c r="H1566">
        <v>-8.9</v>
      </c>
      <c r="I1566">
        <v>82.4</v>
      </c>
      <c r="J1566">
        <v>62.3</v>
      </c>
      <c r="K1566">
        <v>1.1000000000000001</v>
      </c>
      <c r="L1566">
        <v>4.0999999999999996</v>
      </c>
      <c r="M1566">
        <v>8</v>
      </c>
      <c r="N1566">
        <v>1.266</v>
      </c>
      <c r="O1566">
        <v>-0.1</v>
      </c>
      <c r="P1566" t="s">
        <v>27</v>
      </c>
      <c r="Q1566" t="s">
        <v>27</v>
      </c>
      <c r="R1566" t="s">
        <v>27</v>
      </c>
      <c r="S1566">
        <v>0.1</v>
      </c>
      <c r="T1566">
        <v>0.6</v>
      </c>
      <c r="U1566" t="s">
        <v>27</v>
      </c>
      <c r="V1566">
        <v>9.2999999999999999E-2</v>
      </c>
      <c r="W1566">
        <v>0.44</v>
      </c>
      <c r="X1566">
        <v>0.26600000000000001</v>
      </c>
      <c r="Y1566" t="s">
        <v>27</v>
      </c>
      <c r="Z1566" t="s">
        <v>27</v>
      </c>
      <c r="AA1566" t="s">
        <v>27</v>
      </c>
      <c r="AB1566" t="s">
        <v>27</v>
      </c>
      <c r="AC1566" t="s">
        <v>27</v>
      </c>
      <c r="AD1566" t="s">
        <v>27</v>
      </c>
      <c r="AE1566" t="s">
        <v>27</v>
      </c>
      <c r="AF1566" t="s">
        <v>27</v>
      </c>
      <c r="AG1566">
        <v>24.05</v>
      </c>
    </row>
    <row r="1567" spans="1:33" x14ac:dyDescent="0.25">
      <c r="A1567" t="s">
        <v>57</v>
      </c>
      <c r="B1567" s="3">
        <v>45028</v>
      </c>
      <c r="C1567">
        <v>2023102</v>
      </c>
      <c r="D1567">
        <v>0.01</v>
      </c>
      <c r="E1567" t="s">
        <v>27</v>
      </c>
      <c r="F1567">
        <v>-4.9000000000000004</v>
      </c>
      <c r="G1567">
        <v>1.5</v>
      </c>
      <c r="H1567">
        <v>-12.2</v>
      </c>
      <c r="I1567">
        <v>77.599999999999994</v>
      </c>
      <c r="J1567">
        <v>52.9</v>
      </c>
      <c r="K1567">
        <v>0.7</v>
      </c>
      <c r="L1567">
        <v>2.8</v>
      </c>
      <c r="M1567">
        <v>0</v>
      </c>
      <c r="N1567">
        <v>1.2570000000000001</v>
      </c>
      <c r="O1567">
        <v>-0.1</v>
      </c>
      <c r="P1567" t="s">
        <v>27</v>
      </c>
      <c r="Q1567" t="s">
        <v>27</v>
      </c>
      <c r="R1567" t="s">
        <v>27</v>
      </c>
      <c r="S1567">
        <v>0.1</v>
      </c>
      <c r="T1567">
        <v>0.6</v>
      </c>
      <c r="U1567" t="s">
        <v>27</v>
      </c>
      <c r="V1567">
        <v>0.10199999999999999</v>
      </c>
      <c r="W1567">
        <v>0.36</v>
      </c>
      <c r="X1567">
        <v>0.32100000000000001</v>
      </c>
      <c r="Y1567" t="s">
        <v>27</v>
      </c>
      <c r="Z1567" t="s">
        <v>27</v>
      </c>
      <c r="AA1567" t="s">
        <v>27</v>
      </c>
      <c r="AB1567" t="s">
        <v>27</v>
      </c>
      <c r="AC1567" t="s">
        <v>27</v>
      </c>
      <c r="AD1567" t="s">
        <v>27</v>
      </c>
      <c r="AE1567" t="s">
        <v>27</v>
      </c>
      <c r="AF1567" t="s">
        <v>27</v>
      </c>
      <c r="AG1567">
        <v>24.3</v>
      </c>
    </row>
    <row r="1568" spans="1:33" x14ac:dyDescent="0.25">
      <c r="A1568" t="s">
        <v>57</v>
      </c>
      <c r="B1568" s="3">
        <v>45029</v>
      </c>
      <c r="C1568">
        <v>2023103</v>
      </c>
      <c r="D1568">
        <v>0.32</v>
      </c>
      <c r="E1568" t="s">
        <v>27</v>
      </c>
      <c r="F1568">
        <v>-3.8</v>
      </c>
      <c r="G1568">
        <v>4.0999999999999996</v>
      </c>
      <c r="H1568">
        <v>-12.2</v>
      </c>
      <c r="I1568">
        <v>70.599999999999994</v>
      </c>
      <c r="J1568">
        <v>33.700000000000003</v>
      </c>
      <c r="K1568">
        <v>0.8</v>
      </c>
      <c r="L1568">
        <v>2.6</v>
      </c>
      <c r="M1568">
        <v>0</v>
      </c>
      <c r="N1568">
        <v>1.2340000000000002</v>
      </c>
      <c r="O1568">
        <v>0</v>
      </c>
      <c r="P1568" t="s">
        <v>27</v>
      </c>
      <c r="Q1568" t="s">
        <v>27</v>
      </c>
      <c r="R1568" t="s">
        <v>27</v>
      </c>
      <c r="S1568">
        <v>0.1</v>
      </c>
      <c r="T1568">
        <v>0.6</v>
      </c>
      <c r="U1568" t="s">
        <v>27</v>
      </c>
      <c r="V1568">
        <v>0.105</v>
      </c>
      <c r="W1568">
        <v>0.27500000000000002</v>
      </c>
      <c r="X1568">
        <v>0.54100000000000004</v>
      </c>
      <c r="Y1568" t="s">
        <v>27</v>
      </c>
      <c r="Z1568" t="s">
        <v>27</v>
      </c>
      <c r="AA1568" t="s">
        <v>27</v>
      </c>
      <c r="AB1568" t="s">
        <v>27</v>
      </c>
      <c r="AC1568" t="s">
        <v>27</v>
      </c>
      <c r="AD1568" t="s">
        <v>27</v>
      </c>
      <c r="AE1568" t="s">
        <v>27</v>
      </c>
      <c r="AF1568" t="s">
        <v>27</v>
      </c>
      <c r="AG1568">
        <v>24.53</v>
      </c>
    </row>
    <row r="1569" spans="1:33" x14ac:dyDescent="0.25">
      <c r="A1569" t="s">
        <v>57</v>
      </c>
      <c r="B1569" s="3">
        <v>45030</v>
      </c>
      <c r="C1569">
        <v>2023104</v>
      </c>
      <c r="D1569">
        <v>0.68</v>
      </c>
      <c r="E1569" t="s">
        <v>27</v>
      </c>
      <c r="F1569">
        <v>-2.6</v>
      </c>
      <c r="G1569">
        <v>6.6</v>
      </c>
      <c r="H1569">
        <v>-9.8000000000000007</v>
      </c>
      <c r="I1569">
        <v>66</v>
      </c>
      <c r="J1569">
        <v>21.7</v>
      </c>
      <c r="K1569">
        <v>0.5</v>
      </c>
      <c r="L1569">
        <v>2.5</v>
      </c>
      <c r="M1569">
        <v>0</v>
      </c>
      <c r="N1569">
        <v>1.2280000000000002</v>
      </c>
      <c r="O1569">
        <v>0</v>
      </c>
      <c r="P1569" t="s">
        <v>27</v>
      </c>
      <c r="Q1569" t="s">
        <v>27</v>
      </c>
      <c r="R1569" t="s">
        <v>27</v>
      </c>
      <c r="S1569">
        <v>0.1</v>
      </c>
      <c r="T1569">
        <v>0.5</v>
      </c>
      <c r="U1569" t="s">
        <v>27</v>
      </c>
      <c r="V1569">
        <v>0.105</v>
      </c>
      <c r="W1569">
        <v>0.21099999999999999</v>
      </c>
      <c r="X1569">
        <v>0.76100000000000001</v>
      </c>
      <c r="Y1569" t="s">
        <v>27</v>
      </c>
      <c r="Z1569" t="s">
        <v>27</v>
      </c>
      <c r="AA1569" t="s">
        <v>27</v>
      </c>
      <c r="AB1569" t="s">
        <v>27</v>
      </c>
      <c r="AC1569" t="s">
        <v>27</v>
      </c>
      <c r="AD1569" t="s">
        <v>27</v>
      </c>
      <c r="AE1569" t="s">
        <v>27</v>
      </c>
      <c r="AF1569" t="s">
        <v>27</v>
      </c>
      <c r="AG1569">
        <v>24.78</v>
      </c>
    </row>
    <row r="1570" spans="1:33" x14ac:dyDescent="0.25">
      <c r="A1570" t="s">
        <v>57</v>
      </c>
      <c r="B1570" s="3">
        <v>45031</v>
      </c>
      <c r="C1570">
        <v>2023105</v>
      </c>
      <c r="D1570">
        <v>0.72</v>
      </c>
      <c r="E1570" t="s">
        <v>27</v>
      </c>
      <c r="F1570">
        <v>-0.1</v>
      </c>
      <c r="G1570">
        <v>7.1</v>
      </c>
      <c r="H1570">
        <v>-6.5</v>
      </c>
      <c r="I1570">
        <v>73</v>
      </c>
      <c r="J1570">
        <v>35.9</v>
      </c>
      <c r="K1570">
        <v>1.2</v>
      </c>
      <c r="L1570">
        <v>3.5</v>
      </c>
      <c r="M1570">
        <v>0</v>
      </c>
      <c r="N1570">
        <v>1.2290000000000001</v>
      </c>
      <c r="O1570">
        <v>0</v>
      </c>
      <c r="P1570" t="s">
        <v>27</v>
      </c>
      <c r="Q1570" t="s">
        <v>27</v>
      </c>
      <c r="R1570" t="s">
        <v>27</v>
      </c>
      <c r="S1570">
        <v>0.1</v>
      </c>
      <c r="T1570">
        <v>0.6</v>
      </c>
      <c r="U1570" t="s">
        <v>27</v>
      </c>
      <c r="V1570">
        <v>0.105</v>
      </c>
      <c r="W1570">
        <v>0.36199999999999999</v>
      </c>
      <c r="X1570">
        <v>0.64600000000000002</v>
      </c>
      <c r="Y1570" t="s">
        <v>27</v>
      </c>
      <c r="Z1570" t="s">
        <v>27</v>
      </c>
      <c r="AA1570" t="s">
        <v>27</v>
      </c>
      <c r="AB1570" t="s">
        <v>27</v>
      </c>
      <c r="AC1570" t="s">
        <v>27</v>
      </c>
      <c r="AD1570" t="s">
        <v>27</v>
      </c>
      <c r="AE1570" t="s">
        <v>27</v>
      </c>
      <c r="AF1570" t="s">
        <v>27</v>
      </c>
      <c r="AG1570">
        <v>25.02</v>
      </c>
    </row>
    <row r="1571" spans="1:33" x14ac:dyDescent="0.25">
      <c r="A1571" t="s">
        <v>57</v>
      </c>
      <c r="B1571" s="3">
        <v>45032</v>
      </c>
      <c r="C1571">
        <v>2023106</v>
      </c>
      <c r="D1571">
        <v>0.34</v>
      </c>
      <c r="E1571" t="s">
        <v>27</v>
      </c>
      <c r="F1571">
        <v>0.5</v>
      </c>
      <c r="G1571">
        <v>6.6</v>
      </c>
      <c r="H1571">
        <v>-3.7</v>
      </c>
      <c r="I1571">
        <v>82.7</v>
      </c>
      <c r="J1571">
        <v>47.8</v>
      </c>
      <c r="K1571">
        <v>1.2</v>
      </c>
      <c r="L1571">
        <v>4</v>
      </c>
      <c r="M1571">
        <v>3</v>
      </c>
      <c r="N1571">
        <v>1.2300000000000002</v>
      </c>
      <c r="O1571">
        <v>0</v>
      </c>
      <c r="P1571" t="s">
        <v>27</v>
      </c>
      <c r="Q1571" t="s">
        <v>27</v>
      </c>
      <c r="R1571" t="s">
        <v>27</v>
      </c>
      <c r="S1571">
        <v>0.1</v>
      </c>
      <c r="T1571">
        <v>0.6</v>
      </c>
      <c r="U1571" t="s">
        <v>27</v>
      </c>
      <c r="V1571">
        <v>0.105</v>
      </c>
      <c r="W1571">
        <v>0.46700000000000003</v>
      </c>
      <c r="X1571">
        <v>0.51</v>
      </c>
      <c r="Y1571" t="s">
        <v>27</v>
      </c>
      <c r="Z1571" t="s">
        <v>27</v>
      </c>
      <c r="AA1571" t="s">
        <v>27</v>
      </c>
      <c r="AB1571" t="s">
        <v>27</v>
      </c>
      <c r="AC1571" t="s">
        <v>27</v>
      </c>
      <c r="AD1571" t="s">
        <v>27</v>
      </c>
      <c r="AE1571" t="s">
        <v>27</v>
      </c>
      <c r="AF1571" t="s">
        <v>27</v>
      </c>
      <c r="AG1571">
        <v>25.26</v>
      </c>
    </row>
    <row r="1572" spans="1:33" x14ac:dyDescent="0.25">
      <c r="A1572" t="s">
        <v>57</v>
      </c>
      <c r="B1572" s="3">
        <v>45033</v>
      </c>
      <c r="C1572">
        <v>2023107</v>
      </c>
      <c r="D1572">
        <v>0.59</v>
      </c>
      <c r="E1572" t="s">
        <v>27</v>
      </c>
      <c r="F1572">
        <v>-1.6</v>
      </c>
      <c r="G1572">
        <v>5.3</v>
      </c>
      <c r="H1572">
        <v>-9.8000000000000007</v>
      </c>
      <c r="I1572">
        <v>63.4</v>
      </c>
      <c r="J1572">
        <v>26</v>
      </c>
      <c r="K1572">
        <v>1.2</v>
      </c>
      <c r="L1572">
        <v>2.9</v>
      </c>
      <c r="M1572">
        <v>1</v>
      </c>
      <c r="N1572">
        <v>1.2150000000000001</v>
      </c>
      <c r="O1572">
        <v>0</v>
      </c>
      <c r="P1572" t="s">
        <v>27</v>
      </c>
      <c r="Q1572" t="s">
        <v>27</v>
      </c>
      <c r="R1572" t="s">
        <v>27</v>
      </c>
      <c r="S1572">
        <v>0.1</v>
      </c>
      <c r="T1572">
        <v>0.6</v>
      </c>
      <c r="U1572" t="s">
        <v>27</v>
      </c>
      <c r="V1572">
        <v>0.105</v>
      </c>
      <c r="W1572">
        <v>0.23200000000000001</v>
      </c>
      <c r="X1572">
        <v>0.66</v>
      </c>
      <c r="Y1572" t="s">
        <v>27</v>
      </c>
      <c r="Z1572" t="s">
        <v>27</v>
      </c>
      <c r="AA1572" t="s">
        <v>27</v>
      </c>
      <c r="AB1572" t="s">
        <v>27</v>
      </c>
      <c r="AC1572" t="s">
        <v>27</v>
      </c>
      <c r="AD1572" t="s">
        <v>27</v>
      </c>
      <c r="AE1572" t="s">
        <v>27</v>
      </c>
      <c r="AF1572" t="s">
        <v>27</v>
      </c>
      <c r="AG1572">
        <v>25.49</v>
      </c>
    </row>
    <row r="1573" spans="1:33" x14ac:dyDescent="0.25">
      <c r="A1573" t="s">
        <v>57</v>
      </c>
      <c r="B1573" s="3">
        <v>45034</v>
      </c>
      <c r="C1573">
        <v>2023108</v>
      </c>
      <c r="D1573">
        <v>0.16</v>
      </c>
      <c r="E1573" t="s">
        <v>27</v>
      </c>
      <c r="F1573">
        <v>-2.6</v>
      </c>
      <c r="G1573">
        <v>3.3</v>
      </c>
      <c r="H1573">
        <v>-9.5</v>
      </c>
      <c r="I1573">
        <v>78.099999999999994</v>
      </c>
      <c r="J1573">
        <v>35.6</v>
      </c>
      <c r="K1573">
        <v>0.8</v>
      </c>
      <c r="L1573">
        <v>3.6</v>
      </c>
      <c r="M1573">
        <v>4</v>
      </c>
      <c r="N1573">
        <v>1.246</v>
      </c>
      <c r="O1573">
        <v>0</v>
      </c>
      <c r="P1573" t="s">
        <v>27</v>
      </c>
      <c r="Q1573" t="s">
        <v>27</v>
      </c>
      <c r="R1573" t="s">
        <v>27</v>
      </c>
      <c r="S1573">
        <v>0.1</v>
      </c>
      <c r="T1573">
        <v>0.5</v>
      </c>
      <c r="U1573" t="s">
        <v>27</v>
      </c>
      <c r="V1573">
        <v>0.106</v>
      </c>
      <c r="W1573">
        <v>0.27600000000000002</v>
      </c>
      <c r="X1573">
        <v>0.499</v>
      </c>
      <c r="Y1573" t="s">
        <v>27</v>
      </c>
      <c r="Z1573" t="s">
        <v>27</v>
      </c>
      <c r="AA1573" t="s">
        <v>27</v>
      </c>
      <c r="AB1573" t="s">
        <v>27</v>
      </c>
      <c r="AC1573" t="s">
        <v>27</v>
      </c>
      <c r="AD1573" t="s">
        <v>27</v>
      </c>
      <c r="AE1573" t="s">
        <v>27</v>
      </c>
      <c r="AF1573" t="s">
        <v>27</v>
      </c>
      <c r="AG1573">
        <v>25.73</v>
      </c>
    </row>
    <row r="1574" spans="1:33" x14ac:dyDescent="0.25">
      <c r="A1574" t="s">
        <v>57</v>
      </c>
      <c r="B1574" s="3">
        <v>45035</v>
      </c>
      <c r="C1574">
        <v>2023109</v>
      </c>
      <c r="D1574">
        <v>0.21</v>
      </c>
      <c r="E1574" t="s">
        <v>27</v>
      </c>
      <c r="F1574">
        <v>-4</v>
      </c>
      <c r="G1574">
        <v>5.0999999999999996</v>
      </c>
      <c r="H1574">
        <v>-12.8</v>
      </c>
      <c r="I1574">
        <v>74.900000000000006</v>
      </c>
      <c r="J1574">
        <v>40.6</v>
      </c>
      <c r="K1574">
        <v>0.5</v>
      </c>
      <c r="L1574">
        <v>2.8</v>
      </c>
      <c r="M1574">
        <v>1</v>
      </c>
      <c r="N1574">
        <v>1.2370000000000001</v>
      </c>
      <c r="O1574">
        <v>0</v>
      </c>
      <c r="P1574" t="s">
        <v>27</v>
      </c>
      <c r="Q1574" t="s">
        <v>27</v>
      </c>
      <c r="R1574" t="s">
        <v>27</v>
      </c>
      <c r="S1574">
        <v>0.1</v>
      </c>
      <c r="T1574">
        <v>0.5</v>
      </c>
      <c r="U1574" t="s">
        <v>27</v>
      </c>
      <c r="V1574">
        <v>0.106</v>
      </c>
      <c r="W1574">
        <v>0.35599999999999998</v>
      </c>
      <c r="X1574">
        <v>0.52100000000000002</v>
      </c>
      <c r="Y1574" t="s">
        <v>27</v>
      </c>
      <c r="Z1574" t="s">
        <v>27</v>
      </c>
      <c r="AA1574" t="s">
        <v>27</v>
      </c>
      <c r="AB1574" t="s">
        <v>27</v>
      </c>
      <c r="AC1574" t="s">
        <v>27</v>
      </c>
      <c r="AD1574" t="s">
        <v>27</v>
      </c>
      <c r="AE1574" t="s">
        <v>27</v>
      </c>
      <c r="AF1574" t="s">
        <v>27</v>
      </c>
      <c r="AG1574">
        <v>25.96</v>
      </c>
    </row>
    <row r="1575" spans="1:33" x14ac:dyDescent="0.25">
      <c r="A1575" t="s">
        <v>57</v>
      </c>
      <c r="B1575" s="3">
        <v>45036</v>
      </c>
      <c r="C1575">
        <v>2023110</v>
      </c>
      <c r="D1575">
        <v>0.31</v>
      </c>
      <c r="E1575" t="s">
        <v>27</v>
      </c>
      <c r="F1575">
        <v>-3.1</v>
      </c>
      <c r="G1575">
        <v>5</v>
      </c>
      <c r="H1575">
        <v>-12</v>
      </c>
      <c r="I1575">
        <v>73.3</v>
      </c>
      <c r="J1575">
        <v>35.200000000000003</v>
      </c>
      <c r="K1575">
        <v>1</v>
      </c>
      <c r="L1575">
        <v>3.8</v>
      </c>
      <c r="M1575">
        <v>2</v>
      </c>
      <c r="N1575">
        <v>1.266</v>
      </c>
      <c r="O1575">
        <v>0</v>
      </c>
      <c r="P1575" t="s">
        <v>27</v>
      </c>
      <c r="Q1575" t="s">
        <v>27</v>
      </c>
      <c r="R1575" t="s">
        <v>27</v>
      </c>
      <c r="S1575">
        <v>0.1</v>
      </c>
      <c r="T1575">
        <v>0.5</v>
      </c>
      <c r="U1575" t="s">
        <v>27</v>
      </c>
      <c r="V1575">
        <v>0.106</v>
      </c>
      <c r="W1575">
        <v>0.308</v>
      </c>
      <c r="X1575">
        <v>0.56699999999999995</v>
      </c>
      <c r="Y1575" t="s">
        <v>27</v>
      </c>
      <c r="Z1575" t="s">
        <v>27</v>
      </c>
      <c r="AA1575" t="s">
        <v>27</v>
      </c>
      <c r="AB1575" t="s">
        <v>27</v>
      </c>
      <c r="AC1575" t="s">
        <v>27</v>
      </c>
      <c r="AD1575" t="s">
        <v>27</v>
      </c>
      <c r="AE1575" t="s">
        <v>27</v>
      </c>
      <c r="AF1575" t="s">
        <v>27</v>
      </c>
      <c r="AG1575">
        <v>26.18</v>
      </c>
    </row>
    <row r="1576" spans="1:33" x14ac:dyDescent="0.25">
      <c r="A1576" t="s">
        <v>57</v>
      </c>
      <c r="B1576" s="3">
        <v>45037</v>
      </c>
      <c r="C1576">
        <v>2023111</v>
      </c>
      <c r="D1576">
        <v>0.09</v>
      </c>
      <c r="E1576" t="s">
        <v>27</v>
      </c>
      <c r="F1576">
        <v>-1.3</v>
      </c>
      <c r="G1576">
        <v>2.9</v>
      </c>
      <c r="H1576">
        <v>-5.5</v>
      </c>
      <c r="I1576">
        <v>77.400000000000006</v>
      </c>
      <c r="J1576">
        <v>52.2</v>
      </c>
      <c r="K1576">
        <v>0.4</v>
      </c>
      <c r="L1576">
        <v>1.8</v>
      </c>
      <c r="M1576">
        <v>0</v>
      </c>
      <c r="N1576">
        <v>1.2350000000000001</v>
      </c>
      <c r="O1576">
        <v>0</v>
      </c>
      <c r="P1576" t="s">
        <v>27</v>
      </c>
      <c r="Q1576" t="s">
        <v>27</v>
      </c>
      <c r="R1576" t="s">
        <v>27</v>
      </c>
      <c r="S1576">
        <v>0.1</v>
      </c>
      <c r="T1576">
        <v>0.5</v>
      </c>
      <c r="U1576" t="s">
        <v>27</v>
      </c>
      <c r="V1576">
        <v>0.106</v>
      </c>
      <c r="W1576">
        <v>0.39200000000000002</v>
      </c>
      <c r="X1576">
        <v>0.35899999999999999</v>
      </c>
      <c r="Y1576" t="s">
        <v>27</v>
      </c>
      <c r="Z1576" t="s">
        <v>27</v>
      </c>
      <c r="AA1576" t="s">
        <v>27</v>
      </c>
      <c r="AB1576" t="s">
        <v>27</v>
      </c>
      <c r="AC1576" t="s">
        <v>27</v>
      </c>
      <c r="AD1576" t="s">
        <v>27</v>
      </c>
      <c r="AE1576" t="s">
        <v>27</v>
      </c>
      <c r="AF1576" t="s">
        <v>27</v>
      </c>
      <c r="AG1576">
        <v>26.41</v>
      </c>
    </row>
    <row r="1577" spans="1:33" x14ac:dyDescent="0.25">
      <c r="A1577" t="s">
        <v>57</v>
      </c>
      <c r="B1577" s="3">
        <v>45038</v>
      </c>
      <c r="C1577">
        <v>2023112</v>
      </c>
      <c r="D1577">
        <v>0.88</v>
      </c>
      <c r="E1577" t="s">
        <v>27</v>
      </c>
      <c r="F1577">
        <v>1.2</v>
      </c>
      <c r="G1577">
        <v>7.2</v>
      </c>
      <c r="H1577">
        <v>-6</v>
      </c>
      <c r="I1577">
        <v>72.099999999999994</v>
      </c>
      <c r="J1577">
        <v>49</v>
      </c>
      <c r="K1577">
        <v>0.6</v>
      </c>
      <c r="L1577">
        <v>2.1</v>
      </c>
      <c r="M1577">
        <v>0</v>
      </c>
      <c r="N1577">
        <v>1.2080000000000002</v>
      </c>
      <c r="O1577">
        <v>0.1</v>
      </c>
      <c r="P1577" t="s">
        <v>27</v>
      </c>
      <c r="Q1577" t="s">
        <v>27</v>
      </c>
      <c r="R1577" t="s">
        <v>27</v>
      </c>
      <c r="S1577">
        <v>0.1</v>
      </c>
      <c r="T1577">
        <v>0.5</v>
      </c>
      <c r="U1577" t="s">
        <v>27</v>
      </c>
      <c r="V1577">
        <v>0.106</v>
      </c>
      <c r="W1577">
        <v>0.499</v>
      </c>
      <c r="X1577">
        <v>0.51900000000000002</v>
      </c>
      <c r="Y1577" t="s">
        <v>27</v>
      </c>
      <c r="Z1577" t="s">
        <v>27</v>
      </c>
      <c r="AA1577" t="s">
        <v>27</v>
      </c>
      <c r="AB1577" t="s">
        <v>27</v>
      </c>
      <c r="AC1577" t="s">
        <v>27</v>
      </c>
      <c r="AD1577" t="s">
        <v>27</v>
      </c>
      <c r="AE1577" t="s">
        <v>27</v>
      </c>
      <c r="AF1577" t="s">
        <v>27</v>
      </c>
      <c r="AG1577">
        <v>26.63</v>
      </c>
    </row>
    <row r="1578" spans="1:33" x14ac:dyDescent="0.25">
      <c r="A1578" t="s">
        <v>57</v>
      </c>
      <c r="B1578" s="3">
        <v>45039</v>
      </c>
      <c r="C1578">
        <v>2023113</v>
      </c>
      <c r="D1578">
        <v>0.19</v>
      </c>
      <c r="E1578" t="s">
        <v>27</v>
      </c>
      <c r="F1578">
        <v>1.5</v>
      </c>
      <c r="G1578">
        <v>3.5</v>
      </c>
      <c r="H1578">
        <v>-0.3</v>
      </c>
      <c r="I1578">
        <v>93.5</v>
      </c>
      <c r="J1578">
        <v>80.7</v>
      </c>
      <c r="K1578">
        <v>0.5</v>
      </c>
      <c r="L1578">
        <v>2.2000000000000002</v>
      </c>
      <c r="M1578">
        <v>9</v>
      </c>
      <c r="N1578">
        <v>1.2370000000000001</v>
      </c>
      <c r="O1578">
        <v>0.1</v>
      </c>
      <c r="P1578" t="s">
        <v>27</v>
      </c>
      <c r="Q1578" t="s">
        <v>27</v>
      </c>
      <c r="R1578" t="s">
        <v>27</v>
      </c>
      <c r="S1578">
        <v>0.1</v>
      </c>
      <c r="T1578">
        <v>0.6</v>
      </c>
      <c r="U1578" t="s">
        <v>27</v>
      </c>
      <c r="V1578">
        <v>0.106</v>
      </c>
      <c r="W1578">
        <v>0.63500000000000001</v>
      </c>
      <c r="X1578">
        <v>0.152</v>
      </c>
      <c r="Y1578" t="s">
        <v>27</v>
      </c>
      <c r="Z1578" t="s">
        <v>27</v>
      </c>
      <c r="AA1578" t="s">
        <v>27</v>
      </c>
      <c r="AB1578" t="s">
        <v>27</v>
      </c>
      <c r="AC1578" t="s">
        <v>27</v>
      </c>
      <c r="AD1578" t="s">
        <v>27</v>
      </c>
      <c r="AE1578" t="s">
        <v>27</v>
      </c>
      <c r="AF1578" t="s">
        <v>27</v>
      </c>
      <c r="AG1578">
        <v>26.85</v>
      </c>
    </row>
    <row r="1579" spans="1:33" x14ac:dyDescent="0.25">
      <c r="A1579" t="s">
        <v>57</v>
      </c>
      <c r="B1579" s="3">
        <v>45040</v>
      </c>
      <c r="C1579">
        <v>2023114</v>
      </c>
      <c r="D1579">
        <v>0.88</v>
      </c>
      <c r="E1579" t="s">
        <v>27</v>
      </c>
      <c r="F1579">
        <v>1.3</v>
      </c>
      <c r="G1579">
        <v>8.1</v>
      </c>
      <c r="H1579">
        <v>-3.4</v>
      </c>
      <c r="I1579">
        <v>81.099999999999994</v>
      </c>
      <c r="J1579">
        <v>51.6</v>
      </c>
      <c r="K1579">
        <v>0.5</v>
      </c>
      <c r="L1579">
        <v>2.1</v>
      </c>
      <c r="M1579">
        <v>1</v>
      </c>
      <c r="N1579">
        <v>1.2080000000000002</v>
      </c>
      <c r="O1579">
        <v>0.1</v>
      </c>
      <c r="P1579" t="s">
        <v>27</v>
      </c>
      <c r="Q1579" t="s">
        <v>27</v>
      </c>
      <c r="R1579" t="s">
        <v>27</v>
      </c>
      <c r="S1579">
        <v>0.1</v>
      </c>
      <c r="T1579">
        <v>0.5</v>
      </c>
      <c r="U1579" t="s">
        <v>27</v>
      </c>
      <c r="V1579">
        <v>0.114</v>
      </c>
      <c r="W1579">
        <v>0.55500000000000005</v>
      </c>
      <c r="X1579">
        <v>0.52100000000000002</v>
      </c>
      <c r="Y1579" t="s">
        <v>27</v>
      </c>
      <c r="Z1579" t="s">
        <v>27</v>
      </c>
      <c r="AA1579" t="s">
        <v>27</v>
      </c>
      <c r="AB1579" t="s">
        <v>27</v>
      </c>
      <c r="AC1579" t="s">
        <v>27</v>
      </c>
      <c r="AD1579" t="s">
        <v>27</v>
      </c>
      <c r="AE1579" t="s">
        <v>27</v>
      </c>
      <c r="AF1579" t="s">
        <v>27</v>
      </c>
      <c r="AG1579">
        <v>27.07</v>
      </c>
    </row>
    <row r="1580" spans="1:33" x14ac:dyDescent="0.25">
      <c r="A1580" t="s">
        <v>57</v>
      </c>
      <c r="B1580" s="3">
        <v>45041</v>
      </c>
      <c r="C1580">
        <v>2023115</v>
      </c>
      <c r="D1580">
        <v>1.65</v>
      </c>
      <c r="E1580" t="s">
        <v>27</v>
      </c>
      <c r="F1580">
        <v>1.5</v>
      </c>
      <c r="G1580">
        <v>10.6</v>
      </c>
      <c r="H1580">
        <v>-6.2</v>
      </c>
      <c r="I1580">
        <v>64.900000000000006</v>
      </c>
      <c r="J1580">
        <v>27.8</v>
      </c>
      <c r="K1580">
        <v>0.8</v>
      </c>
      <c r="L1580">
        <v>3.1</v>
      </c>
      <c r="M1580">
        <v>0</v>
      </c>
      <c r="N1580">
        <v>1.177</v>
      </c>
      <c r="O1580">
        <v>0</v>
      </c>
      <c r="P1580" t="s">
        <v>27</v>
      </c>
      <c r="Q1580" t="s">
        <v>27</v>
      </c>
      <c r="R1580" t="s">
        <v>27</v>
      </c>
      <c r="S1580">
        <v>0.1</v>
      </c>
      <c r="T1580">
        <v>0.5</v>
      </c>
      <c r="U1580" t="s">
        <v>27</v>
      </c>
      <c r="V1580">
        <v>0.13200000000000001</v>
      </c>
      <c r="W1580">
        <v>0.35499999999999998</v>
      </c>
      <c r="X1580">
        <v>0.92200000000000004</v>
      </c>
      <c r="Y1580" t="s">
        <v>27</v>
      </c>
      <c r="Z1580" t="s">
        <v>27</v>
      </c>
      <c r="AA1580" t="s">
        <v>27</v>
      </c>
      <c r="AB1580" t="s">
        <v>27</v>
      </c>
      <c r="AC1580" t="s">
        <v>27</v>
      </c>
      <c r="AD1580" t="s">
        <v>27</v>
      </c>
      <c r="AE1580" t="s">
        <v>27</v>
      </c>
      <c r="AF1580" t="s">
        <v>27</v>
      </c>
      <c r="AG1580">
        <v>27.29</v>
      </c>
    </row>
    <row r="1581" spans="1:33" x14ac:dyDescent="0.25">
      <c r="A1581" t="s">
        <v>57</v>
      </c>
      <c r="B1581" s="3">
        <v>45042</v>
      </c>
      <c r="C1581">
        <v>2023116</v>
      </c>
      <c r="D1581">
        <v>1.62</v>
      </c>
      <c r="E1581" t="s">
        <v>27</v>
      </c>
      <c r="F1581">
        <v>4.5</v>
      </c>
      <c r="G1581">
        <v>11.6</v>
      </c>
      <c r="H1581">
        <v>-3.2</v>
      </c>
      <c r="I1581">
        <v>69.2</v>
      </c>
      <c r="J1581">
        <v>45.6</v>
      </c>
      <c r="K1581">
        <v>1.1000000000000001</v>
      </c>
      <c r="L1581">
        <v>4.0999999999999996</v>
      </c>
      <c r="M1581">
        <v>1</v>
      </c>
      <c r="N1581">
        <v>1.1240000000000001</v>
      </c>
      <c r="O1581">
        <v>0.1</v>
      </c>
      <c r="P1581" t="s">
        <v>27</v>
      </c>
      <c r="Q1581" t="s">
        <v>27</v>
      </c>
      <c r="R1581" t="s">
        <v>27</v>
      </c>
      <c r="S1581">
        <v>0.1</v>
      </c>
      <c r="T1581">
        <v>0.5</v>
      </c>
      <c r="U1581" t="s">
        <v>27</v>
      </c>
      <c r="V1581">
        <v>0.14699999999999999</v>
      </c>
      <c r="W1581">
        <v>0.621</v>
      </c>
      <c r="X1581">
        <v>0.74099999999999999</v>
      </c>
      <c r="Y1581" t="s">
        <v>27</v>
      </c>
      <c r="Z1581" t="s">
        <v>27</v>
      </c>
      <c r="AA1581" t="s">
        <v>27</v>
      </c>
      <c r="AB1581" t="s">
        <v>27</v>
      </c>
      <c r="AC1581" t="s">
        <v>27</v>
      </c>
      <c r="AD1581" t="s">
        <v>27</v>
      </c>
      <c r="AE1581" t="s">
        <v>27</v>
      </c>
      <c r="AF1581" t="s">
        <v>27</v>
      </c>
      <c r="AG1581">
        <v>27.5</v>
      </c>
    </row>
    <row r="1582" spans="1:33" x14ac:dyDescent="0.25">
      <c r="A1582" t="s">
        <v>57</v>
      </c>
      <c r="B1582" s="3">
        <v>45043</v>
      </c>
      <c r="C1582">
        <v>2023117</v>
      </c>
      <c r="D1582">
        <v>2.39</v>
      </c>
      <c r="E1582" t="s">
        <v>27</v>
      </c>
      <c r="F1582">
        <v>4.9000000000000004</v>
      </c>
      <c r="G1582">
        <v>13.5</v>
      </c>
      <c r="H1582">
        <v>-1.8</v>
      </c>
      <c r="I1582">
        <v>40.200000000000003</v>
      </c>
      <c r="J1582">
        <v>12.2</v>
      </c>
      <c r="K1582">
        <v>1</v>
      </c>
      <c r="L1582">
        <v>3</v>
      </c>
      <c r="M1582">
        <v>0</v>
      </c>
      <c r="N1582">
        <v>1.0940000000000001</v>
      </c>
      <c r="O1582">
        <v>0</v>
      </c>
      <c r="P1582" t="s">
        <v>27</v>
      </c>
      <c r="Q1582" t="s">
        <v>27</v>
      </c>
      <c r="R1582" t="s">
        <v>27</v>
      </c>
      <c r="S1582">
        <v>0.1</v>
      </c>
      <c r="T1582">
        <v>0.5</v>
      </c>
      <c r="U1582" t="s">
        <v>27</v>
      </c>
      <c r="V1582">
        <v>0.158</v>
      </c>
      <c r="W1582">
        <v>0.189</v>
      </c>
      <c r="X1582">
        <v>1.36</v>
      </c>
      <c r="Y1582" t="s">
        <v>27</v>
      </c>
      <c r="Z1582" t="s">
        <v>27</v>
      </c>
      <c r="AA1582" t="s">
        <v>27</v>
      </c>
      <c r="AB1582" t="s">
        <v>27</v>
      </c>
      <c r="AC1582" t="s">
        <v>27</v>
      </c>
      <c r="AD1582" t="s">
        <v>27</v>
      </c>
      <c r="AE1582" t="s">
        <v>27</v>
      </c>
      <c r="AF1582" t="s">
        <v>27</v>
      </c>
      <c r="AG1582">
        <v>27.71</v>
      </c>
    </row>
    <row r="1583" spans="1:33" x14ac:dyDescent="0.25">
      <c r="A1583" t="s">
        <v>57</v>
      </c>
      <c r="B1583" s="3">
        <v>45044</v>
      </c>
      <c r="C1583">
        <v>2023118</v>
      </c>
      <c r="D1583">
        <v>4.12</v>
      </c>
      <c r="E1583" t="s">
        <v>27</v>
      </c>
      <c r="F1583">
        <v>8.6</v>
      </c>
      <c r="G1583">
        <v>20.100000000000001</v>
      </c>
      <c r="H1583">
        <v>-1.9</v>
      </c>
      <c r="I1583">
        <v>49.2</v>
      </c>
      <c r="J1583">
        <v>17.7</v>
      </c>
      <c r="K1583">
        <v>0.6</v>
      </c>
      <c r="L1583">
        <v>2.5</v>
      </c>
      <c r="M1583">
        <v>0</v>
      </c>
      <c r="N1583">
        <v>1.022</v>
      </c>
      <c r="O1583">
        <v>0</v>
      </c>
      <c r="P1583" t="s">
        <v>27</v>
      </c>
      <c r="Q1583" t="s">
        <v>27</v>
      </c>
      <c r="R1583" t="s">
        <v>27</v>
      </c>
      <c r="S1583">
        <v>0.1</v>
      </c>
      <c r="T1583">
        <v>0.5</v>
      </c>
      <c r="U1583" t="s">
        <v>27</v>
      </c>
      <c r="V1583">
        <v>0.17299999999999999</v>
      </c>
      <c r="W1583">
        <v>0.41499999999999998</v>
      </c>
      <c r="X1583">
        <v>1.93</v>
      </c>
      <c r="Y1583" t="s">
        <v>27</v>
      </c>
      <c r="Z1583" t="s">
        <v>27</v>
      </c>
      <c r="AA1583" t="s">
        <v>27</v>
      </c>
      <c r="AB1583" t="s">
        <v>27</v>
      </c>
      <c r="AC1583" t="s">
        <v>27</v>
      </c>
      <c r="AD1583" t="s">
        <v>27</v>
      </c>
      <c r="AE1583" t="s">
        <v>27</v>
      </c>
      <c r="AF1583" t="s">
        <v>27</v>
      </c>
      <c r="AG1583">
        <v>27.92</v>
      </c>
    </row>
    <row r="1584" spans="1:33" x14ac:dyDescent="0.25">
      <c r="A1584" t="s">
        <v>57</v>
      </c>
      <c r="B1584" s="3">
        <v>45045</v>
      </c>
      <c r="C1584">
        <v>2023119</v>
      </c>
      <c r="D1584">
        <v>4.62</v>
      </c>
      <c r="E1584" t="s">
        <v>27</v>
      </c>
      <c r="F1584">
        <v>9.6</v>
      </c>
      <c r="G1584">
        <v>21.8</v>
      </c>
      <c r="H1584">
        <v>-2</v>
      </c>
      <c r="I1584">
        <v>52.3</v>
      </c>
      <c r="J1584">
        <v>16</v>
      </c>
      <c r="K1584">
        <v>0.6</v>
      </c>
      <c r="L1584">
        <v>2.4</v>
      </c>
      <c r="M1584">
        <v>0</v>
      </c>
      <c r="N1584">
        <v>0.94200000000000017</v>
      </c>
      <c r="O1584">
        <v>0</v>
      </c>
      <c r="P1584" t="s">
        <v>27</v>
      </c>
      <c r="Q1584" t="s">
        <v>27</v>
      </c>
      <c r="R1584" t="s">
        <v>27</v>
      </c>
      <c r="S1584">
        <v>0</v>
      </c>
      <c r="T1584">
        <v>0.5</v>
      </c>
      <c r="U1584" t="s">
        <v>27</v>
      </c>
      <c r="V1584">
        <v>0.182</v>
      </c>
      <c r="W1584">
        <v>0.41799999999999998</v>
      </c>
      <c r="X1584">
        <v>2.1949999999999998</v>
      </c>
      <c r="Y1584" t="s">
        <v>27</v>
      </c>
      <c r="Z1584" t="s">
        <v>27</v>
      </c>
      <c r="AA1584" t="s">
        <v>27</v>
      </c>
      <c r="AB1584" t="s">
        <v>27</v>
      </c>
      <c r="AC1584" t="s">
        <v>27</v>
      </c>
      <c r="AD1584" t="s">
        <v>27</v>
      </c>
      <c r="AE1584" t="s">
        <v>27</v>
      </c>
      <c r="AF1584" t="s">
        <v>27</v>
      </c>
      <c r="AG1584">
        <v>28.12</v>
      </c>
    </row>
    <row r="1585" spans="1:33" x14ac:dyDescent="0.25">
      <c r="A1585" t="s">
        <v>57</v>
      </c>
      <c r="B1585" s="3">
        <v>45046</v>
      </c>
      <c r="C1585">
        <v>2023120</v>
      </c>
      <c r="D1585">
        <v>4.3899999999999997</v>
      </c>
      <c r="E1585" t="s">
        <v>27</v>
      </c>
      <c r="F1585">
        <v>10.199999999999999</v>
      </c>
      <c r="G1585">
        <v>21.4</v>
      </c>
      <c r="H1585">
        <v>-0.6</v>
      </c>
      <c r="I1585">
        <v>60.5</v>
      </c>
      <c r="J1585">
        <v>27.5</v>
      </c>
      <c r="K1585">
        <v>0.8</v>
      </c>
      <c r="L1585">
        <v>3.1</v>
      </c>
      <c r="M1585">
        <v>0</v>
      </c>
      <c r="N1585">
        <v>0.873</v>
      </c>
      <c r="O1585">
        <v>0.1</v>
      </c>
      <c r="P1585" t="s">
        <v>27</v>
      </c>
      <c r="Q1585" t="s">
        <v>27</v>
      </c>
      <c r="R1585" t="s">
        <v>27</v>
      </c>
      <c r="S1585">
        <v>0.1</v>
      </c>
      <c r="T1585">
        <v>0.5</v>
      </c>
      <c r="U1585" t="s">
        <v>27</v>
      </c>
      <c r="V1585">
        <v>0.188</v>
      </c>
      <c r="W1585">
        <v>0.69899999999999995</v>
      </c>
      <c r="X1585">
        <v>1.843</v>
      </c>
      <c r="Y1585" t="s">
        <v>27</v>
      </c>
      <c r="Z1585" t="s">
        <v>27</v>
      </c>
      <c r="AA1585" t="s">
        <v>27</v>
      </c>
      <c r="AB1585" t="s">
        <v>27</v>
      </c>
      <c r="AC1585" t="s">
        <v>27</v>
      </c>
      <c r="AD1585" t="s">
        <v>27</v>
      </c>
      <c r="AE1585" t="s">
        <v>27</v>
      </c>
      <c r="AF1585" t="s">
        <v>27</v>
      </c>
      <c r="AG1585">
        <v>28.32</v>
      </c>
    </row>
    <row r="1586" spans="1:33" x14ac:dyDescent="0.25">
      <c r="A1586" t="s">
        <v>57</v>
      </c>
      <c r="B1586" s="3">
        <v>45047</v>
      </c>
      <c r="C1586">
        <v>2023121</v>
      </c>
      <c r="D1586">
        <v>3.54</v>
      </c>
      <c r="E1586" t="s">
        <v>27</v>
      </c>
      <c r="F1586">
        <v>9.5</v>
      </c>
      <c r="G1586">
        <v>15.3</v>
      </c>
      <c r="H1586">
        <v>1</v>
      </c>
      <c r="I1586">
        <v>70.5</v>
      </c>
      <c r="J1586">
        <v>48.2</v>
      </c>
      <c r="K1586">
        <v>1.4</v>
      </c>
      <c r="L1586">
        <v>3.5</v>
      </c>
      <c r="M1586">
        <v>0</v>
      </c>
      <c r="N1586">
        <v>0.80500000000000016</v>
      </c>
      <c r="O1586">
        <v>0.1</v>
      </c>
      <c r="P1586" t="s">
        <v>27</v>
      </c>
      <c r="Q1586" t="s">
        <v>27</v>
      </c>
      <c r="R1586" t="s">
        <v>27</v>
      </c>
      <c r="S1586">
        <v>0.1</v>
      </c>
      <c r="T1586">
        <v>0.5</v>
      </c>
      <c r="U1586" t="s">
        <v>27</v>
      </c>
      <c r="V1586">
        <v>0.192</v>
      </c>
      <c r="W1586">
        <v>0.83499999999999996</v>
      </c>
      <c r="X1586">
        <v>0.89700000000000002</v>
      </c>
      <c r="Y1586" t="s">
        <v>27</v>
      </c>
      <c r="Z1586" t="s">
        <v>27</v>
      </c>
      <c r="AA1586" t="s">
        <v>27</v>
      </c>
      <c r="AB1586" t="s">
        <v>27</v>
      </c>
      <c r="AC1586" t="s">
        <v>27</v>
      </c>
      <c r="AD1586" t="s">
        <v>27</v>
      </c>
      <c r="AE1586" t="s">
        <v>27</v>
      </c>
      <c r="AF1586" t="s">
        <v>27</v>
      </c>
      <c r="AG1586">
        <v>28.52</v>
      </c>
    </row>
    <row r="1587" spans="1:33" x14ac:dyDescent="0.25">
      <c r="A1587" t="s">
        <v>57</v>
      </c>
      <c r="B1587" s="3">
        <v>45048</v>
      </c>
      <c r="C1587">
        <v>2023122</v>
      </c>
      <c r="D1587">
        <v>4.6399999999999997</v>
      </c>
      <c r="E1587" t="s">
        <v>27</v>
      </c>
      <c r="F1587">
        <v>10.8</v>
      </c>
      <c r="G1587">
        <v>19.5</v>
      </c>
      <c r="H1587">
        <v>2</v>
      </c>
      <c r="I1587">
        <v>69.2</v>
      </c>
      <c r="J1587">
        <v>40.700000000000003</v>
      </c>
      <c r="K1587">
        <v>1.2</v>
      </c>
      <c r="L1587">
        <v>2.7</v>
      </c>
      <c r="M1587">
        <v>0</v>
      </c>
      <c r="N1587">
        <v>0.71600000000000019</v>
      </c>
      <c r="O1587">
        <v>0.1</v>
      </c>
      <c r="P1587" t="s">
        <v>27</v>
      </c>
      <c r="Q1587" t="s">
        <v>27</v>
      </c>
      <c r="R1587" t="s">
        <v>27</v>
      </c>
      <c r="S1587">
        <v>0.1</v>
      </c>
      <c r="T1587">
        <v>0.4</v>
      </c>
      <c r="U1587" t="s">
        <v>27</v>
      </c>
      <c r="V1587">
        <v>0.20599999999999999</v>
      </c>
      <c r="W1587">
        <v>0.92100000000000004</v>
      </c>
      <c r="X1587">
        <v>1.3420000000000001</v>
      </c>
      <c r="Y1587" t="s">
        <v>27</v>
      </c>
      <c r="Z1587" t="s">
        <v>27</v>
      </c>
      <c r="AA1587" t="s">
        <v>27</v>
      </c>
      <c r="AB1587" t="s">
        <v>27</v>
      </c>
      <c r="AC1587" t="s">
        <v>27</v>
      </c>
      <c r="AD1587" t="s">
        <v>27</v>
      </c>
      <c r="AE1587" t="s">
        <v>27</v>
      </c>
      <c r="AF1587" t="s">
        <v>27</v>
      </c>
      <c r="AG1587">
        <v>28.7</v>
      </c>
    </row>
    <row r="1588" spans="1:33" x14ac:dyDescent="0.25">
      <c r="A1588" t="s">
        <v>57</v>
      </c>
      <c r="B1588" s="3">
        <v>45049</v>
      </c>
      <c r="C1588">
        <v>2023123</v>
      </c>
      <c r="D1588">
        <v>4.67</v>
      </c>
      <c r="E1588" t="s">
        <v>27</v>
      </c>
      <c r="F1588">
        <v>10.6</v>
      </c>
      <c r="G1588">
        <v>21.5</v>
      </c>
      <c r="H1588">
        <v>1.5</v>
      </c>
      <c r="I1588">
        <v>65.3</v>
      </c>
      <c r="J1588">
        <v>29</v>
      </c>
      <c r="K1588">
        <v>0.6</v>
      </c>
      <c r="L1588">
        <v>2.8</v>
      </c>
      <c r="M1588">
        <v>0</v>
      </c>
      <c r="N1588">
        <v>0.63900000000000001</v>
      </c>
      <c r="O1588">
        <v>0.1</v>
      </c>
      <c r="P1588" t="s">
        <v>27</v>
      </c>
      <c r="Q1588" t="s">
        <v>27</v>
      </c>
      <c r="R1588" t="s">
        <v>27</v>
      </c>
      <c r="S1588">
        <v>0.1</v>
      </c>
      <c r="T1588">
        <v>0.4</v>
      </c>
      <c r="U1588" t="s">
        <v>27</v>
      </c>
      <c r="V1588">
        <v>0.19800000000000001</v>
      </c>
      <c r="W1588">
        <v>0.74199999999999999</v>
      </c>
      <c r="X1588">
        <v>1.8169999999999999</v>
      </c>
      <c r="Y1588" t="s">
        <v>27</v>
      </c>
      <c r="Z1588" t="s">
        <v>27</v>
      </c>
      <c r="AA1588" t="s">
        <v>27</v>
      </c>
      <c r="AB1588" t="s">
        <v>27</v>
      </c>
      <c r="AC1588" t="s">
        <v>27</v>
      </c>
      <c r="AD1588" t="s">
        <v>27</v>
      </c>
      <c r="AE1588" t="s">
        <v>27</v>
      </c>
      <c r="AF1588" t="s">
        <v>27</v>
      </c>
      <c r="AG1588">
        <v>28.89</v>
      </c>
    </row>
    <row r="1589" spans="1:33" x14ac:dyDescent="0.25">
      <c r="A1589" t="s">
        <v>57</v>
      </c>
      <c r="B1589" s="3">
        <v>45050</v>
      </c>
      <c r="C1589">
        <v>2023124</v>
      </c>
      <c r="D1589">
        <v>4.83</v>
      </c>
      <c r="E1589" t="s">
        <v>27</v>
      </c>
      <c r="F1589">
        <v>11.2</v>
      </c>
      <c r="G1589">
        <v>22.5</v>
      </c>
      <c r="H1589">
        <v>0.3</v>
      </c>
      <c r="I1589">
        <v>62.7</v>
      </c>
      <c r="J1589">
        <v>28.4</v>
      </c>
      <c r="K1589">
        <v>0.6</v>
      </c>
      <c r="L1589">
        <v>2.2000000000000002</v>
      </c>
      <c r="M1589">
        <v>0</v>
      </c>
      <c r="N1589">
        <v>0.58100000000000018</v>
      </c>
      <c r="O1589">
        <v>0</v>
      </c>
      <c r="P1589" t="s">
        <v>27</v>
      </c>
      <c r="Q1589" t="s">
        <v>27</v>
      </c>
      <c r="R1589" t="s">
        <v>27</v>
      </c>
      <c r="S1589">
        <v>0</v>
      </c>
      <c r="T1589">
        <v>0.4</v>
      </c>
      <c r="U1589" t="s">
        <v>27</v>
      </c>
      <c r="V1589">
        <v>0.20200000000000001</v>
      </c>
      <c r="W1589">
        <v>0.77200000000000002</v>
      </c>
      <c r="X1589">
        <v>1.946</v>
      </c>
      <c r="Y1589" t="s">
        <v>27</v>
      </c>
      <c r="Z1589" t="s">
        <v>27</v>
      </c>
      <c r="AA1589" t="s">
        <v>27</v>
      </c>
      <c r="AB1589" t="s">
        <v>27</v>
      </c>
      <c r="AC1589" t="s">
        <v>27</v>
      </c>
      <c r="AD1589" t="s">
        <v>27</v>
      </c>
      <c r="AE1589" t="s">
        <v>27</v>
      </c>
      <c r="AF1589" t="s">
        <v>27</v>
      </c>
      <c r="AG1589">
        <v>29.07</v>
      </c>
    </row>
    <row r="1590" spans="1:33" x14ac:dyDescent="0.25">
      <c r="A1590" t="s">
        <v>57</v>
      </c>
      <c r="B1590" s="3">
        <v>45051</v>
      </c>
      <c r="C1590">
        <v>2023125</v>
      </c>
      <c r="D1590">
        <v>2.17</v>
      </c>
      <c r="E1590" t="s">
        <v>27</v>
      </c>
      <c r="F1590">
        <v>7.4</v>
      </c>
      <c r="G1590">
        <v>11.2</v>
      </c>
      <c r="H1590">
        <v>3.1</v>
      </c>
      <c r="I1590">
        <v>88.6</v>
      </c>
      <c r="J1590">
        <v>54.7</v>
      </c>
      <c r="K1590">
        <v>0.5</v>
      </c>
      <c r="L1590">
        <v>2.2999999999999998</v>
      </c>
      <c r="M1590">
        <v>3</v>
      </c>
      <c r="N1590">
        <v>0.54200000000000004</v>
      </c>
      <c r="O1590">
        <v>0.1</v>
      </c>
      <c r="P1590" t="s">
        <v>27</v>
      </c>
      <c r="Q1590" t="s">
        <v>27</v>
      </c>
      <c r="R1590" t="s">
        <v>27</v>
      </c>
      <c r="S1590">
        <v>0.1</v>
      </c>
      <c r="T1590">
        <v>0.4</v>
      </c>
      <c r="U1590" t="s">
        <v>27</v>
      </c>
      <c r="V1590">
        <v>0.193</v>
      </c>
      <c r="W1590">
        <v>0.72899999999999998</v>
      </c>
      <c r="X1590">
        <v>0.60399999999999998</v>
      </c>
      <c r="Y1590" t="s">
        <v>27</v>
      </c>
      <c r="Z1590" t="s">
        <v>27</v>
      </c>
      <c r="AA1590" t="s">
        <v>27</v>
      </c>
      <c r="AB1590" t="s">
        <v>27</v>
      </c>
      <c r="AC1590" t="s">
        <v>27</v>
      </c>
      <c r="AD1590" t="s">
        <v>27</v>
      </c>
      <c r="AE1590" t="s">
        <v>27</v>
      </c>
      <c r="AF1590" t="s">
        <v>27</v>
      </c>
      <c r="AG1590">
        <v>29.25</v>
      </c>
    </row>
    <row r="1591" spans="1:33" x14ac:dyDescent="0.25">
      <c r="A1591" t="s">
        <v>57</v>
      </c>
      <c r="B1591" s="3">
        <v>45052</v>
      </c>
      <c r="C1591">
        <v>2023126</v>
      </c>
      <c r="D1591">
        <v>1.25</v>
      </c>
      <c r="E1591" t="s">
        <v>27</v>
      </c>
      <c r="F1591">
        <v>3.5</v>
      </c>
      <c r="G1591">
        <v>6.2</v>
      </c>
      <c r="H1591">
        <v>-0.4</v>
      </c>
      <c r="I1591">
        <v>94.3</v>
      </c>
      <c r="J1591">
        <v>86.6</v>
      </c>
      <c r="K1591">
        <v>0.5</v>
      </c>
      <c r="L1591">
        <v>2.4</v>
      </c>
      <c r="M1591">
        <v>7</v>
      </c>
      <c r="N1591">
        <v>0.502</v>
      </c>
      <c r="O1591">
        <v>0.1</v>
      </c>
      <c r="P1591" t="s">
        <v>27</v>
      </c>
      <c r="Q1591" t="s">
        <v>27</v>
      </c>
      <c r="R1591" t="s">
        <v>27</v>
      </c>
      <c r="S1591">
        <v>0.1</v>
      </c>
      <c r="T1591">
        <v>0.4</v>
      </c>
      <c r="U1591" t="s">
        <v>27</v>
      </c>
      <c r="V1591">
        <v>0.192</v>
      </c>
      <c r="W1591">
        <v>0.82099999999999995</v>
      </c>
      <c r="X1591">
        <v>0.127</v>
      </c>
      <c r="Y1591" t="s">
        <v>27</v>
      </c>
      <c r="Z1591" t="s">
        <v>27</v>
      </c>
      <c r="AA1591" t="s">
        <v>27</v>
      </c>
      <c r="AB1591" t="s">
        <v>27</v>
      </c>
      <c r="AC1591" t="s">
        <v>27</v>
      </c>
      <c r="AD1591" t="s">
        <v>27</v>
      </c>
      <c r="AE1591" t="s">
        <v>27</v>
      </c>
      <c r="AF1591" t="s">
        <v>27</v>
      </c>
      <c r="AG1591">
        <v>29.43</v>
      </c>
    </row>
    <row r="1592" spans="1:33" x14ac:dyDescent="0.25">
      <c r="A1592" t="s">
        <v>57</v>
      </c>
      <c r="B1592" s="3">
        <v>45053</v>
      </c>
      <c r="C1592">
        <v>2023127</v>
      </c>
      <c r="D1592">
        <v>1.46</v>
      </c>
      <c r="E1592" t="s">
        <v>27</v>
      </c>
      <c r="F1592">
        <v>3.7</v>
      </c>
      <c r="G1592">
        <v>8.1</v>
      </c>
      <c r="H1592">
        <v>-0.3</v>
      </c>
      <c r="I1592">
        <v>81.2</v>
      </c>
      <c r="J1592">
        <v>59.7</v>
      </c>
      <c r="K1592">
        <v>0.7</v>
      </c>
      <c r="L1592">
        <v>2.4</v>
      </c>
      <c r="M1592">
        <v>0</v>
      </c>
      <c r="N1592">
        <v>0.4740000000000002</v>
      </c>
      <c r="O1592">
        <v>0.1</v>
      </c>
      <c r="P1592" t="s">
        <v>27</v>
      </c>
      <c r="Q1592" t="s">
        <v>27</v>
      </c>
      <c r="R1592" t="s">
        <v>27</v>
      </c>
      <c r="S1592">
        <v>0.1</v>
      </c>
      <c r="T1592">
        <v>0.4</v>
      </c>
      <c r="U1592" t="s">
        <v>27</v>
      </c>
      <c r="V1592">
        <v>0.17799999999999999</v>
      </c>
      <c r="W1592">
        <v>0.64500000000000002</v>
      </c>
      <c r="X1592">
        <v>0.435</v>
      </c>
      <c r="Y1592" t="s">
        <v>27</v>
      </c>
      <c r="Z1592" t="s">
        <v>27</v>
      </c>
      <c r="AA1592" t="s">
        <v>27</v>
      </c>
      <c r="AB1592" t="s">
        <v>27</v>
      </c>
      <c r="AC1592" t="s">
        <v>27</v>
      </c>
      <c r="AD1592" t="s">
        <v>27</v>
      </c>
      <c r="AE1592" t="s">
        <v>27</v>
      </c>
      <c r="AF1592" t="s">
        <v>27</v>
      </c>
      <c r="AG1592">
        <v>29.61</v>
      </c>
    </row>
    <row r="1593" spans="1:33" x14ac:dyDescent="0.25">
      <c r="A1593" t="s">
        <v>57</v>
      </c>
      <c r="B1593" s="3">
        <v>45054</v>
      </c>
      <c r="C1593">
        <v>2023128</v>
      </c>
      <c r="D1593">
        <v>1.81</v>
      </c>
      <c r="E1593" t="s">
        <v>27</v>
      </c>
      <c r="F1593">
        <v>4</v>
      </c>
      <c r="G1593">
        <v>11.5</v>
      </c>
      <c r="H1593">
        <v>-1.2</v>
      </c>
      <c r="I1593">
        <v>84</v>
      </c>
      <c r="J1593">
        <v>44.9</v>
      </c>
      <c r="K1593">
        <v>0.4</v>
      </c>
      <c r="L1593">
        <v>2.6</v>
      </c>
      <c r="M1593">
        <v>0</v>
      </c>
      <c r="N1593">
        <v>0.45100000000000007</v>
      </c>
      <c r="O1593">
        <v>0.1</v>
      </c>
      <c r="P1593" t="s">
        <v>27</v>
      </c>
      <c r="Q1593" t="s">
        <v>27</v>
      </c>
      <c r="R1593" t="s">
        <v>27</v>
      </c>
      <c r="S1593">
        <v>0.1</v>
      </c>
      <c r="T1593">
        <v>0.4</v>
      </c>
      <c r="U1593" t="s">
        <v>27</v>
      </c>
      <c r="V1593">
        <v>0.17699999999999999</v>
      </c>
      <c r="W1593">
        <v>0.60899999999999999</v>
      </c>
      <c r="X1593">
        <v>0.747</v>
      </c>
      <c r="Y1593" t="s">
        <v>27</v>
      </c>
      <c r="Z1593" t="s">
        <v>27</v>
      </c>
      <c r="AA1593" t="s">
        <v>27</v>
      </c>
      <c r="AB1593" t="s">
        <v>27</v>
      </c>
      <c r="AC1593" t="s">
        <v>27</v>
      </c>
      <c r="AD1593" t="s">
        <v>27</v>
      </c>
      <c r="AE1593" t="s">
        <v>27</v>
      </c>
      <c r="AF1593" t="s">
        <v>27</v>
      </c>
      <c r="AG1593">
        <v>29.77</v>
      </c>
    </row>
    <row r="1594" spans="1:33" x14ac:dyDescent="0.25">
      <c r="A1594" t="s">
        <v>57</v>
      </c>
      <c r="B1594" s="3">
        <v>45055</v>
      </c>
      <c r="C1594">
        <v>2023129</v>
      </c>
      <c r="D1594">
        <v>1.75</v>
      </c>
      <c r="E1594" t="s">
        <v>27</v>
      </c>
      <c r="F1594">
        <v>3.8</v>
      </c>
      <c r="G1594">
        <v>11.1</v>
      </c>
      <c r="H1594">
        <v>-2.5</v>
      </c>
      <c r="I1594">
        <v>83.8</v>
      </c>
      <c r="J1594">
        <v>53.5</v>
      </c>
      <c r="K1594">
        <v>0.3</v>
      </c>
      <c r="L1594">
        <v>1.9</v>
      </c>
      <c r="M1594">
        <v>1</v>
      </c>
      <c r="N1594">
        <v>0.43100000000000005</v>
      </c>
      <c r="O1594">
        <v>0.1</v>
      </c>
      <c r="P1594" t="s">
        <v>27</v>
      </c>
      <c r="Q1594" t="s">
        <v>27</v>
      </c>
      <c r="R1594" t="s">
        <v>27</v>
      </c>
      <c r="S1594">
        <v>0.1</v>
      </c>
      <c r="T1594">
        <v>0.4</v>
      </c>
      <c r="U1594" t="s">
        <v>27</v>
      </c>
      <c r="V1594">
        <v>0.17499999999999999</v>
      </c>
      <c r="W1594">
        <v>0.70799999999999996</v>
      </c>
      <c r="X1594">
        <v>0.61499999999999999</v>
      </c>
      <c r="Y1594" t="s">
        <v>27</v>
      </c>
      <c r="Z1594" t="s">
        <v>27</v>
      </c>
      <c r="AA1594" t="s">
        <v>27</v>
      </c>
      <c r="AB1594" t="s">
        <v>27</v>
      </c>
      <c r="AC1594" t="s">
        <v>27</v>
      </c>
      <c r="AD1594" t="s">
        <v>27</v>
      </c>
      <c r="AE1594" t="s">
        <v>27</v>
      </c>
      <c r="AF1594" t="s">
        <v>27</v>
      </c>
      <c r="AG1594">
        <v>29.94</v>
      </c>
    </row>
    <row r="1595" spans="1:33" x14ac:dyDescent="0.25">
      <c r="A1595" t="s">
        <v>57</v>
      </c>
      <c r="B1595" s="3">
        <v>45056</v>
      </c>
      <c r="C1595">
        <v>2023130</v>
      </c>
      <c r="D1595">
        <v>2.2999999999999998</v>
      </c>
      <c r="E1595" t="s">
        <v>27</v>
      </c>
      <c r="F1595">
        <v>4.4000000000000004</v>
      </c>
      <c r="G1595">
        <v>13.4</v>
      </c>
      <c r="H1595">
        <v>-1.5</v>
      </c>
      <c r="I1595">
        <v>80.3</v>
      </c>
      <c r="J1595">
        <v>40.5</v>
      </c>
      <c r="K1595">
        <v>0.4</v>
      </c>
      <c r="L1595">
        <v>2.6</v>
      </c>
      <c r="M1595">
        <v>2</v>
      </c>
      <c r="N1595">
        <v>0.41800000000000015</v>
      </c>
      <c r="O1595">
        <v>0.1</v>
      </c>
      <c r="P1595" t="s">
        <v>27</v>
      </c>
      <c r="Q1595" t="s">
        <v>27</v>
      </c>
      <c r="R1595" t="s">
        <v>27</v>
      </c>
      <c r="S1595">
        <v>0.1</v>
      </c>
      <c r="T1595">
        <v>0.4</v>
      </c>
      <c r="U1595" t="s">
        <v>27</v>
      </c>
      <c r="V1595">
        <v>0.17799999999999999</v>
      </c>
      <c r="W1595">
        <v>0.622</v>
      </c>
      <c r="X1595">
        <v>0.91400000000000003</v>
      </c>
      <c r="Y1595" t="s">
        <v>27</v>
      </c>
      <c r="Z1595" t="s">
        <v>27</v>
      </c>
      <c r="AA1595" t="s">
        <v>27</v>
      </c>
      <c r="AB1595" t="s">
        <v>27</v>
      </c>
      <c r="AC1595" t="s">
        <v>27</v>
      </c>
      <c r="AD1595" t="s">
        <v>27</v>
      </c>
      <c r="AE1595" t="s">
        <v>27</v>
      </c>
      <c r="AF1595" t="s">
        <v>27</v>
      </c>
      <c r="AG1595">
        <v>30.1</v>
      </c>
    </row>
    <row r="1596" spans="1:33" x14ac:dyDescent="0.25">
      <c r="A1596" t="s">
        <v>57</v>
      </c>
      <c r="B1596" s="3">
        <v>45057</v>
      </c>
      <c r="C1596">
        <v>2023131</v>
      </c>
      <c r="D1596">
        <v>3.96</v>
      </c>
      <c r="E1596" t="s">
        <v>27</v>
      </c>
      <c r="F1596">
        <v>6.9</v>
      </c>
      <c r="G1596">
        <v>16.7</v>
      </c>
      <c r="H1596">
        <v>-2.1</v>
      </c>
      <c r="I1596">
        <v>63.1</v>
      </c>
      <c r="J1596">
        <v>24</v>
      </c>
      <c r="K1596">
        <v>0.6</v>
      </c>
      <c r="L1596">
        <v>2.9</v>
      </c>
      <c r="M1596">
        <v>0</v>
      </c>
      <c r="N1596">
        <v>0.3450000000000002</v>
      </c>
      <c r="O1596">
        <v>0.1</v>
      </c>
      <c r="P1596" t="s">
        <v>27</v>
      </c>
      <c r="Q1596" t="s">
        <v>27</v>
      </c>
      <c r="R1596" t="s">
        <v>27</v>
      </c>
      <c r="S1596">
        <v>0</v>
      </c>
      <c r="T1596">
        <v>0.3</v>
      </c>
      <c r="U1596" t="s">
        <v>27</v>
      </c>
      <c r="V1596">
        <v>0.189</v>
      </c>
      <c r="W1596">
        <v>0.45600000000000002</v>
      </c>
      <c r="X1596">
        <v>1.444</v>
      </c>
      <c r="Y1596" t="s">
        <v>27</v>
      </c>
      <c r="Z1596" t="s">
        <v>27</v>
      </c>
      <c r="AA1596" t="s">
        <v>27</v>
      </c>
      <c r="AB1596" t="s">
        <v>27</v>
      </c>
      <c r="AC1596" t="s">
        <v>27</v>
      </c>
      <c r="AD1596" t="s">
        <v>27</v>
      </c>
      <c r="AE1596" t="s">
        <v>27</v>
      </c>
      <c r="AF1596" t="s">
        <v>27</v>
      </c>
      <c r="AG1596">
        <v>30.26</v>
      </c>
    </row>
    <row r="1597" spans="1:33" x14ac:dyDescent="0.25">
      <c r="A1597" t="s">
        <v>57</v>
      </c>
      <c r="B1597" s="3">
        <v>45058</v>
      </c>
      <c r="C1597">
        <v>2023132</v>
      </c>
      <c r="D1597">
        <v>4.51</v>
      </c>
      <c r="E1597" t="s">
        <v>27</v>
      </c>
      <c r="F1597">
        <v>9</v>
      </c>
      <c r="G1597">
        <v>20</v>
      </c>
      <c r="H1597">
        <v>-1.4</v>
      </c>
      <c r="I1597">
        <v>61.7</v>
      </c>
      <c r="J1597">
        <v>24</v>
      </c>
      <c r="K1597">
        <v>0.5</v>
      </c>
      <c r="L1597">
        <v>3.3</v>
      </c>
      <c r="M1597">
        <v>0</v>
      </c>
      <c r="N1597">
        <v>0.30400000000000027</v>
      </c>
      <c r="O1597">
        <v>0.1</v>
      </c>
      <c r="P1597" t="s">
        <v>27</v>
      </c>
      <c r="Q1597" t="s">
        <v>27</v>
      </c>
      <c r="R1597" t="s">
        <v>27</v>
      </c>
      <c r="S1597">
        <v>0</v>
      </c>
      <c r="T1597">
        <v>0.3</v>
      </c>
      <c r="U1597" t="s">
        <v>27</v>
      </c>
      <c r="V1597">
        <v>0.19500000000000001</v>
      </c>
      <c r="W1597">
        <v>0.56200000000000006</v>
      </c>
      <c r="X1597">
        <v>1.78</v>
      </c>
      <c r="Y1597" t="s">
        <v>27</v>
      </c>
      <c r="Z1597" t="s">
        <v>27</v>
      </c>
      <c r="AA1597" t="s">
        <v>27</v>
      </c>
      <c r="AB1597" t="s">
        <v>27</v>
      </c>
      <c r="AC1597" t="s">
        <v>27</v>
      </c>
      <c r="AD1597" t="s">
        <v>27</v>
      </c>
      <c r="AE1597" t="s">
        <v>27</v>
      </c>
      <c r="AF1597" t="s">
        <v>27</v>
      </c>
      <c r="AG1597">
        <v>30.41</v>
      </c>
    </row>
    <row r="1598" spans="1:33" x14ac:dyDescent="0.25">
      <c r="A1598" t="s">
        <v>57</v>
      </c>
      <c r="B1598" s="3">
        <v>45059</v>
      </c>
      <c r="C1598">
        <v>2023133</v>
      </c>
      <c r="D1598">
        <v>5.43</v>
      </c>
      <c r="E1598" t="s">
        <v>27</v>
      </c>
      <c r="F1598">
        <v>11.2</v>
      </c>
      <c r="G1598">
        <v>22.7</v>
      </c>
      <c r="H1598">
        <v>-0.6</v>
      </c>
      <c r="I1598">
        <v>56.5</v>
      </c>
      <c r="J1598">
        <v>21.4</v>
      </c>
      <c r="K1598">
        <v>0.6</v>
      </c>
      <c r="L1598">
        <v>2.2999999999999998</v>
      </c>
      <c r="M1598">
        <v>0</v>
      </c>
      <c r="N1598">
        <v>0.20999999999999996</v>
      </c>
      <c r="O1598">
        <v>0</v>
      </c>
      <c r="P1598" t="s">
        <v>27</v>
      </c>
      <c r="Q1598" t="s">
        <v>27</v>
      </c>
      <c r="R1598" t="s">
        <v>27</v>
      </c>
      <c r="S1598">
        <v>0</v>
      </c>
      <c r="T1598">
        <v>0.3</v>
      </c>
      <c r="U1598" t="s">
        <v>27</v>
      </c>
      <c r="V1598">
        <v>0.19800000000000001</v>
      </c>
      <c r="W1598">
        <v>0.59099999999999997</v>
      </c>
      <c r="X1598">
        <v>2.1709999999999998</v>
      </c>
      <c r="Y1598" t="s">
        <v>27</v>
      </c>
      <c r="Z1598" t="s">
        <v>27</v>
      </c>
      <c r="AA1598" t="s">
        <v>27</v>
      </c>
      <c r="AB1598" t="s">
        <v>27</v>
      </c>
      <c r="AC1598" t="s">
        <v>27</v>
      </c>
      <c r="AD1598" t="s">
        <v>27</v>
      </c>
      <c r="AE1598" t="s">
        <v>27</v>
      </c>
      <c r="AF1598" t="s">
        <v>27</v>
      </c>
      <c r="AG1598">
        <v>30.57</v>
      </c>
    </row>
    <row r="1599" spans="1:33" x14ac:dyDescent="0.25">
      <c r="A1599" t="s">
        <v>57</v>
      </c>
      <c r="B1599" s="3">
        <v>45060</v>
      </c>
      <c r="C1599">
        <v>2023134</v>
      </c>
      <c r="D1599">
        <v>5.48</v>
      </c>
      <c r="E1599" t="s">
        <v>27</v>
      </c>
      <c r="F1599">
        <v>11.6</v>
      </c>
      <c r="G1599">
        <v>22.9</v>
      </c>
      <c r="H1599">
        <v>-0.1</v>
      </c>
      <c r="I1599">
        <v>55.1</v>
      </c>
      <c r="J1599">
        <v>20.6</v>
      </c>
      <c r="K1599">
        <v>0.6</v>
      </c>
      <c r="L1599">
        <v>2.5</v>
      </c>
      <c r="M1599">
        <v>0</v>
      </c>
      <c r="N1599">
        <v>0.12800000000000011</v>
      </c>
      <c r="O1599">
        <v>0</v>
      </c>
      <c r="P1599" t="s">
        <v>27</v>
      </c>
      <c r="Q1599" t="s">
        <v>27</v>
      </c>
      <c r="R1599" t="s">
        <v>27</v>
      </c>
      <c r="S1599">
        <v>0</v>
      </c>
      <c r="T1599">
        <v>0.3</v>
      </c>
      <c r="U1599" t="s">
        <v>27</v>
      </c>
      <c r="V1599">
        <v>0.18</v>
      </c>
      <c r="W1599">
        <v>0.57299999999999995</v>
      </c>
      <c r="X1599">
        <v>2.2090000000000001</v>
      </c>
      <c r="Y1599" t="s">
        <v>27</v>
      </c>
      <c r="Z1599" t="s">
        <v>27</v>
      </c>
      <c r="AA1599" t="s">
        <v>27</v>
      </c>
      <c r="AB1599" t="s">
        <v>27</v>
      </c>
      <c r="AC1599" t="s">
        <v>27</v>
      </c>
      <c r="AD1599" t="s">
        <v>27</v>
      </c>
      <c r="AE1599" t="s">
        <v>27</v>
      </c>
      <c r="AF1599" t="s">
        <v>27</v>
      </c>
      <c r="AG1599">
        <v>30.71</v>
      </c>
    </row>
    <row r="1600" spans="1:33" x14ac:dyDescent="0.25">
      <c r="A1600" t="s">
        <v>57</v>
      </c>
      <c r="B1600" s="3">
        <v>45061</v>
      </c>
      <c r="C1600">
        <v>2023135</v>
      </c>
      <c r="D1600">
        <v>5.78</v>
      </c>
      <c r="E1600" t="s">
        <v>27</v>
      </c>
      <c r="F1600">
        <v>12.8</v>
      </c>
      <c r="G1600">
        <v>24.2</v>
      </c>
      <c r="H1600">
        <v>1.8</v>
      </c>
      <c r="I1600">
        <v>63</v>
      </c>
      <c r="J1600">
        <v>26.8</v>
      </c>
      <c r="K1600">
        <v>0.6</v>
      </c>
      <c r="L1600">
        <v>2.7</v>
      </c>
      <c r="M1600">
        <v>0</v>
      </c>
      <c r="N1600">
        <v>0</v>
      </c>
      <c r="O1600" t="s">
        <v>27</v>
      </c>
      <c r="P1600" t="s">
        <v>27</v>
      </c>
      <c r="Q1600" t="s">
        <v>27</v>
      </c>
      <c r="R1600" t="s">
        <v>27</v>
      </c>
      <c r="S1600">
        <v>0.6</v>
      </c>
      <c r="T1600">
        <v>0.8</v>
      </c>
      <c r="U1600" t="s">
        <v>27</v>
      </c>
      <c r="V1600">
        <v>0.16900000000000001</v>
      </c>
      <c r="W1600">
        <v>0.80900000000000005</v>
      </c>
      <c r="X1600">
        <v>2.21</v>
      </c>
      <c r="Y1600" t="s">
        <v>27</v>
      </c>
      <c r="Z1600" t="s">
        <v>27</v>
      </c>
      <c r="AA1600" t="s">
        <v>27</v>
      </c>
      <c r="AB1600" t="s">
        <v>27</v>
      </c>
      <c r="AC1600" t="s">
        <v>27</v>
      </c>
      <c r="AD1600" t="s">
        <v>27</v>
      </c>
      <c r="AE1600" t="s">
        <v>27</v>
      </c>
      <c r="AF1600" t="s">
        <v>27</v>
      </c>
      <c r="AG1600">
        <v>30.86</v>
      </c>
    </row>
    <row r="1601" spans="1:33" x14ac:dyDescent="0.25">
      <c r="A1601" t="s">
        <v>57</v>
      </c>
      <c r="B1601" s="3">
        <v>45062</v>
      </c>
      <c r="C1601">
        <v>2023136</v>
      </c>
      <c r="D1601">
        <v>4.25</v>
      </c>
      <c r="E1601" t="s">
        <v>27</v>
      </c>
      <c r="F1601">
        <v>10.7</v>
      </c>
      <c r="G1601">
        <v>21.7</v>
      </c>
      <c r="H1601">
        <v>2.2999999999999998</v>
      </c>
      <c r="I1601">
        <v>76</v>
      </c>
      <c r="J1601">
        <v>43</v>
      </c>
      <c r="K1601">
        <v>0.4</v>
      </c>
      <c r="L1601">
        <v>2</v>
      </c>
      <c r="M1601">
        <v>0</v>
      </c>
      <c r="N1601">
        <v>0</v>
      </c>
      <c r="O1601" t="s">
        <v>27</v>
      </c>
      <c r="P1601" t="s">
        <v>27</v>
      </c>
      <c r="Q1601" t="s">
        <v>27</v>
      </c>
      <c r="R1601" t="s">
        <v>27</v>
      </c>
      <c r="S1601">
        <v>7.3</v>
      </c>
      <c r="T1601">
        <v>3.3</v>
      </c>
      <c r="U1601" t="s">
        <v>27</v>
      </c>
      <c r="V1601">
        <v>0.159</v>
      </c>
      <c r="W1601">
        <v>1.119</v>
      </c>
      <c r="X1601">
        <v>1.4830000000000001</v>
      </c>
      <c r="Y1601" t="s">
        <v>27</v>
      </c>
      <c r="Z1601" t="s">
        <v>27</v>
      </c>
      <c r="AA1601" t="s">
        <v>27</v>
      </c>
      <c r="AB1601" t="s">
        <v>27</v>
      </c>
      <c r="AC1601" t="s">
        <v>27</v>
      </c>
      <c r="AD1601" t="s">
        <v>27</v>
      </c>
      <c r="AE1601" t="s">
        <v>27</v>
      </c>
      <c r="AF1601" t="s">
        <v>27</v>
      </c>
      <c r="AG1601">
        <v>31</v>
      </c>
    </row>
    <row r="1602" spans="1:33" x14ac:dyDescent="0.25">
      <c r="A1602" t="s">
        <v>57</v>
      </c>
      <c r="B1602" s="3">
        <v>45063</v>
      </c>
      <c r="C1602">
        <v>2023137</v>
      </c>
      <c r="D1602">
        <v>4.74</v>
      </c>
      <c r="E1602" t="s">
        <v>27</v>
      </c>
      <c r="F1602">
        <v>11.5</v>
      </c>
      <c r="G1602">
        <v>21</v>
      </c>
      <c r="H1602">
        <v>1.9</v>
      </c>
      <c r="I1602">
        <v>62.8</v>
      </c>
      <c r="J1602">
        <v>24.8</v>
      </c>
      <c r="K1602">
        <v>0.6</v>
      </c>
      <c r="L1602">
        <v>3.2</v>
      </c>
      <c r="M1602">
        <v>0</v>
      </c>
      <c r="N1602">
        <v>0</v>
      </c>
      <c r="O1602" t="s">
        <v>27</v>
      </c>
      <c r="P1602" t="s">
        <v>27</v>
      </c>
      <c r="Q1602" t="s">
        <v>27</v>
      </c>
      <c r="R1602" t="s">
        <v>27</v>
      </c>
      <c r="S1602">
        <v>11.7</v>
      </c>
      <c r="T1602">
        <v>5.9</v>
      </c>
      <c r="U1602" t="s">
        <v>27</v>
      </c>
      <c r="V1602">
        <v>0.15</v>
      </c>
      <c r="W1602">
        <v>0.61699999999999999</v>
      </c>
      <c r="X1602">
        <v>1.871</v>
      </c>
      <c r="Y1602" t="s">
        <v>27</v>
      </c>
      <c r="Z1602" t="s">
        <v>27</v>
      </c>
      <c r="AA1602" t="s">
        <v>27</v>
      </c>
      <c r="AB1602" t="s">
        <v>27</v>
      </c>
      <c r="AC1602" t="s">
        <v>27</v>
      </c>
      <c r="AD1602" t="s">
        <v>27</v>
      </c>
      <c r="AE1602" t="s">
        <v>27</v>
      </c>
      <c r="AF1602" t="s">
        <v>27</v>
      </c>
      <c r="AG1602">
        <v>31.14</v>
      </c>
    </row>
    <row r="1603" spans="1:33" x14ac:dyDescent="0.25">
      <c r="A1603" t="s">
        <v>57</v>
      </c>
      <c r="B1603" s="3">
        <v>45064</v>
      </c>
      <c r="C1603">
        <v>2023138</v>
      </c>
      <c r="D1603">
        <v>4.6900000000000004</v>
      </c>
      <c r="E1603" t="s">
        <v>27</v>
      </c>
      <c r="F1603">
        <v>13.2</v>
      </c>
      <c r="G1603">
        <v>23.3</v>
      </c>
      <c r="H1603">
        <v>2.7</v>
      </c>
      <c r="I1603">
        <v>73.900000000000006</v>
      </c>
      <c r="J1603">
        <v>32.200000000000003</v>
      </c>
      <c r="K1603">
        <v>0.6</v>
      </c>
      <c r="L1603">
        <v>2.8</v>
      </c>
      <c r="M1603">
        <v>0.4</v>
      </c>
      <c r="N1603">
        <v>0</v>
      </c>
      <c r="O1603" t="s">
        <v>27</v>
      </c>
      <c r="P1603" t="s">
        <v>27</v>
      </c>
      <c r="Q1603" t="s">
        <v>27</v>
      </c>
      <c r="R1603" t="s">
        <v>27</v>
      </c>
      <c r="S1603">
        <v>13.8</v>
      </c>
      <c r="T1603">
        <v>7.8</v>
      </c>
      <c r="U1603" t="s">
        <v>27</v>
      </c>
      <c r="V1603">
        <v>0.14199999999999999</v>
      </c>
      <c r="W1603">
        <v>0.91800000000000004</v>
      </c>
      <c r="X1603">
        <v>1.9330000000000001</v>
      </c>
      <c r="Y1603" t="s">
        <v>27</v>
      </c>
      <c r="Z1603" t="s">
        <v>27</v>
      </c>
      <c r="AA1603" t="s">
        <v>27</v>
      </c>
      <c r="AB1603" t="s">
        <v>27</v>
      </c>
      <c r="AC1603" t="s">
        <v>27</v>
      </c>
      <c r="AD1603" t="s">
        <v>27</v>
      </c>
      <c r="AE1603" t="s">
        <v>27</v>
      </c>
      <c r="AF1603" t="s">
        <v>27</v>
      </c>
      <c r="AG1603">
        <v>31.27</v>
      </c>
    </row>
    <row r="1604" spans="1:33" x14ac:dyDescent="0.25">
      <c r="A1604" t="s">
        <v>57</v>
      </c>
      <c r="B1604" s="3">
        <v>45065</v>
      </c>
      <c r="C1604">
        <v>2023139</v>
      </c>
      <c r="D1604">
        <v>5.15</v>
      </c>
      <c r="E1604" t="s">
        <v>27</v>
      </c>
      <c r="F1604">
        <v>14.4</v>
      </c>
      <c r="G1604">
        <v>24.3</v>
      </c>
      <c r="H1604">
        <v>3.9</v>
      </c>
      <c r="I1604">
        <v>63.3</v>
      </c>
      <c r="J1604">
        <v>27.4</v>
      </c>
      <c r="K1604">
        <v>0.6</v>
      </c>
      <c r="L1604">
        <v>3.1</v>
      </c>
      <c r="M1604">
        <v>0.1</v>
      </c>
      <c r="N1604">
        <v>0</v>
      </c>
      <c r="O1604" t="s">
        <v>27</v>
      </c>
      <c r="P1604" t="s">
        <v>27</v>
      </c>
      <c r="Q1604" t="s">
        <v>27</v>
      </c>
      <c r="R1604" t="s">
        <v>27</v>
      </c>
      <c r="S1604">
        <v>15.7</v>
      </c>
      <c r="T1604">
        <v>9.6999999999999993</v>
      </c>
      <c r="U1604" t="s">
        <v>27</v>
      </c>
      <c r="V1604">
        <v>0.13600000000000001</v>
      </c>
      <c r="W1604">
        <v>0.83399999999999996</v>
      </c>
      <c r="X1604">
        <v>2.21</v>
      </c>
      <c r="Y1604" t="s">
        <v>27</v>
      </c>
      <c r="Z1604" t="s">
        <v>27</v>
      </c>
      <c r="AA1604" t="s">
        <v>27</v>
      </c>
      <c r="AB1604" t="s">
        <v>27</v>
      </c>
      <c r="AC1604" t="s">
        <v>27</v>
      </c>
      <c r="AD1604" t="s">
        <v>27</v>
      </c>
      <c r="AE1604" t="s">
        <v>27</v>
      </c>
      <c r="AF1604" t="s">
        <v>27</v>
      </c>
      <c r="AG1604">
        <v>31.4</v>
      </c>
    </row>
    <row r="1605" spans="1:33" x14ac:dyDescent="0.25">
      <c r="A1605" t="s">
        <v>57</v>
      </c>
      <c r="B1605" s="3">
        <v>45066</v>
      </c>
      <c r="C1605">
        <v>2023140</v>
      </c>
      <c r="D1605">
        <v>4.01</v>
      </c>
      <c r="E1605" t="s">
        <v>27</v>
      </c>
      <c r="F1605">
        <v>13.5</v>
      </c>
      <c r="G1605">
        <v>25</v>
      </c>
      <c r="H1605">
        <v>5.2</v>
      </c>
      <c r="I1605">
        <v>68.8</v>
      </c>
      <c r="J1605">
        <v>30.6</v>
      </c>
      <c r="K1605">
        <v>0.7</v>
      </c>
      <c r="L1605">
        <v>3.7</v>
      </c>
      <c r="M1605">
        <v>1.6</v>
      </c>
      <c r="N1605">
        <v>0</v>
      </c>
      <c r="O1605" t="s">
        <v>27</v>
      </c>
      <c r="P1605" t="s">
        <v>27</v>
      </c>
      <c r="Q1605" t="s">
        <v>27</v>
      </c>
      <c r="R1605" t="s">
        <v>27</v>
      </c>
      <c r="S1605">
        <v>15.1</v>
      </c>
      <c r="T1605">
        <v>10.3</v>
      </c>
      <c r="U1605" t="s">
        <v>27</v>
      </c>
      <c r="V1605">
        <v>0.13100000000000001</v>
      </c>
      <c r="W1605">
        <v>0.97</v>
      </c>
      <c r="X1605">
        <v>2.2000000000000002</v>
      </c>
      <c r="Y1605" t="s">
        <v>27</v>
      </c>
      <c r="Z1605" t="s">
        <v>27</v>
      </c>
      <c r="AA1605" t="s">
        <v>27</v>
      </c>
      <c r="AB1605" t="s">
        <v>27</v>
      </c>
      <c r="AC1605" t="s">
        <v>27</v>
      </c>
      <c r="AD1605" t="s">
        <v>27</v>
      </c>
      <c r="AE1605" t="s">
        <v>27</v>
      </c>
      <c r="AF1605" t="s">
        <v>27</v>
      </c>
      <c r="AG1605">
        <v>31.52</v>
      </c>
    </row>
    <row r="1606" spans="1:33" x14ac:dyDescent="0.25">
      <c r="A1606" t="s">
        <v>57</v>
      </c>
      <c r="B1606" s="3">
        <v>45067</v>
      </c>
      <c r="C1606">
        <v>2023141</v>
      </c>
      <c r="D1606">
        <v>1.81</v>
      </c>
      <c r="E1606" t="s">
        <v>27</v>
      </c>
      <c r="F1606">
        <v>9.4</v>
      </c>
      <c r="G1606">
        <v>16.100000000000001</v>
      </c>
      <c r="H1606">
        <v>4.3</v>
      </c>
      <c r="I1606">
        <v>89.1</v>
      </c>
      <c r="J1606">
        <v>58.4</v>
      </c>
      <c r="K1606">
        <v>0.4</v>
      </c>
      <c r="L1606">
        <v>1.9</v>
      </c>
      <c r="M1606">
        <v>12</v>
      </c>
      <c r="N1606">
        <v>0</v>
      </c>
      <c r="O1606" t="s">
        <v>27</v>
      </c>
      <c r="P1606" t="s">
        <v>27</v>
      </c>
      <c r="Q1606" t="s">
        <v>27</v>
      </c>
      <c r="R1606" t="s">
        <v>27</v>
      </c>
      <c r="S1606">
        <v>11.5</v>
      </c>
      <c r="T1606">
        <v>9.6</v>
      </c>
      <c r="U1606" t="s">
        <v>27</v>
      </c>
      <c r="V1606">
        <v>0.13300000000000001</v>
      </c>
      <c r="W1606">
        <v>1.0660000000000001</v>
      </c>
      <c r="X1606">
        <v>0.75900000000000001</v>
      </c>
      <c r="Y1606" t="s">
        <v>27</v>
      </c>
      <c r="Z1606" t="s">
        <v>27</v>
      </c>
      <c r="AA1606" t="s">
        <v>27</v>
      </c>
      <c r="AB1606" t="s">
        <v>27</v>
      </c>
      <c r="AC1606" t="s">
        <v>27</v>
      </c>
      <c r="AD1606" t="s">
        <v>27</v>
      </c>
      <c r="AE1606" t="s">
        <v>27</v>
      </c>
      <c r="AF1606" t="s">
        <v>27</v>
      </c>
      <c r="AG1606">
        <v>31.65</v>
      </c>
    </row>
    <row r="1607" spans="1:33" x14ac:dyDescent="0.25">
      <c r="A1607" t="s">
        <v>57</v>
      </c>
      <c r="B1607" s="3">
        <v>45068</v>
      </c>
      <c r="C1607">
        <v>2023142</v>
      </c>
      <c r="D1607">
        <v>0</v>
      </c>
      <c r="E1607" t="s">
        <v>27</v>
      </c>
      <c r="F1607">
        <v>3.5</v>
      </c>
      <c r="G1607">
        <v>5</v>
      </c>
      <c r="H1607">
        <v>1</v>
      </c>
      <c r="I1607">
        <v>94.2</v>
      </c>
      <c r="J1607">
        <v>90.5</v>
      </c>
      <c r="K1607">
        <v>1.1000000000000001</v>
      </c>
      <c r="L1607">
        <v>3.6</v>
      </c>
      <c r="M1607">
        <v>32.6</v>
      </c>
      <c r="N1607">
        <v>0</v>
      </c>
      <c r="O1607" t="s">
        <v>27</v>
      </c>
      <c r="P1607" t="s">
        <v>27</v>
      </c>
      <c r="Q1607" t="s">
        <v>27</v>
      </c>
      <c r="R1607" t="s">
        <v>27</v>
      </c>
      <c r="S1607">
        <v>5.4</v>
      </c>
      <c r="T1607">
        <v>7.2</v>
      </c>
      <c r="U1607" t="s">
        <v>27</v>
      </c>
      <c r="V1607">
        <v>0.17399999999999999</v>
      </c>
      <c r="W1607">
        <v>0.78700000000000003</v>
      </c>
      <c r="X1607">
        <v>8.3000000000000004E-2</v>
      </c>
      <c r="Y1607" t="s">
        <v>27</v>
      </c>
      <c r="Z1607" t="s">
        <v>27</v>
      </c>
      <c r="AA1607" t="s">
        <v>27</v>
      </c>
      <c r="AB1607" t="s">
        <v>27</v>
      </c>
      <c r="AC1607" t="s">
        <v>27</v>
      </c>
      <c r="AD1607" t="s">
        <v>27</v>
      </c>
      <c r="AE1607" t="s">
        <v>27</v>
      </c>
      <c r="AF1607" t="s">
        <v>27</v>
      </c>
      <c r="AG1607">
        <v>31.76</v>
      </c>
    </row>
    <row r="1608" spans="1:33" x14ac:dyDescent="0.25">
      <c r="A1608" t="s">
        <v>57</v>
      </c>
      <c r="B1608" s="3">
        <v>45069</v>
      </c>
      <c r="C1608">
        <v>2023143</v>
      </c>
      <c r="D1608">
        <v>0.92</v>
      </c>
      <c r="E1608" t="s">
        <v>27</v>
      </c>
      <c r="F1608">
        <v>5.8</v>
      </c>
      <c r="G1608">
        <v>10.7</v>
      </c>
      <c r="H1608">
        <v>2.2999999999999998</v>
      </c>
      <c r="I1608">
        <v>84.3</v>
      </c>
      <c r="J1608">
        <v>58</v>
      </c>
      <c r="K1608">
        <v>1</v>
      </c>
      <c r="L1608">
        <v>2.8</v>
      </c>
      <c r="M1608">
        <v>0.4</v>
      </c>
      <c r="N1608">
        <v>0</v>
      </c>
      <c r="O1608" t="s">
        <v>27</v>
      </c>
      <c r="P1608" t="s">
        <v>27</v>
      </c>
      <c r="Q1608" t="s">
        <v>27</v>
      </c>
      <c r="R1608" t="s">
        <v>27</v>
      </c>
      <c r="S1608">
        <v>9.3000000000000007</v>
      </c>
      <c r="T1608">
        <v>6.8</v>
      </c>
      <c r="U1608" t="s">
        <v>27</v>
      </c>
      <c r="V1608">
        <v>0.16700000000000001</v>
      </c>
      <c r="W1608">
        <v>0.747</v>
      </c>
      <c r="X1608">
        <v>0.54100000000000004</v>
      </c>
      <c r="Y1608" t="s">
        <v>27</v>
      </c>
      <c r="Z1608" t="s">
        <v>27</v>
      </c>
      <c r="AA1608" t="s">
        <v>27</v>
      </c>
      <c r="AB1608" t="s">
        <v>27</v>
      </c>
      <c r="AC1608" t="s">
        <v>27</v>
      </c>
      <c r="AD1608" t="s">
        <v>27</v>
      </c>
      <c r="AE1608" t="s">
        <v>27</v>
      </c>
      <c r="AF1608" t="s">
        <v>27</v>
      </c>
      <c r="AG1608">
        <v>31.88</v>
      </c>
    </row>
    <row r="1609" spans="1:33" x14ac:dyDescent="0.25">
      <c r="A1609" t="s">
        <v>57</v>
      </c>
      <c r="B1609" s="3">
        <v>45070</v>
      </c>
      <c r="C1609">
        <v>2023144</v>
      </c>
      <c r="D1609">
        <v>1.6</v>
      </c>
      <c r="E1609" t="s">
        <v>27</v>
      </c>
      <c r="F1609">
        <v>7</v>
      </c>
      <c r="G1609">
        <v>12.4</v>
      </c>
      <c r="H1609">
        <v>2.2000000000000002</v>
      </c>
      <c r="I1609">
        <v>80.900000000000006</v>
      </c>
      <c r="J1609">
        <v>57.2</v>
      </c>
      <c r="K1609">
        <v>1.1000000000000001</v>
      </c>
      <c r="L1609">
        <v>2.9</v>
      </c>
      <c r="M1609">
        <v>0</v>
      </c>
      <c r="N1609">
        <v>0</v>
      </c>
      <c r="O1609" t="s">
        <v>27</v>
      </c>
      <c r="P1609" t="s">
        <v>27</v>
      </c>
      <c r="Q1609" t="s">
        <v>27</v>
      </c>
      <c r="R1609" t="s">
        <v>27</v>
      </c>
      <c r="S1609">
        <v>11</v>
      </c>
      <c r="T1609">
        <v>8</v>
      </c>
      <c r="U1609" t="s">
        <v>27</v>
      </c>
      <c r="V1609">
        <v>0.155</v>
      </c>
      <c r="W1609">
        <v>0.82299999999999995</v>
      </c>
      <c r="X1609">
        <v>0.61599999999999999</v>
      </c>
      <c r="Y1609" t="s">
        <v>27</v>
      </c>
      <c r="Z1609" t="s">
        <v>27</v>
      </c>
      <c r="AA1609" t="s">
        <v>27</v>
      </c>
      <c r="AB1609" t="s">
        <v>27</v>
      </c>
      <c r="AC1609" t="s">
        <v>27</v>
      </c>
      <c r="AD1609" t="s">
        <v>27</v>
      </c>
      <c r="AE1609" t="s">
        <v>27</v>
      </c>
      <c r="AF1609" t="s">
        <v>27</v>
      </c>
      <c r="AG1609">
        <v>31.99</v>
      </c>
    </row>
    <row r="1610" spans="1:33" x14ac:dyDescent="0.25">
      <c r="A1610" t="s">
        <v>57</v>
      </c>
      <c r="B1610" s="3">
        <v>45071</v>
      </c>
      <c r="C1610">
        <v>2023145</v>
      </c>
      <c r="D1610">
        <v>1.83</v>
      </c>
      <c r="E1610" t="s">
        <v>27</v>
      </c>
      <c r="F1610">
        <v>8.1</v>
      </c>
      <c r="G1610">
        <v>14.8</v>
      </c>
      <c r="H1610">
        <v>1.5</v>
      </c>
      <c r="I1610">
        <v>81.3</v>
      </c>
      <c r="J1610">
        <v>51.2</v>
      </c>
      <c r="K1610">
        <v>0.9</v>
      </c>
      <c r="L1610">
        <v>2.7</v>
      </c>
      <c r="M1610">
        <v>0.6</v>
      </c>
      <c r="N1610">
        <v>0</v>
      </c>
      <c r="O1610" t="s">
        <v>27</v>
      </c>
      <c r="P1610" t="s">
        <v>27</v>
      </c>
      <c r="Q1610" t="s">
        <v>27</v>
      </c>
      <c r="R1610" t="s">
        <v>27</v>
      </c>
      <c r="S1610">
        <v>11.6</v>
      </c>
      <c r="T1610">
        <v>8.6</v>
      </c>
      <c r="U1610" t="s">
        <v>27</v>
      </c>
      <c r="V1610">
        <v>0.14699999999999999</v>
      </c>
      <c r="W1610">
        <v>0.86399999999999999</v>
      </c>
      <c r="X1610">
        <v>0.82399999999999995</v>
      </c>
      <c r="Y1610" t="s">
        <v>27</v>
      </c>
      <c r="Z1610" t="s">
        <v>27</v>
      </c>
      <c r="AA1610" t="s">
        <v>27</v>
      </c>
      <c r="AB1610" t="s">
        <v>27</v>
      </c>
      <c r="AC1610" t="s">
        <v>27</v>
      </c>
      <c r="AD1610" t="s">
        <v>27</v>
      </c>
      <c r="AE1610" t="s">
        <v>27</v>
      </c>
      <c r="AF1610" t="s">
        <v>27</v>
      </c>
      <c r="AG1610">
        <v>32.090000000000003</v>
      </c>
    </row>
    <row r="1611" spans="1:33" x14ac:dyDescent="0.25">
      <c r="A1611" t="s">
        <v>57</v>
      </c>
      <c r="B1611" s="3">
        <v>45072</v>
      </c>
      <c r="C1611">
        <v>2023146</v>
      </c>
      <c r="D1611">
        <v>2.84</v>
      </c>
      <c r="E1611" t="s">
        <v>27</v>
      </c>
      <c r="F1611">
        <v>10</v>
      </c>
      <c r="G1611">
        <v>19</v>
      </c>
      <c r="H1611">
        <v>0.2</v>
      </c>
      <c r="I1611">
        <v>72</v>
      </c>
      <c r="J1611">
        <v>34.9</v>
      </c>
      <c r="K1611">
        <v>0.4</v>
      </c>
      <c r="L1611">
        <v>1.8</v>
      </c>
      <c r="M1611">
        <v>0.4</v>
      </c>
      <c r="N1611">
        <v>0</v>
      </c>
      <c r="O1611" t="s">
        <v>27</v>
      </c>
      <c r="P1611" t="s">
        <v>27</v>
      </c>
      <c r="Q1611" t="s">
        <v>27</v>
      </c>
      <c r="R1611" t="s">
        <v>27</v>
      </c>
      <c r="S1611">
        <v>11.4</v>
      </c>
      <c r="T1611">
        <v>8.6999999999999993</v>
      </c>
      <c r="U1611" t="s">
        <v>27</v>
      </c>
      <c r="V1611">
        <v>0.14099999999999999</v>
      </c>
      <c r="W1611">
        <v>0.76600000000000001</v>
      </c>
      <c r="X1611">
        <v>1.429</v>
      </c>
      <c r="Y1611" t="s">
        <v>27</v>
      </c>
      <c r="Z1611" t="s">
        <v>27</v>
      </c>
      <c r="AA1611" t="s">
        <v>27</v>
      </c>
      <c r="AB1611" t="s">
        <v>27</v>
      </c>
      <c r="AC1611" t="s">
        <v>27</v>
      </c>
      <c r="AD1611" t="s">
        <v>27</v>
      </c>
      <c r="AE1611" t="s">
        <v>27</v>
      </c>
      <c r="AF1611" t="s">
        <v>27</v>
      </c>
      <c r="AG1611">
        <v>32.200000000000003</v>
      </c>
    </row>
    <row r="1612" spans="1:33" x14ac:dyDescent="0.25">
      <c r="A1612" t="s">
        <v>57</v>
      </c>
      <c r="B1612" s="3">
        <v>45073</v>
      </c>
      <c r="C1612">
        <v>2023147</v>
      </c>
      <c r="D1612">
        <v>1.94</v>
      </c>
      <c r="E1612" t="s">
        <v>27</v>
      </c>
      <c r="F1612">
        <v>9.5</v>
      </c>
      <c r="G1612">
        <v>18.3</v>
      </c>
      <c r="H1612">
        <v>2.9</v>
      </c>
      <c r="I1612">
        <v>81.900000000000006</v>
      </c>
      <c r="J1612">
        <v>46.3</v>
      </c>
      <c r="K1612">
        <v>0.4</v>
      </c>
      <c r="L1612">
        <v>2.7</v>
      </c>
      <c r="M1612">
        <v>2.2000000000000002</v>
      </c>
      <c r="N1612">
        <v>0</v>
      </c>
      <c r="O1612" t="s">
        <v>27</v>
      </c>
      <c r="P1612" t="s">
        <v>27</v>
      </c>
      <c r="Q1612" t="s">
        <v>27</v>
      </c>
      <c r="R1612" t="s">
        <v>27</v>
      </c>
      <c r="S1612">
        <v>10.5</v>
      </c>
      <c r="T1612">
        <v>9.1</v>
      </c>
      <c r="U1612" t="s">
        <v>27</v>
      </c>
      <c r="V1612">
        <v>0.13700000000000001</v>
      </c>
      <c r="W1612">
        <v>0.97399999999999998</v>
      </c>
      <c r="X1612">
        <v>1.1299999999999999</v>
      </c>
      <c r="Y1612" t="s">
        <v>27</v>
      </c>
      <c r="Z1612" t="s">
        <v>27</v>
      </c>
      <c r="AA1612" t="s">
        <v>27</v>
      </c>
      <c r="AB1612" t="s">
        <v>27</v>
      </c>
      <c r="AC1612" t="s">
        <v>27</v>
      </c>
      <c r="AD1612" t="s">
        <v>27</v>
      </c>
      <c r="AE1612" t="s">
        <v>27</v>
      </c>
      <c r="AF1612" t="s">
        <v>27</v>
      </c>
      <c r="AG1612">
        <v>32.29</v>
      </c>
    </row>
    <row r="1613" spans="1:33" x14ac:dyDescent="0.25">
      <c r="A1613" t="s">
        <v>57</v>
      </c>
      <c r="B1613" s="3">
        <v>45074</v>
      </c>
      <c r="C1613">
        <v>2023148</v>
      </c>
      <c r="D1613">
        <v>3.15</v>
      </c>
      <c r="E1613" t="s">
        <v>27</v>
      </c>
      <c r="F1613">
        <v>11</v>
      </c>
      <c r="G1613">
        <v>19.399999999999999</v>
      </c>
      <c r="H1613">
        <v>0.9</v>
      </c>
      <c r="I1613">
        <v>67.400000000000006</v>
      </c>
      <c r="J1613">
        <v>34.5</v>
      </c>
      <c r="K1613">
        <v>0.8</v>
      </c>
      <c r="L1613">
        <v>3</v>
      </c>
      <c r="M1613">
        <v>0</v>
      </c>
      <c r="N1613">
        <v>0</v>
      </c>
      <c r="O1613" t="s">
        <v>27</v>
      </c>
      <c r="P1613" t="s">
        <v>27</v>
      </c>
      <c r="Q1613" t="s">
        <v>27</v>
      </c>
      <c r="R1613" t="s">
        <v>27</v>
      </c>
      <c r="S1613">
        <v>12.2</v>
      </c>
      <c r="T1613">
        <v>9.1999999999999993</v>
      </c>
      <c r="U1613" t="s">
        <v>27</v>
      </c>
      <c r="V1613">
        <v>0.13400000000000001</v>
      </c>
      <c r="W1613">
        <v>0.77500000000000002</v>
      </c>
      <c r="X1613">
        <v>1.4710000000000001</v>
      </c>
      <c r="Y1613" t="s">
        <v>27</v>
      </c>
      <c r="Z1613" t="s">
        <v>27</v>
      </c>
      <c r="AA1613" t="s">
        <v>27</v>
      </c>
      <c r="AB1613" t="s">
        <v>27</v>
      </c>
      <c r="AC1613" t="s">
        <v>27</v>
      </c>
      <c r="AD1613" t="s">
        <v>27</v>
      </c>
      <c r="AE1613" t="s">
        <v>27</v>
      </c>
      <c r="AF1613" t="s">
        <v>27</v>
      </c>
      <c r="AG1613">
        <v>32.39</v>
      </c>
    </row>
    <row r="1614" spans="1:33" x14ac:dyDescent="0.25">
      <c r="A1614" t="s">
        <v>57</v>
      </c>
      <c r="B1614" s="3">
        <v>45075</v>
      </c>
      <c r="C1614">
        <v>2023149</v>
      </c>
      <c r="D1614">
        <v>3.08</v>
      </c>
      <c r="E1614" t="s">
        <v>27</v>
      </c>
      <c r="F1614">
        <v>10.5</v>
      </c>
      <c r="G1614">
        <v>19.899999999999999</v>
      </c>
      <c r="H1614">
        <v>0.7</v>
      </c>
      <c r="I1614">
        <v>59.8</v>
      </c>
      <c r="J1614">
        <v>26.9</v>
      </c>
      <c r="K1614">
        <v>1</v>
      </c>
      <c r="L1614">
        <v>3.6</v>
      </c>
      <c r="M1614">
        <v>0</v>
      </c>
      <c r="N1614">
        <v>0</v>
      </c>
      <c r="O1614" t="s">
        <v>27</v>
      </c>
      <c r="P1614" t="s">
        <v>27</v>
      </c>
      <c r="Q1614" t="s">
        <v>27</v>
      </c>
      <c r="R1614" t="s">
        <v>27</v>
      </c>
      <c r="S1614">
        <v>14.1</v>
      </c>
      <c r="T1614">
        <v>10.199999999999999</v>
      </c>
      <c r="U1614" t="s">
        <v>27</v>
      </c>
      <c r="V1614">
        <v>0.129</v>
      </c>
      <c r="W1614">
        <v>0.623</v>
      </c>
      <c r="X1614">
        <v>1.6930000000000001</v>
      </c>
      <c r="Y1614" t="s">
        <v>27</v>
      </c>
      <c r="Z1614" t="s">
        <v>27</v>
      </c>
      <c r="AA1614" t="s">
        <v>27</v>
      </c>
      <c r="AB1614" t="s">
        <v>27</v>
      </c>
      <c r="AC1614" t="s">
        <v>27</v>
      </c>
      <c r="AD1614" t="s">
        <v>27</v>
      </c>
      <c r="AE1614" t="s">
        <v>27</v>
      </c>
      <c r="AF1614" t="s">
        <v>27</v>
      </c>
      <c r="AG1614">
        <v>32.479999999999997</v>
      </c>
    </row>
    <row r="1615" spans="1:33" x14ac:dyDescent="0.25">
      <c r="A1615" t="s">
        <v>57</v>
      </c>
      <c r="B1615" s="3">
        <v>45076</v>
      </c>
      <c r="C1615">
        <v>2023150</v>
      </c>
      <c r="D1615">
        <v>3.03</v>
      </c>
      <c r="E1615" t="s">
        <v>27</v>
      </c>
      <c r="F1615">
        <v>10.6</v>
      </c>
      <c r="G1615">
        <v>19.600000000000001</v>
      </c>
      <c r="H1615">
        <v>0.1</v>
      </c>
      <c r="I1615">
        <v>50.1</v>
      </c>
      <c r="J1615">
        <v>23.6</v>
      </c>
      <c r="K1615">
        <v>1</v>
      </c>
      <c r="L1615">
        <v>3.1</v>
      </c>
      <c r="M1615">
        <v>0</v>
      </c>
      <c r="N1615">
        <v>0</v>
      </c>
      <c r="O1615" t="s">
        <v>27</v>
      </c>
      <c r="P1615" t="s">
        <v>27</v>
      </c>
      <c r="Q1615" t="s">
        <v>27</v>
      </c>
      <c r="R1615" t="s">
        <v>27</v>
      </c>
      <c r="S1615">
        <v>15</v>
      </c>
      <c r="T1615">
        <v>10.7</v>
      </c>
      <c r="U1615" t="s">
        <v>27</v>
      </c>
      <c r="V1615">
        <v>0.124</v>
      </c>
      <c r="W1615">
        <v>0.53700000000000003</v>
      </c>
      <c r="X1615">
        <v>1.738</v>
      </c>
      <c r="Y1615" t="s">
        <v>27</v>
      </c>
      <c r="Z1615" t="s">
        <v>27</v>
      </c>
      <c r="AA1615" t="s">
        <v>27</v>
      </c>
      <c r="AB1615" t="s">
        <v>27</v>
      </c>
      <c r="AC1615" t="s">
        <v>27</v>
      </c>
      <c r="AD1615" t="s">
        <v>27</v>
      </c>
      <c r="AE1615" t="s">
        <v>27</v>
      </c>
      <c r="AF1615" t="s">
        <v>27</v>
      </c>
      <c r="AG1615">
        <v>32.56</v>
      </c>
    </row>
    <row r="1616" spans="1:33" x14ac:dyDescent="0.25">
      <c r="A1616" t="s">
        <v>57</v>
      </c>
      <c r="B1616" s="3">
        <v>45077</v>
      </c>
      <c r="C1616">
        <v>2023151</v>
      </c>
      <c r="D1616">
        <v>2.27</v>
      </c>
      <c r="E1616" t="s">
        <v>27</v>
      </c>
      <c r="F1616">
        <v>8.1999999999999993</v>
      </c>
      <c r="G1616">
        <v>17.2</v>
      </c>
      <c r="H1616">
        <v>-1.7</v>
      </c>
      <c r="I1616">
        <v>57.6</v>
      </c>
      <c r="J1616">
        <v>25.5</v>
      </c>
      <c r="K1616">
        <v>0.8</v>
      </c>
      <c r="L1616">
        <v>3</v>
      </c>
      <c r="M1616">
        <v>0</v>
      </c>
      <c r="N1616">
        <v>0</v>
      </c>
      <c r="O1616" t="s">
        <v>27</v>
      </c>
      <c r="P1616" t="s">
        <v>27</v>
      </c>
      <c r="Q1616" t="s">
        <v>27</v>
      </c>
      <c r="R1616" t="s">
        <v>27</v>
      </c>
      <c r="S1616">
        <v>15.2</v>
      </c>
      <c r="T1616">
        <v>11</v>
      </c>
      <c r="U1616" t="s">
        <v>27</v>
      </c>
      <c r="V1616">
        <v>0.12</v>
      </c>
      <c r="W1616">
        <v>0.5</v>
      </c>
      <c r="X1616">
        <v>1.4610000000000001</v>
      </c>
      <c r="Y1616" t="s">
        <v>27</v>
      </c>
      <c r="Z1616" t="s">
        <v>27</v>
      </c>
      <c r="AA1616" t="s">
        <v>27</v>
      </c>
      <c r="AB1616" t="s">
        <v>27</v>
      </c>
      <c r="AC1616" t="s">
        <v>27</v>
      </c>
      <c r="AD1616" t="s">
        <v>27</v>
      </c>
      <c r="AE1616" t="s">
        <v>27</v>
      </c>
      <c r="AF1616" t="s">
        <v>27</v>
      </c>
      <c r="AG1616">
        <v>32.64</v>
      </c>
    </row>
    <row r="1617" spans="1:33" x14ac:dyDescent="0.25">
      <c r="A1617" t="s">
        <v>57</v>
      </c>
      <c r="B1617" s="3">
        <v>45078</v>
      </c>
      <c r="C1617">
        <v>2023152</v>
      </c>
      <c r="D1617">
        <v>2.19</v>
      </c>
      <c r="E1617" t="s">
        <v>27</v>
      </c>
      <c r="F1617">
        <v>9</v>
      </c>
      <c r="G1617">
        <v>18.2</v>
      </c>
      <c r="H1617">
        <v>1</v>
      </c>
      <c r="I1617">
        <v>60.5</v>
      </c>
      <c r="J1617">
        <v>31.1</v>
      </c>
      <c r="K1617">
        <v>0.7</v>
      </c>
      <c r="L1617">
        <v>2.2999999999999998</v>
      </c>
      <c r="M1617">
        <v>0</v>
      </c>
      <c r="N1617">
        <v>0</v>
      </c>
      <c r="O1617" t="s">
        <v>27</v>
      </c>
      <c r="P1617" t="s">
        <v>27</v>
      </c>
      <c r="Q1617" t="s">
        <v>27</v>
      </c>
      <c r="R1617" t="s">
        <v>27</v>
      </c>
      <c r="S1617">
        <v>13.4</v>
      </c>
      <c r="T1617">
        <v>10.6</v>
      </c>
      <c r="U1617" t="s">
        <v>27</v>
      </c>
      <c r="V1617">
        <v>0.11600000000000001</v>
      </c>
      <c r="W1617">
        <v>0.65100000000000002</v>
      </c>
      <c r="X1617">
        <v>1.4419999999999999</v>
      </c>
      <c r="Y1617" t="s">
        <v>27</v>
      </c>
      <c r="Z1617" t="s">
        <v>27</v>
      </c>
      <c r="AA1617" t="s">
        <v>27</v>
      </c>
      <c r="AB1617" t="s">
        <v>27</v>
      </c>
      <c r="AC1617" t="s">
        <v>27</v>
      </c>
      <c r="AD1617" t="s">
        <v>27</v>
      </c>
      <c r="AE1617" t="s">
        <v>27</v>
      </c>
      <c r="AF1617" t="s">
        <v>27</v>
      </c>
      <c r="AG1617">
        <v>32.71</v>
      </c>
    </row>
    <row r="1618" spans="1:33" x14ac:dyDescent="0.25">
      <c r="A1618" t="s">
        <v>57</v>
      </c>
      <c r="B1618" s="3">
        <v>45079</v>
      </c>
      <c r="C1618">
        <v>2023153</v>
      </c>
      <c r="D1618">
        <v>3.48</v>
      </c>
      <c r="E1618" t="s">
        <v>27</v>
      </c>
      <c r="F1618">
        <v>11.2</v>
      </c>
      <c r="G1618">
        <v>21.3</v>
      </c>
      <c r="H1618">
        <v>-0.5</v>
      </c>
      <c r="I1618">
        <v>56.1</v>
      </c>
      <c r="J1618">
        <v>19.3</v>
      </c>
      <c r="K1618">
        <v>0.8</v>
      </c>
      <c r="L1618">
        <v>3.3</v>
      </c>
      <c r="M1618">
        <v>0</v>
      </c>
      <c r="N1618">
        <v>0</v>
      </c>
      <c r="O1618" t="s">
        <v>27</v>
      </c>
      <c r="P1618" t="s">
        <v>27</v>
      </c>
      <c r="Q1618" t="s">
        <v>27</v>
      </c>
      <c r="R1618" t="s">
        <v>27</v>
      </c>
      <c r="S1618">
        <v>17.600000000000001</v>
      </c>
      <c r="T1618">
        <v>11.3</v>
      </c>
      <c r="U1618" t="s">
        <v>27</v>
      </c>
      <c r="V1618">
        <v>0.113</v>
      </c>
      <c r="W1618">
        <v>0.48799999999999999</v>
      </c>
      <c r="X1618">
        <v>2.04</v>
      </c>
      <c r="Y1618" t="s">
        <v>27</v>
      </c>
      <c r="Z1618" t="s">
        <v>27</v>
      </c>
      <c r="AA1618" t="s">
        <v>27</v>
      </c>
      <c r="AB1618" t="s">
        <v>27</v>
      </c>
      <c r="AC1618" t="s">
        <v>27</v>
      </c>
      <c r="AD1618" t="s">
        <v>27</v>
      </c>
      <c r="AE1618" t="s">
        <v>27</v>
      </c>
      <c r="AF1618" t="s">
        <v>27</v>
      </c>
      <c r="AG1618">
        <v>32.78</v>
      </c>
    </row>
    <row r="1619" spans="1:33" x14ac:dyDescent="0.25">
      <c r="A1619" t="s">
        <v>57</v>
      </c>
      <c r="B1619" s="3">
        <v>45080</v>
      </c>
      <c r="C1619">
        <v>2023154</v>
      </c>
      <c r="D1619">
        <v>3.8</v>
      </c>
      <c r="E1619" t="s">
        <v>27</v>
      </c>
      <c r="F1619">
        <v>12.3</v>
      </c>
      <c r="G1619">
        <v>22.6</v>
      </c>
      <c r="H1619">
        <v>-0.3</v>
      </c>
      <c r="I1619">
        <v>53.4</v>
      </c>
      <c r="J1619">
        <v>24.5</v>
      </c>
      <c r="K1619">
        <v>0.8</v>
      </c>
      <c r="L1619">
        <v>2.9</v>
      </c>
      <c r="M1619">
        <v>0</v>
      </c>
      <c r="N1619">
        <v>0</v>
      </c>
      <c r="O1619" t="s">
        <v>27</v>
      </c>
      <c r="P1619" t="s">
        <v>27</v>
      </c>
      <c r="Q1619" t="s">
        <v>27</v>
      </c>
      <c r="R1619" t="s">
        <v>27</v>
      </c>
      <c r="S1619">
        <v>19.2</v>
      </c>
      <c r="T1619">
        <v>12.3</v>
      </c>
      <c r="U1619" t="s">
        <v>27</v>
      </c>
      <c r="V1619">
        <v>0.109</v>
      </c>
      <c r="W1619">
        <v>0.67</v>
      </c>
      <c r="X1619">
        <v>2.0649999999999999</v>
      </c>
      <c r="Y1619" t="s">
        <v>27</v>
      </c>
      <c r="Z1619" t="s">
        <v>27</v>
      </c>
      <c r="AA1619" t="s">
        <v>27</v>
      </c>
      <c r="AB1619" t="s">
        <v>27</v>
      </c>
      <c r="AC1619" t="s">
        <v>27</v>
      </c>
      <c r="AD1619" t="s">
        <v>27</v>
      </c>
      <c r="AE1619" t="s">
        <v>27</v>
      </c>
      <c r="AF1619" t="s">
        <v>27</v>
      </c>
      <c r="AG1619">
        <v>32.86</v>
      </c>
    </row>
    <row r="1620" spans="1:33" x14ac:dyDescent="0.25">
      <c r="A1620" t="s">
        <v>57</v>
      </c>
      <c r="B1620" s="3">
        <v>45081</v>
      </c>
      <c r="C1620">
        <v>2023155</v>
      </c>
      <c r="D1620">
        <v>3.08</v>
      </c>
      <c r="E1620" t="s">
        <v>27</v>
      </c>
      <c r="F1620">
        <v>11.8</v>
      </c>
      <c r="G1620">
        <v>21</v>
      </c>
      <c r="H1620">
        <v>2</v>
      </c>
      <c r="I1620">
        <v>49.6</v>
      </c>
      <c r="J1620">
        <v>23</v>
      </c>
      <c r="K1620">
        <v>0.8</v>
      </c>
      <c r="L1620">
        <v>3.6</v>
      </c>
      <c r="M1620">
        <v>0</v>
      </c>
      <c r="N1620">
        <v>0</v>
      </c>
      <c r="O1620" t="s">
        <v>27</v>
      </c>
      <c r="P1620" t="s">
        <v>27</v>
      </c>
      <c r="Q1620" t="s">
        <v>27</v>
      </c>
      <c r="R1620" t="s">
        <v>27</v>
      </c>
      <c r="S1620">
        <v>19.7</v>
      </c>
      <c r="T1620">
        <v>13</v>
      </c>
      <c r="U1620" t="s">
        <v>27</v>
      </c>
      <c r="V1620">
        <v>0.105</v>
      </c>
      <c r="W1620">
        <v>0.56999999999999995</v>
      </c>
      <c r="X1620">
        <v>1.9079999999999999</v>
      </c>
      <c r="Y1620" t="s">
        <v>27</v>
      </c>
      <c r="Z1620" t="s">
        <v>27</v>
      </c>
      <c r="AA1620" t="s">
        <v>27</v>
      </c>
      <c r="AB1620" t="s">
        <v>27</v>
      </c>
      <c r="AC1620" t="s">
        <v>27</v>
      </c>
      <c r="AD1620" t="s">
        <v>27</v>
      </c>
      <c r="AE1620" t="s">
        <v>27</v>
      </c>
      <c r="AF1620" t="s">
        <v>27</v>
      </c>
      <c r="AG1620">
        <v>32.909999999999997</v>
      </c>
    </row>
    <row r="1621" spans="1:33" x14ac:dyDescent="0.25">
      <c r="A1621" t="s">
        <v>57</v>
      </c>
      <c r="B1621" s="3">
        <v>45082</v>
      </c>
      <c r="C1621">
        <v>2023156</v>
      </c>
      <c r="D1621">
        <v>2.04</v>
      </c>
      <c r="E1621" t="s">
        <v>27</v>
      </c>
      <c r="F1621">
        <v>9.1999999999999993</v>
      </c>
      <c r="G1621">
        <v>16.399999999999999</v>
      </c>
      <c r="H1621">
        <v>-0.5</v>
      </c>
      <c r="I1621">
        <v>41</v>
      </c>
      <c r="J1621">
        <v>16.100000000000001</v>
      </c>
      <c r="K1621">
        <v>1.2</v>
      </c>
      <c r="L1621">
        <v>3.1</v>
      </c>
      <c r="M1621">
        <v>0</v>
      </c>
      <c r="N1621">
        <v>0</v>
      </c>
      <c r="O1621" t="s">
        <v>27</v>
      </c>
      <c r="P1621" t="s">
        <v>27</v>
      </c>
      <c r="Q1621" t="s">
        <v>27</v>
      </c>
      <c r="R1621" t="s">
        <v>27</v>
      </c>
      <c r="S1621">
        <v>18.2</v>
      </c>
      <c r="T1621">
        <v>12.7</v>
      </c>
      <c r="U1621" t="s">
        <v>27</v>
      </c>
      <c r="V1621">
        <v>0.10100000000000001</v>
      </c>
      <c r="W1621">
        <v>0.3</v>
      </c>
      <c r="X1621">
        <v>1.5629999999999999</v>
      </c>
      <c r="Y1621" t="s">
        <v>27</v>
      </c>
      <c r="Z1621" t="s">
        <v>27</v>
      </c>
      <c r="AA1621" t="s">
        <v>27</v>
      </c>
      <c r="AB1621" t="s">
        <v>27</v>
      </c>
      <c r="AC1621" t="s">
        <v>27</v>
      </c>
      <c r="AD1621" t="s">
        <v>27</v>
      </c>
      <c r="AE1621" t="s">
        <v>27</v>
      </c>
      <c r="AF1621" t="s">
        <v>27</v>
      </c>
      <c r="AG1621">
        <v>32.97</v>
      </c>
    </row>
    <row r="1622" spans="1:33" x14ac:dyDescent="0.25">
      <c r="A1622" t="s">
        <v>57</v>
      </c>
      <c r="B1622" s="3">
        <v>45083</v>
      </c>
      <c r="C1622">
        <v>2023157</v>
      </c>
      <c r="D1622">
        <v>3.1</v>
      </c>
      <c r="E1622" t="s">
        <v>27</v>
      </c>
      <c r="F1622">
        <v>12.2</v>
      </c>
      <c r="G1622">
        <v>21.4</v>
      </c>
      <c r="H1622">
        <v>2.8</v>
      </c>
      <c r="I1622">
        <v>35.799999999999997</v>
      </c>
      <c r="J1622">
        <v>13.5</v>
      </c>
      <c r="K1622">
        <v>1.1000000000000001</v>
      </c>
      <c r="L1622">
        <v>2.9</v>
      </c>
      <c r="M1622">
        <v>0</v>
      </c>
      <c r="N1622">
        <v>0</v>
      </c>
      <c r="O1622" t="s">
        <v>27</v>
      </c>
      <c r="P1622" t="s">
        <v>27</v>
      </c>
      <c r="Q1622" t="s">
        <v>27</v>
      </c>
      <c r="R1622" t="s">
        <v>27</v>
      </c>
      <c r="S1622">
        <v>20</v>
      </c>
      <c r="T1622">
        <v>12.9</v>
      </c>
      <c r="U1622" t="s">
        <v>27</v>
      </c>
      <c r="V1622">
        <v>9.7000000000000003E-2</v>
      </c>
      <c r="W1622">
        <v>0.34499999999999997</v>
      </c>
      <c r="X1622">
        <v>2.2109999999999999</v>
      </c>
      <c r="Y1622" t="s">
        <v>27</v>
      </c>
      <c r="Z1622" t="s">
        <v>27</v>
      </c>
      <c r="AA1622" t="s">
        <v>27</v>
      </c>
      <c r="AB1622" t="s">
        <v>27</v>
      </c>
      <c r="AC1622" t="s">
        <v>27</v>
      </c>
      <c r="AD1622" t="s">
        <v>27</v>
      </c>
      <c r="AE1622" t="s">
        <v>27</v>
      </c>
      <c r="AF1622" t="s">
        <v>27</v>
      </c>
      <c r="AG1622">
        <v>33.03</v>
      </c>
    </row>
    <row r="1623" spans="1:33" x14ac:dyDescent="0.25">
      <c r="A1623" t="s">
        <v>57</v>
      </c>
      <c r="B1623" s="3">
        <v>45084</v>
      </c>
      <c r="C1623">
        <v>2023158</v>
      </c>
      <c r="D1623">
        <v>4.1399999999999997</v>
      </c>
      <c r="E1623" t="s">
        <v>27</v>
      </c>
      <c r="F1623">
        <v>14.3</v>
      </c>
      <c r="G1623">
        <v>25.4</v>
      </c>
      <c r="H1623">
        <v>0.5</v>
      </c>
      <c r="I1623">
        <v>37.9</v>
      </c>
      <c r="J1623">
        <v>10.9</v>
      </c>
      <c r="K1623">
        <v>0.6</v>
      </c>
      <c r="L1623">
        <v>3.4</v>
      </c>
      <c r="M1623">
        <v>0</v>
      </c>
      <c r="N1623">
        <v>0</v>
      </c>
      <c r="O1623" t="s">
        <v>27</v>
      </c>
      <c r="P1623" t="s">
        <v>27</v>
      </c>
      <c r="Q1623" t="s">
        <v>27</v>
      </c>
      <c r="R1623" t="s">
        <v>27</v>
      </c>
      <c r="S1623">
        <v>20.7</v>
      </c>
      <c r="T1623">
        <v>13.4</v>
      </c>
      <c r="U1623" t="s">
        <v>27</v>
      </c>
      <c r="V1623">
        <v>9.4E-2</v>
      </c>
      <c r="W1623">
        <v>0.35399999999999998</v>
      </c>
      <c r="X1623">
        <v>2.8940000000000001</v>
      </c>
      <c r="Y1623" t="s">
        <v>27</v>
      </c>
      <c r="Z1623" t="s">
        <v>27</v>
      </c>
      <c r="AA1623" t="s">
        <v>27</v>
      </c>
      <c r="AB1623" t="s">
        <v>27</v>
      </c>
      <c r="AC1623" t="s">
        <v>27</v>
      </c>
      <c r="AD1623" t="s">
        <v>27</v>
      </c>
      <c r="AE1623" t="s">
        <v>27</v>
      </c>
      <c r="AF1623" t="s">
        <v>27</v>
      </c>
      <c r="AG1623">
        <v>33.08</v>
      </c>
    </row>
    <row r="1624" spans="1:33" x14ac:dyDescent="0.25">
      <c r="A1624" t="s">
        <v>57</v>
      </c>
      <c r="B1624" s="3">
        <v>45085</v>
      </c>
      <c r="C1624">
        <v>2023159</v>
      </c>
      <c r="D1624">
        <v>4.32</v>
      </c>
      <c r="E1624" t="s">
        <v>27</v>
      </c>
      <c r="F1624">
        <v>17.7</v>
      </c>
      <c r="G1624">
        <v>27.2</v>
      </c>
      <c r="H1624">
        <v>4.0999999999999996</v>
      </c>
      <c r="I1624">
        <v>43.6</v>
      </c>
      <c r="J1624">
        <v>20.100000000000001</v>
      </c>
      <c r="K1624">
        <v>0.6</v>
      </c>
      <c r="L1624">
        <v>2.7</v>
      </c>
      <c r="M1624">
        <v>0</v>
      </c>
      <c r="N1624">
        <v>0</v>
      </c>
      <c r="O1624" t="s">
        <v>27</v>
      </c>
      <c r="P1624" t="s">
        <v>27</v>
      </c>
      <c r="Q1624" t="s">
        <v>27</v>
      </c>
      <c r="R1624" t="s">
        <v>27</v>
      </c>
      <c r="S1624">
        <v>21.5</v>
      </c>
      <c r="T1624">
        <v>13.9</v>
      </c>
      <c r="U1624" t="s">
        <v>27</v>
      </c>
      <c r="V1624">
        <v>0.09</v>
      </c>
      <c r="W1624">
        <v>0.72299999999999998</v>
      </c>
      <c r="X1624">
        <v>2.8740000000000001</v>
      </c>
      <c r="Y1624" t="s">
        <v>27</v>
      </c>
      <c r="Z1624" t="s">
        <v>27</v>
      </c>
      <c r="AA1624" t="s">
        <v>27</v>
      </c>
      <c r="AB1624" t="s">
        <v>27</v>
      </c>
      <c r="AC1624" t="s">
        <v>27</v>
      </c>
      <c r="AD1624" t="s">
        <v>27</v>
      </c>
      <c r="AE1624" t="s">
        <v>27</v>
      </c>
      <c r="AF1624" t="s">
        <v>27</v>
      </c>
      <c r="AG1624">
        <v>33.130000000000003</v>
      </c>
    </row>
    <row r="1625" spans="1:33" x14ac:dyDescent="0.25">
      <c r="A1625" t="s">
        <v>57</v>
      </c>
      <c r="B1625" s="3">
        <v>45086</v>
      </c>
      <c r="C1625">
        <v>2023160</v>
      </c>
      <c r="D1625">
        <v>1.1000000000000001</v>
      </c>
      <c r="E1625" t="s">
        <v>27</v>
      </c>
      <c r="F1625">
        <v>13.4</v>
      </c>
      <c r="G1625">
        <v>17.8</v>
      </c>
      <c r="H1625">
        <v>9</v>
      </c>
      <c r="I1625">
        <v>84.7</v>
      </c>
      <c r="J1625">
        <v>58.5</v>
      </c>
      <c r="K1625">
        <v>0.3</v>
      </c>
      <c r="L1625">
        <v>1.6</v>
      </c>
      <c r="M1625">
        <v>5.0999999999999996</v>
      </c>
      <c r="N1625">
        <v>0</v>
      </c>
      <c r="O1625" t="s">
        <v>27</v>
      </c>
      <c r="P1625" t="s">
        <v>27</v>
      </c>
      <c r="Q1625" t="s">
        <v>27</v>
      </c>
      <c r="R1625" t="s">
        <v>27</v>
      </c>
      <c r="S1625">
        <v>15.5</v>
      </c>
      <c r="T1625">
        <v>13.7</v>
      </c>
      <c r="U1625" t="s">
        <v>27</v>
      </c>
      <c r="V1625">
        <v>8.8999999999999996E-2</v>
      </c>
      <c r="W1625">
        <v>1.1930000000000001</v>
      </c>
      <c r="X1625">
        <v>0.84599999999999997</v>
      </c>
      <c r="Y1625" t="s">
        <v>27</v>
      </c>
      <c r="Z1625" t="s">
        <v>27</v>
      </c>
      <c r="AA1625" t="s">
        <v>27</v>
      </c>
      <c r="AB1625" t="s">
        <v>27</v>
      </c>
      <c r="AC1625" t="s">
        <v>27</v>
      </c>
      <c r="AD1625" t="s">
        <v>27</v>
      </c>
      <c r="AE1625" t="s">
        <v>27</v>
      </c>
      <c r="AF1625" t="s">
        <v>27</v>
      </c>
      <c r="AG1625">
        <v>33.159999999999997</v>
      </c>
    </row>
    <row r="1626" spans="1:33" x14ac:dyDescent="0.25">
      <c r="A1626" t="s">
        <v>57</v>
      </c>
      <c r="B1626" s="3">
        <v>45087</v>
      </c>
      <c r="C1626">
        <v>2023161</v>
      </c>
      <c r="D1626">
        <v>0.72</v>
      </c>
      <c r="E1626" t="s">
        <v>27</v>
      </c>
      <c r="F1626">
        <v>12.1</v>
      </c>
      <c r="G1626">
        <v>16.100000000000001</v>
      </c>
      <c r="H1626">
        <v>9.6</v>
      </c>
      <c r="I1626">
        <v>93.4</v>
      </c>
      <c r="J1626">
        <v>76.400000000000006</v>
      </c>
      <c r="K1626">
        <v>0.4</v>
      </c>
      <c r="L1626">
        <v>2.2000000000000002</v>
      </c>
      <c r="M1626">
        <v>10.7</v>
      </c>
      <c r="N1626">
        <v>0</v>
      </c>
      <c r="O1626" t="s">
        <v>27</v>
      </c>
      <c r="P1626" t="s">
        <v>27</v>
      </c>
      <c r="Q1626" t="s">
        <v>27</v>
      </c>
      <c r="R1626" t="s">
        <v>27</v>
      </c>
      <c r="S1626">
        <v>14.6</v>
      </c>
      <c r="T1626">
        <v>12.9</v>
      </c>
      <c r="U1626" t="s">
        <v>27</v>
      </c>
      <c r="V1626">
        <v>0.112</v>
      </c>
      <c r="W1626">
        <v>1.399</v>
      </c>
      <c r="X1626">
        <v>0.432</v>
      </c>
      <c r="Y1626" t="s">
        <v>27</v>
      </c>
      <c r="Z1626" t="s">
        <v>27</v>
      </c>
      <c r="AA1626" t="s">
        <v>27</v>
      </c>
      <c r="AB1626" t="s">
        <v>27</v>
      </c>
      <c r="AC1626" t="s">
        <v>27</v>
      </c>
      <c r="AD1626" t="s">
        <v>27</v>
      </c>
      <c r="AE1626" t="s">
        <v>27</v>
      </c>
      <c r="AF1626" t="s">
        <v>27</v>
      </c>
      <c r="AG1626">
        <v>33.200000000000003</v>
      </c>
    </row>
    <row r="1627" spans="1:33" x14ac:dyDescent="0.25">
      <c r="A1627" t="s">
        <v>57</v>
      </c>
      <c r="B1627" s="3">
        <v>45088</v>
      </c>
      <c r="C1627">
        <v>2023162</v>
      </c>
      <c r="D1627">
        <v>1.24</v>
      </c>
      <c r="E1627" t="s">
        <v>27</v>
      </c>
      <c r="F1627">
        <v>12.5</v>
      </c>
      <c r="G1627">
        <v>18.399999999999999</v>
      </c>
      <c r="H1627">
        <v>9.3000000000000007</v>
      </c>
      <c r="I1627">
        <v>86.4</v>
      </c>
      <c r="J1627">
        <v>61.3</v>
      </c>
      <c r="K1627">
        <v>0.8</v>
      </c>
      <c r="L1627">
        <v>2.7</v>
      </c>
      <c r="M1627">
        <v>8</v>
      </c>
      <c r="N1627">
        <v>0</v>
      </c>
      <c r="O1627" t="s">
        <v>27</v>
      </c>
      <c r="P1627" t="s">
        <v>27</v>
      </c>
      <c r="Q1627" t="s">
        <v>27</v>
      </c>
      <c r="R1627" t="s">
        <v>27</v>
      </c>
      <c r="S1627">
        <v>15.9</v>
      </c>
      <c r="T1627">
        <v>13.1</v>
      </c>
      <c r="U1627" t="s">
        <v>27</v>
      </c>
      <c r="V1627">
        <v>0.14799999999999999</v>
      </c>
      <c r="W1627">
        <v>1.2949999999999999</v>
      </c>
      <c r="X1627">
        <v>0.81799999999999995</v>
      </c>
      <c r="Y1627" t="s">
        <v>27</v>
      </c>
      <c r="Z1627" t="s">
        <v>27</v>
      </c>
      <c r="AA1627" t="s">
        <v>27</v>
      </c>
      <c r="AB1627" t="s">
        <v>27</v>
      </c>
      <c r="AC1627" t="s">
        <v>27</v>
      </c>
      <c r="AD1627" t="s">
        <v>27</v>
      </c>
      <c r="AE1627" t="s">
        <v>27</v>
      </c>
      <c r="AF1627" t="s">
        <v>27</v>
      </c>
      <c r="AG1627">
        <v>33.229999999999997</v>
      </c>
    </row>
    <row r="1628" spans="1:33" x14ac:dyDescent="0.25">
      <c r="A1628" t="s">
        <v>57</v>
      </c>
      <c r="B1628" s="3">
        <v>45089</v>
      </c>
      <c r="C1628">
        <v>2023163</v>
      </c>
      <c r="D1628">
        <v>3.46</v>
      </c>
      <c r="E1628" t="s">
        <v>27</v>
      </c>
      <c r="F1628">
        <v>16.5</v>
      </c>
      <c r="G1628">
        <v>24.7</v>
      </c>
      <c r="H1628">
        <v>8.5</v>
      </c>
      <c r="I1628">
        <v>64.5</v>
      </c>
      <c r="J1628">
        <v>29.1</v>
      </c>
      <c r="K1628">
        <v>0.8</v>
      </c>
      <c r="L1628">
        <v>2.2999999999999998</v>
      </c>
      <c r="M1628">
        <v>0</v>
      </c>
      <c r="N1628">
        <v>0</v>
      </c>
      <c r="O1628" t="s">
        <v>27</v>
      </c>
      <c r="P1628" t="s">
        <v>27</v>
      </c>
      <c r="Q1628" t="s">
        <v>27</v>
      </c>
      <c r="R1628" t="s">
        <v>27</v>
      </c>
      <c r="S1628">
        <v>17.8</v>
      </c>
      <c r="T1628">
        <v>14</v>
      </c>
      <c r="U1628" t="s">
        <v>27</v>
      </c>
      <c r="V1628">
        <v>0.125</v>
      </c>
      <c r="W1628">
        <v>0.90700000000000003</v>
      </c>
      <c r="X1628">
        <v>2.21</v>
      </c>
      <c r="Y1628" t="s">
        <v>27</v>
      </c>
      <c r="Z1628" t="s">
        <v>27</v>
      </c>
      <c r="AA1628" t="s">
        <v>27</v>
      </c>
      <c r="AB1628" t="s">
        <v>27</v>
      </c>
      <c r="AC1628" t="s">
        <v>27</v>
      </c>
      <c r="AD1628" t="s">
        <v>27</v>
      </c>
      <c r="AE1628" t="s">
        <v>27</v>
      </c>
      <c r="AF1628" t="s">
        <v>27</v>
      </c>
      <c r="AG1628">
        <v>33.26</v>
      </c>
    </row>
    <row r="1629" spans="1:33" x14ac:dyDescent="0.25">
      <c r="A1629" t="s">
        <v>57</v>
      </c>
      <c r="B1629" s="3">
        <v>45090</v>
      </c>
      <c r="C1629">
        <v>2023164</v>
      </c>
      <c r="D1629">
        <v>1.7</v>
      </c>
      <c r="E1629" t="s">
        <v>27</v>
      </c>
      <c r="F1629">
        <v>12</v>
      </c>
      <c r="G1629">
        <v>21.2</v>
      </c>
      <c r="H1629">
        <v>4.8</v>
      </c>
      <c r="I1629">
        <v>71.599999999999994</v>
      </c>
      <c r="J1629">
        <v>36.700000000000003</v>
      </c>
      <c r="K1629">
        <v>1.2</v>
      </c>
      <c r="L1629">
        <v>4.0999999999999996</v>
      </c>
      <c r="M1629">
        <v>5.2</v>
      </c>
      <c r="N1629">
        <v>0</v>
      </c>
      <c r="O1629" t="s">
        <v>27</v>
      </c>
      <c r="P1629" t="s">
        <v>27</v>
      </c>
      <c r="Q1629" t="s">
        <v>27</v>
      </c>
      <c r="R1629" t="s">
        <v>27</v>
      </c>
      <c r="S1629">
        <v>14.5</v>
      </c>
      <c r="T1629">
        <v>13.7</v>
      </c>
      <c r="U1629" t="s">
        <v>27</v>
      </c>
      <c r="V1629">
        <v>0.115</v>
      </c>
      <c r="W1629">
        <v>0.92200000000000004</v>
      </c>
      <c r="X1629">
        <v>1.59</v>
      </c>
      <c r="Y1629" t="s">
        <v>27</v>
      </c>
      <c r="Z1629" t="s">
        <v>27</v>
      </c>
      <c r="AA1629" t="s">
        <v>27</v>
      </c>
      <c r="AB1629" t="s">
        <v>27</v>
      </c>
      <c r="AC1629" t="s">
        <v>27</v>
      </c>
      <c r="AD1629" t="s">
        <v>27</v>
      </c>
      <c r="AE1629" t="s">
        <v>27</v>
      </c>
      <c r="AF1629" t="s">
        <v>27</v>
      </c>
      <c r="AG1629">
        <v>33.29</v>
      </c>
    </row>
    <row r="1630" spans="1:33" x14ac:dyDescent="0.25">
      <c r="A1630" t="s">
        <v>57</v>
      </c>
      <c r="B1630" s="3">
        <v>45091</v>
      </c>
      <c r="C1630">
        <v>2023165</v>
      </c>
      <c r="D1630">
        <v>0</v>
      </c>
      <c r="E1630" t="s">
        <v>27</v>
      </c>
      <c r="F1630">
        <v>5.4</v>
      </c>
      <c r="G1630">
        <v>7</v>
      </c>
      <c r="H1630">
        <v>4</v>
      </c>
      <c r="I1630">
        <v>85.1</v>
      </c>
      <c r="J1630">
        <v>76.400000000000006</v>
      </c>
      <c r="K1630">
        <v>1.6</v>
      </c>
      <c r="L1630">
        <v>3.6</v>
      </c>
      <c r="M1630">
        <v>7.6</v>
      </c>
      <c r="N1630">
        <v>0</v>
      </c>
      <c r="O1630" t="s">
        <v>27</v>
      </c>
      <c r="P1630" t="s">
        <v>27</v>
      </c>
      <c r="Q1630" t="s">
        <v>27</v>
      </c>
      <c r="R1630" t="s">
        <v>27</v>
      </c>
      <c r="S1630">
        <v>6.7</v>
      </c>
      <c r="T1630">
        <v>10.4</v>
      </c>
      <c r="U1630" t="s">
        <v>27</v>
      </c>
      <c r="V1630">
        <v>0.13400000000000001</v>
      </c>
      <c r="W1630">
        <v>0.76400000000000001</v>
      </c>
      <c r="X1630">
        <v>0.23599999999999999</v>
      </c>
      <c r="Y1630" t="s">
        <v>27</v>
      </c>
      <c r="Z1630" t="s">
        <v>27</v>
      </c>
      <c r="AA1630" t="s">
        <v>27</v>
      </c>
      <c r="AB1630" t="s">
        <v>27</v>
      </c>
      <c r="AC1630" t="s">
        <v>27</v>
      </c>
      <c r="AD1630" t="s">
        <v>27</v>
      </c>
      <c r="AE1630" t="s">
        <v>27</v>
      </c>
      <c r="AF1630" t="s">
        <v>27</v>
      </c>
      <c r="AG1630">
        <v>33.31</v>
      </c>
    </row>
    <row r="1631" spans="1:33" x14ac:dyDescent="0.25">
      <c r="A1631" t="s">
        <v>57</v>
      </c>
      <c r="B1631" s="3">
        <v>45092</v>
      </c>
      <c r="C1631">
        <v>2023166</v>
      </c>
      <c r="D1631">
        <v>1.78</v>
      </c>
      <c r="E1631" t="s">
        <v>27</v>
      </c>
      <c r="F1631">
        <v>9.9</v>
      </c>
      <c r="G1631">
        <v>17.2</v>
      </c>
      <c r="H1631">
        <v>1.5</v>
      </c>
      <c r="I1631">
        <v>62.8</v>
      </c>
      <c r="J1631">
        <v>28.4</v>
      </c>
      <c r="K1631">
        <v>1</v>
      </c>
      <c r="L1631">
        <v>3</v>
      </c>
      <c r="M1631">
        <v>0</v>
      </c>
      <c r="N1631">
        <v>0</v>
      </c>
      <c r="O1631" t="s">
        <v>27</v>
      </c>
      <c r="P1631" t="s">
        <v>27</v>
      </c>
      <c r="Q1631" t="s">
        <v>27</v>
      </c>
      <c r="R1631" t="s">
        <v>27</v>
      </c>
      <c r="S1631">
        <v>13.3</v>
      </c>
      <c r="T1631">
        <v>10.8</v>
      </c>
      <c r="U1631" t="s">
        <v>27</v>
      </c>
      <c r="V1631">
        <v>0.123</v>
      </c>
      <c r="W1631">
        <v>0.55700000000000005</v>
      </c>
      <c r="X1631">
        <v>1.4039999999999999</v>
      </c>
      <c r="Y1631" t="s">
        <v>27</v>
      </c>
      <c r="Z1631" t="s">
        <v>27</v>
      </c>
      <c r="AA1631" t="s">
        <v>27</v>
      </c>
      <c r="AB1631" t="s">
        <v>27</v>
      </c>
      <c r="AC1631" t="s">
        <v>27</v>
      </c>
      <c r="AD1631" t="s">
        <v>27</v>
      </c>
      <c r="AE1631" t="s">
        <v>27</v>
      </c>
      <c r="AF1631" t="s">
        <v>27</v>
      </c>
      <c r="AG1631">
        <v>33.32</v>
      </c>
    </row>
    <row r="1632" spans="1:33" x14ac:dyDescent="0.25">
      <c r="A1632" t="s">
        <v>57</v>
      </c>
      <c r="B1632" s="3">
        <v>45093</v>
      </c>
      <c r="C1632">
        <v>2023167</v>
      </c>
      <c r="D1632">
        <v>0.92</v>
      </c>
      <c r="E1632" t="s">
        <v>27</v>
      </c>
      <c r="F1632">
        <v>9.6999999999999993</v>
      </c>
      <c r="G1632">
        <v>14.9</v>
      </c>
      <c r="H1632">
        <v>1.9</v>
      </c>
      <c r="I1632">
        <v>73.3</v>
      </c>
      <c r="J1632">
        <v>55</v>
      </c>
      <c r="K1632">
        <v>1.1000000000000001</v>
      </c>
      <c r="L1632">
        <v>3.4</v>
      </c>
      <c r="M1632">
        <v>0</v>
      </c>
      <c r="N1632">
        <v>0</v>
      </c>
      <c r="O1632" t="s">
        <v>27</v>
      </c>
      <c r="P1632" t="s">
        <v>27</v>
      </c>
      <c r="Q1632" t="s">
        <v>27</v>
      </c>
      <c r="R1632" t="s">
        <v>27</v>
      </c>
      <c r="S1632">
        <v>10.9</v>
      </c>
      <c r="T1632">
        <v>11.1</v>
      </c>
      <c r="U1632" t="s">
        <v>27</v>
      </c>
      <c r="V1632">
        <v>0.11600000000000001</v>
      </c>
      <c r="W1632">
        <v>0.93200000000000005</v>
      </c>
      <c r="X1632">
        <v>0.76300000000000001</v>
      </c>
      <c r="Y1632" t="s">
        <v>27</v>
      </c>
      <c r="Z1632" t="s">
        <v>27</v>
      </c>
      <c r="AA1632" t="s">
        <v>27</v>
      </c>
      <c r="AB1632" t="s">
        <v>27</v>
      </c>
      <c r="AC1632" t="s">
        <v>27</v>
      </c>
      <c r="AD1632" t="s">
        <v>27</v>
      </c>
      <c r="AE1632" t="s">
        <v>27</v>
      </c>
      <c r="AF1632" t="s">
        <v>27</v>
      </c>
      <c r="AG1632">
        <v>33.33</v>
      </c>
    </row>
    <row r="1633" spans="1:33" x14ac:dyDescent="0.25">
      <c r="A1633" t="s">
        <v>57</v>
      </c>
      <c r="B1633" s="3">
        <v>45094</v>
      </c>
      <c r="C1633">
        <v>2023168</v>
      </c>
      <c r="D1633">
        <v>1.22</v>
      </c>
      <c r="E1633" t="s">
        <v>27</v>
      </c>
      <c r="F1633">
        <v>8.1</v>
      </c>
      <c r="G1633">
        <v>16.3</v>
      </c>
      <c r="H1633">
        <v>1</v>
      </c>
      <c r="I1633">
        <v>61.4</v>
      </c>
      <c r="J1633">
        <v>32.799999999999997</v>
      </c>
      <c r="K1633">
        <v>1.2</v>
      </c>
      <c r="L1633">
        <v>3.5</v>
      </c>
      <c r="M1633">
        <v>0</v>
      </c>
      <c r="N1633">
        <v>0</v>
      </c>
      <c r="O1633" t="s">
        <v>27</v>
      </c>
      <c r="P1633" t="s">
        <v>27</v>
      </c>
      <c r="Q1633" t="s">
        <v>27</v>
      </c>
      <c r="R1633" t="s">
        <v>27</v>
      </c>
      <c r="S1633">
        <v>12.8</v>
      </c>
      <c r="T1633">
        <v>11</v>
      </c>
      <c r="U1633" t="s">
        <v>27</v>
      </c>
      <c r="V1633">
        <v>0.111</v>
      </c>
      <c r="W1633">
        <v>0.60699999999999998</v>
      </c>
      <c r="X1633">
        <v>1.244</v>
      </c>
      <c r="Y1633" t="s">
        <v>27</v>
      </c>
      <c r="Z1633" t="s">
        <v>27</v>
      </c>
      <c r="AA1633" t="s">
        <v>27</v>
      </c>
      <c r="AB1633" t="s">
        <v>27</v>
      </c>
      <c r="AC1633" t="s">
        <v>27</v>
      </c>
      <c r="AD1633" t="s">
        <v>27</v>
      </c>
      <c r="AE1633" t="s">
        <v>27</v>
      </c>
      <c r="AF1633" t="s">
        <v>27</v>
      </c>
      <c r="AG1633">
        <v>33.340000000000003</v>
      </c>
    </row>
    <row r="1634" spans="1:33" x14ac:dyDescent="0.25">
      <c r="A1634" t="s">
        <v>57</v>
      </c>
      <c r="B1634" s="3">
        <v>45095</v>
      </c>
      <c r="C1634">
        <v>2023169</v>
      </c>
      <c r="D1634">
        <v>0.1</v>
      </c>
      <c r="E1634" t="s">
        <v>27</v>
      </c>
      <c r="F1634">
        <v>4</v>
      </c>
      <c r="G1634">
        <v>8.6999999999999993</v>
      </c>
      <c r="H1634">
        <v>1.1000000000000001</v>
      </c>
      <c r="I1634">
        <v>72.2</v>
      </c>
      <c r="J1634">
        <v>47.6</v>
      </c>
      <c r="K1634">
        <v>1.3</v>
      </c>
      <c r="L1634">
        <v>3.3</v>
      </c>
      <c r="M1634">
        <v>0.2</v>
      </c>
      <c r="N1634">
        <v>0</v>
      </c>
      <c r="O1634" t="s">
        <v>27</v>
      </c>
      <c r="P1634" t="s">
        <v>27</v>
      </c>
      <c r="Q1634" t="s">
        <v>27</v>
      </c>
      <c r="R1634" t="s">
        <v>27</v>
      </c>
      <c r="S1634">
        <v>10.6</v>
      </c>
      <c r="T1634">
        <v>10.7</v>
      </c>
      <c r="U1634" t="s">
        <v>27</v>
      </c>
      <c r="V1634">
        <v>0.107</v>
      </c>
      <c r="W1634">
        <v>0.53500000000000003</v>
      </c>
      <c r="X1634">
        <v>0.58899999999999997</v>
      </c>
      <c r="Y1634" t="s">
        <v>27</v>
      </c>
      <c r="Z1634" t="s">
        <v>27</v>
      </c>
      <c r="AA1634" t="s">
        <v>27</v>
      </c>
      <c r="AB1634" t="s">
        <v>27</v>
      </c>
      <c r="AC1634" t="s">
        <v>27</v>
      </c>
      <c r="AD1634" t="s">
        <v>27</v>
      </c>
      <c r="AE1634" t="s">
        <v>27</v>
      </c>
      <c r="AF1634" t="s">
        <v>27</v>
      </c>
      <c r="AG1634">
        <v>33.35</v>
      </c>
    </row>
    <row r="1635" spans="1:33" x14ac:dyDescent="0.25">
      <c r="A1635" t="s">
        <v>57</v>
      </c>
      <c r="B1635" s="3">
        <v>45096</v>
      </c>
      <c r="C1635">
        <v>2023170</v>
      </c>
      <c r="D1635">
        <v>0</v>
      </c>
      <c r="E1635" t="s">
        <v>27</v>
      </c>
      <c r="F1635">
        <v>2.6</v>
      </c>
      <c r="G1635">
        <v>5.4</v>
      </c>
      <c r="H1635">
        <v>0.3</v>
      </c>
      <c r="I1635">
        <v>85.8</v>
      </c>
      <c r="J1635">
        <v>66.3</v>
      </c>
      <c r="K1635">
        <v>1.2</v>
      </c>
      <c r="L1635">
        <v>3.1</v>
      </c>
      <c r="M1635">
        <v>2.2000000000000002</v>
      </c>
      <c r="N1635">
        <v>0</v>
      </c>
      <c r="O1635" t="s">
        <v>27</v>
      </c>
      <c r="P1635" t="s">
        <v>27</v>
      </c>
      <c r="Q1635" t="s">
        <v>27</v>
      </c>
      <c r="R1635" t="s">
        <v>27</v>
      </c>
      <c r="S1635">
        <v>7.5</v>
      </c>
      <c r="T1635">
        <v>9.3000000000000007</v>
      </c>
      <c r="U1635" t="s">
        <v>27</v>
      </c>
      <c r="V1635">
        <v>0.105</v>
      </c>
      <c r="W1635">
        <v>0.59399999999999997</v>
      </c>
      <c r="X1635">
        <v>0.30199999999999999</v>
      </c>
      <c r="Y1635" t="s">
        <v>27</v>
      </c>
      <c r="Z1635" t="s">
        <v>27</v>
      </c>
      <c r="AA1635" t="s">
        <v>27</v>
      </c>
      <c r="AB1635" t="s">
        <v>27</v>
      </c>
      <c r="AC1635" t="s">
        <v>27</v>
      </c>
      <c r="AD1635" t="s">
        <v>27</v>
      </c>
      <c r="AE1635" t="s">
        <v>27</v>
      </c>
      <c r="AF1635" t="s">
        <v>27</v>
      </c>
      <c r="AG1635">
        <v>33.35</v>
      </c>
    </row>
    <row r="1636" spans="1:33" x14ac:dyDescent="0.25">
      <c r="A1636" t="s">
        <v>57</v>
      </c>
      <c r="B1636" s="3">
        <v>45097</v>
      </c>
      <c r="C1636">
        <v>2023171</v>
      </c>
      <c r="D1636">
        <v>0</v>
      </c>
      <c r="E1636" t="s">
        <v>27</v>
      </c>
      <c r="F1636">
        <v>3.7</v>
      </c>
      <c r="G1636">
        <v>7.6</v>
      </c>
      <c r="H1636">
        <v>-0.4</v>
      </c>
      <c r="I1636">
        <v>91.2</v>
      </c>
      <c r="J1636">
        <v>80.400000000000006</v>
      </c>
      <c r="K1636">
        <v>0.4</v>
      </c>
      <c r="L1636">
        <v>2.1</v>
      </c>
      <c r="M1636">
        <v>2.9</v>
      </c>
      <c r="N1636">
        <v>0</v>
      </c>
      <c r="O1636" t="s">
        <v>27</v>
      </c>
      <c r="P1636" t="s">
        <v>27</v>
      </c>
      <c r="Q1636" t="s">
        <v>27</v>
      </c>
      <c r="R1636" t="s">
        <v>27</v>
      </c>
      <c r="S1636">
        <v>9</v>
      </c>
      <c r="T1636">
        <v>9</v>
      </c>
      <c r="U1636" t="s">
        <v>27</v>
      </c>
      <c r="V1636">
        <v>0.105</v>
      </c>
      <c r="W1636">
        <v>0.83799999999999997</v>
      </c>
      <c r="X1636">
        <v>0.20399999999999999</v>
      </c>
      <c r="Y1636" t="s">
        <v>27</v>
      </c>
      <c r="Z1636" t="s">
        <v>27</v>
      </c>
      <c r="AA1636" t="s">
        <v>27</v>
      </c>
      <c r="AB1636" t="s">
        <v>27</v>
      </c>
      <c r="AC1636" t="s">
        <v>27</v>
      </c>
      <c r="AD1636" t="s">
        <v>27</v>
      </c>
      <c r="AE1636" t="s">
        <v>27</v>
      </c>
      <c r="AF1636" t="s">
        <v>27</v>
      </c>
      <c r="AG1636">
        <v>33.340000000000003</v>
      </c>
    </row>
    <row r="1637" spans="1:33" x14ac:dyDescent="0.25">
      <c r="A1637" t="s">
        <v>57</v>
      </c>
      <c r="B1637" s="3">
        <v>45098</v>
      </c>
      <c r="C1637">
        <v>2023172</v>
      </c>
      <c r="D1637">
        <v>0.13</v>
      </c>
      <c r="E1637" t="s">
        <v>27</v>
      </c>
      <c r="F1637">
        <v>5</v>
      </c>
      <c r="G1637">
        <v>11.3</v>
      </c>
      <c r="H1637">
        <v>-1.2</v>
      </c>
      <c r="I1637">
        <v>88.8</v>
      </c>
      <c r="J1637">
        <v>54.8</v>
      </c>
      <c r="K1637">
        <v>0.4</v>
      </c>
      <c r="L1637">
        <v>2.4</v>
      </c>
      <c r="M1637">
        <v>6.5</v>
      </c>
      <c r="N1637">
        <v>0</v>
      </c>
      <c r="O1637" t="s">
        <v>27</v>
      </c>
      <c r="P1637" t="s">
        <v>27</v>
      </c>
      <c r="Q1637" t="s">
        <v>27</v>
      </c>
      <c r="R1637" t="s">
        <v>27</v>
      </c>
      <c r="S1637">
        <v>8</v>
      </c>
      <c r="T1637">
        <v>8.6</v>
      </c>
      <c r="U1637" t="s">
        <v>27</v>
      </c>
      <c r="V1637">
        <v>0.11799999999999999</v>
      </c>
      <c r="W1637">
        <v>0.73399999999999999</v>
      </c>
      <c r="X1637">
        <v>0.60499999999999998</v>
      </c>
      <c r="Y1637" t="s">
        <v>27</v>
      </c>
      <c r="Z1637" t="s">
        <v>27</v>
      </c>
      <c r="AA1637" t="s">
        <v>27</v>
      </c>
      <c r="AB1637" t="s">
        <v>27</v>
      </c>
      <c r="AC1637" t="s">
        <v>27</v>
      </c>
      <c r="AD1637" t="s">
        <v>27</v>
      </c>
      <c r="AE1637" t="s">
        <v>27</v>
      </c>
      <c r="AF1637" t="s">
        <v>27</v>
      </c>
      <c r="AG1637">
        <v>33.33</v>
      </c>
    </row>
    <row r="1638" spans="1:33" x14ac:dyDescent="0.25">
      <c r="A1638" t="s">
        <v>57</v>
      </c>
      <c r="B1638" s="3">
        <v>45099</v>
      </c>
      <c r="C1638">
        <v>2023173</v>
      </c>
      <c r="D1638">
        <v>0.89</v>
      </c>
      <c r="E1638" t="s">
        <v>27</v>
      </c>
      <c r="F1638">
        <v>7.7</v>
      </c>
      <c r="G1638">
        <v>15.3</v>
      </c>
      <c r="H1638">
        <v>1.6</v>
      </c>
      <c r="I1638">
        <v>85</v>
      </c>
      <c r="J1638">
        <v>49.5</v>
      </c>
      <c r="K1638">
        <v>0.3</v>
      </c>
      <c r="L1638">
        <v>1.8</v>
      </c>
      <c r="M1638">
        <v>7.7</v>
      </c>
      <c r="N1638">
        <v>0</v>
      </c>
      <c r="O1638" t="s">
        <v>27</v>
      </c>
      <c r="P1638" t="s">
        <v>27</v>
      </c>
      <c r="Q1638" t="s">
        <v>27</v>
      </c>
      <c r="R1638" t="s">
        <v>27</v>
      </c>
      <c r="S1638">
        <v>11.2</v>
      </c>
      <c r="T1638">
        <v>9.6</v>
      </c>
      <c r="U1638" t="s">
        <v>27</v>
      </c>
      <c r="V1638">
        <v>0.14199999999999999</v>
      </c>
      <c r="W1638">
        <v>0.85899999999999999</v>
      </c>
      <c r="X1638">
        <v>0.876</v>
      </c>
      <c r="Y1638" t="s">
        <v>27</v>
      </c>
      <c r="Z1638" t="s">
        <v>27</v>
      </c>
      <c r="AA1638" t="s">
        <v>27</v>
      </c>
      <c r="AB1638" t="s">
        <v>27</v>
      </c>
      <c r="AC1638" t="s">
        <v>27</v>
      </c>
      <c r="AD1638" t="s">
        <v>27</v>
      </c>
      <c r="AE1638" t="s">
        <v>27</v>
      </c>
      <c r="AF1638" t="s">
        <v>27</v>
      </c>
      <c r="AG1638">
        <v>33.32</v>
      </c>
    </row>
    <row r="1639" spans="1:33" x14ac:dyDescent="0.25">
      <c r="A1639" t="s">
        <v>57</v>
      </c>
      <c r="B1639" s="3">
        <v>45100</v>
      </c>
      <c r="C1639">
        <v>2023174</v>
      </c>
      <c r="D1639">
        <v>2.4</v>
      </c>
      <c r="E1639" t="s">
        <v>27</v>
      </c>
      <c r="F1639">
        <v>10.3</v>
      </c>
      <c r="G1639">
        <v>18.3</v>
      </c>
      <c r="H1639">
        <v>0.1</v>
      </c>
      <c r="I1639">
        <v>65.900000000000006</v>
      </c>
      <c r="J1639">
        <v>27.8</v>
      </c>
      <c r="K1639">
        <v>0.6</v>
      </c>
      <c r="L1639">
        <v>2.2000000000000002</v>
      </c>
      <c r="M1639">
        <v>0</v>
      </c>
      <c r="N1639">
        <v>0</v>
      </c>
      <c r="O1639" t="s">
        <v>27</v>
      </c>
      <c r="P1639" t="s">
        <v>27</v>
      </c>
      <c r="Q1639" t="s">
        <v>27</v>
      </c>
      <c r="R1639" t="s">
        <v>27</v>
      </c>
      <c r="S1639">
        <v>12.1</v>
      </c>
      <c r="T1639">
        <v>10.1</v>
      </c>
      <c r="U1639" t="s">
        <v>27</v>
      </c>
      <c r="V1639">
        <v>0.13600000000000001</v>
      </c>
      <c r="W1639">
        <v>0.58399999999999996</v>
      </c>
      <c r="X1639">
        <v>1.5169999999999999</v>
      </c>
      <c r="Y1639" t="s">
        <v>27</v>
      </c>
      <c r="Z1639" t="s">
        <v>27</v>
      </c>
      <c r="AA1639" t="s">
        <v>27</v>
      </c>
      <c r="AB1639" t="s">
        <v>27</v>
      </c>
      <c r="AC1639" t="s">
        <v>27</v>
      </c>
      <c r="AD1639" t="s">
        <v>27</v>
      </c>
      <c r="AE1639" t="s">
        <v>27</v>
      </c>
      <c r="AF1639" t="s">
        <v>27</v>
      </c>
      <c r="AG1639">
        <v>33.299999999999997</v>
      </c>
    </row>
    <row r="1640" spans="1:33" x14ac:dyDescent="0.25">
      <c r="A1640" t="s">
        <v>57</v>
      </c>
      <c r="B1640" s="3">
        <v>45101</v>
      </c>
      <c r="C1640">
        <v>2023175</v>
      </c>
      <c r="D1640">
        <v>0.94</v>
      </c>
      <c r="E1640" t="s">
        <v>27</v>
      </c>
      <c r="F1640">
        <v>8.8000000000000007</v>
      </c>
      <c r="G1640">
        <v>16.2</v>
      </c>
      <c r="H1640">
        <v>3.1</v>
      </c>
      <c r="I1640">
        <v>87.3</v>
      </c>
      <c r="J1640">
        <v>52.7</v>
      </c>
      <c r="K1640">
        <v>0.3</v>
      </c>
      <c r="L1640">
        <v>2.4</v>
      </c>
      <c r="M1640">
        <v>3.5</v>
      </c>
      <c r="N1640">
        <v>0</v>
      </c>
      <c r="O1640" t="s">
        <v>27</v>
      </c>
      <c r="P1640" t="s">
        <v>27</v>
      </c>
      <c r="Q1640" t="s">
        <v>27</v>
      </c>
      <c r="R1640" t="s">
        <v>27</v>
      </c>
      <c r="S1640">
        <v>10.7</v>
      </c>
      <c r="T1640">
        <v>10.3</v>
      </c>
      <c r="U1640" t="s">
        <v>27</v>
      </c>
      <c r="V1640">
        <v>0.125</v>
      </c>
      <c r="W1640">
        <v>0.96799999999999997</v>
      </c>
      <c r="X1640">
        <v>0.86899999999999999</v>
      </c>
      <c r="Y1640" t="s">
        <v>27</v>
      </c>
      <c r="Z1640" t="s">
        <v>27</v>
      </c>
      <c r="AA1640" t="s">
        <v>27</v>
      </c>
      <c r="AB1640" t="s">
        <v>27</v>
      </c>
      <c r="AC1640" t="s">
        <v>27</v>
      </c>
      <c r="AD1640" t="s">
        <v>27</v>
      </c>
      <c r="AE1640" t="s">
        <v>27</v>
      </c>
      <c r="AF1640" t="s">
        <v>27</v>
      </c>
      <c r="AG1640">
        <v>33.270000000000003</v>
      </c>
    </row>
    <row r="1641" spans="1:33" x14ac:dyDescent="0.25">
      <c r="A1641" t="s">
        <v>57</v>
      </c>
      <c r="B1641" s="3">
        <v>45102</v>
      </c>
      <c r="C1641">
        <v>2023176</v>
      </c>
      <c r="D1641">
        <v>2.15</v>
      </c>
      <c r="E1641" t="s">
        <v>27</v>
      </c>
      <c r="F1641">
        <v>11.2</v>
      </c>
      <c r="G1641">
        <v>18.3</v>
      </c>
      <c r="H1641">
        <v>5.0999999999999996</v>
      </c>
      <c r="I1641">
        <v>79.3</v>
      </c>
      <c r="J1641">
        <v>49.1</v>
      </c>
      <c r="K1641">
        <v>0.5</v>
      </c>
      <c r="L1641">
        <v>2.4</v>
      </c>
      <c r="M1641">
        <v>0</v>
      </c>
      <c r="N1641">
        <v>0</v>
      </c>
      <c r="O1641" t="s">
        <v>27</v>
      </c>
      <c r="P1641" t="s">
        <v>27</v>
      </c>
      <c r="Q1641" t="s">
        <v>27</v>
      </c>
      <c r="R1641" t="s">
        <v>27</v>
      </c>
      <c r="S1641">
        <v>14.9</v>
      </c>
      <c r="T1641">
        <v>11.3</v>
      </c>
      <c r="U1641" t="s">
        <v>27</v>
      </c>
      <c r="V1641">
        <v>0.122</v>
      </c>
      <c r="W1641">
        <v>1.0309999999999999</v>
      </c>
      <c r="X1641">
        <v>1.069</v>
      </c>
      <c r="Y1641" t="s">
        <v>27</v>
      </c>
      <c r="Z1641" t="s">
        <v>27</v>
      </c>
      <c r="AA1641" t="s">
        <v>27</v>
      </c>
      <c r="AB1641" t="s">
        <v>27</v>
      </c>
      <c r="AC1641" t="s">
        <v>27</v>
      </c>
      <c r="AD1641" t="s">
        <v>27</v>
      </c>
      <c r="AE1641" t="s">
        <v>27</v>
      </c>
      <c r="AF1641" t="s">
        <v>27</v>
      </c>
      <c r="AG1641">
        <v>33.25</v>
      </c>
    </row>
    <row r="1642" spans="1:33" x14ac:dyDescent="0.25">
      <c r="A1642" t="s">
        <v>57</v>
      </c>
      <c r="B1642" s="3">
        <v>45103</v>
      </c>
      <c r="C1642">
        <v>2023177</v>
      </c>
      <c r="D1642">
        <v>2.92</v>
      </c>
      <c r="E1642" t="s">
        <v>27</v>
      </c>
      <c r="F1642">
        <v>13.1</v>
      </c>
      <c r="G1642">
        <v>22.1</v>
      </c>
      <c r="H1642">
        <v>3.6</v>
      </c>
      <c r="I1642">
        <v>69</v>
      </c>
      <c r="J1642">
        <v>37.5</v>
      </c>
      <c r="K1642">
        <v>0.6</v>
      </c>
      <c r="L1642">
        <v>2.2999999999999998</v>
      </c>
      <c r="M1642">
        <v>0</v>
      </c>
      <c r="N1642">
        <v>0</v>
      </c>
      <c r="O1642" t="s">
        <v>27</v>
      </c>
      <c r="P1642" t="s">
        <v>27</v>
      </c>
      <c r="Q1642" t="s">
        <v>27</v>
      </c>
      <c r="R1642" t="s">
        <v>27</v>
      </c>
      <c r="S1642">
        <v>14.5</v>
      </c>
      <c r="T1642">
        <v>12</v>
      </c>
      <c r="U1642" t="s">
        <v>27</v>
      </c>
      <c r="V1642">
        <v>0.11600000000000001</v>
      </c>
      <c r="W1642">
        <v>0.996</v>
      </c>
      <c r="X1642">
        <v>1.66</v>
      </c>
      <c r="Y1642" t="s">
        <v>27</v>
      </c>
      <c r="Z1642" t="s">
        <v>27</v>
      </c>
      <c r="AA1642" t="s">
        <v>27</v>
      </c>
      <c r="AB1642" t="s">
        <v>27</v>
      </c>
      <c r="AC1642" t="s">
        <v>27</v>
      </c>
      <c r="AD1642" t="s">
        <v>27</v>
      </c>
      <c r="AE1642" t="s">
        <v>27</v>
      </c>
      <c r="AF1642" t="s">
        <v>27</v>
      </c>
      <c r="AG1642">
        <v>33.22</v>
      </c>
    </row>
    <row r="1643" spans="1:33" x14ac:dyDescent="0.25">
      <c r="A1643" t="s">
        <v>57</v>
      </c>
      <c r="B1643" s="3">
        <v>45104</v>
      </c>
      <c r="C1643">
        <v>2023178</v>
      </c>
      <c r="D1643">
        <v>2.4500000000000002</v>
      </c>
      <c r="E1643" t="s">
        <v>27</v>
      </c>
      <c r="F1643">
        <v>13.6</v>
      </c>
      <c r="G1643">
        <v>23</v>
      </c>
      <c r="H1643">
        <v>5.3</v>
      </c>
      <c r="I1643">
        <v>72.099999999999994</v>
      </c>
      <c r="J1643">
        <v>34.799999999999997</v>
      </c>
      <c r="K1643">
        <v>0.4</v>
      </c>
      <c r="L1643">
        <v>2.2000000000000002</v>
      </c>
      <c r="M1643">
        <v>0.3</v>
      </c>
      <c r="N1643">
        <v>0</v>
      </c>
      <c r="O1643" t="s">
        <v>27</v>
      </c>
      <c r="P1643" t="s">
        <v>27</v>
      </c>
      <c r="Q1643" t="s">
        <v>27</v>
      </c>
      <c r="R1643" t="s">
        <v>27</v>
      </c>
      <c r="S1643">
        <v>13.5</v>
      </c>
      <c r="T1643">
        <v>12</v>
      </c>
      <c r="U1643" t="s">
        <v>27</v>
      </c>
      <c r="V1643">
        <v>0.11</v>
      </c>
      <c r="W1643">
        <v>0.97599999999999998</v>
      </c>
      <c r="X1643">
        <v>1.829</v>
      </c>
      <c r="Y1643" t="s">
        <v>27</v>
      </c>
      <c r="Z1643" t="s">
        <v>27</v>
      </c>
      <c r="AA1643" t="s">
        <v>27</v>
      </c>
      <c r="AB1643" t="s">
        <v>27</v>
      </c>
      <c r="AC1643" t="s">
        <v>27</v>
      </c>
      <c r="AD1643" t="s">
        <v>27</v>
      </c>
      <c r="AE1643" t="s">
        <v>27</v>
      </c>
      <c r="AF1643" t="s">
        <v>27</v>
      </c>
      <c r="AG1643">
        <v>33.18</v>
      </c>
    </row>
    <row r="1644" spans="1:33" x14ac:dyDescent="0.25">
      <c r="A1644" t="s">
        <v>57</v>
      </c>
      <c r="B1644" s="3">
        <v>45105</v>
      </c>
      <c r="C1644">
        <v>2023179</v>
      </c>
      <c r="D1644">
        <v>2.97</v>
      </c>
      <c r="E1644" t="s">
        <v>27</v>
      </c>
      <c r="F1644">
        <v>14.2</v>
      </c>
      <c r="G1644">
        <v>23.5</v>
      </c>
      <c r="H1644">
        <v>4.9000000000000004</v>
      </c>
      <c r="I1644">
        <v>75.8</v>
      </c>
      <c r="J1644">
        <v>33.799999999999997</v>
      </c>
      <c r="K1644">
        <v>0.3</v>
      </c>
      <c r="L1644">
        <v>2.8</v>
      </c>
      <c r="M1644">
        <v>1.7</v>
      </c>
      <c r="N1644">
        <v>0</v>
      </c>
      <c r="O1644" t="s">
        <v>27</v>
      </c>
      <c r="P1644" t="s">
        <v>27</v>
      </c>
      <c r="Q1644" t="s">
        <v>27</v>
      </c>
      <c r="R1644" t="s">
        <v>27</v>
      </c>
      <c r="S1644">
        <v>15.9</v>
      </c>
      <c r="T1644">
        <v>12.6</v>
      </c>
      <c r="U1644" t="s">
        <v>27</v>
      </c>
      <c r="V1644">
        <v>0.105</v>
      </c>
      <c r="W1644">
        <v>0.97799999999999998</v>
      </c>
      <c r="X1644">
        <v>1.915</v>
      </c>
      <c r="Y1644" t="s">
        <v>27</v>
      </c>
      <c r="Z1644" t="s">
        <v>27</v>
      </c>
      <c r="AA1644" t="s">
        <v>27</v>
      </c>
      <c r="AB1644" t="s">
        <v>27</v>
      </c>
      <c r="AC1644" t="s">
        <v>27</v>
      </c>
      <c r="AD1644" t="s">
        <v>27</v>
      </c>
      <c r="AE1644" t="s">
        <v>27</v>
      </c>
      <c r="AF1644" t="s">
        <v>27</v>
      </c>
      <c r="AG1644">
        <v>33.14</v>
      </c>
    </row>
    <row r="1645" spans="1:33" x14ac:dyDescent="0.25">
      <c r="A1645" t="s">
        <v>57</v>
      </c>
      <c r="B1645" s="3">
        <v>45106</v>
      </c>
      <c r="C1645">
        <v>2023180</v>
      </c>
      <c r="D1645">
        <v>3.39</v>
      </c>
      <c r="E1645" t="s">
        <v>27</v>
      </c>
      <c r="F1645">
        <v>15.9</v>
      </c>
      <c r="G1645">
        <v>23.7</v>
      </c>
      <c r="H1645">
        <v>7.8</v>
      </c>
      <c r="I1645">
        <v>62.7</v>
      </c>
      <c r="J1645">
        <v>36.799999999999997</v>
      </c>
      <c r="K1645">
        <v>0.7</v>
      </c>
      <c r="L1645">
        <v>2.8</v>
      </c>
      <c r="M1645">
        <v>0</v>
      </c>
      <c r="N1645">
        <v>0</v>
      </c>
      <c r="O1645" t="s">
        <v>27</v>
      </c>
      <c r="P1645" t="s">
        <v>27</v>
      </c>
      <c r="Q1645" t="s">
        <v>27</v>
      </c>
      <c r="R1645" t="s">
        <v>27</v>
      </c>
      <c r="S1645">
        <v>17.3</v>
      </c>
      <c r="T1645">
        <v>13.6</v>
      </c>
      <c r="U1645" t="s">
        <v>27</v>
      </c>
      <c r="V1645">
        <v>0.10100000000000001</v>
      </c>
      <c r="W1645">
        <v>1.08</v>
      </c>
      <c r="X1645">
        <v>1.855</v>
      </c>
      <c r="Y1645" t="s">
        <v>27</v>
      </c>
      <c r="Z1645" t="s">
        <v>27</v>
      </c>
      <c r="AA1645" t="s">
        <v>27</v>
      </c>
      <c r="AB1645" t="s">
        <v>27</v>
      </c>
      <c r="AC1645" t="s">
        <v>27</v>
      </c>
      <c r="AD1645" t="s">
        <v>27</v>
      </c>
      <c r="AE1645" t="s">
        <v>27</v>
      </c>
      <c r="AF1645" t="s">
        <v>27</v>
      </c>
      <c r="AG1645">
        <v>33.1</v>
      </c>
    </row>
    <row r="1646" spans="1:33" x14ac:dyDescent="0.25">
      <c r="A1646" t="s">
        <v>57</v>
      </c>
      <c r="B1646" s="3">
        <v>45107</v>
      </c>
      <c r="C1646">
        <v>2023181</v>
      </c>
      <c r="D1646">
        <v>3.86</v>
      </c>
      <c r="E1646" t="s">
        <v>27</v>
      </c>
      <c r="F1646">
        <v>16</v>
      </c>
      <c r="G1646">
        <v>25.6</v>
      </c>
      <c r="H1646">
        <v>5.7</v>
      </c>
      <c r="I1646">
        <v>49.9</v>
      </c>
      <c r="J1646">
        <v>18.7</v>
      </c>
      <c r="K1646">
        <v>0.8</v>
      </c>
      <c r="L1646">
        <v>3.3</v>
      </c>
      <c r="M1646">
        <v>0</v>
      </c>
      <c r="N1646">
        <v>0</v>
      </c>
      <c r="O1646" t="s">
        <v>27</v>
      </c>
      <c r="P1646" t="s">
        <v>27</v>
      </c>
      <c r="Q1646" t="s">
        <v>27</v>
      </c>
      <c r="R1646" t="s">
        <v>27</v>
      </c>
      <c r="S1646">
        <v>20.5</v>
      </c>
      <c r="T1646">
        <v>14.6</v>
      </c>
      <c r="U1646" t="s">
        <v>27</v>
      </c>
      <c r="V1646">
        <v>9.5000000000000001E-2</v>
      </c>
      <c r="W1646">
        <v>0.61399999999999999</v>
      </c>
      <c r="X1646">
        <v>2.669</v>
      </c>
      <c r="Y1646" t="s">
        <v>27</v>
      </c>
      <c r="Z1646" t="s">
        <v>27</v>
      </c>
      <c r="AA1646" t="s">
        <v>27</v>
      </c>
      <c r="AB1646" t="s">
        <v>27</v>
      </c>
      <c r="AC1646" t="s">
        <v>27</v>
      </c>
      <c r="AD1646" t="s">
        <v>27</v>
      </c>
      <c r="AE1646" t="s">
        <v>27</v>
      </c>
      <c r="AF1646" t="s">
        <v>27</v>
      </c>
      <c r="AG1646">
        <v>33.049999999999997</v>
      </c>
    </row>
    <row r="1647" spans="1:33" x14ac:dyDescent="0.25">
      <c r="A1647" t="s">
        <v>57</v>
      </c>
      <c r="B1647" s="3">
        <v>45108</v>
      </c>
      <c r="C1647">
        <v>2023182</v>
      </c>
      <c r="D1647">
        <v>1.95</v>
      </c>
      <c r="E1647" t="s">
        <v>27</v>
      </c>
      <c r="F1647">
        <v>13.1</v>
      </c>
      <c r="G1647">
        <v>19.8</v>
      </c>
      <c r="H1647">
        <v>4.9000000000000004</v>
      </c>
      <c r="I1647">
        <v>43.6</v>
      </c>
      <c r="J1647">
        <v>24.2</v>
      </c>
      <c r="K1647">
        <v>1.7</v>
      </c>
      <c r="L1647">
        <v>4.4000000000000004</v>
      </c>
      <c r="M1647">
        <v>0</v>
      </c>
      <c r="N1647">
        <v>0</v>
      </c>
      <c r="O1647" t="s">
        <v>27</v>
      </c>
      <c r="P1647" t="s">
        <v>27</v>
      </c>
      <c r="Q1647" t="s">
        <v>27</v>
      </c>
      <c r="R1647" t="s">
        <v>27</v>
      </c>
      <c r="S1647">
        <v>19.3</v>
      </c>
      <c r="T1647">
        <v>14.7</v>
      </c>
      <c r="U1647" t="s">
        <v>27</v>
      </c>
      <c r="V1647">
        <v>8.8999999999999996E-2</v>
      </c>
      <c r="W1647">
        <v>0.55800000000000005</v>
      </c>
      <c r="X1647">
        <v>1.748</v>
      </c>
      <c r="Y1647" t="s">
        <v>27</v>
      </c>
      <c r="Z1647" t="s">
        <v>27</v>
      </c>
      <c r="AA1647" t="s">
        <v>27</v>
      </c>
      <c r="AB1647" t="s">
        <v>27</v>
      </c>
      <c r="AC1647" t="s">
        <v>27</v>
      </c>
      <c r="AD1647" t="s">
        <v>27</v>
      </c>
      <c r="AE1647" t="s">
        <v>27</v>
      </c>
      <c r="AF1647" t="s">
        <v>27</v>
      </c>
      <c r="AG1647">
        <v>33</v>
      </c>
    </row>
    <row r="1648" spans="1:33" x14ac:dyDescent="0.25">
      <c r="A1648" t="s">
        <v>57</v>
      </c>
      <c r="B1648" s="3">
        <v>45109</v>
      </c>
      <c r="C1648">
        <v>2023183</v>
      </c>
      <c r="D1648">
        <v>1.6</v>
      </c>
      <c r="E1648" t="s">
        <v>27</v>
      </c>
      <c r="F1648">
        <v>9.9</v>
      </c>
      <c r="G1648">
        <v>17.8</v>
      </c>
      <c r="H1648">
        <v>1.9</v>
      </c>
      <c r="I1648">
        <v>49.4</v>
      </c>
      <c r="J1648">
        <v>25.4</v>
      </c>
      <c r="K1648">
        <v>1.1000000000000001</v>
      </c>
      <c r="L1648">
        <v>3</v>
      </c>
      <c r="M1648">
        <v>0</v>
      </c>
      <c r="N1648">
        <v>0</v>
      </c>
      <c r="O1648" t="s">
        <v>27</v>
      </c>
      <c r="P1648" t="s">
        <v>27</v>
      </c>
      <c r="Q1648" t="s">
        <v>27</v>
      </c>
      <c r="R1648" t="s">
        <v>27</v>
      </c>
      <c r="S1648">
        <v>19</v>
      </c>
      <c r="T1648">
        <v>14.2</v>
      </c>
      <c r="U1648" t="s">
        <v>27</v>
      </c>
      <c r="V1648">
        <v>8.5000000000000006E-2</v>
      </c>
      <c r="W1648">
        <v>0.51600000000000001</v>
      </c>
      <c r="X1648">
        <v>1.5149999999999999</v>
      </c>
      <c r="Y1648" t="s">
        <v>27</v>
      </c>
      <c r="Z1648" t="s">
        <v>27</v>
      </c>
      <c r="AA1648" t="s">
        <v>27</v>
      </c>
      <c r="AB1648" t="s">
        <v>27</v>
      </c>
      <c r="AC1648" t="s">
        <v>27</v>
      </c>
      <c r="AD1648" t="s">
        <v>27</v>
      </c>
      <c r="AE1648" t="s">
        <v>27</v>
      </c>
      <c r="AF1648" t="s">
        <v>27</v>
      </c>
      <c r="AG1648">
        <v>32.950000000000003</v>
      </c>
    </row>
    <row r="1649" spans="1:33" x14ac:dyDescent="0.25">
      <c r="A1649" t="s">
        <v>57</v>
      </c>
      <c r="B1649" s="3">
        <v>45110</v>
      </c>
      <c r="C1649">
        <v>2023184</v>
      </c>
      <c r="D1649">
        <v>1.92</v>
      </c>
      <c r="E1649" t="s">
        <v>27</v>
      </c>
      <c r="F1649">
        <v>10</v>
      </c>
      <c r="G1649">
        <v>18.3</v>
      </c>
      <c r="H1649">
        <v>-0.5</v>
      </c>
      <c r="I1649">
        <v>54.5</v>
      </c>
      <c r="J1649">
        <v>27.5</v>
      </c>
      <c r="K1649">
        <v>0.8</v>
      </c>
      <c r="L1649">
        <v>2.9</v>
      </c>
      <c r="M1649">
        <v>0</v>
      </c>
      <c r="N1649">
        <v>0</v>
      </c>
      <c r="O1649" t="s">
        <v>27</v>
      </c>
      <c r="P1649" t="s">
        <v>27</v>
      </c>
      <c r="Q1649" t="s">
        <v>27</v>
      </c>
      <c r="R1649" t="s">
        <v>27</v>
      </c>
      <c r="S1649">
        <v>18.8</v>
      </c>
      <c r="T1649">
        <v>14</v>
      </c>
      <c r="U1649" t="s">
        <v>27</v>
      </c>
      <c r="V1649">
        <v>8.1000000000000003E-2</v>
      </c>
      <c r="W1649">
        <v>0.57999999999999996</v>
      </c>
      <c r="X1649">
        <v>1.5289999999999999</v>
      </c>
      <c r="Y1649" t="s">
        <v>27</v>
      </c>
      <c r="Z1649" t="s">
        <v>27</v>
      </c>
      <c r="AA1649" t="s">
        <v>27</v>
      </c>
      <c r="AB1649" t="s">
        <v>27</v>
      </c>
      <c r="AC1649" t="s">
        <v>27</v>
      </c>
      <c r="AD1649" t="s">
        <v>27</v>
      </c>
      <c r="AE1649" t="s">
        <v>27</v>
      </c>
      <c r="AF1649" t="s">
        <v>27</v>
      </c>
      <c r="AG1649">
        <v>32.9</v>
      </c>
    </row>
    <row r="1650" spans="1:33" x14ac:dyDescent="0.25">
      <c r="A1650" t="s">
        <v>57</v>
      </c>
      <c r="B1650" s="3">
        <v>45111</v>
      </c>
      <c r="C1650">
        <v>2023185</v>
      </c>
      <c r="D1650">
        <v>2.65</v>
      </c>
      <c r="E1650" t="s">
        <v>27</v>
      </c>
      <c r="F1650">
        <v>13.3</v>
      </c>
      <c r="G1650">
        <v>21.7</v>
      </c>
      <c r="H1650">
        <v>2.7</v>
      </c>
      <c r="I1650">
        <v>54.5</v>
      </c>
      <c r="J1650">
        <v>26.4</v>
      </c>
      <c r="K1650">
        <v>0.8</v>
      </c>
      <c r="L1650">
        <v>2.6</v>
      </c>
      <c r="M1650">
        <v>0</v>
      </c>
      <c r="N1650">
        <v>0</v>
      </c>
      <c r="O1650" t="s">
        <v>27</v>
      </c>
      <c r="P1650" t="s">
        <v>27</v>
      </c>
      <c r="Q1650" t="s">
        <v>27</v>
      </c>
      <c r="R1650" t="s">
        <v>27</v>
      </c>
      <c r="S1650">
        <v>20.8</v>
      </c>
      <c r="T1650">
        <v>14.5</v>
      </c>
      <c r="U1650" t="s">
        <v>27</v>
      </c>
      <c r="V1650">
        <v>7.6999999999999999E-2</v>
      </c>
      <c r="W1650">
        <v>0.68400000000000005</v>
      </c>
      <c r="X1650">
        <v>1.907</v>
      </c>
      <c r="Y1650" t="s">
        <v>27</v>
      </c>
      <c r="Z1650" t="s">
        <v>27</v>
      </c>
      <c r="AA1650" t="s">
        <v>27</v>
      </c>
      <c r="AB1650" t="s">
        <v>27</v>
      </c>
      <c r="AC1650" t="s">
        <v>27</v>
      </c>
      <c r="AD1650" t="s">
        <v>27</v>
      </c>
      <c r="AE1650" t="s">
        <v>27</v>
      </c>
      <c r="AF1650" t="s">
        <v>27</v>
      </c>
      <c r="AG1650">
        <v>32.840000000000003</v>
      </c>
    </row>
    <row r="1651" spans="1:33" x14ac:dyDescent="0.25">
      <c r="A1651" t="s">
        <v>57</v>
      </c>
      <c r="B1651" s="3">
        <v>45112</v>
      </c>
      <c r="C1651">
        <v>2023186</v>
      </c>
      <c r="D1651">
        <v>2.77</v>
      </c>
      <c r="E1651" t="s">
        <v>27</v>
      </c>
      <c r="F1651">
        <v>14.1</v>
      </c>
      <c r="G1651">
        <v>22.8</v>
      </c>
      <c r="H1651">
        <v>3.1</v>
      </c>
      <c r="I1651">
        <v>56.2</v>
      </c>
      <c r="J1651">
        <v>25.9</v>
      </c>
      <c r="K1651">
        <v>0.5</v>
      </c>
      <c r="L1651">
        <v>2.7</v>
      </c>
      <c r="M1651">
        <v>0</v>
      </c>
      <c r="N1651">
        <v>0</v>
      </c>
      <c r="O1651" t="s">
        <v>27</v>
      </c>
      <c r="P1651" t="s">
        <v>27</v>
      </c>
      <c r="Q1651" t="s">
        <v>27</v>
      </c>
      <c r="R1651" t="s">
        <v>27</v>
      </c>
      <c r="S1651">
        <v>19.100000000000001</v>
      </c>
      <c r="T1651">
        <v>14.6</v>
      </c>
      <c r="U1651" t="s">
        <v>27</v>
      </c>
      <c r="V1651">
        <v>7.2999999999999995E-2</v>
      </c>
      <c r="W1651">
        <v>0.72</v>
      </c>
      <c r="X1651">
        <v>2.06</v>
      </c>
      <c r="Y1651" t="s">
        <v>27</v>
      </c>
      <c r="Z1651" t="s">
        <v>27</v>
      </c>
      <c r="AA1651" t="s">
        <v>27</v>
      </c>
      <c r="AB1651" t="s">
        <v>27</v>
      </c>
      <c r="AC1651" t="s">
        <v>27</v>
      </c>
      <c r="AD1651" t="s">
        <v>27</v>
      </c>
      <c r="AE1651" t="s">
        <v>27</v>
      </c>
      <c r="AF1651" t="s">
        <v>27</v>
      </c>
      <c r="AG1651">
        <v>32.78</v>
      </c>
    </row>
    <row r="1652" spans="1:33" x14ac:dyDescent="0.25">
      <c r="A1652" t="s">
        <v>57</v>
      </c>
      <c r="B1652" s="3">
        <v>45113</v>
      </c>
      <c r="C1652">
        <v>2023187</v>
      </c>
      <c r="D1652">
        <v>2.83</v>
      </c>
      <c r="E1652" t="s">
        <v>27</v>
      </c>
      <c r="F1652">
        <v>15.1</v>
      </c>
      <c r="G1652">
        <v>25.1</v>
      </c>
      <c r="H1652">
        <v>4.8</v>
      </c>
      <c r="I1652">
        <v>56.3</v>
      </c>
      <c r="J1652">
        <v>22.4</v>
      </c>
      <c r="K1652">
        <v>0.4</v>
      </c>
      <c r="L1652">
        <v>2.4</v>
      </c>
      <c r="M1652">
        <v>0</v>
      </c>
      <c r="N1652">
        <v>0</v>
      </c>
      <c r="O1652" t="s">
        <v>27</v>
      </c>
      <c r="P1652" t="s">
        <v>27</v>
      </c>
      <c r="Q1652" t="s">
        <v>27</v>
      </c>
      <c r="R1652" t="s">
        <v>27</v>
      </c>
      <c r="S1652">
        <v>19</v>
      </c>
      <c r="T1652">
        <v>14.5</v>
      </c>
      <c r="U1652" t="s">
        <v>27</v>
      </c>
      <c r="V1652">
        <v>7.0000000000000007E-2</v>
      </c>
      <c r="W1652">
        <v>0.71399999999999997</v>
      </c>
      <c r="X1652">
        <v>2.4740000000000002</v>
      </c>
      <c r="Y1652" t="s">
        <v>27</v>
      </c>
      <c r="Z1652" t="s">
        <v>27</v>
      </c>
      <c r="AA1652" t="s">
        <v>27</v>
      </c>
      <c r="AB1652" t="s">
        <v>27</v>
      </c>
      <c r="AC1652" t="s">
        <v>27</v>
      </c>
      <c r="AD1652" t="s">
        <v>27</v>
      </c>
      <c r="AE1652" t="s">
        <v>27</v>
      </c>
      <c r="AF1652" t="s">
        <v>27</v>
      </c>
      <c r="AG1652">
        <v>32.71</v>
      </c>
    </row>
    <row r="1653" spans="1:33" x14ac:dyDescent="0.25">
      <c r="A1653" t="s">
        <v>57</v>
      </c>
      <c r="B1653" s="3">
        <v>45114</v>
      </c>
      <c r="C1653">
        <v>2023188</v>
      </c>
      <c r="D1653">
        <v>1.88</v>
      </c>
      <c r="E1653" t="s">
        <v>27</v>
      </c>
      <c r="F1653">
        <v>13.4</v>
      </c>
      <c r="G1653">
        <v>25.9</v>
      </c>
      <c r="H1653">
        <v>5.8</v>
      </c>
      <c r="I1653">
        <v>76</v>
      </c>
      <c r="J1653">
        <v>26.1</v>
      </c>
      <c r="K1653">
        <v>0.3</v>
      </c>
      <c r="L1653">
        <v>2.1</v>
      </c>
      <c r="M1653">
        <v>7.8</v>
      </c>
      <c r="N1653">
        <v>0</v>
      </c>
      <c r="O1653" t="s">
        <v>27</v>
      </c>
      <c r="P1653" t="s">
        <v>27</v>
      </c>
      <c r="Q1653" t="s">
        <v>27</v>
      </c>
      <c r="R1653" t="s">
        <v>27</v>
      </c>
      <c r="S1653">
        <v>16.100000000000001</v>
      </c>
      <c r="T1653">
        <v>14.3</v>
      </c>
      <c r="U1653" t="s">
        <v>27</v>
      </c>
      <c r="V1653">
        <v>0.09</v>
      </c>
      <c r="W1653">
        <v>0.86899999999999999</v>
      </c>
      <c r="X1653">
        <v>2.4609999999999999</v>
      </c>
      <c r="Y1653" t="s">
        <v>27</v>
      </c>
      <c r="Z1653" t="s">
        <v>27</v>
      </c>
      <c r="AA1653" t="s">
        <v>27</v>
      </c>
      <c r="AB1653" t="s">
        <v>27</v>
      </c>
      <c r="AC1653" t="s">
        <v>27</v>
      </c>
      <c r="AD1653" t="s">
        <v>27</v>
      </c>
      <c r="AE1653" t="s">
        <v>27</v>
      </c>
      <c r="AF1653" t="s">
        <v>27</v>
      </c>
      <c r="AG1653">
        <v>32.64</v>
      </c>
    </row>
    <row r="1654" spans="1:33" x14ac:dyDescent="0.25">
      <c r="A1654" t="s">
        <v>57</v>
      </c>
      <c r="B1654" s="3">
        <v>45115</v>
      </c>
      <c r="C1654">
        <v>2023189</v>
      </c>
      <c r="D1654">
        <v>2.97</v>
      </c>
      <c r="E1654" t="s">
        <v>27</v>
      </c>
      <c r="F1654">
        <v>15.5</v>
      </c>
      <c r="G1654">
        <v>26</v>
      </c>
      <c r="H1654">
        <v>5.4</v>
      </c>
      <c r="I1654">
        <v>65.400000000000006</v>
      </c>
      <c r="J1654">
        <v>24.3</v>
      </c>
      <c r="K1654">
        <v>0</v>
      </c>
      <c r="L1654">
        <v>1.7</v>
      </c>
      <c r="M1654">
        <v>0</v>
      </c>
      <c r="N1654">
        <v>0</v>
      </c>
      <c r="O1654" t="s">
        <v>27</v>
      </c>
      <c r="P1654" t="s">
        <v>27</v>
      </c>
      <c r="Q1654" t="s">
        <v>27</v>
      </c>
      <c r="R1654" t="s">
        <v>27</v>
      </c>
      <c r="S1654">
        <v>15.9</v>
      </c>
      <c r="T1654">
        <v>14</v>
      </c>
      <c r="U1654" t="s">
        <v>27</v>
      </c>
      <c r="V1654">
        <v>9.9000000000000005E-2</v>
      </c>
      <c r="W1654">
        <v>0.81399999999999995</v>
      </c>
      <c r="X1654">
        <v>2.536</v>
      </c>
      <c r="Y1654" t="s">
        <v>27</v>
      </c>
      <c r="Z1654" t="s">
        <v>27</v>
      </c>
      <c r="AA1654" t="s">
        <v>27</v>
      </c>
      <c r="AB1654" t="s">
        <v>27</v>
      </c>
      <c r="AC1654" t="s">
        <v>27</v>
      </c>
      <c r="AD1654" t="s">
        <v>27</v>
      </c>
      <c r="AE1654" t="s">
        <v>27</v>
      </c>
      <c r="AF1654" t="s">
        <v>27</v>
      </c>
      <c r="AG1654">
        <v>32.56</v>
      </c>
    </row>
    <row r="1655" spans="1:33" x14ac:dyDescent="0.25">
      <c r="A1655" t="s">
        <v>57</v>
      </c>
      <c r="B1655" s="3">
        <v>45116</v>
      </c>
      <c r="C1655">
        <v>2023190</v>
      </c>
      <c r="D1655">
        <v>2.2400000000000002</v>
      </c>
      <c r="E1655" t="s">
        <v>27</v>
      </c>
      <c r="F1655">
        <v>14.7</v>
      </c>
      <c r="G1655">
        <v>28.4</v>
      </c>
      <c r="H1655">
        <v>6.3</v>
      </c>
      <c r="I1655">
        <v>72.2</v>
      </c>
      <c r="J1655">
        <v>22.6</v>
      </c>
      <c r="K1655">
        <v>0.4</v>
      </c>
      <c r="L1655">
        <v>2.4</v>
      </c>
      <c r="M1655">
        <v>4.5</v>
      </c>
      <c r="N1655">
        <v>0</v>
      </c>
      <c r="O1655" t="s">
        <v>27</v>
      </c>
      <c r="P1655" t="s">
        <v>27</v>
      </c>
      <c r="Q1655" t="s">
        <v>27</v>
      </c>
      <c r="R1655" t="s">
        <v>27</v>
      </c>
      <c r="S1655">
        <v>15.6</v>
      </c>
      <c r="T1655">
        <v>14.1</v>
      </c>
      <c r="U1655" t="s">
        <v>27</v>
      </c>
      <c r="V1655">
        <v>0.1</v>
      </c>
      <c r="W1655">
        <v>0.873</v>
      </c>
      <c r="X1655">
        <v>2.99</v>
      </c>
      <c r="Y1655" t="s">
        <v>27</v>
      </c>
      <c r="Z1655" t="s">
        <v>27</v>
      </c>
      <c r="AA1655" t="s">
        <v>27</v>
      </c>
      <c r="AB1655" t="s">
        <v>27</v>
      </c>
      <c r="AC1655" t="s">
        <v>27</v>
      </c>
      <c r="AD1655" t="s">
        <v>27</v>
      </c>
      <c r="AE1655" t="s">
        <v>27</v>
      </c>
      <c r="AF1655" t="s">
        <v>27</v>
      </c>
      <c r="AG1655">
        <v>32.479999999999997</v>
      </c>
    </row>
    <row r="1656" spans="1:33" x14ac:dyDescent="0.25">
      <c r="A1656" t="s">
        <v>57</v>
      </c>
      <c r="B1656" s="3">
        <v>45117</v>
      </c>
      <c r="C1656">
        <v>2023191</v>
      </c>
      <c r="D1656">
        <v>1.49</v>
      </c>
      <c r="E1656" t="s">
        <v>27</v>
      </c>
      <c r="F1656">
        <v>12.7</v>
      </c>
      <c r="G1656">
        <v>22.1</v>
      </c>
      <c r="H1656">
        <v>4.4000000000000004</v>
      </c>
      <c r="I1656">
        <v>75.2</v>
      </c>
      <c r="J1656">
        <v>31.2</v>
      </c>
      <c r="K1656">
        <v>0.6</v>
      </c>
      <c r="L1656">
        <v>2.5</v>
      </c>
      <c r="M1656">
        <v>10.1</v>
      </c>
      <c r="N1656">
        <v>0</v>
      </c>
      <c r="O1656" t="s">
        <v>27</v>
      </c>
      <c r="P1656" t="s">
        <v>27</v>
      </c>
      <c r="Q1656" t="s">
        <v>27</v>
      </c>
      <c r="R1656" t="s">
        <v>27</v>
      </c>
      <c r="S1656">
        <v>13.1</v>
      </c>
      <c r="T1656">
        <v>13.3</v>
      </c>
      <c r="U1656" t="s">
        <v>27</v>
      </c>
      <c r="V1656">
        <v>0.10100000000000001</v>
      </c>
      <c r="W1656">
        <v>0.83199999999999996</v>
      </c>
      <c r="X1656">
        <v>1.835</v>
      </c>
      <c r="Y1656" t="s">
        <v>27</v>
      </c>
      <c r="Z1656" t="s">
        <v>27</v>
      </c>
      <c r="AA1656" t="s">
        <v>27</v>
      </c>
      <c r="AB1656" t="s">
        <v>27</v>
      </c>
      <c r="AC1656" t="s">
        <v>27</v>
      </c>
      <c r="AD1656" t="s">
        <v>27</v>
      </c>
      <c r="AE1656" t="s">
        <v>27</v>
      </c>
      <c r="AF1656" t="s">
        <v>27</v>
      </c>
      <c r="AG1656">
        <v>32.4</v>
      </c>
    </row>
    <row r="1657" spans="1:33" x14ac:dyDescent="0.25">
      <c r="A1657" t="s">
        <v>57</v>
      </c>
      <c r="B1657" s="3">
        <v>45118</v>
      </c>
      <c r="C1657">
        <v>2023192</v>
      </c>
      <c r="D1657">
        <v>1.93</v>
      </c>
      <c r="E1657" t="s">
        <v>27</v>
      </c>
      <c r="F1657">
        <v>13.5</v>
      </c>
      <c r="G1657">
        <v>21.1</v>
      </c>
      <c r="H1657">
        <v>8.1999999999999993</v>
      </c>
      <c r="I1657">
        <v>79.099999999999994</v>
      </c>
      <c r="J1657">
        <v>43.8</v>
      </c>
      <c r="K1657">
        <v>0.8</v>
      </c>
      <c r="L1657">
        <v>3.1</v>
      </c>
      <c r="M1657">
        <v>2.8</v>
      </c>
      <c r="N1657">
        <v>0</v>
      </c>
      <c r="O1657" t="s">
        <v>27</v>
      </c>
      <c r="P1657" t="s">
        <v>27</v>
      </c>
      <c r="Q1657" t="s">
        <v>27</v>
      </c>
      <c r="R1657" t="s">
        <v>27</v>
      </c>
      <c r="S1657">
        <v>16.899999999999999</v>
      </c>
      <c r="T1657">
        <v>13.9</v>
      </c>
      <c r="U1657" t="s">
        <v>27</v>
      </c>
      <c r="V1657">
        <v>0.13600000000000001</v>
      </c>
      <c r="W1657">
        <v>1.0960000000000001</v>
      </c>
      <c r="X1657">
        <v>1.4059999999999999</v>
      </c>
      <c r="Y1657" t="s">
        <v>27</v>
      </c>
      <c r="Z1657" t="s">
        <v>27</v>
      </c>
      <c r="AA1657" t="s">
        <v>27</v>
      </c>
      <c r="AB1657" t="s">
        <v>27</v>
      </c>
      <c r="AC1657" t="s">
        <v>27</v>
      </c>
      <c r="AD1657" t="s">
        <v>27</v>
      </c>
      <c r="AE1657" t="s">
        <v>27</v>
      </c>
      <c r="AF1657" t="s">
        <v>27</v>
      </c>
      <c r="AG1657">
        <v>32.31</v>
      </c>
    </row>
    <row r="1658" spans="1:33" x14ac:dyDescent="0.25">
      <c r="A1658" t="s">
        <v>57</v>
      </c>
      <c r="B1658" s="3">
        <v>45119</v>
      </c>
      <c r="C1658">
        <v>2023193</v>
      </c>
      <c r="D1658">
        <v>1.37</v>
      </c>
      <c r="E1658" t="s">
        <v>27</v>
      </c>
      <c r="F1658">
        <v>12.5</v>
      </c>
      <c r="G1658">
        <v>20.8</v>
      </c>
      <c r="H1658">
        <v>5.9</v>
      </c>
      <c r="I1658">
        <v>82.4</v>
      </c>
      <c r="J1658">
        <v>40.299999999999997</v>
      </c>
      <c r="K1658">
        <v>0.4</v>
      </c>
      <c r="L1658">
        <v>2.4</v>
      </c>
      <c r="M1658">
        <v>10</v>
      </c>
      <c r="N1658">
        <v>0</v>
      </c>
      <c r="O1658" t="s">
        <v>27</v>
      </c>
      <c r="P1658" t="s">
        <v>27</v>
      </c>
      <c r="Q1658" t="s">
        <v>27</v>
      </c>
      <c r="R1658" t="s">
        <v>27</v>
      </c>
      <c r="S1658">
        <v>15.5</v>
      </c>
      <c r="T1658">
        <v>14.2</v>
      </c>
      <c r="U1658" t="s">
        <v>27</v>
      </c>
      <c r="V1658">
        <v>0.124</v>
      </c>
      <c r="W1658">
        <v>0.99199999999999999</v>
      </c>
      <c r="X1658">
        <v>1.47</v>
      </c>
      <c r="Y1658" t="s">
        <v>27</v>
      </c>
      <c r="Z1658" t="s">
        <v>27</v>
      </c>
      <c r="AA1658" t="s">
        <v>27</v>
      </c>
      <c r="AB1658" t="s">
        <v>27</v>
      </c>
      <c r="AC1658" t="s">
        <v>27</v>
      </c>
      <c r="AD1658" t="s">
        <v>27</v>
      </c>
      <c r="AE1658" t="s">
        <v>27</v>
      </c>
      <c r="AF1658" t="s">
        <v>27</v>
      </c>
      <c r="AG1658">
        <v>32.22</v>
      </c>
    </row>
    <row r="1659" spans="1:33" x14ac:dyDescent="0.25">
      <c r="A1659" t="s">
        <v>57</v>
      </c>
      <c r="B1659" s="3">
        <v>45120</v>
      </c>
      <c r="C1659">
        <v>2023194</v>
      </c>
      <c r="D1659">
        <v>1.98</v>
      </c>
      <c r="E1659" t="s">
        <v>27</v>
      </c>
      <c r="F1659">
        <v>12.6</v>
      </c>
      <c r="G1659">
        <v>21.2</v>
      </c>
      <c r="H1659">
        <v>3</v>
      </c>
      <c r="I1659">
        <v>75.2</v>
      </c>
      <c r="J1659">
        <v>38.700000000000003</v>
      </c>
      <c r="K1659">
        <v>0.4</v>
      </c>
      <c r="L1659">
        <v>2.4</v>
      </c>
      <c r="M1659">
        <v>0.1</v>
      </c>
      <c r="N1659">
        <v>0</v>
      </c>
      <c r="O1659" t="s">
        <v>27</v>
      </c>
      <c r="P1659" t="s">
        <v>27</v>
      </c>
      <c r="Q1659" t="s">
        <v>27</v>
      </c>
      <c r="R1659" t="s">
        <v>27</v>
      </c>
      <c r="S1659">
        <v>15.2</v>
      </c>
      <c r="T1659">
        <v>13.7</v>
      </c>
      <c r="U1659" t="s">
        <v>27</v>
      </c>
      <c r="V1659">
        <v>0.124</v>
      </c>
      <c r="W1659">
        <v>0.97199999999999998</v>
      </c>
      <c r="X1659">
        <v>1.54</v>
      </c>
      <c r="Y1659" t="s">
        <v>27</v>
      </c>
      <c r="Z1659" t="s">
        <v>27</v>
      </c>
      <c r="AA1659" t="s">
        <v>27</v>
      </c>
      <c r="AB1659" t="s">
        <v>27</v>
      </c>
      <c r="AC1659" t="s">
        <v>27</v>
      </c>
      <c r="AD1659" t="s">
        <v>27</v>
      </c>
      <c r="AE1659" t="s">
        <v>27</v>
      </c>
      <c r="AF1659" t="s">
        <v>27</v>
      </c>
      <c r="AG1659">
        <v>32.119999999999997</v>
      </c>
    </row>
    <row r="1660" spans="1:33" x14ac:dyDescent="0.25">
      <c r="A1660" t="s">
        <v>57</v>
      </c>
      <c r="B1660" s="3">
        <v>45121</v>
      </c>
      <c r="C1660">
        <v>2023195</v>
      </c>
      <c r="D1660">
        <v>3.08</v>
      </c>
      <c r="E1660" t="s">
        <v>27</v>
      </c>
      <c r="F1660">
        <v>16.2</v>
      </c>
      <c r="G1660">
        <v>25.3</v>
      </c>
      <c r="H1660">
        <v>6</v>
      </c>
      <c r="I1660">
        <v>64.099999999999994</v>
      </c>
      <c r="J1660">
        <v>26</v>
      </c>
      <c r="K1660">
        <v>0.5</v>
      </c>
      <c r="L1660">
        <v>2.4</v>
      </c>
      <c r="M1660">
        <v>0</v>
      </c>
      <c r="N1660">
        <v>0</v>
      </c>
      <c r="O1660" t="s">
        <v>27</v>
      </c>
      <c r="P1660" t="s">
        <v>27</v>
      </c>
      <c r="Q1660" t="s">
        <v>27</v>
      </c>
      <c r="R1660" t="s">
        <v>27</v>
      </c>
      <c r="S1660">
        <v>17.600000000000001</v>
      </c>
      <c r="T1660">
        <v>14.4</v>
      </c>
      <c r="U1660" t="s">
        <v>27</v>
      </c>
      <c r="V1660">
        <v>0.108</v>
      </c>
      <c r="W1660">
        <v>0.83899999999999997</v>
      </c>
      <c r="X1660">
        <v>2.3879999999999999</v>
      </c>
      <c r="Y1660" t="s">
        <v>27</v>
      </c>
      <c r="Z1660" t="s">
        <v>27</v>
      </c>
      <c r="AA1660" t="s">
        <v>27</v>
      </c>
      <c r="AB1660" t="s">
        <v>27</v>
      </c>
      <c r="AC1660" t="s">
        <v>27</v>
      </c>
      <c r="AD1660" t="s">
        <v>27</v>
      </c>
      <c r="AE1660" t="s">
        <v>27</v>
      </c>
      <c r="AF1660" t="s">
        <v>27</v>
      </c>
      <c r="AG1660">
        <v>32.020000000000003</v>
      </c>
    </row>
    <row r="1661" spans="1:33" x14ac:dyDescent="0.25">
      <c r="A1661" t="s">
        <v>57</v>
      </c>
      <c r="B1661" s="3">
        <v>45122</v>
      </c>
      <c r="C1661">
        <v>2023196</v>
      </c>
      <c r="D1661">
        <v>3.25</v>
      </c>
      <c r="E1661" t="s">
        <v>27</v>
      </c>
      <c r="F1661">
        <v>16.7</v>
      </c>
      <c r="G1661">
        <v>25.9</v>
      </c>
      <c r="H1661">
        <v>7.5</v>
      </c>
      <c r="I1661">
        <v>48.5</v>
      </c>
      <c r="J1661">
        <v>20.399999999999999</v>
      </c>
      <c r="K1661">
        <v>0.8</v>
      </c>
      <c r="L1661">
        <v>2.9</v>
      </c>
      <c r="M1661">
        <v>0</v>
      </c>
      <c r="N1661">
        <v>0</v>
      </c>
      <c r="O1661" t="s">
        <v>27</v>
      </c>
      <c r="P1661" t="s">
        <v>27</v>
      </c>
      <c r="Q1661" t="s">
        <v>27</v>
      </c>
      <c r="R1661" t="s">
        <v>27</v>
      </c>
      <c r="S1661">
        <v>20.6</v>
      </c>
      <c r="T1661">
        <v>15.7</v>
      </c>
      <c r="U1661" t="s">
        <v>27</v>
      </c>
      <c r="V1661">
        <v>9.7000000000000003E-2</v>
      </c>
      <c r="W1661">
        <v>0.68</v>
      </c>
      <c r="X1661">
        <v>2.653</v>
      </c>
      <c r="Y1661" t="s">
        <v>27</v>
      </c>
      <c r="Z1661" t="s">
        <v>27</v>
      </c>
      <c r="AA1661" t="s">
        <v>27</v>
      </c>
      <c r="AB1661" t="s">
        <v>27</v>
      </c>
      <c r="AC1661" t="s">
        <v>27</v>
      </c>
      <c r="AD1661" t="s">
        <v>27</v>
      </c>
      <c r="AE1661" t="s">
        <v>27</v>
      </c>
      <c r="AF1661" t="s">
        <v>27</v>
      </c>
      <c r="AG1661">
        <v>31.92</v>
      </c>
    </row>
    <row r="1662" spans="1:33" x14ac:dyDescent="0.25">
      <c r="A1662" t="s">
        <v>57</v>
      </c>
      <c r="B1662" s="3">
        <v>45123</v>
      </c>
      <c r="C1662">
        <v>2023197</v>
      </c>
      <c r="D1662">
        <v>3.45</v>
      </c>
      <c r="E1662" t="s">
        <v>27</v>
      </c>
      <c r="F1662">
        <v>17.100000000000001</v>
      </c>
      <c r="G1662">
        <v>27.1</v>
      </c>
      <c r="H1662">
        <v>5.7</v>
      </c>
      <c r="I1662">
        <v>48.8</v>
      </c>
      <c r="J1662">
        <v>22.6</v>
      </c>
      <c r="K1662">
        <v>0.7</v>
      </c>
      <c r="L1662">
        <v>2.6</v>
      </c>
      <c r="M1662">
        <v>0</v>
      </c>
      <c r="N1662">
        <v>0</v>
      </c>
      <c r="O1662" t="s">
        <v>27</v>
      </c>
      <c r="P1662" t="s">
        <v>27</v>
      </c>
      <c r="Q1662" t="s">
        <v>27</v>
      </c>
      <c r="R1662" t="s">
        <v>27</v>
      </c>
      <c r="S1662">
        <v>21.4</v>
      </c>
      <c r="T1662">
        <v>16</v>
      </c>
      <c r="U1662" t="s">
        <v>27</v>
      </c>
      <c r="V1662">
        <v>8.6999999999999994E-2</v>
      </c>
      <c r="W1662">
        <v>0.81200000000000006</v>
      </c>
      <c r="X1662">
        <v>2.7810000000000001</v>
      </c>
      <c r="Y1662" t="s">
        <v>27</v>
      </c>
      <c r="Z1662" t="s">
        <v>27</v>
      </c>
      <c r="AA1662" t="s">
        <v>27</v>
      </c>
      <c r="AB1662" t="s">
        <v>27</v>
      </c>
      <c r="AC1662" t="s">
        <v>27</v>
      </c>
      <c r="AD1662" t="s">
        <v>27</v>
      </c>
      <c r="AE1662" t="s">
        <v>27</v>
      </c>
      <c r="AF1662" t="s">
        <v>27</v>
      </c>
      <c r="AG1662">
        <v>31.81</v>
      </c>
    </row>
    <row r="1663" spans="1:33" x14ac:dyDescent="0.25">
      <c r="A1663" t="s">
        <v>57</v>
      </c>
      <c r="B1663" s="3">
        <v>45124</v>
      </c>
      <c r="C1663">
        <v>2023198</v>
      </c>
      <c r="D1663">
        <v>1.1399999999999999</v>
      </c>
      <c r="E1663" t="s">
        <v>27</v>
      </c>
      <c r="F1663">
        <v>11.7</v>
      </c>
      <c r="G1663">
        <v>18.600000000000001</v>
      </c>
      <c r="H1663">
        <v>2.2999999999999998</v>
      </c>
      <c r="I1663">
        <v>60</v>
      </c>
      <c r="J1663">
        <v>33.1</v>
      </c>
      <c r="K1663">
        <v>1.5</v>
      </c>
      <c r="L1663">
        <v>4.2</v>
      </c>
      <c r="M1663">
        <v>0</v>
      </c>
      <c r="N1663">
        <v>0</v>
      </c>
      <c r="O1663" t="s">
        <v>27</v>
      </c>
      <c r="P1663" t="s">
        <v>27</v>
      </c>
      <c r="Q1663" t="s">
        <v>27</v>
      </c>
      <c r="R1663" t="s">
        <v>27</v>
      </c>
      <c r="S1663">
        <v>19.7</v>
      </c>
      <c r="T1663">
        <v>16</v>
      </c>
      <c r="U1663" t="s">
        <v>27</v>
      </c>
      <c r="V1663">
        <v>7.9000000000000001E-2</v>
      </c>
      <c r="W1663">
        <v>0.71099999999999997</v>
      </c>
      <c r="X1663">
        <v>1.4370000000000001</v>
      </c>
      <c r="Y1663" t="s">
        <v>27</v>
      </c>
      <c r="Z1663" t="s">
        <v>27</v>
      </c>
      <c r="AA1663" t="s">
        <v>27</v>
      </c>
      <c r="AB1663" t="s">
        <v>27</v>
      </c>
      <c r="AC1663" t="s">
        <v>27</v>
      </c>
      <c r="AD1663" t="s">
        <v>27</v>
      </c>
      <c r="AE1663" t="s">
        <v>27</v>
      </c>
      <c r="AF1663" t="s">
        <v>27</v>
      </c>
      <c r="AG1663">
        <v>31.7</v>
      </c>
    </row>
    <row r="1664" spans="1:33" x14ac:dyDescent="0.25">
      <c r="A1664" t="s">
        <v>57</v>
      </c>
      <c r="B1664" s="3">
        <v>45125</v>
      </c>
      <c r="C1664">
        <v>2023199</v>
      </c>
      <c r="D1664">
        <v>1.58</v>
      </c>
      <c r="E1664" t="s">
        <v>27</v>
      </c>
      <c r="F1664">
        <v>10.9</v>
      </c>
      <c r="G1664">
        <v>20.6</v>
      </c>
      <c r="H1664">
        <v>1.1000000000000001</v>
      </c>
      <c r="I1664">
        <v>68.3</v>
      </c>
      <c r="J1664">
        <v>30.9</v>
      </c>
      <c r="K1664">
        <v>0.5</v>
      </c>
      <c r="L1664">
        <v>2.2000000000000002</v>
      </c>
      <c r="M1664">
        <v>0</v>
      </c>
      <c r="N1664">
        <v>0</v>
      </c>
      <c r="O1664" t="s">
        <v>27</v>
      </c>
      <c r="P1664" t="s">
        <v>27</v>
      </c>
      <c r="Q1664" t="s">
        <v>27</v>
      </c>
      <c r="R1664" t="s">
        <v>27</v>
      </c>
      <c r="S1664">
        <v>17.600000000000001</v>
      </c>
      <c r="T1664">
        <v>14.8</v>
      </c>
      <c r="U1664" t="s">
        <v>27</v>
      </c>
      <c r="V1664">
        <v>7.3999999999999996E-2</v>
      </c>
      <c r="W1664">
        <v>0.749</v>
      </c>
      <c r="X1664">
        <v>1.675</v>
      </c>
      <c r="Y1664" t="s">
        <v>27</v>
      </c>
      <c r="Z1664" t="s">
        <v>27</v>
      </c>
      <c r="AA1664" t="s">
        <v>27</v>
      </c>
      <c r="AB1664" t="s">
        <v>27</v>
      </c>
      <c r="AC1664" t="s">
        <v>27</v>
      </c>
      <c r="AD1664" t="s">
        <v>27</v>
      </c>
      <c r="AE1664" t="s">
        <v>27</v>
      </c>
      <c r="AF1664" t="s">
        <v>27</v>
      </c>
      <c r="AG1664">
        <v>31.58</v>
      </c>
    </row>
    <row r="1665" spans="1:33" x14ac:dyDescent="0.25">
      <c r="A1665" t="s">
        <v>57</v>
      </c>
      <c r="B1665" s="3">
        <v>45126</v>
      </c>
      <c r="C1665">
        <v>2023200</v>
      </c>
      <c r="D1665">
        <v>2.96</v>
      </c>
      <c r="E1665" t="s">
        <v>27</v>
      </c>
      <c r="F1665">
        <v>15</v>
      </c>
      <c r="G1665">
        <v>24.6</v>
      </c>
      <c r="H1665">
        <v>3.7</v>
      </c>
      <c r="I1665">
        <v>59.5</v>
      </c>
      <c r="J1665">
        <v>29.1</v>
      </c>
      <c r="K1665">
        <v>0.4</v>
      </c>
      <c r="L1665">
        <v>2.1</v>
      </c>
      <c r="M1665">
        <v>0</v>
      </c>
      <c r="N1665">
        <v>0</v>
      </c>
      <c r="O1665" t="s">
        <v>27</v>
      </c>
      <c r="P1665" t="s">
        <v>27</v>
      </c>
      <c r="Q1665" t="s">
        <v>27</v>
      </c>
      <c r="R1665" t="s">
        <v>27</v>
      </c>
      <c r="S1665">
        <v>20.7</v>
      </c>
      <c r="T1665">
        <v>15.3</v>
      </c>
      <c r="U1665" t="s">
        <v>27</v>
      </c>
      <c r="V1665">
        <v>6.8000000000000005E-2</v>
      </c>
      <c r="W1665">
        <v>0.89800000000000002</v>
      </c>
      <c r="X1665">
        <v>2.1880000000000002</v>
      </c>
      <c r="Y1665" t="s">
        <v>27</v>
      </c>
      <c r="Z1665" t="s">
        <v>27</v>
      </c>
      <c r="AA1665" t="s">
        <v>27</v>
      </c>
      <c r="AB1665" t="s">
        <v>27</v>
      </c>
      <c r="AC1665" t="s">
        <v>27</v>
      </c>
      <c r="AD1665" t="s">
        <v>27</v>
      </c>
      <c r="AE1665" t="s">
        <v>27</v>
      </c>
      <c r="AF1665" t="s">
        <v>27</v>
      </c>
      <c r="AG1665">
        <v>31.46</v>
      </c>
    </row>
    <row r="1666" spans="1:33" x14ac:dyDescent="0.25">
      <c r="A1666" t="s">
        <v>57</v>
      </c>
      <c r="B1666" s="3">
        <v>45127</v>
      </c>
      <c r="C1666">
        <v>2023201</v>
      </c>
      <c r="D1666">
        <v>3.29</v>
      </c>
      <c r="E1666" t="s">
        <v>27</v>
      </c>
      <c r="F1666">
        <v>17.5</v>
      </c>
      <c r="G1666">
        <v>28.8</v>
      </c>
      <c r="H1666">
        <v>7</v>
      </c>
      <c r="I1666">
        <v>57.3</v>
      </c>
      <c r="J1666">
        <v>22.6</v>
      </c>
      <c r="K1666">
        <v>0.3</v>
      </c>
      <c r="L1666">
        <v>2.2000000000000002</v>
      </c>
      <c r="M1666">
        <v>0</v>
      </c>
      <c r="N1666">
        <v>0</v>
      </c>
      <c r="O1666" t="s">
        <v>27</v>
      </c>
      <c r="P1666" t="s">
        <v>27</v>
      </c>
      <c r="Q1666" t="s">
        <v>27</v>
      </c>
      <c r="R1666" t="s">
        <v>27</v>
      </c>
      <c r="S1666">
        <v>21.4</v>
      </c>
      <c r="T1666">
        <v>15.9</v>
      </c>
      <c r="U1666" t="s">
        <v>27</v>
      </c>
      <c r="V1666">
        <v>6.3E-2</v>
      </c>
      <c r="W1666">
        <v>0.89700000000000002</v>
      </c>
      <c r="X1666">
        <v>3.0720000000000001</v>
      </c>
      <c r="Y1666" t="s">
        <v>27</v>
      </c>
      <c r="Z1666" t="s">
        <v>27</v>
      </c>
      <c r="AA1666" t="s">
        <v>27</v>
      </c>
      <c r="AB1666" t="s">
        <v>27</v>
      </c>
      <c r="AC1666" t="s">
        <v>27</v>
      </c>
      <c r="AD1666" t="s">
        <v>27</v>
      </c>
      <c r="AE1666" t="s">
        <v>27</v>
      </c>
      <c r="AF1666" t="s">
        <v>27</v>
      </c>
      <c r="AG1666">
        <v>31.34</v>
      </c>
    </row>
    <row r="1667" spans="1:33" x14ac:dyDescent="0.25">
      <c r="A1667" t="s">
        <v>57</v>
      </c>
      <c r="B1667" s="3">
        <v>45128</v>
      </c>
      <c r="C1667">
        <v>2023202</v>
      </c>
      <c r="D1667">
        <v>3.43</v>
      </c>
      <c r="E1667" t="s">
        <v>27</v>
      </c>
      <c r="F1667">
        <v>18.100000000000001</v>
      </c>
      <c r="G1667">
        <v>28.7</v>
      </c>
      <c r="H1667">
        <v>8.3000000000000007</v>
      </c>
      <c r="I1667">
        <v>53.7</v>
      </c>
      <c r="J1667">
        <v>23.3</v>
      </c>
      <c r="K1667">
        <v>0.5</v>
      </c>
      <c r="L1667">
        <v>2.6</v>
      </c>
      <c r="M1667">
        <v>0</v>
      </c>
      <c r="N1667">
        <v>0</v>
      </c>
      <c r="O1667" t="s">
        <v>27</v>
      </c>
      <c r="P1667" t="s">
        <v>27</v>
      </c>
      <c r="Q1667" t="s">
        <v>27</v>
      </c>
      <c r="R1667" t="s">
        <v>27</v>
      </c>
      <c r="S1667">
        <v>23.3</v>
      </c>
      <c r="T1667">
        <v>16.600000000000001</v>
      </c>
      <c r="U1667" t="s">
        <v>27</v>
      </c>
      <c r="V1667">
        <v>5.8999999999999997E-2</v>
      </c>
      <c r="W1667">
        <v>0.91800000000000004</v>
      </c>
      <c r="X1667">
        <v>3.0219999999999998</v>
      </c>
      <c r="Y1667" t="s">
        <v>27</v>
      </c>
      <c r="Z1667" t="s">
        <v>27</v>
      </c>
      <c r="AA1667" t="s">
        <v>27</v>
      </c>
      <c r="AB1667" t="s">
        <v>27</v>
      </c>
      <c r="AC1667" t="s">
        <v>27</v>
      </c>
      <c r="AD1667" t="s">
        <v>27</v>
      </c>
      <c r="AE1667" t="s">
        <v>27</v>
      </c>
      <c r="AF1667" t="s">
        <v>27</v>
      </c>
      <c r="AG1667">
        <v>31.21</v>
      </c>
    </row>
    <row r="1668" spans="1:33" x14ac:dyDescent="0.25">
      <c r="A1668" t="s">
        <v>57</v>
      </c>
      <c r="B1668" s="3">
        <v>45129</v>
      </c>
      <c r="C1668">
        <v>2023203</v>
      </c>
      <c r="D1668">
        <v>2.97</v>
      </c>
      <c r="E1668" t="s">
        <v>27</v>
      </c>
      <c r="F1668">
        <v>16.2</v>
      </c>
      <c r="G1668">
        <v>26.2</v>
      </c>
      <c r="H1668">
        <v>4.4000000000000004</v>
      </c>
      <c r="I1668">
        <v>49.2</v>
      </c>
      <c r="J1668">
        <v>23</v>
      </c>
      <c r="K1668">
        <v>0.8</v>
      </c>
      <c r="L1668">
        <v>3.2</v>
      </c>
      <c r="M1668">
        <v>0</v>
      </c>
      <c r="N1668">
        <v>0</v>
      </c>
      <c r="O1668" t="s">
        <v>27</v>
      </c>
      <c r="P1668" t="s">
        <v>27</v>
      </c>
      <c r="Q1668" t="s">
        <v>27</v>
      </c>
      <c r="R1668" t="s">
        <v>27</v>
      </c>
      <c r="S1668">
        <v>23.4</v>
      </c>
      <c r="T1668">
        <v>16.8</v>
      </c>
      <c r="U1668" t="s">
        <v>27</v>
      </c>
      <c r="V1668">
        <v>5.3999999999999999E-2</v>
      </c>
      <c r="W1668">
        <v>0.78300000000000003</v>
      </c>
      <c r="X1668">
        <v>2.621</v>
      </c>
      <c r="Y1668" t="s">
        <v>27</v>
      </c>
      <c r="Z1668" t="s">
        <v>27</v>
      </c>
      <c r="AA1668" t="s">
        <v>27</v>
      </c>
      <c r="AB1668" t="s">
        <v>27</v>
      </c>
      <c r="AC1668" t="s">
        <v>27</v>
      </c>
      <c r="AD1668" t="s">
        <v>27</v>
      </c>
      <c r="AE1668" t="s">
        <v>27</v>
      </c>
      <c r="AF1668" t="s">
        <v>27</v>
      </c>
      <c r="AG1668">
        <v>31.08</v>
      </c>
    </row>
    <row r="1669" spans="1:33" x14ac:dyDescent="0.25">
      <c r="A1669" t="s">
        <v>57</v>
      </c>
      <c r="B1669" s="3">
        <v>45130</v>
      </c>
      <c r="C1669">
        <v>2023204</v>
      </c>
      <c r="D1669">
        <v>3.3</v>
      </c>
      <c r="E1669" t="s">
        <v>27</v>
      </c>
      <c r="F1669">
        <v>16.600000000000001</v>
      </c>
      <c r="G1669">
        <v>26.7</v>
      </c>
      <c r="H1669">
        <v>5.3</v>
      </c>
      <c r="I1669">
        <v>52.7</v>
      </c>
      <c r="J1669">
        <v>15.4</v>
      </c>
      <c r="K1669">
        <v>0.7</v>
      </c>
      <c r="L1669">
        <v>2.8</v>
      </c>
      <c r="M1669">
        <v>0</v>
      </c>
      <c r="N1669">
        <v>0</v>
      </c>
      <c r="O1669" t="s">
        <v>27</v>
      </c>
      <c r="P1669" t="s">
        <v>27</v>
      </c>
      <c r="Q1669" t="s">
        <v>27</v>
      </c>
      <c r="R1669" t="s">
        <v>27</v>
      </c>
      <c r="S1669">
        <v>24.5</v>
      </c>
      <c r="T1669">
        <v>17.100000000000001</v>
      </c>
      <c r="U1669" t="s">
        <v>27</v>
      </c>
      <c r="V1669">
        <v>5.0999999999999997E-2</v>
      </c>
      <c r="W1669">
        <v>0.54</v>
      </c>
      <c r="X1669">
        <v>2.9660000000000002</v>
      </c>
      <c r="Y1669" t="s">
        <v>27</v>
      </c>
      <c r="Z1669" t="s">
        <v>27</v>
      </c>
      <c r="AA1669" t="s">
        <v>27</v>
      </c>
      <c r="AB1669" t="s">
        <v>27</v>
      </c>
      <c r="AC1669" t="s">
        <v>27</v>
      </c>
      <c r="AD1669" t="s">
        <v>27</v>
      </c>
      <c r="AE1669" t="s">
        <v>27</v>
      </c>
      <c r="AF1669" t="s">
        <v>27</v>
      </c>
      <c r="AG1669">
        <v>30.95</v>
      </c>
    </row>
    <row r="1670" spans="1:33" x14ac:dyDescent="0.25">
      <c r="A1670" t="s">
        <v>57</v>
      </c>
      <c r="B1670" s="3">
        <v>45131</v>
      </c>
      <c r="C1670">
        <v>2023205</v>
      </c>
      <c r="D1670">
        <v>1.65</v>
      </c>
      <c r="E1670" t="s">
        <v>27</v>
      </c>
      <c r="F1670">
        <v>14.2</v>
      </c>
      <c r="G1670">
        <v>22</v>
      </c>
      <c r="H1670">
        <v>6.3</v>
      </c>
      <c r="I1670">
        <v>60.7</v>
      </c>
      <c r="J1670">
        <v>33.6</v>
      </c>
      <c r="K1670">
        <v>0.9</v>
      </c>
      <c r="L1670">
        <v>3.2</v>
      </c>
      <c r="M1670">
        <v>1.4</v>
      </c>
      <c r="N1670">
        <v>0</v>
      </c>
      <c r="O1670" t="s">
        <v>27</v>
      </c>
      <c r="P1670" t="s">
        <v>27</v>
      </c>
      <c r="Q1670" t="s">
        <v>27</v>
      </c>
      <c r="R1670" t="s">
        <v>27</v>
      </c>
      <c r="S1670">
        <v>19.5</v>
      </c>
      <c r="T1670">
        <v>16.5</v>
      </c>
      <c r="U1670" t="s">
        <v>27</v>
      </c>
      <c r="V1670">
        <v>4.8000000000000001E-2</v>
      </c>
      <c r="W1670">
        <v>0.88700000000000001</v>
      </c>
      <c r="X1670">
        <v>1.7529999999999999</v>
      </c>
      <c r="Y1670" t="s">
        <v>27</v>
      </c>
      <c r="Z1670" t="s">
        <v>27</v>
      </c>
      <c r="AA1670" t="s">
        <v>27</v>
      </c>
      <c r="AB1670" t="s">
        <v>27</v>
      </c>
      <c r="AC1670" t="s">
        <v>27</v>
      </c>
      <c r="AD1670" t="s">
        <v>27</v>
      </c>
      <c r="AE1670" t="s">
        <v>27</v>
      </c>
      <c r="AF1670" t="s">
        <v>27</v>
      </c>
      <c r="AG1670">
        <v>30.81</v>
      </c>
    </row>
    <row r="1671" spans="1:33" x14ac:dyDescent="0.25">
      <c r="A1671" t="s">
        <v>57</v>
      </c>
      <c r="B1671" s="3">
        <v>45132</v>
      </c>
      <c r="C1671">
        <v>2023206</v>
      </c>
      <c r="D1671">
        <v>0.16</v>
      </c>
      <c r="E1671" t="s">
        <v>27</v>
      </c>
      <c r="F1671">
        <v>7.4</v>
      </c>
      <c r="G1671">
        <v>14.5</v>
      </c>
      <c r="H1671">
        <v>2.4</v>
      </c>
      <c r="I1671">
        <v>76.5</v>
      </c>
      <c r="J1671">
        <v>41.4</v>
      </c>
      <c r="K1671">
        <v>1</v>
      </c>
      <c r="L1671">
        <v>3.7</v>
      </c>
      <c r="M1671">
        <v>0.1</v>
      </c>
      <c r="N1671">
        <v>0</v>
      </c>
      <c r="O1671" t="s">
        <v>27</v>
      </c>
      <c r="P1671" t="s">
        <v>27</v>
      </c>
      <c r="Q1671" t="s">
        <v>27</v>
      </c>
      <c r="R1671" t="s">
        <v>27</v>
      </c>
      <c r="S1671">
        <v>11.8</v>
      </c>
      <c r="T1671">
        <v>14.6</v>
      </c>
      <c r="U1671" t="s">
        <v>27</v>
      </c>
      <c r="V1671">
        <v>4.5999999999999999E-2</v>
      </c>
      <c r="W1671">
        <v>0.68200000000000005</v>
      </c>
      <c r="X1671">
        <v>0.96499999999999997</v>
      </c>
      <c r="Y1671" t="s">
        <v>27</v>
      </c>
      <c r="Z1671" t="s">
        <v>27</v>
      </c>
      <c r="AA1671" t="s">
        <v>27</v>
      </c>
      <c r="AB1671" t="s">
        <v>27</v>
      </c>
      <c r="AC1671" t="s">
        <v>27</v>
      </c>
      <c r="AD1671" t="s">
        <v>27</v>
      </c>
      <c r="AE1671" t="s">
        <v>27</v>
      </c>
      <c r="AF1671" t="s">
        <v>27</v>
      </c>
      <c r="AG1671">
        <v>30.67</v>
      </c>
    </row>
    <row r="1672" spans="1:33" x14ac:dyDescent="0.25">
      <c r="A1672" t="s">
        <v>57</v>
      </c>
      <c r="B1672" s="3">
        <v>45133</v>
      </c>
      <c r="C1672">
        <v>2023207</v>
      </c>
      <c r="D1672">
        <v>0.93</v>
      </c>
      <c r="E1672" t="s">
        <v>27</v>
      </c>
      <c r="F1672">
        <v>9</v>
      </c>
      <c r="G1672">
        <v>17.7</v>
      </c>
      <c r="H1672">
        <v>-0.9</v>
      </c>
      <c r="I1672">
        <v>66.900000000000006</v>
      </c>
      <c r="J1672">
        <v>33.1</v>
      </c>
      <c r="K1672">
        <v>0.5</v>
      </c>
      <c r="L1672">
        <v>2.2000000000000002</v>
      </c>
      <c r="M1672">
        <v>0</v>
      </c>
      <c r="N1672">
        <v>0</v>
      </c>
      <c r="O1672" t="s">
        <v>27</v>
      </c>
      <c r="P1672" t="s">
        <v>27</v>
      </c>
      <c r="Q1672" t="s">
        <v>27</v>
      </c>
      <c r="R1672" t="s">
        <v>27</v>
      </c>
      <c r="S1672">
        <v>14</v>
      </c>
      <c r="T1672">
        <v>13.5</v>
      </c>
      <c r="U1672" t="s">
        <v>27</v>
      </c>
      <c r="V1672">
        <v>4.3999999999999997E-2</v>
      </c>
      <c r="W1672">
        <v>0.67200000000000004</v>
      </c>
      <c r="X1672">
        <v>1.3580000000000001</v>
      </c>
      <c r="Y1672" t="s">
        <v>27</v>
      </c>
      <c r="Z1672" t="s">
        <v>27</v>
      </c>
      <c r="AA1672" t="s">
        <v>27</v>
      </c>
      <c r="AB1672" t="s">
        <v>27</v>
      </c>
      <c r="AC1672" t="s">
        <v>27</v>
      </c>
      <c r="AD1672" t="s">
        <v>27</v>
      </c>
      <c r="AE1672" t="s">
        <v>27</v>
      </c>
      <c r="AF1672" t="s">
        <v>27</v>
      </c>
      <c r="AG1672">
        <v>30.52</v>
      </c>
    </row>
    <row r="1673" spans="1:33" x14ac:dyDescent="0.25">
      <c r="A1673" t="s">
        <v>57</v>
      </c>
      <c r="B1673" s="3">
        <v>45134</v>
      </c>
      <c r="C1673">
        <v>2023208</v>
      </c>
      <c r="D1673">
        <v>2.0699999999999998</v>
      </c>
      <c r="E1673" t="s">
        <v>27</v>
      </c>
      <c r="F1673">
        <v>11.9</v>
      </c>
      <c r="G1673">
        <v>20.9</v>
      </c>
      <c r="H1673">
        <v>0.9</v>
      </c>
      <c r="I1673">
        <v>62.8</v>
      </c>
      <c r="J1673">
        <v>27.5</v>
      </c>
      <c r="K1673">
        <v>0.6</v>
      </c>
      <c r="L1673">
        <v>2.5</v>
      </c>
      <c r="M1673">
        <v>0</v>
      </c>
      <c r="N1673">
        <v>0</v>
      </c>
      <c r="O1673" t="s">
        <v>27</v>
      </c>
      <c r="P1673" t="s">
        <v>27</v>
      </c>
      <c r="Q1673" t="s">
        <v>27</v>
      </c>
      <c r="R1673" t="s">
        <v>27</v>
      </c>
      <c r="S1673">
        <v>20.399999999999999</v>
      </c>
      <c r="T1673">
        <v>14.3</v>
      </c>
      <c r="U1673" t="s">
        <v>27</v>
      </c>
      <c r="V1673">
        <v>4.2999999999999997E-2</v>
      </c>
      <c r="W1673">
        <v>0.67800000000000005</v>
      </c>
      <c r="X1673">
        <v>1.7869999999999999</v>
      </c>
      <c r="Y1673" t="s">
        <v>27</v>
      </c>
      <c r="Z1673" t="s">
        <v>27</v>
      </c>
      <c r="AA1673" t="s">
        <v>27</v>
      </c>
      <c r="AB1673" t="s">
        <v>27</v>
      </c>
      <c r="AC1673" t="s">
        <v>27</v>
      </c>
      <c r="AD1673" t="s">
        <v>27</v>
      </c>
      <c r="AE1673" t="s">
        <v>27</v>
      </c>
      <c r="AF1673" t="s">
        <v>27</v>
      </c>
      <c r="AG1673">
        <v>30.38</v>
      </c>
    </row>
    <row r="1674" spans="1:33" x14ac:dyDescent="0.25">
      <c r="A1674" t="s">
        <v>57</v>
      </c>
      <c r="B1674" s="3">
        <v>45135</v>
      </c>
      <c r="C1674">
        <v>2023209</v>
      </c>
      <c r="D1674">
        <v>2.79</v>
      </c>
      <c r="E1674" t="s">
        <v>27</v>
      </c>
      <c r="F1674">
        <v>16</v>
      </c>
      <c r="G1674">
        <v>24.7</v>
      </c>
      <c r="H1674">
        <v>7.5</v>
      </c>
      <c r="I1674">
        <v>52.5</v>
      </c>
      <c r="J1674">
        <v>24</v>
      </c>
      <c r="K1674">
        <v>0.7</v>
      </c>
      <c r="L1674">
        <v>2.4</v>
      </c>
      <c r="M1674">
        <v>0</v>
      </c>
      <c r="N1674">
        <v>0</v>
      </c>
      <c r="O1674" t="s">
        <v>27</v>
      </c>
      <c r="P1674" t="s">
        <v>27</v>
      </c>
      <c r="Q1674" t="s">
        <v>27</v>
      </c>
      <c r="R1674" t="s">
        <v>27</v>
      </c>
      <c r="S1674">
        <v>22.5</v>
      </c>
      <c r="T1674">
        <v>15.4</v>
      </c>
      <c r="U1674" t="s">
        <v>27</v>
      </c>
      <c r="V1674">
        <v>4.1000000000000002E-2</v>
      </c>
      <c r="W1674">
        <v>0.745</v>
      </c>
      <c r="X1674">
        <v>2.359</v>
      </c>
      <c r="Y1674" t="s">
        <v>27</v>
      </c>
      <c r="Z1674" t="s">
        <v>27</v>
      </c>
      <c r="AA1674" t="s">
        <v>27</v>
      </c>
      <c r="AB1674" t="s">
        <v>27</v>
      </c>
      <c r="AC1674" t="s">
        <v>27</v>
      </c>
      <c r="AD1674" t="s">
        <v>27</v>
      </c>
      <c r="AE1674" t="s">
        <v>27</v>
      </c>
      <c r="AF1674" t="s">
        <v>27</v>
      </c>
      <c r="AG1674">
        <v>30.22</v>
      </c>
    </row>
    <row r="1675" spans="1:33" x14ac:dyDescent="0.25">
      <c r="A1675" t="s">
        <v>57</v>
      </c>
      <c r="B1675" s="3">
        <v>45136</v>
      </c>
      <c r="C1675">
        <v>2023210</v>
      </c>
      <c r="D1675">
        <v>3.07</v>
      </c>
      <c r="E1675" t="s">
        <v>27</v>
      </c>
      <c r="F1675">
        <v>16.2</v>
      </c>
      <c r="G1675">
        <v>25.8</v>
      </c>
      <c r="H1675">
        <v>5.7</v>
      </c>
      <c r="I1675">
        <v>49.9</v>
      </c>
      <c r="J1675">
        <v>16.2</v>
      </c>
      <c r="K1675">
        <v>1</v>
      </c>
      <c r="L1675">
        <v>4.3</v>
      </c>
      <c r="M1675">
        <v>0</v>
      </c>
      <c r="N1675">
        <v>0</v>
      </c>
      <c r="O1675" t="s">
        <v>27</v>
      </c>
      <c r="P1675" t="s">
        <v>27</v>
      </c>
      <c r="Q1675" t="s">
        <v>27</v>
      </c>
      <c r="R1675" t="s">
        <v>27</v>
      </c>
      <c r="S1675">
        <v>23.3</v>
      </c>
      <c r="T1675">
        <v>16.2</v>
      </c>
      <c r="U1675" t="s">
        <v>27</v>
      </c>
      <c r="V1675">
        <v>0.04</v>
      </c>
      <c r="W1675">
        <v>0.53600000000000003</v>
      </c>
      <c r="X1675">
        <v>2.7730000000000001</v>
      </c>
      <c r="Y1675" t="s">
        <v>27</v>
      </c>
      <c r="Z1675" t="s">
        <v>27</v>
      </c>
      <c r="AA1675" t="s">
        <v>27</v>
      </c>
      <c r="AB1675" t="s">
        <v>27</v>
      </c>
      <c r="AC1675" t="s">
        <v>27</v>
      </c>
      <c r="AD1675" t="s">
        <v>27</v>
      </c>
      <c r="AE1675" t="s">
        <v>27</v>
      </c>
      <c r="AF1675" t="s">
        <v>27</v>
      </c>
      <c r="AG1675">
        <v>30.07</v>
      </c>
    </row>
    <row r="1676" spans="1:33" x14ac:dyDescent="0.25">
      <c r="A1676" t="s">
        <v>57</v>
      </c>
      <c r="B1676" s="3">
        <v>45137</v>
      </c>
      <c r="C1676">
        <v>2023211</v>
      </c>
      <c r="D1676">
        <v>1.97</v>
      </c>
      <c r="E1676" t="s">
        <v>27</v>
      </c>
      <c r="F1676">
        <v>13.2</v>
      </c>
      <c r="G1676">
        <v>23.1</v>
      </c>
      <c r="H1676">
        <v>4.0999999999999996</v>
      </c>
      <c r="I1676">
        <v>59.3</v>
      </c>
      <c r="J1676">
        <v>27.3</v>
      </c>
      <c r="K1676">
        <v>0.6</v>
      </c>
      <c r="L1676">
        <v>2.2999999999999998</v>
      </c>
      <c r="M1676">
        <v>0</v>
      </c>
      <c r="N1676">
        <v>0</v>
      </c>
      <c r="O1676" t="s">
        <v>27</v>
      </c>
      <c r="P1676" t="s">
        <v>27</v>
      </c>
      <c r="Q1676" t="s">
        <v>27</v>
      </c>
      <c r="R1676" t="s">
        <v>27</v>
      </c>
      <c r="S1676">
        <v>21.4</v>
      </c>
      <c r="T1676">
        <v>16.100000000000001</v>
      </c>
      <c r="U1676" t="s">
        <v>27</v>
      </c>
      <c r="V1676">
        <v>3.7999999999999999E-2</v>
      </c>
      <c r="W1676">
        <v>0.76900000000000002</v>
      </c>
      <c r="X1676">
        <v>2.048</v>
      </c>
      <c r="Y1676" t="s">
        <v>27</v>
      </c>
      <c r="Z1676" t="s">
        <v>27</v>
      </c>
      <c r="AA1676" t="s">
        <v>27</v>
      </c>
      <c r="AB1676" t="s">
        <v>27</v>
      </c>
      <c r="AC1676" t="s">
        <v>27</v>
      </c>
      <c r="AD1676" t="s">
        <v>27</v>
      </c>
      <c r="AE1676" t="s">
        <v>27</v>
      </c>
      <c r="AF1676" t="s">
        <v>27</v>
      </c>
      <c r="AG1676">
        <v>29.91</v>
      </c>
    </row>
    <row r="1677" spans="1:33" x14ac:dyDescent="0.25">
      <c r="A1677" t="s">
        <v>57</v>
      </c>
      <c r="B1677" s="3">
        <v>45138</v>
      </c>
      <c r="C1677">
        <v>2023212</v>
      </c>
      <c r="D1677">
        <v>2.41</v>
      </c>
      <c r="E1677" t="s">
        <v>27</v>
      </c>
      <c r="F1677">
        <v>12.8</v>
      </c>
      <c r="G1677">
        <v>23.3</v>
      </c>
      <c r="H1677">
        <v>0.6</v>
      </c>
      <c r="I1677">
        <v>50.8</v>
      </c>
      <c r="J1677">
        <v>15.2</v>
      </c>
      <c r="K1677">
        <v>0.7</v>
      </c>
      <c r="L1677">
        <v>2.6</v>
      </c>
      <c r="M1677">
        <v>0</v>
      </c>
      <c r="N1677">
        <v>0</v>
      </c>
      <c r="O1677" t="s">
        <v>27</v>
      </c>
      <c r="P1677" t="s">
        <v>27</v>
      </c>
      <c r="Q1677" t="s">
        <v>27</v>
      </c>
      <c r="R1677" t="s">
        <v>27</v>
      </c>
      <c r="S1677">
        <v>21.4</v>
      </c>
      <c r="T1677">
        <v>15.9</v>
      </c>
      <c r="U1677" t="s">
        <v>27</v>
      </c>
      <c r="V1677">
        <v>3.6999999999999998E-2</v>
      </c>
      <c r="W1677">
        <v>0.435</v>
      </c>
      <c r="X1677">
        <v>2.427</v>
      </c>
      <c r="Y1677" t="s">
        <v>27</v>
      </c>
      <c r="Z1677" t="s">
        <v>27</v>
      </c>
      <c r="AA1677" t="s">
        <v>27</v>
      </c>
      <c r="AB1677" t="s">
        <v>27</v>
      </c>
      <c r="AC1677" t="s">
        <v>27</v>
      </c>
      <c r="AD1677" t="s">
        <v>27</v>
      </c>
      <c r="AE1677" t="s">
        <v>27</v>
      </c>
      <c r="AF1677" t="s">
        <v>27</v>
      </c>
      <c r="AG1677">
        <v>29.74</v>
      </c>
    </row>
    <row r="1678" spans="1:33" x14ac:dyDescent="0.25">
      <c r="A1678" t="s">
        <v>57</v>
      </c>
      <c r="B1678" s="3">
        <v>45139</v>
      </c>
      <c r="C1678">
        <v>2023213</v>
      </c>
      <c r="D1678">
        <v>2.74</v>
      </c>
      <c r="E1678" t="s">
        <v>27</v>
      </c>
      <c r="F1678">
        <v>13.5</v>
      </c>
      <c r="G1678">
        <v>24.7</v>
      </c>
      <c r="H1678">
        <v>1.1000000000000001</v>
      </c>
      <c r="I1678">
        <v>49.2</v>
      </c>
      <c r="J1678">
        <v>16.100000000000001</v>
      </c>
      <c r="K1678">
        <v>0.6</v>
      </c>
      <c r="L1678">
        <v>2.9</v>
      </c>
      <c r="M1678">
        <v>0</v>
      </c>
      <c r="N1678">
        <v>0</v>
      </c>
      <c r="O1678" t="s">
        <v>27</v>
      </c>
      <c r="P1678" t="s">
        <v>27</v>
      </c>
      <c r="Q1678" t="s">
        <v>27</v>
      </c>
      <c r="R1678" t="s">
        <v>27</v>
      </c>
      <c r="S1678">
        <v>21.8</v>
      </c>
      <c r="T1678">
        <v>15.9</v>
      </c>
      <c r="U1678" t="s">
        <v>27</v>
      </c>
      <c r="V1678">
        <v>3.6999999999999998E-2</v>
      </c>
      <c r="W1678">
        <v>0.502</v>
      </c>
      <c r="X1678">
        <v>2.6160000000000001</v>
      </c>
      <c r="Y1678" t="s">
        <v>27</v>
      </c>
      <c r="Z1678" t="s">
        <v>27</v>
      </c>
      <c r="AA1678" t="s">
        <v>27</v>
      </c>
      <c r="AB1678" t="s">
        <v>27</v>
      </c>
      <c r="AC1678" t="s">
        <v>27</v>
      </c>
      <c r="AD1678" t="s">
        <v>27</v>
      </c>
      <c r="AE1678" t="s">
        <v>27</v>
      </c>
      <c r="AF1678" t="s">
        <v>27</v>
      </c>
      <c r="AG1678">
        <v>29.59</v>
      </c>
    </row>
    <row r="1679" spans="1:33" x14ac:dyDescent="0.25">
      <c r="A1679" t="s">
        <v>57</v>
      </c>
      <c r="B1679" s="3">
        <v>45140</v>
      </c>
      <c r="C1679">
        <v>2023214</v>
      </c>
      <c r="D1679">
        <v>2.96</v>
      </c>
      <c r="E1679" t="s">
        <v>27</v>
      </c>
      <c r="F1679">
        <v>15.5</v>
      </c>
      <c r="G1679">
        <v>25.7</v>
      </c>
      <c r="H1679">
        <v>3.3</v>
      </c>
      <c r="I1679">
        <v>44.2</v>
      </c>
      <c r="J1679">
        <v>16.8</v>
      </c>
      <c r="K1679">
        <v>0.8</v>
      </c>
      <c r="L1679">
        <v>2.5</v>
      </c>
      <c r="M1679">
        <v>0</v>
      </c>
      <c r="N1679">
        <v>0</v>
      </c>
      <c r="O1679" t="s">
        <v>27</v>
      </c>
      <c r="P1679" t="s">
        <v>27</v>
      </c>
      <c r="Q1679" t="s">
        <v>27</v>
      </c>
      <c r="R1679" t="s">
        <v>27</v>
      </c>
      <c r="S1679">
        <v>22.8</v>
      </c>
      <c r="T1679">
        <v>16.100000000000001</v>
      </c>
      <c r="U1679" t="s">
        <v>27</v>
      </c>
      <c r="V1679">
        <v>3.5999999999999997E-2</v>
      </c>
      <c r="W1679">
        <v>0.55500000000000005</v>
      </c>
      <c r="X1679">
        <v>2.7490000000000001</v>
      </c>
      <c r="Y1679" t="s">
        <v>27</v>
      </c>
      <c r="Z1679" t="s">
        <v>27</v>
      </c>
      <c r="AA1679" t="s">
        <v>27</v>
      </c>
      <c r="AB1679" t="s">
        <v>27</v>
      </c>
      <c r="AC1679" t="s">
        <v>27</v>
      </c>
      <c r="AD1679" t="s">
        <v>27</v>
      </c>
      <c r="AE1679" t="s">
        <v>27</v>
      </c>
      <c r="AF1679" t="s">
        <v>27</v>
      </c>
      <c r="AG1679">
        <v>29.42</v>
      </c>
    </row>
    <row r="1680" spans="1:33" x14ac:dyDescent="0.25">
      <c r="A1680" t="s">
        <v>57</v>
      </c>
      <c r="B1680" s="3">
        <v>45141</v>
      </c>
      <c r="C1680">
        <v>2023215</v>
      </c>
      <c r="D1680">
        <v>2.57</v>
      </c>
      <c r="E1680" t="s">
        <v>27</v>
      </c>
      <c r="F1680">
        <v>14.2</v>
      </c>
      <c r="G1680">
        <v>24.5</v>
      </c>
      <c r="H1680">
        <v>3.3</v>
      </c>
      <c r="I1680">
        <v>51.9</v>
      </c>
      <c r="J1680">
        <v>23.9</v>
      </c>
      <c r="K1680">
        <v>0.6</v>
      </c>
      <c r="L1680">
        <v>2.4</v>
      </c>
      <c r="M1680">
        <v>0</v>
      </c>
      <c r="N1680">
        <v>0</v>
      </c>
      <c r="O1680" t="s">
        <v>27</v>
      </c>
      <c r="P1680" t="s">
        <v>27</v>
      </c>
      <c r="Q1680" t="s">
        <v>27</v>
      </c>
      <c r="R1680" t="s">
        <v>27</v>
      </c>
      <c r="S1680">
        <v>22.6</v>
      </c>
      <c r="T1680">
        <v>16.3</v>
      </c>
      <c r="U1680" t="s">
        <v>27</v>
      </c>
      <c r="V1680">
        <v>3.5999999999999997E-2</v>
      </c>
      <c r="W1680">
        <v>0.73499999999999999</v>
      </c>
      <c r="X1680">
        <v>2.34</v>
      </c>
      <c r="Y1680" t="s">
        <v>27</v>
      </c>
      <c r="Z1680" t="s">
        <v>27</v>
      </c>
      <c r="AA1680" t="s">
        <v>27</v>
      </c>
      <c r="AB1680" t="s">
        <v>27</v>
      </c>
      <c r="AC1680" t="s">
        <v>27</v>
      </c>
      <c r="AD1680" t="s">
        <v>27</v>
      </c>
      <c r="AE1680" t="s">
        <v>27</v>
      </c>
      <c r="AF1680" t="s">
        <v>27</v>
      </c>
      <c r="AG1680">
        <v>29.25</v>
      </c>
    </row>
    <row r="1681" spans="1:33" x14ac:dyDescent="0.25">
      <c r="A1681" t="s">
        <v>57</v>
      </c>
      <c r="B1681" s="3">
        <v>45142</v>
      </c>
      <c r="C1681">
        <v>2023216</v>
      </c>
      <c r="D1681">
        <v>2.74</v>
      </c>
      <c r="E1681" t="s">
        <v>27</v>
      </c>
      <c r="F1681">
        <v>15</v>
      </c>
      <c r="G1681">
        <v>24.9</v>
      </c>
      <c r="H1681">
        <v>4.5</v>
      </c>
      <c r="I1681">
        <v>51.1</v>
      </c>
      <c r="J1681">
        <v>23.6</v>
      </c>
      <c r="K1681">
        <v>0.6</v>
      </c>
      <c r="L1681">
        <v>2.6</v>
      </c>
      <c r="M1681">
        <v>0</v>
      </c>
      <c r="N1681">
        <v>0</v>
      </c>
      <c r="O1681" t="s">
        <v>27</v>
      </c>
      <c r="P1681" t="s">
        <v>27</v>
      </c>
      <c r="Q1681" t="s">
        <v>27</v>
      </c>
      <c r="R1681" t="s">
        <v>27</v>
      </c>
      <c r="S1681">
        <v>22.5</v>
      </c>
      <c r="T1681">
        <v>16.399999999999999</v>
      </c>
      <c r="U1681" t="s">
        <v>27</v>
      </c>
      <c r="V1681">
        <v>3.5000000000000003E-2</v>
      </c>
      <c r="W1681">
        <v>0.74299999999999999</v>
      </c>
      <c r="X1681">
        <v>2.4049999999999998</v>
      </c>
      <c r="Y1681" t="s">
        <v>27</v>
      </c>
      <c r="Z1681" t="s">
        <v>27</v>
      </c>
      <c r="AA1681" t="s">
        <v>27</v>
      </c>
      <c r="AB1681" t="s">
        <v>27</v>
      </c>
      <c r="AC1681" t="s">
        <v>27</v>
      </c>
      <c r="AD1681" t="s">
        <v>27</v>
      </c>
      <c r="AE1681" t="s">
        <v>27</v>
      </c>
      <c r="AF1681" t="s">
        <v>27</v>
      </c>
      <c r="AG1681">
        <v>29.08</v>
      </c>
    </row>
    <row r="1682" spans="1:33" x14ac:dyDescent="0.25">
      <c r="A1682" t="s">
        <v>57</v>
      </c>
      <c r="B1682" s="3">
        <v>45143</v>
      </c>
      <c r="C1682">
        <v>2023217</v>
      </c>
      <c r="D1682">
        <v>2.75</v>
      </c>
      <c r="E1682" t="s">
        <v>27</v>
      </c>
      <c r="F1682">
        <v>15.8</v>
      </c>
      <c r="G1682">
        <v>26</v>
      </c>
      <c r="H1682">
        <v>4.9000000000000004</v>
      </c>
      <c r="I1682">
        <v>48.3</v>
      </c>
      <c r="J1682">
        <v>19.2</v>
      </c>
      <c r="K1682">
        <v>0.6</v>
      </c>
      <c r="L1682">
        <v>2.6</v>
      </c>
      <c r="M1682">
        <v>0</v>
      </c>
      <c r="N1682">
        <v>0</v>
      </c>
      <c r="O1682" t="s">
        <v>27</v>
      </c>
      <c r="P1682" t="s">
        <v>27</v>
      </c>
      <c r="Q1682" t="s">
        <v>27</v>
      </c>
      <c r="R1682" t="s">
        <v>27</v>
      </c>
      <c r="S1682">
        <v>22.6</v>
      </c>
      <c r="T1682">
        <v>16.399999999999999</v>
      </c>
      <c r="U1682" t="s">
        <v>27</v>
      </c>
      <c r="V1682">
        <v>3.5000000000000003E-2</v>
      </c>
      <c r="W1682">
        <v>0.64300000000000002</v>
      </c>
      <c r="X1682">
        <v>2.706</v>
      </c>
      <c r="Y1682" t="s">
        <v>27</v>
      </c>
      <c r="Z1682" t="s">
        <v>27</v>
      </c>
      <c r="AA1682" t="s">
        <v>27</v>
      </c>
      <c r="AB1682" t="s">
        <v>27</v>
      </c>
      <c r="AC1682" t="s">
        <v>27</v>
      </c>
      <c r="AD1682" t="s">
        <v>27</v>
      </c>
      <c r="AE1682" t="s">
        <v>27</v>
      </c>
      <c r="AF1682" t="s">
        <v>27</v>
      </c>
      <c r="AG1682">
        <v>28.91</v>
      </c>
    </row>
    <row r="1683" spans="1:33" x14ac:dyDescent="0.25">
      <c r="A1683" t="s">
        <v>57</v>
      </c>
      <c r="B1683" s="3">
        <v>45144</v>
      </c>
      <c r="C1683">
        <v>2023218</v>
      </c>
      <c r="D1683">
        <v>2.2400000000000002</v>
      </c>
      <c r="E1683" t="s">
        <v>27</v>
      </c>
      <c r="F1683">
        <v>15.9</v>
      </c>
      <c r="G1683">
        <v>25.8</v>
      </c>
      <c r="H1683">
        <v>7.4</v>
      </c>
      <c r="I1683">
        <v>62.6</v>
      </c>
      <c r="J1683">
        <v>21.8</v>
      </c>
      <c r="K1683">
        <v>0.3</v>
      </c>
      <c r="L1683">
        <v>2.4</v>
      </c>
      <c r="M1683">
        <v>1.4</v>
      </c>
      <c r="N1683">
        <v>0</v>
      </c>
      <c r="O1683" t="s">
        <v>27</v>
      </c>
      <c r="P1683" t="s">
        <v>27</v>
      </c>
      <c r="Q1683" t="s">
        <v>27</v>
      </c>
      <c r="R1683" t="s">
        <v>27</v>
      </c>
      <c r="S1683">
        <v>19.399999999999999</v>
      </c>
      <c r="T1683">
        <v>16.399999999999999</v>
      </c>
      <c r="U1683" t="s">
        <v>27</v>
      </c>
      <c r="V1683">
        <v>3.4000000000000002E-2</v>
      </c>
      <c r="W1683">
        <v>0.72199999999999998</v>
      </c>
      <c r="X1683">
        <v>2.59</v>
      </c>
      <c r="Y1683" t="s">
        <v>27</v>
      </c>
      <c r="Z1683" t="s">
        <v>27</v>
      </c>
      <c r="AA1683" t="s">
        <v>27</v>
      </c>
      <c r="AB1683" t="s">
        <v>27</v>
      </c>
      <c r="AC1683" t="s">
        <v>27</v>
      </c>
      <c r="AD1683" t="s">
        <v>27</v>
      </c>
      <c r="AE1683" t="s">
        <v>27</v>
      </c>
      <c r="AF1683" t="s">
        <v>27</v>
      </c>
      <c r="AG1683">
        <v>28.73</v>
      </c>
    </row>
    <row r="1684" spans="1:33" x14ac:dyDescent="0.25">
      <c r="A1684" t="s">
        <v>57</v>
      </c>
      <c r="B1684" s="3">
        <v>45145</v>
      </c>
      <c r="C1684">
        <v>2023219</v>
      </c>
      <c r="D1684">
        <v>1.46</v>
      </c>
      <c r="E1684" t="s">
        <v>27</v>
      </c>
      <c r="F1684">
        <v>14.5</v>
      </c>
      <c r="G1684">
        <v>22</v>
      </c>
      <c r="H1684">
        <v>7.6</v>
      </c>
      <c r="I1684">
        <v>72.2</v>
      </c>
      <c r="J1684">
        <v>37.299999999999997</v>
      </c>
      <c r="K1684">
        <v>0.4</v>
      </c>
      <c r="L1684">
        <v>2.1</v>
      </c>
      <c r="M1684">
        <v>1.9</v>
      </c>
      <c r="N1684">
        <v>0</v>
      </c>
      <c r="O1684" t="s">
        <v>27</v>
      </c>
      <c r="P1684" t="s">
        <v>27</v>
      </c>
      <c r="Q1684" t="s">
        <v>27</v>
      </c>
      <c r="R1684" t="s">
        <v>27</v>
      </c>
      <c r="S1684">
        <v>16.600000000000001</v>
      </c>
      <c r="T1684">
        <v>15.8</v>
      </c>
      <c r="U1684" t="s">
        <v>27</v>
      </c>
      <c r="V1684">
        <v>3.5000000000000003E-2</v>
      </c>
      <c r="W1684">
        <v>0.98699999999999999</v>
      </c>
      <c r="X1684">
        <v>1.659</v>
      </c>
      <c r="Y1684" t="s">
        <v>27</v>
      </c>
      <c r="Z1684" t="s">
        <v>27</v>
      </c>
      <c r="AA1684" t="s">
        <v>27</v>
      </c>
      <c r="AB1684" t="s">
        <v>27</v>
      </c>
      <c r="AC1684" t="s">
        <v>27</v>
      </c>
      <c r="AD1684" t="s">
        <v>27</v>
      </c>
      <c r="AE1684" t="s">
        <v>27</v>
      </c>
      <c r="AF1684" t="s">
        <v>27</v>
      </c>
      <c r="AG1684">
        <v>28.55</v>
      </c>
    </row>
    <row r="1685" spans="1:33" x14ac:dyDescent="0.25">
      <c r="A1685" t="s">
        <v>57</v>
      </c>
      <c r="B1685" s="3">
        <v>45146</v>
      </c>
      <c r="C1685">
        <v>2023220</v>
      </c>
      <c r="D1685">
        <v>1.24</v>
      </c>
      <c r="E1685" t="s">
        <v>27</v>
      </c>
      <c r="F1685">
        <v>13.8</v>
      </c>
      <c r="G1685">
        <v>20.5</v>
      </c>
      <c r="H1685">
        <v>6.5</v>
      </c>
      <c r="I1685">
        <v>71.8</v>
      </c>
      <c r="J1685">
        <v>45.1</v>
      </c>
      <c r="K1685">
        <v>0.6</v>
      </c>
      <c r="L1685">
        <v>2.2999999999999998</v>
      </c>
      <c r="M1685">
        <v>0</v>
      </c>
      <c r="N1685">
        <v>0</v>
      </c>
      <c r="O1685" t="s">
        <v>27</v>
      </c>
      <c r="P1685" t="s">
        <v>27</v>
      </c>
      <c r="Q1685" t="s">
        <v>27</v>
      </c>
      <c r="R1685" t="s">
        <v>27</v>
      </c>
      <c r="S1685">
        <v>16.899999999999999</v>
      </c>
      <c r="T1685">
        <v>15.3</v>
      </c>
      <c r="U1685" t="s">
        <v>27</v>
      </c>
      <c r="V1685">
        <v>3.5000000000000003E-2</v>
      </c>
      <c r="W1685">
        <v>1.087</v>
      </c>
      <c r="X1685">
        <v>1.323</v>
      </c>
      <c r="Y1685" t="s">
        <v>27</v>
      </c>
      <c r="Z1685" t="s">
        <v>27</v>
      </c>
      <c r="AA1685" t="s">
        <v>27</v>
      </c>
      <c r="AB1685" t="s">
        <v>27</v>
      </c>
      <c r="AC1685" t="s">
        <v>27</v>
      </c>
      <c r="AD1685" t="s">
        <v>27</v>
      </c>
      <c r="AE1685" t="s">
        <v>27</v>
      </c>
      <c r="AF1685" t="s">
        <v>27</v>
      </c>
      <c r="AG1685">
        <v>28.36</v>
      </c>
    </row>
    <row r="1686" spans="1:33" x14ac:dyDescent="0.25">
      <c r="A1686" t="s">
        <v>57</v>
      </c>
      <c r="B1686" s="3">
        <v>45147</v>
      </c>
      <c r="C1686">
        <v>2023221</v>
      </c>
      <c r="D1686">
        <v>0.56999999999999995</v>
      </c>
      <c r="E1686" t="s">
        <v>27</v>
      </c>
      <c r="F1686">
        <v>13.1</v>
      </c>
      <c r="G1686">
        <v>19.100000000000001</v>
      </c>
      <c r="H1686">
        <v>8.9</v>
      </c>
      <c r="I1686">
        <v>71.599999999999994</v>
      </c>
      <c r="J1686">
        <v>46.2</v>
      </c>
      <c r="K1686">
        <v>1</v>
      </c>
      <c r="L1686">
        <v>3.4</v>
      </c>
      <c r="M1686">
        <v>0.4</v>
      </c>
      <c r="N1686">
        <v>0</v>
      </c>
      <c r="O1686" t="s">
        <v>27</v>
      </c>
      <c r="P1686" t="s">
        <v>27</v>
      </c>
      <c r="Q1686" t="s">
        <v>27</v>
      </c>
      <c r="R1686" t="s">
        <v>27</v>
      </c>
      <c r="S1686">
        <v>15.8</v>
      </c>
      <c r="T1686">
        <v>15.3</v>
      </c>
      <c r="U1686" t="s">
        <v>27</v>
      </c>
      <c r="V1686">
        <v>3.5000000000000003E-2</v>
      </c>
      <c r="W1686">
        <v>1.0229999999999999</v>
      </c>
      <c r="X1686">
        <v>1.1910000000000001</v>
      </c>
      <c r="Y1686" t="s">
        <v>27</v>
      </c>
      <c r="Z1686" t="s">
        <v>27</v>
      </c>
      <c r="AA1686" t="s">
        <v>27</v>
      </c>
      <c r="AB1686" t="s">
        <v>27</v>
      </c>
      <c r="AC1686" t="s">
        <v>27</v>
      </c>
      <c r="AD1686" t="s">
        <v>27</v>
      </c>
      <c r="AE1686" t="s">
        <v>27</v>
      </c>
      <c r="AF1686" t="s">
        <v>27</v>
      </c>
      <c r="AG1686">
        <v>28.17</v>
      </c>
    </row>
    <row r="1687" spans="1:33" x14ac:dyDescent="0.25">
      <c r="A1687" t="s">
        <v>57</v>
      </c>
      <c r="B1687" s="3">
        <v>45148</v>
      </c>
      <c r="C1687">
        <v>2023222</v>
      </c>
      <c r="D1687">
        <v>0.98</v>
      </c>
      <c r="E1687" t="s">
        <v>27</v>
      </c>
      <c r="F1687">
        <v>11.8</v>
      </c>
      <c r="G1687">
        <v>19</v>
      </c>
      <c r="H1687">
        <v>3.3</v>
      </c>
      <c r="I1687">
        <v>67.8</v>
      </c>
      <c r="J1687">
        <v>41.6</v>
      </c>
      <c r="K1687">
        <v>0.9</v>
      </c>
      <c r="L1687">
        <v>3.2</v>
      </c>
      <c r="M1687">
        <v>0</v>
      </c>
      <c r="N1687">
        <v>0</v>
      </c>
      <c r="O1687" t="s">
        <v>27</v>
      </c>
      <c r="P1687" t="s">
        <v>27</v>
      </c>
      <c r="Q1687" t="s">
        <v>27</v>
      </c>
      <c r="R1687" t="s">
        <v>27</v>
      </c>
      <c r="S1687">
        <v>18</v>
      </c>
      <c r="T1687">
        <v>14.9</v>
      </c>
      <c r="U1687" t="s">
        <v>27</v>
      </c>
      <c r="V1687">
        <v>3.4000000000000002E-2</v>
      </c>
      <c r="W1687">
        <v>0.91400000000000003</v>
      </c>
      <c r="X1687">
        <v>1.2829999999999999</v>
      </c>
      <c r="Y1687" t="s">
        <v>27</v>
      </c>
      <c r="Z1687" t="s">
        <v>27</v>
      </c>
      <c r="AA1687" t="s">
        <v>27</v>
      </c>
      <c r="AB1687" t="s">
        <v>27</v>
      </c>
      <c r="AC1687" t="s">
        <v>27</v>
      </c>
      <c r="AD1687" t="s">
        <v>27</v>
      </c>
      <c r="AE1687" t="s">
        <v>27</v>
      </c>
      <c r="AF1687" t="s">
        <v>27</v>
      </c>
      <c r="AG1687">
        <v>27.99</v>
      </c>
    </row>
    <row r="1688" spans="1:33" x14ac:dyDescent="0.25">
      <c r="A1688" t="s">
        <v>57</v>
      </c>
      <c r="B1688" s="3">
        <v>45149</v>
      </c>
      <c r="C1688">
        <v>2023223</v>
      </c>
      <c r="D1688">
        <v>2.13</v>
      </c>
      <c r="E1688" t="s">
        <v>27</v>
      </c>
      <c r="F1688">
        <v>12.6</v>
      </c>
      <c r="G1688">
        <v>21.5</v>
      </c>
      <c r="H1688">
        <v>2.2999999999999998</v>
      </c>
      <c r="I1688">
        <v>60.1</v>
      </c>
      <c r="J1688">
        <v>25.4</v>
      </c>
      <c r="K1688">
        <v>0.8</v>
      </c>
      <c r="L1688">
        <v>3.2</v>
      </c>
      <c r="M1688">
        <v>0</v>
      </c>
      <c r="N1688">
        <v>0</v>
      </c>
      <c r="O1688" t="s">
        <v>27</v>
      </c>
      <c r="P1688" t="s">
        <v>27</v>
      </c>
      <c r="Q1688" t="s">
        <v>27</v>
      </c>
      <c r="R1688" t="s">
        <v>27</v>
      </c>
      <c r="S1688">
        <v>20</v>
      </c>
      <c r="T1688">
        <v>15</v>
      </c>
      <c r="U1688" t="s">
        <v>27</v>
      </c>
      <c r="V1688">
        <v>3.4000000000000002E-2</v>
      </c>
      <c r="W1688">
        <v>0.65300000000000002</v>
      </c>
      <c r="X1688">
        <v>1.9179999999999999</v>
      </c>
      <c r="Y1688" t="s">
        <v>27</v>
      </c>
      <c r="Z1688" t="s">
        <v>27</v>
      </c>
      <c r="AA1688" t="s">
        <v>27</v>
      </c>
      <c r="AB1688" t="s">
        <v>27</v>
      </c>
      <c r="AC1688" t="s">
        <v>27</v>
      </c>
      <c r="AD1688" t="s">
        <v>27</v>
      </c>
      <c r="AE1688" t="s">
        <v>27</v>
      </c>
      <c r="AF1688" t="s">
        <v>27</v>
      </c>
      <c r="AG1688">
        <v>27.79</v>
      </c>
    </row>
    <row r="1689" spans="1:33" x14ac:dyDescent="0.25">
      <c r="A1689" t="s">
        <v>57</v>
      </c>
      <c r="B1689" s="3">
        <v>45150</v>
      </c>
      <c r="C1689">
        <v>2023224</v>
      </c>
      <c r="D1689">
        <v>2.02</v>
      </c>
      <c r="E1689" t="s">
        <v>27</v>
      </c>
      <c r="F1689">
        <v>13.7</v>
      </c>
      <c r="G1689">
        <v>21.4</v>
      </c>
      <c r="H1689">
        <v>5.8</v>
      </c>
      <c r="I1689">
        <v>63.2</v>
      </c>
      <c r="J1689">
        <v>35.4</v>
      </c>
      <c r="K1689">
        <v>0.6</v>
      </c>
      <c r="L1689">
        <v>2.4</v>
      </c>
      <c r="M1689">
        <v>0</v>
      </c>
      <c r="N1689">
        <v>0</v>
      </c>
      <c r="O1689" t="s">
        <v>27</v>
      </c>
      <c r="P1689" t="s">
        <v>27</v>
      </c>
      <c r="Q1689" t="s">
        <v>27</v>
      </c>
      <c r="R1689" t="s">
        <v>27</v>
      </c>
      <c r="S1689">
        <v>21</v>
      </c>
      <c r="T1689">
        <v>15.6</v>
      </c>
      <c r="U1689" t="s">
        <v>27</v>
      </c>
      <c r="V1689">
        <v>3.4000000000000002E-2</v>
      </c>
      <c r="W1689">
        <v>0.90400000000000003</v>
      </c>
      <c r="X1689">
        <v>1.65</v>
      </c>
      <c r="Y1689" t="s">
        <v>27</v>
      </c>
      <c r="Z1689" t="s">
        <v>27</v>
      </c>
      <c r="AA1689" t="s">
        <v>27</v>
      </c>
      <c r="AB1689" t="s">
        <v>27</v>
      </c>
      <c r="AC1689" t="s">
        <v>27</v>
      </c>
      <c r="AD1689" t="s">
        <v>27</v>
      </c>
      <c r="AE1689" t="s">
        <v>27</v>
      </c>
      <c r="AF1689" t="s">
        <v>27</v>
      </c>
      <c r="AG1689">
        <v>27.6</v>
      </c>
    </row>
    <row r="1690" spans="1:33" x14ac:dyDescent="0.25">
      <c r="A1690" t="s">
        <v>57</v>
      </c>
      <c r="B1690" s="3">
        <v>45151</v>
      </c>
      <c r="C1690">
        <v>2023225</v>
      </c>
      <c r="D1690">
        <v>3.31</v>
      </c>
      <c r="E1690" t="s">
        <v>27</v>
      </c>
      <c r="F1690">
        <v>17.8</v>
      </c>
      <c r="G1690">
        <v>27.3</v>
      </c>
      <c r="H1690">
        <v>7.1</v>
      </c>
      <c r="I1690">
        <v>51</v>
      </c>
      <c r="J1690">
        <v>22.2</v>
      </c>
      <c r="K1690">
        <v>0.8</v>
      </c>
      <c r="L1690">
        <v>2.7</v>
      </c>
      <c r="M1690">
        <v>0</v>
      </c>
      <c r="N1690">
        <v>0</v>
      </c>
      <c r="O1690" t="s">
        <v>27</v>
      </c>
      <c r="P1690" t="s">
        <v>27</v>
      </c>
      <c r="Q1690" t="s">
        <v>27</v>
      </c>
      <c r="R1690" t="s">
        <v>27</v>
      </c>
      <c r="S1690">
        <v>23.4</v>
      </c>
      <c r="T1690">
        <v>16.100000000000001</v>
      </c>
      <c r="U1690" t="s">
        <v>27</v>
      </c>
      <c r="V1690">
        <v>3.3000000000000002E-2</v>
      </c>
      <c r="W1690">
        <v>0.80400000000000005</v>
      </c>
      <c r="X1690">
        <v>2.8180000000000001</v>
      </c>
      <c r="Y1690" t="s">
        <v>27</v>
      </c>
      <c r="Z1690" t="s">
        <v>27</v>
      </c>
      <c r="AA1690" t="s">
        <v>27</v>
      </c>
      <c r="AB1690" t="s">
        <v>27</v>
      </c>
      <c r="AC1690" t="s">
        <v>27</v>
      </c>
      <c r="AD1690" t="s">
        <v>27</v>
      </c>
      <c r="AE1690" t="s">
        <v>27</v>
      </c>
      <c r="AF1690" t="s">
        <v>27</v>
      </c>
      <c r="AG1690">
        <v>27.4</v>
      </c>
    </row>
    <row r="1691" spans="1:33" x14ac:dyDescent="0.25">
      <c r="A1691" t="s">
        <v>57</v>
      </c>
      <c r="B1691" s="3">
        <v>45152</v>
      </c>
      <c r="C1691">
        <v>2023226</v>
      </c>
      <c r="D1691">
        <v>4.0599999999999996</v>
      </c>
      <c r="E1691" t="s">
        <v>27</v>
      </c>
      <c r="F1691">
        <v>19.399999999999999</v>
      </c>
      <c r="G1691">
        <v>30.6</v>
      </c>
      <c r="H1691">
        <v>8</v>
      </c>
      <c r="I1691">
        <v>49.5</v>
      </c>
      <c r="J1691">
        <v>19.100000000000001</v>
      </c>
      <c r="K1691">
        <v>0.5</v>
      </c>
      <c r="L1691">
        <v>2.4</v>
      </c>
      <c r="M1691">
        <v>0</v>
      </c>
      <c r="N1691">
        <v>0</v>
      </c>
      <c r="O1691" t="s">
        <v>27</v>
      </c>
      <c r="P1691" t="s">
        <v>27</v>
      </c>
      <c r="Q1691" t="s">
        <v>27</v>
      </c>
      <c r="R1691" t="s">
        <v>27</v>
      </c>
      <c r="S1691">
        <v>24.6</v>
      </c>
      <c r="T1691">
        <v>16.8</v>
      </c>
      <c r="U1691" t="s">
        <v>27</v>
      </c>
      <c r="V1691">
        <v>3.3000000000000002E-2</v>
      </c>
      <c r="W1691">
        <v>0.83899999999999997</v>
      </c>
      <c r="X1691">
        <v>3.5539999999999998</v>
      </c>
      <c r="Y1691" t="s">
        <v>27</v>
      </c>
      <c r="Z1691" t="s">
        <v>27</v>
      </c>
      <c r="AA1691" t="s">
        <v>27</v>
      </c>
      <c r="AB1691" t="s">
        <v>27</v>
      </c>
      <c r="AC1691" t="s">
        <v>27</v>
      </c>
      <c r="AD1691" t="s">
        <v>27</v>
      </c>
      <c r="AE1691" t="s">
        <v>27</v>
      </c>
      <c r="AF1691" t="s">
        <v>27</v>
      </c>
      <c r="AG1691">
        <v>27.2</v>
      </c>
    </row>
    <row r="1692" spans="1:33" x14ac:dyDescent="0.25">
      <c r="A1692" t="s">
        <v>57</v>
      </c>
      <c r="B1692" s="3">
        <v>45153</v>
      </c>
      <c r="C1692">
        <v>2023227</v>
      </c>
      <c r="D1692">
        <v>4.38</v>
      </c>
      <c r="E1692" t="s">
        <v>27</v>
      </c>
      <c r="F1692">
        <v>22.4</v>
      </c>
      <c r="G1692">
        <v>32.4</v>
      </c>
      <c r="H1692">
        <v>9.6999999999999993</v>
      </c>
      <c r="I1692">
        <v>39.700000000000003</v>
      </c>
      <c r="J1692">
        <v>17.899999999999999</v>
      </c>
      <c r="K1692">
        <v>1</v>
      </c>
      <c r="L1692">
        <v>3.3</v>
      </c>
      <c r="M1692">
        <v>0</v>
      </c>
      <c r="N1692">
        <v>0</v>
      </c>
      <c r="O1692" t="s">
        <v>27</v>
      </c>
      <c r="P1692" t="s">
        <v>27</v>
      </c>
      <c r="Q1692" t="s">
        <v>27</v>
      </c>
      <c r="R1692" t="s">
        <v>27</v>
      </c>
      <c r="S1692">
        <v>25.6</v>
      </c>
      <c r="T1692">
        <v>17.399999999999999</v>
      </c>
      <c r="U1692" t="s">
        <v>27</v>
      </c>
      <c r="V1692">
        <v>3.3000000000000002E-2</v>
      </c>
      <c r="W1692">
        <v>0.871</v>
      </c>
      <c r="X1692">
        <v>3.9950000000000001</v>
      </c>
      <c r="Y1692" t="s">
        <v>27</v>
      </c>
      <c r="Z1692" t="s">
        <v>27</v>
      </c>
      <c r="AA1692" t="s">
        <v>27</v>
      </c>
      <c r="AB1692" t="s">
        <v>27</v>
      </c>
      <c r="AC1692" t="s">
        <v>27</v>
      </c>
      <c r="AD1692" t="s">
        <v>27</v>
      </c>
      <c r="AE1692" t="s">
        <v>27</v>
      </c>
      <c r="AF1692" t="s">
        <v>27</v>
      </c>
      <c r="AG1692">
        <v>26.99</v>
      </c>
    </row>
    <row r="1693" spans="1:33" x14ac:dyDescent="0.25">
      <c r="A1693" t="s">
        <v>57</v>
      </c>
      <c r="B1693" s="3">
        <v>45154</v>
      </c>
      <c r="C1693">
        <v>2023228</v>
      </c>
      <c r="D1693">
        <v>3.02</v>
      </c>
      <c r="E1693" t="s">
        <v>27</v>
      </c>
      <c r="F1693">
        <v>20</v>
      </c>
      <c r="G1693">
        <v>27.3</v>
      </c>
      <c r="H1693">
        <v>10.6</v>
      </c>
      <c r="I1693">
        <v>42.4</v>
      </c>
      <c r="J1693">
        <v>23.4</v>
      </c>
      <c r="K1693">
        <v>0.7</v>
      </c>
      <c r="L1693">
        <v>2.5</v>
      </c>
      <c r="M1693">
        <v>0</v>
      </c>
      <c r="N1693">
        <v>0</v>
      </c>
      <c r="O1693" t="s">
        <v>27</v>
      </c>
      <c r="P1693" t="s">
        <v>27</v>
      </c>
      <c r="Q1693" t="s">
        <v>27</v>
      </c>
      <c r="R1693" t="s">
        <v>27</v>
      </c>
      <c r="S1693">
        <v>24.7</v>
      </c>
      <c r="T1693">
        <v>17.899999999999999</v>
      </c>
      <c r="U1693" t="s">
        <v>27</v>
      </c>
      <c r="V1693">
        <v>3.3000000000000002E-2</v>
      </c>
      <c r="W1693">
        <v>0.84699999999999998</v>
      </c>
      <c r="X1693">
        <v>2.7730000000000001</v>
      </c>
      <c r="Y1693" t="s">
        <v>27</v>
      </c>
      <c r="Z1693" t="s">
        <v>27</v>
      </c>
      <c r="AA1693" t="s">
        <v>27</v>
      </c>
      <c r="AB1693" t="s">
        <v>27</v>
      </c>
      <c r="AC1693" t="s">
        <v>27</v>
      </c>
      <c r="AD1693" t="s">
        <v>27</v>
      </c>
      <c r="AE1693" t="s">
        <v>27</v>
      </c>
      <c r="AF1693" t="s">
        <v>27</v>
      </c>
      <c r="AG1693">
        <v>26.79</v>
      </c>
    </row>
    <row r="1694" spans="1:33" x14ac:dyDescent="0.25">
      <c r="A1694" t="s">
        <v>57</v>
      </c>
      <c r="B1694" s="3">
        <v>45155</v>
      </c>
      <c r="C1694">
        <v>2023229</v>
      </c>
      <c r="D1694">
        <v>3.33</v>
      </c>
      <c r="E1694" t="s">
        <v>27</v>
      </c>
      <c r="F1694">
        <v>19.8</v>
      </c>
      <c r="G1694">
        <v>29</v>
      </c>
      <c r="H1694">
        <v>8.5</v>
      </c>
      <c r="I1694">
        <v>45.9</v>
      </c>
      <c r="J1694">
        <v>22.4</v>
      </c>
      <c r="K1694">
        <v>1.2</v>
      </c>
      <c r="L1694">
        <v>4.0999999999999996</v>
      </c>
      <c r="M1694">
        <v>0</v>
      </c>
      <c r="N1694">
        <v>0</v>
      </c>
      <c r="O1694" t="s">
        <v>27</v>
      </c>
      <c r="P1694" t="s">
        <v>27</v>
      </c>
      <c r="Q1694" t="s">
        <v>27</v>
      </c>
      <c r="R1694" t="s">
        <v>27</v>
      </c>
      <c r="S1694">
        <v>24.1</v>
      </c>
      <c r="T1694">
        <v>17.5</v>
      </c>
      <c r="U1694" t="s">
        <v>27</v>
      </c>
      <c r="V1694">
        <v>3.2000000000000001E-2</v>
      </c>
      <c r="W1694">
        <v>0.89600000000000002</v>
      </c>
      <c r="X1694">
        <v>3.1040000000000001</v>
      </c>
      <c r="Y1694" t="s">
        <v>27</v>
      </c>
      <c r="Z1694" t="s">
        <v>27</v>
      </c>
      <c r="AA1694" t="s">
        <v>27</v>
      </c>
      <c r="AB1694" t="s">
        <v>27</v>
      </c>
      <c r="AC1694" t="s">
        <v>27</v>
      </c>
      <c r="AD1694" t="s">
        <v>27</v>
      </c>
      <c r="AE1694" t="s">
        <v>27</v>
      </c>
      <c r="AF1694" t="s">
        <v>27</v>
      </c>
      <c r="AG1694">
        <v>26.58</v>
      </c>
    </row>
    <row r="1695" spans="1:33" x14ac:dyDescent="0.25">
      <c r="A1695" t="s">
        <v>57</v>
      </c>
      <c r="B1695" s="3">
        <v>45156</v>
      </c>
      <c r="C1695">
        <v>2023230</v>
      </c>
      <c r="D1695">
        <v>0.83</v>
      </c>
      <c r="E1695" t="s">
        <v>27</v>
      </c>
      <c r="F1695">
        <v>13.3</v>
      </c>
      <c r="G1695">
        <v>18.600000000000001</v>
      </c>
      <c r="H1695">
        <v>3.5</v>
      </c>
      <c r="I1695">
        <v>41.7</v>
      </c>
      <c r="J1695">
        <v>15.4</v>
      </c>
      <c r="K1695">
        <v>1.4</v>
      </c>
      <c r="L1695">
        <v>5.7</v>
      </c>
      <c r="M1695">
        <v>0</v>
      </c>
      <c r="N1695">
        <v>0</v>
      </c>
      <c r="O1695" t="s">
        <v>27</v>
      </c>
      <c r="P1695" t="s">
        <v>27</v>
      </c>
      <c r="Q1695" t="s">
        <v>27</v>
      </c>
      <c r="R1695" t="s">
        <v>27</v>
      </c>
      <c r="S1695">
        <v>19.100000000000001</v>
      </c>
      <c r="T1695">
        <v>17.100000000000001</v>
      </c>
      <c r="U1695" t="s">
        <v>27</v>
      </c>
      <c r="V1695">
        <v>3.2000000000000001E-2</v>
      </c>
      <c r="W1695">
        <v>0.33</v>
      </c>
      <c r="X1695">
        <v>1.8129999999999999</v>
      </c>
      <c r="Y1695" t="s">
        <v>27</v>
      </c>
      <c r="Z1695" t="s">
        <v>27</v>
      </c>
      <c r="AA1695" t="s">
        <v>27</v>
      </c>
      <c r="AB1695" t="s">
        <v>27</v>
      </c>
      <c r="AC1695" t="s">
        <v>27</v>
      </c>
      <c r="AD1695" t="s">
        <v>27</v>
      </c>
      <c r="AE1695" t="s">
        <v>27</v>
      </c>
      <c r="AF1695" t="s">
        <v>27</v>
      </c>
      <c r="AG1695">
        <v>26.37</v>
      </c>
    </row>
    <row r="1696" spans="1:33" x14ac:dyDescent="0.25">
      <c r="A1696" t="s">
        <v>57</v>
      </c>
      <c r="B1696" s="3">
        <v>45157</v>
      </c>
      <c r="C1696">
        <v>2023231</v>
      </c>
      <c r="D1696">
        <v>0.68</v>
      </c>
      <c r="E1696" t="s">
        <v>27</v>
      </c>
      <c r="F1696">
        <v>8.1999999999999993</v>
      </c>
      <c r="G1696">
        <v>16.5</v>
      </c>
      <c r="H1696">
        <v>-0.9</v>
      </c>
      <c r="I1696">
        <v>53.8</v>
      </c>
      <c r="J1696">
        <v>25.1</v>
      </c>
      <c r="K1696">
        <v>0.7</v>
      </c>
      <c r="L1696">
        <v>2.2999999999999998</v>
      </c>
      <c r="M1696">
        <v>0</v>
      </c>
      <c r="N1696">
        <v>0</v>
      </c>
      <c r="O1696" t="s">
        <v>27</v>
      </c>
      <c r="P1696" t="s">
        <v>27</v>
      </c>
      <c r="Q1696" t="s">
        <v>27</v>
      </c>
      <c r="R1696" t="s">
        <v>27</v>
      </c>
      <c r="S1696">
        <v>14.3</v>
      </c>
      <c r="T1696">
        <v>15</v>
      </c>
      <c r="U1696" t="s">
        <v>27</v>
      </c>
      <c r="V1696">
        <v>3.1E-2</v>
      </c>
      <c r="W1696">
        <v>0.47199999999999998</v>
      </c>
      <c r="X1696">
        <v>1.4079999999999999</v>
      </c>
      <c r="Y1696" t="s">
        <v>27</v>
      </c>
      <c r="Z1696" t="s">
        <v>27</v>
      </c>
      <c r="AA1696" t="s">
        <v>27</v>
      </c>
      <c r="AB1696" t="s">
        <v>27</v>
      </c>
      <c r="AC1696" t="s">
        <v>27</v>
      </c>
      <c r="AD1696" t="s">
        <v>27</v>
      </c>
      <c r="AE1696" t="s">
        <v>27</v>
      </c>
      <c r="AF1696" t="s">
        <v>27</v>
      </c>
      <c r="AG1696">
        <v>26.15</v>
      </c>
    </row>
    <row r="1697" spans="1:33" x14ac:dyDescent="0.25">
      <c r="A1697" t="s">
        <v>57</v>
      </c>
      <c r="B1697" s="3">
        <v>45158</v>
      </c>
      <c r="C1697">
        <v>2023232</v>
      </c>
      <c r="D1697">
        <v>1.36</v>
      </c>
      <c r="E1697" t="s">
        <v>27</v>
      </c>
      <c r="F1697">
        <v>10.9</v>
      </c>
      <c r="G1697">
        <v>20.3</v>
      </c>
      <c r="H1697">
        <v>1.8</v>
      </c>
      <c r="I1697">
        <v>51.6</v>
      </c>
      <c r="J1697">
        <v>23</v>
      </c>
      <c r="K1697">
        <v>0.7</v>
      </c>
      <c r="L1697">
        <v>2.4</v>
      </c>
      <c r="M1697">
        <v>0</v>
      </c>
      <c r="N1697">
        <v>0</v>
      </c>
      <c r="O1697" t="s">
        <v>27</v>
      </c>
      <c r="P1697" t="s">
        <v>27</v>
      </c>
      <c r="Q1697" t="s">
        <v>27</v>
      </c>
      <c r="R1697" t="s">
        <v>27</v>
      </c>
      <c r="S1697">
        <v>15.9</v>
      </c>
      <c r="T1697">
        <v>14.4</v>
      </c>
      <c r="U1697" t="s">
        <v>27</v>
      </c>
      <c r="V1697">
        <v>3.1E-2</v>
      </c>
      <c r="W1697">
        <v>0.54600000000000004</v>
      </c>
      <c r="X1697">
        <v>1.8280000000000001</v>
      </c>
      <c r="Y1697" t="s">
        <v>27</v>
      </c>
      <c r="Z1697" t="s">
        <v>27</v>
      </c>
      <c r="AA1697" t="s">
        <v>27</v>
      </c>
      <c r="AB1697" t="s">
        <v>27</v>
      </c>
      <c r="AC1697" t="s">
        <v>27</v>
      </c>
      <c r="AD1697" t="s">
        <v>27</v>
      </c>
      <c r="AE1697" t="s">
        <v>27</v>
      </c>
      <c r="AF1697" t="s">
        <v>27</v>
      </c>
      <c r="AG1697">
        <v>25.94</v>
      </c>
    </row>
    <row r="1698" spans="1:33" x14ac:dyDescent="0.25">
      <c r="A1698" t="s">
        <v>57</v>
      </c>
      <c r="B1698" s="3">
        <v>45159</v>
      </c>
      <c r="C1698">
        <v>2023233</v>
      </c>
      <c r="D1698">
        <v>1.86</v>
      </c>
      <c r="E1698" t="s">
        <v>27</v>
      </c>
      <c r="F1698">
        <v>14.3</v>
      </c>
      <c r="G1698">
        <v>23.6</v>
      </c>
      <c r="H1698">
        <v>2.9</v>
      </c>
      <c r="I1698">
        <v>54.3</v>
      </c>
      <c r="J1698">
        <v>31.1</v>
      </c>
      <c r="K1698">
        <v>0.8</v>
      </c>
      <c r="L1698">
        <v>2.5</v>
      </c>
      <c r="M1698">
        <v>0</v>
      </c>
      <c r="N1698">
        <v>0</v>
      </c>
      <c r="O1698" t="s">
        <v>27</v>
      </c>
      <c r="P1698" t="s">
        <v>27</v>
      </c>
      <c r="Q1698" t="s">
        <v>27</v>
      </c>
      <c r="R1698" t="s">
        <v>27</v>
      </c>
      <c r="S1698">
        <v>18</v>
      </c>
      <c r="T1698">
        <v>14.5</v>
      </c>
      <c r="U1698" t="s">
        <v>27</v>
      </c>
      <c r="V1698">
        <v>3.1E-2</v>
      </c>
      <c r="W1698">
        <v>0.90700000000000003</v>
      </c>
      <c r="X1698">
        <v>2.0089999999999999</v>
      </c>
      <c r="Y1698" t="s">
        <v>27</v>
      </c>
      <c r="Z1698" t="s">
        <v>27</v>
      </c>
      <c r="AA1698" t="s">
        <v>27</v>
      </c>
      <c r="AB1698" t="s">
        <v>27</v>
      </c>
      <c r="AC1698" t="s">
        <v>27</v>
      </c>
      <c r="AD1698" t="s">
        <v>27</v>
      </c>
      <c r="AE1698" t="s">
        <v>27</v>
      </c>
      <c r="AF1698" t="s">
        <v>27</v>
      </c>
      <c r="AG1698">
        <v>25.72</v>
      </c>
    </row>
    <row r="1699" spans="1:33" x14ac:dyDescent="0.25">
      <c r="A1699" t="s">
        <v>57</v>
      </c>
      <c r="B1699" s="3">
        <v>45160</v>
      </c>
      <c r="C1699">
        <v>2023234</v>
      </c>
      <c r="D1699">
        <v>0.22</v>
      </c>
      <c r="E1699" t="s">
        <v>27</v>
      </c>
      <c r="F1699">
        <v>13</v>
      </c>
      <c r="G1699">
        <v>17.399999999999999</v>
      </c>
      <c r="H1699">
        <v>7.5</v>
      </c>
      <c r="I1699">
        <v>78.099999999999994</v>
      </c>
      <c r="J1699">
        <v>56.4</v>
      </c>
      <c r="K1699">
        <v>0.6</v>
      </c>
      <c r="L1699">
        <v>2</v>
      </c>
      <c r="M1699">
        <v>0.4</v>
      </c>
      <c r="N1699">
        <v>0</v>
      </c>
      <c r="O1699" t="s">
        <v>27</v>
      </c>
      <c r="P1699" t="s">
        <v>27</v>
      </c>
      <c r="Q1699" t="s">
        <v>27</v>
      </c>
      <c r="R1699" t="s">
        <v>27</v>
      </c>
      <c r="S1699">
        <v>15</v>
      </c>
      <c r="T1699">
        <v>14.9</v>
      </c>
      <c r="U1699" t="s">
        <v>27</v>
      </c>
      <c r="V1699">
        <v>3.1E-2</v>
      </c>
      <c r="W1699">
        <v>1.1180000000000001</v>
      </c>
      <c r="X1699">
        <v>0.86399999999999999</v>
      </c>
      <c r="Y1699" t="s">
        <v>27</v>
      </c>
      <c r="Z1699" t="s">
        <v>27</v>
      </c>
      <c r="AA1699" t="s">
        <v>27</v>
      </c>
      <c r="AB1699" t="s">
        <v>27</v>
      </c>
      <c r="AC1699" t="s">
        <v>27</v>
      </c>
      <c r="AD1699" t="s">
        <v>27</v>
      </c>
      <c r="AE1699" t="s">
        <v>27</v>
      </c>
      <c r="AF1699" t="s">
        <v>27</v>
      </c>
      <c r="AG1699">
        <v>25.5</v>
      </c>
    </row>
    <row r="1700" spans="1:33" x14ac:dyDescent="0.25">
      <c r="A1700" t="s">
        <v>57</v>
      </c>
      <c r="B1700" s="3">
        <v>45161</v>
      </c>
      <c r="C1700">
        <v>2023235</v>
      </c>
      <c r="D1700">
        <v>0.05</v>
      </c>
      <c r="E1700" t="s">
        <v>27</v>
      </c>
      <c r="F1700">
        <v>7.7</v>
      </c>
      <c r="G1700">
        <v>13.4</v>
      </c>
      <c r="H1700">
        <v>2.2000000000000002</v>
      </c>
      <c r="I1700">
        <v>77.7</v>
      </c>
      <c r="J1700">
        <v>46.6</v>
      </c>
      <c r="K1700">
        <v>0.9</v>
      </c>
      <c r="L1700">
        <v>3.2</v>
      </c>
      <c r="M1700">
        <v>5.3</v>
      </c>
      <c r="N1700">
        <v>0</v>
      </c>
      <c r="O1700" t="s">
        <v>27</v>
      </c>
      <c r="P1700" t="s">
        <v>27</v>
      </c>
      <c r="Q1700" t="s">
        <v>27</v>
      </c>
      <c r="R1700" t="s">
        <v>27</v>
      </c>
      <c r="S1700">
        <v>10.7</v>
      </c>
      <c r="T1700">
        <v>13.5</v>
      </c>
      <c r="U1700" t="s">
        <v>27</v>
      </c>
      <c r="V1700">
        <v>3.2000000000000001E-2</v>
      </c>
      <c r="W1700">
        <v>0.71799999999999997</v>
      </c>
      <c r="X1700">
        <v>0.82299999999999995</v>
      </c>
      <c r="Y1700" t="s">
        <v>27</v>
      </c>
      <c r="Z1700" t="s">
        <v>27</v>
      </c>
      <c r="AA1700" t="s">
        <v>27</v>
      </c>
      <c r="AB1700" t="s">
        <v>27</v>
      </c>
      <c r="AC1700" t="s">
        <v>27</v>
      </c>
      <c r="AD1700" t="s">
        <v>27</v>
      </c>
      <c r="AE1700" t="s">
        <v>27</v>
      </c>
      <c r="AF1700" t="s">
        <v>27</v>
      </c>
      <c r="AG1700">
        <v>25.27</v>
      </c>
    </row>
    <row r="1701" spans="1:33" x14ac:dyDescent="0.25">
      <c r="A1701" t="s">
        <v>57</v>
      </c>
      <c r="B1701" s="3">
        <v>45162</v>
      </c>
      <c r="C1701">
        <v>2023236</v>
      </c>
      <c r="D1701">
        <v>0.53</v>
      </c>
      <c r="E1701" t="s">
        <v>27</v>
      </c>
      <c r="F1701">
        <v>9.6</v>
      </c>
      <c r="G1701">
        <v>16.7</v>
      </c>
      <c r="H1701">
        <v>3.4</v>
      </c>
      <c r="I1701">
        <v>75.2</v>
      </c>
      <c r="J1701">
        <v>50.2</v>
      </c>
      <c r="K1701">
        <v>0.6</v>
      </c>
      <c r="L1701">
        <v>2</v>
      </c>
      <c r="M1701">
        <v>0</v>
      </c>
      <c r="N1701">
        <v>0</v>
      </c>
      <c r="O1701" t="s">
        <v>27</v>
      </c>
      <c r="P1701" t="s">
        <v>27</v>
      </c>
      <c r="Q1701" t="s">
        <v>27</v>
      </c>
      <c r="R1701" t="s">
        <v>27</v>
      </c>
      <c r="S1701">
        <v>12.2</v>
      </c>
      <c r="T1701">
        <v>12.8</v>
      </c>
      <c r="U1701" t="s">
        <v>27</v>
      </c>
      <c r="V1701">
        <v>3.2000000000000001E-2</v>
      </c>
      <c r="W1701">
        <v>0.95199999999999996</v>
      </c>
      <c r="X1701">
        <v>0.94399999999999995</v>
      </c>
      <c r="Y1701" t="s">
        <v>27</v>
      </c>
      <c r="Z1701" t="s">
        <v>27</v>
      </c>
      <c r="AA1701" t="s">
        <v>27</v>
      </c>
      <c r="AB1701" t="s">
        <v>27</v>
      </c>
      <c r="AC1701" t="s">
        <v>27</v>
      </c>
      <c r="AD1701" t="s">
        <v>27</v>
      </c>
      <c r="AE1701" t="s">
        <v>27</v>
      </c>
      <c r="AF1701" t="s">
        <v>27</v>
      </c>
      <c r="AG1701">
        <v>25.04</v>
      </c>
    </row>
    <row r="1702" spans="1:33" x14ac:dyDescent="0.25">
      <c r="A1702" t="s">
        <v>57</v>
      </c>
      <c r="B1702" s="3">
        <v>45163</v>
      </c>
      <c r="C1702">
        <v>2023237</v>
      </c>
      <c r="D1702">
        <v>1.62</v>
      </c>
      <c r="E1702" t="s">
        <v>27</v>
      </c>
      <c r="F1702">
        <v>11.2</v>
      </c>
      <c r="G1702">
        <v>21.2</v>
      </c>
      <c r="H1702">
        <v>2.4</v>
      </c>
      <c r="I1702">
        <v>70.400000000000006</v>
      </c>
      <c r="J1702">
        <v>35.9</v>
      </c>
      <c r="K1702">
        <v>0.4</v>
      </c>
      <c r="L1702">
        <v>2.2000000000000002</v>
      </c>
      <c r="M1702">
        <v>0</v>
      </c>
      <c r="N1702">
        <v>0</v>
      </c>
      <c r="O1702" t="s">
        <v>27</v>
      </c>
      <c r="P1702" t="s">
        <v>27</v>
      </c>
      <c r="Q1702" t="s">
        <v>27</v>
      </c>
      <c r="R1702" t="s">
        <v>27</v>
      </c>
      <c r="S1702">
        <v>13.7</v>
      </c>
      <c r="T1702">
        <v>12.9</v>
      </c>
      <c r="U1702" t="s">
        <v>27</v>
      </c>
      <c r="V1702">
        <v>3.2000000000000001E-2</v>
      </c>
      <c r="W1702">
        <v>0.90400000000000003</v>
      </c>
      <c r="X1702">
        <v>1.6140000000000001</v>
      </c>
      <c r="Y1702" t="s">
        <v>27</v>
      </c>
      <c r="Z1702" t="s">
        <v>27</v>
      </c>
      <c r="AA1702" t="s">
        <v>27</v>
      </c>
      <c r="AB1702" t="s">
        <v>27</v>
      </c>
      <c r="AC1702" t="s">
        <v>27</v>
      </c>
      <c r="AD1702" t="s">
        <v>27</v>
      </c>
      <c r="AE1702" t="s">
        <v>27</v>
      </c>
      <c r="AF1702" t="s">
        <v>27</v>
      </c>
      <c r="AG1702">
        <v>24.82</v>
      </c>
    </row>
    <row r="1703" spans="1:33" x14ac:dyDescent="0.25">
      <c r="A1703" t="s">
        <v>57</v>
      </c>
      <c r="B1703" s="3">
        <v>45164</v>
      </c>
      <c r="C1703">
        <v>2023238</v>
      </c>
      <c r="D1703">
        <v>2.81</v>
      </c>
      <c r="E1703" t="s">
        <v>27</v>
      </c>
      <c r="F1703">
        <v>13.9</v>
      </c>
      <c r="G1703">
        <v>25</v>
      </c>
      <c r="H1703">
        <v>3.6</v>
      </c>
      <c r="I1703">
        <v>60.1</v>
      </c>
      <c r="J1703">
        <v>20.2</v>
      </c>
      <c r="K1703">
        <v>0.5</v>
      </c>
      <c r="L1703">
        <v>3.2</v>
      </c>
      <c r="M1703">
        <v>0</v>
      </c>
      <c r="N1703">
        <v>0</v>
      </c>
      <c r="O1703" t="s">
        <v>27</v>
      </c>
      <c r="P1703" t="s">
        <v>27</v>
      </c>
      <c r="Q1703" t="s">
        <v>27</v>
      </c>
      <c r="R1703" t="s">
        <v>27</v>
      </c>
      <c r="S1703">
        <v>17.899999999999999</v>
      </c>
      <c r="T1703">
        <v>13.8</v>
      </c>
      <c r="U1703" t="s">
        <v>27</v>
      </c>
      <c r="V1703">
        <v>3.2000000000000001E-2</v>
      </c>
      <c r="W1703">
        <v>0.63900000000000001</v>
      </c>
      <c r="X1703">
        <v>2.524</v>
      </c>
      <c r="Y1703" t="s">
        <v>27</v>
      </c>
      <c r="Z1703" t="s">
        <v>27</v>
      </c>
      <c r="AA1703" t="s">
        <v>27</v>
      </c>
      <c r="AB1703" t="s">
        <v>27</v>
      </c>
      <c r="AC1703" t="s">
        <v>27</v>
      </c>
      <c r="AD1703" t="s">
        <v>27</v>
      </c>
      <c r="AE1703" t="s">
        <v>27</v>
      </c>
      <c r="AF1703" t="s">
        <v>27</v>
      </c>
      <c r="AG1703">
        <v>24.59</v>
      </c>
    </row>
    <row r="1704" spans="1:33" x14ac:dyDescent="0.25">
      <c r="A1704" t="s">
        <v>57</v>
      </c>
      <c r="B1704" s="3">
        <v>45165</v>
      </c>
      <c r="C1704">
        <v>2023239</v>
      </c>
      <c r="D1704">
        <v>3.39</v>
      </c>
      <c r="E1704" t="s">
        <v>27</v>
      </c>
      <c r="F1704">
        <v>16.5</v>
      </c>
      <c r="G1704">
        <v>27.8</v>
      </c>
      <c r="H1704">
        <v>5</v>
      </c>
      <c r="I1704">
        <v>53.5</v>
      </c>
      <c r="J1704">
        <v>22.4</v>
      </c>
      <c r="K1704">
        <v>0.5</v>
      </c>
      <c r="L1704">
        <v>2.4</v>
      </c>
      <c r="M1704">
        <v>0</v>
      </c>
      <c r="N1704">
        <v>0</v>
      </c>
      <c r="O1704" t="s">
        <v>27</v>
      </c>
      <c r="P1704" t="s">
        <v>27</v>
      </c>
      <c r="Q1704" t="s">
        <v>27</v>
      </c>
      <c r="R1704" t="s">
        <v>27</v>
      </c>
      <c r="S1704">
        <v>19.899999999999999</v>
      </c>
      <c r="T1704">
        <v>14.7</v>
      </c>
      <c r="U1704" t="s">
        <v>27</v>
      </c>
      <c r="V1704">
        <v>3.2000000000000001E-2</v>
      </c>
      <c r="W1704">
        <v>0.83499999999999996</v>
      </c>
      <c r="X1704">
        <v>2.8929999999999998</v>
      </c>
      <c r="Y1704" t="s">
        <v>27</v>
      </c>
      <c r="Z1704" t="s">
        <v>27</v>
      </c>
      <c r="AA1704" t="s">
        <v>27</v>
      </c>
      <c r="AB1704" t="s">
        <v>27</v>
      </c>
      <c r="AC1704" t="s">
        <v>27</v>
      </c>
      <c r="AD1704" t="s">
        <v>27</v>
      </c>
      <c r="AE1704" t="s">
        <v>27</v>
      </c>
      <c r="AF1704" t="s">
        <v>27</v>
      </c>
      <c r="AG1704">
        <v>24.36</v>
      </c>
    </row>
    <row r="1705" spans="1:33" x14ac:dyDescent="0.25">
      <c r="A1705" t="s">
        <v>57</v>
      </c>
      <c r="B1705" s="3">
        <v>45166</v>
      </c>
      <c r="C1705">
        <v>2023240</v>
      </c>
      <c r="D1705">
        <v>3.38</v>
      </c>
      <c r="E1705" t="s">
        <v>27</v>
      </c>
      <c r="F1705">
        <v>17.2</v>
      </c>
      <c r="G1705">
        <v>28.2</v>
      </c>
      <c r="H1705">
        <v>6.5</v>
      </c>
      <c r="I1705">
        <v>50</v>
      </c>
      <c r="J1705">
        <v>21</v>
      </c>
      <c r="K1705">
        <v>0.5</v>
      </c>
      <c r="L1705">
        <v>2.6</v>
      </c>
      <c r="M1705">
        <v>0</v>
      </c>
      <c r="N1705">
        <v>0</v>
      </c>
      <c r="O1705" t="s">
        <v>27</v>
      </c>
      <c r="P1705" t="s">
        <v>27</v>
      </c>
      <c r="Q1705" t="s">
        <v>27</v>
      </c>
      <c r="R1705" t="s">
        <v>27</v>
      </c>
      <c r="S1705">
        <v>20.5</v>
      </c>
      <c r="T1705">
        <v>15.3</v>
      </c>
      <c r="U1705" t="s">
        <v>27</v>
      </c>
      <c r="V1705">
        <v>3.2000000000000001E-2</v>
      </c>
      <c r="W1705">
        <v>0.80500000000000005</v>
      </c>
      <c r="X1705">
        <v>3.028</v>
      </c>
      <c r="Y1705" t="s">
        <v>27</v>
      </c>
      <c r="Z1705" t="s">
        <v>27</v>
      </c>
      <c r="AA1705" t="s">
        <v>27</v>
      </c>
      <c r="AB1705" t="s">
        <v>27</v>
      </c>
      <c r="AC1705" t="s">
        <v>27</v>
      </c>
      <c r="AD1705" t="s">
        <v>27</v>
      </c>
      <c r="AE1705" t="s">
        <v>27</v>
      </c>
      <c r="AF1705" t="s">
        <v>27</v>
      </c>
      <c r="AG1705">
        <v>24.12</v>
      </c>
    </row>
    <row r="1706" spans="1:33" x14ac:dyDescent="0.25">
      <c r="A1706" t="s">
        <v>57</v>
      </c>
      <c r="B1706" s="3">
        <v>45167</v>
      </c>
      <c r="C1706">
        <v>2023241</v>
      </c>
      <c r="D1706">
        <v>0.34</v>
      </c>
      <c r="E1706" t="s">
        <v>27</v>
      </c>
      <c r="F1706">
        <v>12.8</v>
      </c>
      <c r="G1706">
        <v>19.2</v>
      </c>
      <c r="H1706">
        <v>7.4</v>
      </c>
      <c r="I1706">
        <v>69.5</v>
      </c>
      <c r="J1706">
        <v>37.9</v>
      </c>
      <c r="K1706">
        <v>0.5</v>
      </c>
      <c r="L1706">
        <v>3.2</v>
      </c>
      <c r="M1706">
        <v>0.8</v>
      </c>
      <c r="N1706">
        <v>0</v>
      </c>
      <c r="O1706" t="s">
        <v>27</v>
      </c>
      <c r="P1706" t="s">
        <v>27</v>
      </c>
      <c r="Q1706" t="s">
        <v>27</v>
      </c>
      <c r="R1706" t="s">
        <v>27</v>
      </c>
      <c r="S1706">
        <v>12.4</v>
      </c>
      <c r="T1706">
        <v>14.2</v>
      </c>
      <c r="U1706" t="s">
        <v>27</v>
      </c>
      <c r="V1706">
        <v>3.2000000000000001E-2</v>
      </c>
      <c r="W1706">
        <v>0.84299999999999997</v>
      </c>
      <c r="X1706">
        <v>1.381</v>
      </c>
      <c r="Y1706" t="s">
        <v>27</v>
      </c>
      <c r="Z1706" t="s">
        <v>27</v>
      </c>
      <c r="AA1706" t="s">
        <v>27</v>
      </c>
      <c r="AB1706" t="s">
        <v>27</v>
      </c>
      <c r="AC1706" t="s">
        <v>27</v>
      </c>
      <c r="AD1706" t="s">
        <v>27</v>
      </c>
      <c r="AE1706" t="s">
        <v>27</v>
      </c>
      <c r="AF1706" t="s">
        <v>27</v>
      </c>
      <c r="AG1706">
        <v>23.89</v>
      </c>
    </row>
    <row r="1707" spans="1:33" x14ac:dyDescent="0.25">
      <c r="A1707" t="s">
        <v>57</v>
      </c>
      <c r="B1707" s="3">
        <v>45168</v>
      </c>
      <c r="C1707">
        <v>2023242</v>
      </c>
      <c r="D1707">
        <v>0</v>
      </c>
      <c r="E1707" t="s">
        <v>27</v>
      </c>
      <c r="F1707">
        <v>9.3000000000000007</v>
      </c>
      <c r="G1707">
        <v>11.3</v>
      </c>
      <c r="H1707">
        <v>5.4</v>
      </c>
      <c r="I1707">
        <v>89.6</v>
      </c>
      <c r="J1707">
        <v>77.2</v>
      </c>
      <c r="K1707">
        <v>1.3</v>
      </c>
      <c r="L1707">
        <v>3</v>
      </c>
      <c r="M1707">
        <v>10.3</v>
      </c>
      <c r="N1707">
        <v>0</v>
      </c>
      <c r="O1707" t="s">
        <v>27</v>
      </c>
      <c r="P1707" t="s">
        <v>27</v>
      </c>
      <c r="Q1707" t="s">
        <v>27</v>
      </c>
      <c r="R1707" t="s">
        <v>27</v>
      </c>
      <c r="S1707">
        <v>11.1</v>
      </c>
      <c r="T1707">
        <v>13</v>
      </c>
      <c r="U1707" t="s">
        <v>27</v>
      </c>
      <c r="V1707">
        <v>5.8000000000000003E-2</v>
      </c>
      <c r="W1707">
        <v>1.0349999999999999</v>
      </c>
      <c r="X1707">
        <v>0.30599999999999999</v>
      </c>
      <c r="Y1707" t="s">
        <v>27</v>
      </c>
      <c r="Z1707" t="s">
        <v>27</v>
      </c>
      <c r="AA1707" t="s">
        <v>27</v>
      </c>
      <c r="AB1707" t="s">
        <v>27</v>
      </c>
      <c r="AC1707" t="s">
        <v>27</v>
      </c>
      <c r="AD1707" t="s">
        <v>27</v>
      </c>
      <c r="AE1707" t="s">
        <v>27</v>
      </c>
      <c r="AF1707" t="s">
        <v>27</v>
      </c>
      <c r="AG1707">
        <v>23.65</v>
      </c>
    </row>
    <row r="1708" spans="1:33" x14ac:dyDescent="0.25">
      <c r="A1708" t="s">
        <v>57</v>
      </c>
      <c r="B1708" s="3">
        <v>45169</v>
      </c>
      <c r="C1708">
        <v>2023243</v>
      </c>
      <c r="D1708">
        <v>0.01</v>
      </c>
      <c r="E1708" t="s">
        <v>27</v>
      </c>
      <c r="F1708">
        <v>8.1999999999999993</v>
      </c>
      <c r="G1708">
        <v>11.7</v>
      </c>
      <c r="H1708">
        <v>5.4</v>
      </c>
      <c r="I1708">
        <v>87.3</v>
      </c>
      <c r="J1708">
        <v>70.400000000000006</v>
      </c>
      <c r="K1708">
        <v>0.5</v>
      </c>
      <c r="L1708">
        <v>1.9</v>
      </c>
      <c r="M1708">
        <v>0.2</v>
      </c>
      <c r="N1708">
        <v>0</v>
      </c>
      <c r="O1708" t="s">
        <v>27</v>
      </c>
      <c r="P1708" t="s">
        <v>27</v>
      </c>
      <c r="Q1708" t="s">
        <v>27</v>
      </c>
      <c r="R1708" t="s">
        <v>27</v>
      </c>
      <c r="S1708">
        <v>10.199999999999999</v>
      </c>
      <c r="T1708">
        <v>12.1</v>
      </c>
      <c r="U1708" t="s">
        <v>27</v>
      </c>
      <c r="V1708">
        <v>0.06</v>
      </c>
      <c r="W1708">
        <v>0.96499999999999997</v>
      </c>
      <c r="X1708">
        <v>0.40600000000000003</v>
      </c>
      <c r="Y1708" t="s">
        <v>27</v>
      </c>
      <c r="Z1708" t="s">
        <v>27</v>
      </c>
      <c r="AA1708" t="s">
        <v>27</v>
      </c>
      <c r="AB1708" t="s">
        <v>27</v>
      </c>
      <c r="AC1708" t="s">
        <v>27</v>
      </c>
      <c r="AD1708" t="s">
        <v>27</v>
      </c>
      <c r="AE1708" t="s">
        <v>27</v>
      </c>
      <c r="AF1708" t="s">
        <v>27</v>
      </c>
      <c r="AG1708">
        <v>23.41</v>
      </c>
    </row>
    <row r="1709" spans="1:33" x14ac:dyDescent="0.25">
      <c r="A1709" t="s">
        <v>57</v>
      </c>
      <c r="B1709" s="3">
        <v>45170</v>
      </c>
      <c r="C1709">
        <v>2023244</v>
      </c>
      <c r="D1709">
        <v>1.06</v>
      </c>
      <c r="E1709" t="s">
        <v>27</v>
      </c>
      <c r="F1709">
        <v>10.1</v>
      </c>
      <c r="G1709">
        <v>17.899999999999999</v>
      </c>
      <c r="H1709">
        <v>4.5</v>
      </c>
      <c r="I1709">
        <v>83</v>
      </c>
      <c r="J1709">
        <v>54.1</v>
      </c>
      <c r="K1709">
        <v>0.8</v>
      </c>
      <c r="L1709">
        <v>2.4</v>
      </c>
      <c r="M1709">
        <v>0</v>
      </c>
      <c r="N1709">
        <v>0</v>
      </c>
      <c r="O1709" t="s">
        <v>27</v>
      </c>
      <c r="P1709" t="s">
        <v>27</v>
      </c>
      <c r="Q1709" t="s">
        <v>27</v>
      </c>
      <c r="R1709" t="s">
        <v>27</v>
      </c>
      <c r="S1709">
        <v>13.9</v>
      </c>
      <c r="T1709">
        <v>12.6</v>
      </c>
      <c r="U1709" t="s">
        <v>27</v>
      </c>
      <c r="V1709">
        <v>5.7000000000000002E-2</v>
      </c>
      <c r="W1709">
        <v>1.1100000000000001</v>
      </c>
      <c r="X1709">
        <v>0.94199999999999995</v>
      </c>
      <c r="Y1709" t="s">
        <v>27</v>
      </c>
      <c r="Z1709" t="s">
        <v>27</v>
      </c>
      <c r="AA1709" t="s">
        <v>27</v>
      </c>
      <c r="AB1709" t="s">
        <v>27</v>
      </c>
      <c r="AC1709" t="s">
        <v>27</v>
      </c>
      <c r="AD1709" t="s">
        <v>27</v>
      </c>
      <c r="AE1709" t="s">
        <v>27</v>
      </c>
      <c r="AF1709" t="s">
        <v>27</v>
      </c>
      <c r="AG1709">
        <v>23.17</v>
      </c>
    </row>
    <row r="1710" spans="1:33" x14ac:dyDescent="0.25">
      <c r="A1710" t="s">
        <v>57</v>
      </c>
      <c r="B1710" s="3">
        <v>45171</v>
      </c>
      <c r="C1710">
        <v>2023245</v>
      </c>
      <c r="D1710">
        <v>2.54</v>
      </c>
      <c r="E1710" t="s">
        <v>27</v>
      </c>
      <c r="F1710">
        <v>13</v>
      </c>
      <c r="G1710">
        <v>24.7</v>
      </c>
      <c r="H1710">
        <v>2.8</v>
      </c>
      <c r="I1710">
        <v>68.400000000000006</v>
      </c>
      <c r="J1710">
        <v>23.3</v>
      </c>
      <c r="K1710">
        <v>0.4</v>
      </c>
      <c r="L1710">
        <v>2.4</v>
      </c>
      <c r="M1710">
        <v>0</v>
      </c>
      <c r="N1710">
        <v>0</v>
      </c>
      <c r="O1710" t="s">
        <v>27</v>
      </c>
      <c r="P1710" t="s">
        <v>27</v>
      </c>
      <c r="Q1710" t="s">
        <v>27</v>
      </c>
      <c r="R1710" t="s">
        <v>27</v>
      </c>
      <c r="S1710">
        <v>15.1</v>
      </c>
      <c r="T1710">
        <v>12.9</v>
      </c>
      <c r="U1710" t="s">
        <v>27</v>
      </c>
      <c r="V1710">
        <v>5.1999999999999998E-2</v>
      </c>
      <c r="W1710">
        <v>0.72499999999999998</v>
      </c>
      <c r="X1710">
        <v>2.387</v>
      </c>
      <c r="Y1710" t="s">
        <v>27</v>
      </c>
      <c r="Z1710" t="s">
        <v>27</v>
      </c>
      <c r="AA1710" t="s">
        <v>27</v>
      </c>
      <c r="AB1710" t="s">
        <v>27</v>
      </c>
      <c r="AC1710" t="s">
        <v>27</v>
      </c>
      <c r="AD1710" t="s">
        <v>27</v>
      </c>
      <c r="AE1710" t="s">
        <v>27</v>
      </c>
      <c r="AF1710" t="s">
        <v>27</v>
      </c>
      <c r="AG1710">
        <v>22.93</v>
      </c>
    </row>
    <row r="1711" spans="1:33" x14ac:dyDescent="0.25">
      <c r="A1711" t="s">
        <v>57</v>
      </c>
      <c r="B1711" s="3">
        <v>45172</v>
      </c>
      <c r="C1711">
        <v>2023246</v>
      </c>
      <c r="D1711">
        <v>0.66</v>
      </c>
      <c r="E1711" t="s">
        <v>27</v>
      </c>
      <c r="F1711">
        <v>11.4</v>
      </c>
      <c r="G1711">
        <v>18.5</v>
      </c>
      <c r="H1711">
        <v>6.3</v>
      </c>
      <c r="I1711">
        <v>78.400000000000006</v>
      </c>
      <c r="J1711">
        <v>45</v>
      </c>
      <c r="K1711">
        <v>0.7</v>
      </c>
      <c r="L1711">
        <v>3.7</v>
      </c>
      <c r="M1711">
        <v>1.3</v>
      </c>
      <c r="N1711">
        <v>0</v>
      </c>
      <c r="O1711" t="s">
        <v>27</v>
      </c>
      <c r="P1711" t="s">
        <v>27</v>
      </c>
      <c r="Q1711" t="s">
        <v>27</v>
      </c>
      <c r="R1711" t="s">
        <v>27</v>
      </c>
      <c r="S1711">
        <v>12.8</v>
      </c>
      <c r="T1711">
        <v>12.9</v>
      </c>
      <c r="U1711" t="s">
        <v>27</v>
      </c>
      <c r="V1711">
        <v>4.7E-2</v>
      </c>
      <c r="W1711">
        <v>0.95899999999999996</v>
      </c>
      <c r="X1711">
        <v>1.1719999999999999</v>
      </c>
      <c r="Y1711" t="s">
        <v>27</v>
      </c>
      <c r="Z1711" t="s">
        <v>27</v>
      </c>
      <c r="AA1711" t="s">
        <v>27</v>
      </c>
      <c r="AB1711" t="s">
        <v>27</v>
      </c>
      <c r="AC1711" t="s">
        <v>27</v>
      </c>
      <c r="AD1711" t="s">
        <v>27</v>
      </c>
      <c r="AE1711" t="s">
        <v>27</v>
      </c>
      <c r="AF1711" t="s">
        <v>27</v>
      </c>
      <c r="AG1711">
        <v>22.69</v>
      </c>
    </row>
    <row r="1712" spans="1:33" x14ac:dyDescent="0.25">
      <c r="A1712" t="s">
        <v>57</v>
      </c>
      <c r="B1712" s="3">
        <v>45173</v>
      </c>
      <c r="C1712">
        <v>2023247</v>
      </c>
      <c r="D1712">
        <v>0.76</v>
      </c>
      <c r="E1712" t="s">
        <v>27</v>
      </c>
      <c r="F1712">
        <v>9.4</v>
      </c>
      <c r="G1712">
        <v>17.600000000000001</v>
      </c>
      <c r="H1712">
        <v>3.2</v>
      </c>
      <c r="I1712">
        <v>78.400000000000006</v>
      </c>
      <c r="J1712">
        <v>41.6</v>
      </c>
      <c r="K1712">
        <v>0.4</v>
      </c>
      <c r="L1712">
        <v>2.6</v>
      </c>
      <c r="M1712">
        <v>0.1</v>
      </c>
      <c r="N1712">
        <v>0</v>
      </c>
      <c r="O1712" t="s">
        <v>27</v>
      </c>
      <c r="P1712" t="s">
        <v>27</v>
      </c>
      <c r="Q1712" t="s">
        <v>27</v>
      </c>
      <c r="R1712" t="s">
        <v>27</v>
      </c>
      <c r="S1712">
        <v>11.6</v>
      </c>
      <c r="T1712">
        <v>12.3</v>
      </c>
      <c r="U1712" t="s">
        <v>27</v>
      </c>
      <c r="V1712">
        <v>4.3999999999999997E-2</v>
      </c>
      <c r="W1712">
        <v>0.83499999999999996</v>
      </c>
      <c r="X1712">
        <v>1.1719999999999999</v>
      </c>
      <c r="Y1712" t="s">
        <v>27</v>
      </c>
      <c r="Z1712" t="s">
        <v>27</v>
      </c>
      <c r="AA1712" t="s">
        <v>27</v>
      </c>
      <c r="AB1712" t="s">
        <v>27</v>
      </c>
      <c r="AC1712" t="s">
        <v>27</v>
      </c>
      <c r="AD1712" t="s">
        <v>27</v>
      </c>
      <c r="AE1712" t="s">
        <v>27</v>
      </c>
      <c r="AF1712" t="s">
        <v>27</v>
      </c>
      <c r="AG1712">
        <v>22.44</v>
      </c>
    </row>
    <row r="1713" spans="1:33" x14ac:dyDescent="0.25">
      <c r="A1713" t="s">
        <v>57</v>
      </c>
      <c r="B1713" s="3">
        <v>45174</v>
      </c>
      <c r="C1713">
        <v>2023248</v>
      </c>
      <c r="D1713">
        <v>0.84</v>
      </c>
      <c r="E1713" t="s">
        <v>27</v>
      </c>
      <c r="F1713">
        <v>8.9</v>
      </c>
      <c r="G1713">
        <v>16.899999999999999</v>
      </c>
      <c r="H1713">
        <v>3.2</v>
      </c>
      <c r="I1713">
        <v>76.099999999999994</v>
      </c>
      <c r="J1713">
        <v>37.6</v>
      </c>
      <c r="K1713">
        <v>0.6</v>
      </c>
      <c r="L1713">
        <v>2.7</v>
      </c>
      <c r="M1713">
        <v>0</v>
      </c>
      <c r="N1713">
        <v>0</v>
      </c>
      <c r="O1713" t="s">
        <v>27</v>
      </c>
      <c r="P1713" t="s">
        <v>27</v>
      </c>
      <c r="Q1713" t="s">
        <v>27</v>
      </c>
      <c r="R1713" t="s">
        <v>27</v>
      </c>
      <c r="S1713">
        <v>11.9</v>
      </c>
      <c r="T1713">
        <v>11.9</v>
      </c>
      <c r="U1713" t="s">
        <v>27</v>
      </c>
      <c r="V1713">
        <v>4.2000000000000003E-2</v>
      </c>
      <c r="W1713">
        <v>0.72199999999999998</v>
      </c>
      <c r="X1713">
        <v>1.198</v>
      </c>
      <c r="Y1713" t="s">
        <v>27</v>
      </c>
      <c r="Z1713" t="s">
        <v>27</v>
      </c>
      <c r="AA1713" t="s">
        <v>27</v>
      </c>
      <c r="AB1713" t="s">
        <v>27</v>
      </c>
      <c r="AC1713" t="s">
        <v>27</v>
      </c>
      <c r="AD1713" t="s">
        <v>27</v>
      </c>
      <c r="AE1713" t="s">
        <v>27</v>
      </c>
      <c r="AF1713" t="s">
        <v>27</v>
      </c>
      <c r="AG1713">
        <v>22.2</v>
      </c>
    </row>
    <row r="1714" spans="1:33" x14ac:dyDescent="0.25">
      <c r="A1714" t="s">
        <v>57</v>
      </c>
      <c r="B1714" s="3">
        <v>45175</v>
      </c>
      <c r="C1714">
        <v>2023249</v>
      </c>
      <c r="D1714">
        <v>1.29</v>
      </c>
      <c r="E1714" t="s">
        <v>27</v>
      </c>
      <c r="F1714">
        <v>9.6999999999999993</v>
      </c>
      <c r="G1714">
        <v>17.3</v>
      </c>
      <c r="H1714">
        <v>3.3</v>
      </c>
      <c r="I1714">
        <v>61.2</v>
      </c>
      <c r="J1714">
        <v>28.7</v>
      </c>
      <c r="K1714">
        <v>0.7</v>
      </c>
      <c r="L1714">
        <v>2.8</v>
      </c>
      <c r="M1714">
        <v>0</v>
      </c>
      <c r="N1714">
        <v>0</v>
      </c>
      <c r="O1714" t="s">
        <v>27</v>
      </c>
      <c r="P1714" t="s">
        <v>27</v>
      </c>
      <c r="Q1714" t="s">
        <v>27</v>
      </c>
      <c r="R1714" t="s">
        <v>27</v>
      </c>
      <c r="S1714">
        <v>13.9</v>
      </c>
      <c r="T1714">
        <v>12.2</v>
      </c>
      <c r="U1714" t="s">
        <v>27</v>
      </c>
      <c r="V1714">
        <v>3.9E-2</v>
      </c>
      <c r="W1714">
        <v>0.56799999999999995</v>
      </c>
      <c r="X1714">
        <v>1.411</v>
      </c>
      <c r="Y1714" t="s">
        <v>27</v>
      </c>
      <c r="Z1714" t="s">
        <v>27</v>
      </c>
      <c r="AA1714" t="s">
        <v>27</v>
      </c>
      <c r="AB1714" t="s">
        <v>27</v>
      </c>
      <c r="AC1714" t="s">
        <v>27</v>
      </c>
      <c r="AD1714" t="s">
        <v>27</v>
      </c>
      <c r="AE1714" t="s">
        <v>27</v>
      </c>
      <c r="AF1714" t="s">
        <v>27</v>
      </c>
      <c r="AG1714">
        <v>21.95</v>
      </c>
    </row>
    <row r="1715" spans="1:33" x14ac:dyDescent="0.25">
      <c r="A1715" t="s">
        <v>57</v>
      </c>
      <c r="B1715" s="3">
        <v>45176</v>
      </c>
      <c r="C1715">
        <v>2023250</v>
      </c>
      <c r="D1715">
        <v>1.53</v>
      </c>
      <c r="E1715" t="s">
        <v>27</v>
      </c>
      <c r="F1715">
        <v>9.8000000000000007</v>
      </c>
      <c r="G1715">
        <v>18.2</v>
      </c>
      <c r="H1715">
        <v>1</v>
      </c>
      <c r="I1715">
        <v>64.2</v>
      </c>
      <c r="J1715">
        <v>32.6</v>
      </c>
      <c r="K1715">
        <v>0.5</v>
      </c>
      <c r="L1715">
        <v>2.2000000000000002</v>
      </c>
      <c r="M1715">
        <v>0</v>
      </c>
      <c r="N1715">
        <v>0</v>
      </c>
      <c r="O1715" t="s">
        <v>27</v>
      </c>
      <c r="P1715" t="s">
        <v>27</v>
      </c>
      <c r="Q1715" t="s">
        <v>27</v>
      </c>
      <c r="R1715" t="s">
        <v>27</v>
      </c>
      <c r="S1715">
        <v>14.3</v>
      </c>
      <c r="T1715">
        <v>12.2</v>
      </c>
      <c r="U1715" t="s">
        <v>27</v>
      </c>
      <c r="V1715">
        <v>3.6999999999999998E-2</v>
      </c>
      <c r="W1715">
        <v>0.68300000000000005</v>
      </c>
      <c r="X1715">
        <v>1.4119999999999999</v>
      </c>
      <c r="Y1715" t="s">
        <v>27</v>
      </c>
      <c r="Z1715" t="s">
        <v>27</v>
      </c>
      <c r="AA1715" t="s">
        <v>27</v>
      </c>
      <c r="AB1715" t="s">
        <v>27</v>
      </c>
      <c r="AC1715" t="s">
        <v>27</v>
      </c>
      <c r="AD1715" t="s">
        <v>27</v>
      </c>
      <c r="AE1715" t="s">
        <v>27</v>
      </c>
      <c r="AF1715" t="s">
        <v>27</v>
      </c>
      <c r="AG1715">
        <v>21.71</v>
      </c>
    </row>
    <row r="1716" spans="1:33" x14ac:dyDescent="0.25">
      <c r="A1716" t="s">
        <v>57</v>
      </c>
      <c r="B1716" s="3">
        <v>45177</v>
      </c>
      <c r="C1716">
        <v>2023251</v>
      </c>
      <c r="D1716">
        <v>1.55</v>
      </c>
      <c r="E1716" t="s">
        <v>27</v>
      </c>
      <c r="F1716">
        <v>9.9</v>
      </c>
      <c r="G1716">
        <v>21</v>
      </c>
      <c r="H1716">
        <v>1.7</v>
      </c>
      <c r="I1716">
        <v>64.099999999999994</v>
      </c>
      <c r="J1716">
        <v>15.8</v>
      </c>
      <c r="K1716">
        <v>0.4</v>
      </c>
      <c r="L1716">
        <v>2.8</v>
      </c>
      <c r="M1716">
        <v>0</v>
      </c>
      <c r="N1716">
        <v>0</v>
      </c>
      <c r="O1716" t="s">
        <v>27</v>
      </c>
      <c r="P1716" t="s">
        <v>27</v>
      </c>
      <c r="Q1716" t="s">
        <v>27</v>
      </c>
      <c r="R1716" t="s">
        <v>27</v>
      </c>
      <c r="S1716">
        <v>12.4</v>
      </c>
      <c r="T1716">
        <v>12.2</v>
      </c>
      <c r="U1716" t="s">
        <v>27</v>
      </c>
      <c r="V1716">
        <v>3.5000000000000003E-2</v>
      </c>
      <c r="W1716">
        <v>0.39200000000000002</v>
      </c>
      <c r="X1716">
        <v>2.089</v>
      </c>
      <c r="Y1716" t="s">
        <v>27</v>
      </c>
      <c r="Z1716" t="s">
        <v>27</v>
      </c>
      <c r="AA1716" t="s">
        <v>27</v>
      </c>
      <c r="AB1716" t="s">
        <v>27</v>
      </c>
      <c r="AC1716" t="s">
        <v>27</v>
      </c>
      <c r="AD1716" t="s">
        <v>27</v>
      </c>
      <c r="AE1716" t="s">
        <v>27</v>
      </c>
      <c r="AF1716" t="s">
        <v>27</v>
      </c>
      <c r="AG1716">
        <v>21.46</v>
      </c>
    </row>
    <row r="1717" spans="1:33" x14ac:dyDescent="0.25">
      <c r="A1717" t="s">
        <v>57</v>
      </c>
      <c r="B1717" s="3">
        <v>45178</v>
      </c>
      <c r="C1717">
        <v>2023252</v>
      </c>
      <c r="D1717">
        <v>2.39</v>
      </c>
      <c r="E1717" t="s">
        <v>27</v>
      </c>
      <c r="F1717">
        <v>11.3</v>
      </c>
      <c r="G1717">
        <v>22.2</v>
      </c>
      <c r="H1717">
        <v>1</v>
      </c>
      <c r="I1717">
        <v>59.3</v>
      </c>
      <c r="J1717">
        <v>23.6</v>
      </c>
      <c r="K1717">
        <v>0.6</v>
      </c>
      <c r="L1717">
        <v>2.6</v>
      </c>
      <c r="M1717">
        <v>0</v>
      </c>
      <c r="N1717">
        <v>0</v>
      </c>
      <c r="O1717" t="s">
        <v>27</v>
      </c>
      <c r="P1717" t="s">
        <v>27</v>
      </c>
      <c r="Q1717" t="s">
        <v>27</v>
      </c>
      <c r="R1717" t="s">
        <v>27</v>
      </c>
      <c r="S1717">
        <v>14.2</v>
      </c>
      <c r="T1717">
        <v>12.1</v>
      </c>
      <c r="U1717" t="s">
        <v>27</v>
      </c>
      <c r="V1717">
        <v>3.4000000000000002E-2</v>
      </c>
      <c r="W1717">
        <v>0.63200000000000001</v>
      </c>
      <c r="X1717">
        <v>2.0459999999999998</v>
      </c>
      <c r="Y1717" t="s">
        <v>27</v>
      </c>
      <c r="Z1717" t="s">
        <v>27</v>
      </c>
      <c r="AA1717" t="s">
        <v>27</v>
      </c>
      <c r="AB1717" t="s">
        <v>27</v>
      </c>
      <c r="AC1717" t="s">
        <v>27</v>
      </c>
      <c r="AD1717" t="s">
        <v>27</v>
      </c>
      <c r="AE1717" t="s">
        <v>27</v>
      </c>
      <c r="AF1717" t="s">
        <v>27</v>
      </c>
      <c r="AG1717">
        <v>21.21</v>
      </c>
    </row>
    <row r="1718" spans="1:33" x14ac:dyDescent="0.25">
      <c r="A1718" t="s">
        <v>57</v>
      </c>
      <c r="B1718" s="3">
        <v>45179</v>
      </c>
      <c r="C1718">
        <v>2023253</v>
      </c>
      <c r="D1718">
        <v>2.72</v>
      </c>
      <c r="E1718" t="s">
        <v>27</v>
      </c>
      <c r="F1718">
        <v>13</v>
      </c>
      <c r="G1718">
        <v>24.1</v>
      </c>
      <c r="H1718">
        <v>2.4</v>
      </c>
      <c r="I1718">
        <v>55.5</v>
      </c>
      <c r="J1718">
        <v>22.8</v>
      </c>
      <c r="K1718">
        <v>0.5</v>
      </c>
      <c r="L1718">
        <v>2.9</v>
      </c>
      <c r="M1718">
        <v>0</v>
      </c>
      <c r="N1718">
        <v>0</v>
      </c>
      <c r="O1718" t="s">
        <v>27</v>
      </c>
      <c r="P1718" t="s">
        <v>27</v>
      </c>
      <c r="Q1718" t="s">
        <v>27</v>
      </c>
      <c r="R1718" t="s">
        <v>27</v>
      </c>
      <c r="S1718">
        <v>15.7</v>
      </c>
      <c r="T1718">
        <v>12.5</v>
      </c>
      <c r="U1718" t="s">
        <v>27</v>
      </c>
      <c r="V1718">
        <v>3.4000000000000002E-2</v>
      </c>
      <c r="W1718">
        <v>0.68300000000000005</v>
      </c>
      <c r="X1718">
        <v>2.3130000000000002</v>
      </c>
      <c r="Y1718" t="s">
        <v>27</v>
      </c>
      <c r="Z1718" t="s">
        <v>27</v>
      </c>
      <c r="AA1718" t="s">
        <v>27</v>
      </c>
      <c r="AB1718" t="s">
        <v>27</v>
      </c>
      <c r="AC1718" t="s">
        <v>27</v>
      </c>
      <c r="AD1718" t="s">
        <v>27</v>
      </c>
      <c r="AE1718" t="s">
        <v>27</v>
      </c>
      <c r="AF1718" t="s">
        <v>27</v>
      </c>
      <c r="AG1718">
        <v>20.96</v>
      </c>
    </row>
    <row r="1719" spans="1:33" x14ac:dyDescent="0.25">
      <c r="A1719" t="s">
        <v>57</v>
      </c>
      <c r="B1719" s="3">
        <v>45180</v>
      </c>
      <c r="C1719">
        <v>2023254</v>
      </c>
      <c r="D1719">
        <v>1.44</v>
      </c>
      <c r="E1719" t="s">
        <v>27</v>
      </c>
      <c r="F1719">
        <v>12.4</v>
      </c>
      <c r="G1719">
        <v>20.2</v>
      </c>
      <c r="H1719">
        <v>6.7</v>
      </c>
      <c r="I1719">
        <v>64.599999999999994</v>
      </c>
      <c r="J1719">
        <v>35.6</v>
      </c>
      <c r="K1719">
        <v>0.4</v>
      </c>
      <c r="L1719">
        <v>2.7</v>
      </c>
      <c r="M1719">
        <v>0.1</v>
      </c>
      <c r="N1719">
        <v>0</v>
      </c>
      <c r="O1719" t="s">
        <v>27</v>
      </c>
      <c r="P1719" t="s">
        <v>27</v>
      </c>
      <c r="Q1719" t="s">
        <v>27</v>
      </c>
      <c r="R1719" t="s">
        <v>27</v>
      </c>
      <c r="S1719">
        <v>14.4</v>
      </c>
      <c r="T1719">
        <v>12.8</v>
      </c>
      <c r="U1719" t="s">
        <v>27</v>
      </c>
      <c r="V1719">
        <v>3.3000000000000002E-2</v>
      </c>
      <c r="W1719">
        <v>0.84</v>
      </c>
      <c r="X1719">
        <v>1.52</v>
      </c>
      <c r="Y1719" t="s">
        <v>27</v>
      </c>
      <c r="Z1719" t="s">
        <v>27</v>
      </c>
      <c r="AA1719" t="s">
        <v>27</v>
      </c>
      <c r="AB1719" t="s">
        <v>27</v>
      </c>
      <c r="AC1719" t="s">
        <v>27</v>
      </c>
      <c r="AD1719" t="s">
        <v>27</v>
      </c>
      <c r="AE1719" t="s">
        <v>27</v>
      </c>
      <c r="AF1719" t="s">
        <v>27</v>
      </c>
      <c r="AG1719">
        <v>20.71</v>
      </c>
    </row>
    <row r="1720" spans="1:33" x14ac:dyDescent="0.25">
      <c r="A1720" t="s">
        <v>57</v>
      </c>
      <c r="B1720" s="3">
        <v>45181</v>
      </c>
      <c r="C1720">
        <v>2023255</v>
      </c>
      <c r="D1720">
        <v>1.03</v>
      </c>
      <c r="E1720" t="s">
        <v>27</v>
      </c>
      <c r="F1720">
        <v>9.5</v>
      </c>
      <c r="G1720">
        <v>17.899999999999999</v>
      </c>
      <c r="H1720">
        <v>2.7</v>
      </c>
      <c r="I1720">
        <v>76.5</v>
      </c>
      <c r="J1720">
        <v>41.4</v>
      </c>
      <c r="K1720">
        <v>0.8</v>
      </c>
      <c r="L1720">
        <v>2.8</v>
      </c>
      <c r="M1720">
        <v>0.7</v>
      </c>
      <c r="N1720">
        <v>0</v>
      </c>
      <c r="O1720" t="s">
        <v>27</v>
      </c>
      <c r="P1720" t="s">
        <v>27</v>
      </c>
      <c r="Q1720" t="s">
        <v>27</v>
      </c>
      <c r="R1720" t="s">
        <v>27</v>
      </c>
      <c r="S1720">
        <v>12.2</v>
      </c>
      <c r="T1720">
        <v>12.3</v>
      </c>
      <c r="U1720" t="s">
        <v>27</v>
      </c>
      <c r="V1720">
        <v>3.3000000000000002E-2</v>
      </c>
      <c r="W1720">
        <v>0.84899999999999998</v>
      </c>
      <c r="X1720">
        <v>1.202</v>
      </c>
      <c r="Y1720" t="s">
        <v>27</v>
      </c>
      <c r="Z1720" t="s">
        <v>27</v>
      </c>
      <c r="AA1720" t="s">
        <v>27</v>
      </c>
      <c r="AB1720" t="s">
        <v>27</v>
      </c>
      <c r="AC1720" t="s">
        <v>27</v>
      </c>
      <c r="AD1720" t="s">
        <v>27</v>
      </c>
      <c r="AE1720" t="s">
        <v>27</v>
      </c>
      <c r="AF1720" t="s">
        <v>27</v>
      </c>
      <c r="AG1720">
        <v>20.46</v>
      </c>
    </row>
    <row r="1721" spans="1:33" x14ac:dyDescent="0.25">
      <c r="A1721" t="s">
        <v>57</v>
      </c>
      <c r="B1721" s="3">
        <v>45182</v>
      </c>
      <c r="C1721">
        <v>2023256</v>
      </c>
      <c r="D1721">
        <v>1.07</v>
      </c>
      <c r="E1721" t="s">
        <v>27</v>
      </c>
      <c r="F1721">
        <v>8.6</v>
      </c>
      <c r="G1721">
        <v>17.5</v>
      </c>
      <c r="H1721">
        <v>1.3</v>
      </c>
      <c r="I1721">
        <v>71.7</v>
      </c>
      <c r="J1721">
        <v>35.799999999999997</v>
      </c>
      <c r="K1721">
        <v>0.5</v>
      </c>
      <c r="L1721">
        <v>2.2999999999999998</v>
      </c>
      <c r="M1721">
        <v>0</v>
      </c>
      <c r="N1721">
        <v>0</v>
      </c>
      <c r="O1721" t="s">
        <v>27</v>
      </c>
      <c r="P1721" t="s">
        <v>27</v>
      </c>
      <c r="Q1721" t="s">
        <v>27</v>
      </c>
      <c r="R1721" t="s">
        <v>27</v>
      </c>
      <c r="S1721">
        <v>11.1</v>
      </c>
      <c r="T1721">
        <v>11.8</v>
      </c>
      <c r="U1721" t="s">
        <v>27</v>
      </c>
      <c r="V1721">
        <v>3.2000000000000001E-2</v>
      </c>
      <c r="W1721">
        <v>0.71399999999999997</v>
      </c>
      <c r="X1721">
        <v>1.28</v>
      </c>
      <c r="Y1721" t="s">
        <v>27</v>
      </c>
      <c r="Z1721" t="s">
        <v>27</v>
      </c>
      <c r="AA1721" t="s">
        <v>27</v>
      </c>
      <c r="AB1721" t="s">
        <v>27</v>
      </c>
      <c r="AC1721" t="s">
        <v>27</v>
      </c>
      <c r="AD1721" t="s">
        <v>27</v>
      </c>
      <c r="AE1721" t="s">
        <v>27</v>
      </c>
      <c r="AF1721" t="s">
        <v>27</v>
      </c>
      <c r="AG1721">
        <v>20.21</v>
      </c>
    </row>
    <row r="1722" spans="1:33" x14ac:dyDescent="0.25">
      <c r="A1722" t="s">
        <v>57</v>
      </c>
      <c r="B1722" s="3">
        <v>45183</v>
      </c>
      <c r="C1722">
        <v>2023257</v>
      </c>
      <c r="D1722">
        <v>2.2400000000000002</v>
      </c>
      <c r="E1722" t="s">
        <v>27</v>
      </c>
      <c r="F1722">
        <v>9.6</v>
      </c>
      <c r="G1722">
        <v>21.9</v>
      </c>
      <c r="H1722">
        <v>-0.2</v>
      </c>
      <c r="I1722">
        <v>65</v>
      </c>
      <c r="J1722">
        <v>23.5</v>
      </c>
      <c r="K1722">
        <v>0.5</v>
      </c>
      <c r="L1722">
        <v>2.1</v>
      </c>
      <c r="M1722">
        <v>0</v>
      </c>
      <c r="N1722">
        <v>0</v>
      </c>
      <c r="O1722" t="s">
        <v>27</v>
      </c>
      <c r="P1722" t="s">
        <v>27</v>
      </c>
      <c r="Q1722" t="s">
        <v>27</v>
      </c>
      <c r="R1722" t="s">
        <v>27</v>
      </c>
      <c r="S1722">
        <v>11.5</v>
      </c>
      <c r="T1722">
        <v>11.3</v>
      </c>
      <c r="U1722" t="s">
        <v>27</v>
      </c>
      <c r="V1722">
        <v>3.2000000000000001E-2</v>
      </c>
      <c r="W1722">
        <v>0.61599999999999999</v>
      </c>
      <c r="X1722">
        <v>2.0049999999999999</v>
      </c>
      <c r="Y1722" t="s">
        <v>27</v>
      </c>
      <c r="Z1722" t="s">
        <v>27</v>
      </c>
      <c r="AA1722" t="s">
        <v>27</v>
      </c>
      <c r="AB1722" t="s">
        <v>27</v>
      </c>
      <c r="AC1722" t="s">
        <v>27</v>
      </c>
      <c r="AD1722" t="s">
        <v>27</v>
      </c>
      <c r="AE1722" t="s">
        <v>27</v>
      </c>
      <c r="AF1722" t="s">
        <v>27</v>
      </c>
      <c r="AG1722">
        <v>19.95</v>
      </c>
    </row>
    <row r="1723" spans="1:33" x14ac:dyDescent="0.25">
      <c r="A1723" t="s">
        <v>57</v>
      </c>
      <c r="B1723" s="3">
        <v>45184</v>
      </c>
      <c r="C1723">
        <v>2023258</v>
      </c>
      <c r="D1723">
        <v>2.77</v>
      </c>
      <c r="E1723" t="s">
        <v>27</v>
      </c>
      <c r="F1723">
        <v>11.4</v>
      </c>
      <c r="G1723">
        <v>25.1</v>
      </c>
      <c r="H1723">
        <v>0.4</v>
      </c>
      <c r="I1723">
        <v>56.4</v>
      </c>
      <c r="J1723">
        <v>12.6</v>
      </c>
      <c r="K1723">
        <v>0.5</v>
      </c>
      <c r="L1723">
        <v>2.4</v>
      </c>
      <c r="M1723">
        <v>0</v>
      </c>
      <c r="N1723">
        <v>0</v>
      </c>
      <c r="O1723" t="s">
        <v>27</v>
      </c>
      <c r="P1723" t="s">
        <v>27</v>
      </c>
      <c r="Q1723" t="s">
        <v>27</v>
      </c>
      <c r="R1723" t="s">
        <v>27</v>
      </c>
      <c r="S1723">
        <v>12.8</v>
      </c>
      <c r="T1723">
        <v>11.4</v>
      </c>
      <c r="U1723" t="s">
        <v>27</v>
      </c>
      <c r="V1723">
        <v>3.2000000000000001E-2</v>
      </c>
      <c r="W1723">
        <v>0.40100000000000002</v>
      </c>
      <c r="X1723">
        <v>2.782</v>
      </c>
      <c r="Y1723" t="s">
        <v>27</v>
      </c>
      <c r="Z1723" t="s">
        <v>27</v>
      </c>
      <c r="AA1723" t="s">
        <v>27</v>
      </c>
      <c r="AB1723" t="s">
        <v>27</v>
      </c>
      <c r="AC1723" t="s">
        <v>27</v>
      </c>
      <c r="AD1723" t="s">
        <v>27</v>
      </c>
      <c r="AE1723" t="s">
        <v>27</v>
      </c>
      <c r="AF1723" t="s">
        <v>27</v>
      </c>
      <c r="AG1723">
        <v>19.7</v>
      </c>
    </row>
    <row r="1724" spans="1:33" x14ac:dyDescent="0.25">
      <c r="A1724" t="s">
        <v>57</v>
      </c>
      <c r="B1724" s="3">
        <v>45185</v>
      </c>
      <c r="C1724">
        <v>2023259</v>
      </c>
      <c r="D1724">
        <v>2.71</v>
      </c>
      <c r="E1724" t="s">
        <v>27</v>
      </c>
      <c r="F1724">
        <v>12.5</v>
      </c>
      <c r="G1724">
        <v>24.7</v>
      </c>
      <c r="H1724">
        <v>0.7</v>
      </c>
      <c r="I1724">
        <v>49.6</v>
      </c>
      <c r="J1724">
        <v>17.600000000000001</v>
      </c>
      <c r="K1724">
        <v>0.7</v>
      </c>
      <c r="L1724">
        <v>3</v>
      </c>
      <c r="M1724">
        <v>0</v>
      </c>
      <c r="N1724">
        <v>0</v>
      </c>
      <c r="O1724" t="s">
        <v>27</v>
      </c>
      <c r="P1724" t="s">
        <v>27</v>
      </c>
      <c r="Q1724" t="s">
        <v>27</v>
      </c>
      <c r="R1724" t="s">
        <v>27</v>
      </c>
      <c r="S1724">
        <v>13.5</v>
      </c>
      <c r="T1724">
        <v>11.5</v>
      </c>
      <c r="U1724" t="s">
        <v>27</v>
      </c>
      <c r="V1724">
        <v>3.2000000000000001E-2</v>
      </c>
      <c r="W1724">
        <v>0.54700000000000004</v>
      </c>
      <c r="X1724">
        <v>2.5609999999999999</v>
      </c>
      <c r="Y1724" t="s">
        <v>27</v>
      </c>
      <c r="Z1724" t="s">
        <v>27</v>
      </c>
      <c r="AA1724" t="s">
        <v>27</v>
      </c>
      <c r="AB1724" t="s">
        <v>27</v>
      </c>
      <c r="AC1724" t="s">
        <v>27</v>
      </c>
      <c r="AD1724" t="s">
        <v>27</v>
      </c>
      <c r="AE1724" t="s">
        <v>27</v>
      </c>
      <c r="AF1724" t="s">
        <v>27</v>
      </c>
      <c r="AG1724">
        <v>19.45</v>
      </c>
    </row>
    <row r="1725" spans="1:33" x14ac:dyDescent="0.25">
      <c r="A1725" t="s">
        <v>57</v>
      </c>
      <c r="B1725" s="3">
        <v>45186</v>
      </c>
      <c r="C1725">
        <v>2023260</v>
      </c>
      <c r="D1725">
        <v>1.47</v>
      </c>
      <c r="E1725" t="s">
        <v>27</v>
      </c>
      <c r="F1725">
        <v>12.1</v>
      </c>
      <c r="G1725">
        <v>18.600000000000001</v>
      </c>
      <c r="H1725">
        <v>5.2</v>
      </c>
      <c r="I1725">
        <v>41.5</v>
      </c>
      <c r="J1725">
        <v>19.899999999999999</v>
      </c>
      <c r="K1725">
        <v>0.9</v>
      </c>
      <c r="L1725">
        <v>3.1</v>
      </c>
      <c r="M1725">
        <v>0</v>
      </c>
      <c r="N1725">
        <v>0</v>
      </c>
      <c r="O1725" t="s">
        <v>27</v>
      </c>
      <c r="P1725" t="s">
        <v>27</v>
      </c>
      <c r="Q1725" t="s">
        <v>27</v>
      </c>
      <c r="R1725" t="s">
        <v>27</v>
      </c>
      <c r="S1725">
        <v>14.5</v>
      </c>
      <c r="T1725">
        <v>12.1</v>
      </c>
      <c r="U1725" t="s">
        <v>27</v>
      </c>
      <c r="V1725">
        <v>3.1E-2</v>
      </c>
      <c r="W1725">
        <v>0.42499999999999999</v>
      </c>
      <c r="X1725">
        <v>1.7110000000000001</v>
      </c>
      <c r="Y1725" t="s">
        <v>27</v>
      </c>
      <c r="Z1725" t="s">
        <v>27</v>
      </c>
      <c r="AA1725" t="s">
        <v>27</v>
      </c>
      <c r="AB1725" t="s">
        <v>27</v>
      </c>
      <c r="AC1725" t="s">
        <v>27</v>
      </c>
      <c r="AD1725" t="s">
        <v>27</v>
      </c>
      <c r="AE1725" t="s">
        <v>27</v>
      </c>
      <c r="AF1725" t="s">
        <v>27</v>
      </c>
      <c r="AG1725">
        <v>19.2</v>
      </c>
    </row>
    <row r="1726" spans="1:33" x14ac:dyDescent="0.25">
      <c r="A1726" t="s">
        <v>57</v>
      </c>
      <c r="B1726" s="3">
        <v>45187</v>
      </c>
      <c r="C1726">
        <v>2023261</v>
      </c>
      <c r="D1726">
        <v>0.37</v>
      </c>
      <c r="E1726" t="s">
        <v>27</v>
      </c>
      <c r="F1726">
        <v>6.4</v>
      </c>
      <c r="G1726">
        <v>12</v>
      </c>
      <c r="H1726">
        <v>-3</v>
      </c>
      <c r="I1726">
        <v>61.4</v>
      </c>
      <c r="J1726">
        <v>31.3</v>
      </c>
      <c r="K1726">
        <v>0.9</v>
      </c>
      <c r="L1726">
        <v>3.1</v>
      </c>
      <c r="M1726">
        <v>0</v>
      </c>
      <c r="N1726">
        <v>0</v>
      </c>
      <c r="O1726" t="s">
        <v>27</v>
      </c>
      <c r="P1726" t="s">
        <v>27</v>
      </c>
      <c r="Q1726" t="s">
        <v>27</v>
      </c>
      <c r="R1726" t="s">
        <v>27</v>
      </c>
      <c r="S1726">
        <v>10.3</v>
      </c>
      <c r="T1726">
        <v>11.6</v>
      </c>
      <c r="U1726" t="s">
        <v>27</v>
      </c>
      <c r="V1726">
        <v>3.1E-2</v>
      </c>
      <c r="W1726">
        <v>0.439</v>
      </c>
      <c r="X1726">
        <v>0.96399999999999997</v>
      </c>
      <c r="Y1726" t="s">
        <v>27</v>
      </c>
      <c r="Z1726" t="s">
        <v>27</v>
      </c>
      <c r="AA1726" t="s">
        <v>27</v>
      </c>
      <c r="AB1726" t="s">
        <v>27</v>
      </c>
      <c r="AC1726" t="s">
        <v>27</v>
      </c>
      <c r="AD1726" t="s">
        <v>27</v>
      </c>
      <c r="AE1726" t="s">
        <v>27</v>
      </c>
      <c r="AF1726" t="s">
        <v>27</v>
      </c>
      <c r="AG1726">
        <v>18.940000000000001</v>
      </c>
    </row>
    <row r="1727" spans="1:33" x14ac:dyDescent="0.25">
      <c r="A1727" t="s">
        <v>57</v>
      </c>
      <c r="B1727" s="3">
        <v>45188</v>
      </c>
      <c r="C1727">
        <v>2023262</v>
      </c>
      <c r="D1727">
        <v>0</v>
      </c>
      <c r="E1727" t="s">
        <v>27</v>
      </c>
      <c r="F1727">
        <v>2.2999999999999998</v>
      </c>
      <c r="G1727">
        <v>8.5</v>
      </c>
      <c r="H1727">
        <v>-3.4</v>
      </c>
      <c r="I1727">
        <v>84</v>
      </c>
      <c r="J1727">
        <v>59.4</v>
      </c>
      <c r="K1727">
        <v>0.7</v>
      </c>
      <c r="L1727">
        <v>2.8</v>
      </c>
      <c r="M1727">
        <v>7.2</v>
      </c>
      <c r="N1727">
        <v>0</v>
      </c>
      <c r="O1727" t="s">
        <v>27</v>
      </c>
      <c r="P1727" t="s">
        <v>27</v>
      </c>
      <c r="Q1727" t="s">
        <v>27</v>
      </c>
      <c r="R1727" t="s">
        <v>27</v>
      </c>
      <c r="S1727">
        <v>4.3</v>
      </c>
      <c r="T1727">
        <v>9.4</v>
      </c>
      <c r="U1727" t="s">
        <v>27</v>
      </c>
      <c r="V1727">
        <v>3.2000000000000001E-2</v>
      </c>
      <c r="W1727">
        <v>0.65900000000000003</v>
      </c>
      <c r="X1727">
        <v>0.45</v>
      </c>
      <c r="Y1727" t="s">
        <v>27</v>
      </c>
      <c r="Z1727" t="s">
        <v>27</v>
      </c>
      <c r="AA1727" t="s">
        <v>27</v>
      </c>
      <c r="AB1727" t="s">
        <v>27</v>
      </c>
      <c r="AC1727" t="s">
        <v>27</v>
      </c>
      <c r="AD1727" t="s">
        <v>27</v>
      </c>
      <c r="AE1727" t="s">
        <v>27</v>
      </c>
      <c r="AF1727" t="s">
        <v>27</v>
      </c>
      <c r="AG1727">
        <v>18.690000000000001</v>
      </c>
    </row>
    <row r="1728" spans="1:33" x14ac:dyDescent="0.25">
      <c r="A1728" t="s">
        <v>57</v>
      </c>
      <c r="B1728" s="3">
        <v>45189</v>
      </c>
      <c r="C1728">
        <v>2023263</v>
      </c>
      <c r="D1728">
        <v>0</v>
      </c>
      <c r="E1728" t="s">
        <v>27</v>
      </c>
      <c r="F1728">
        <v>3.3</v>
      </c>
      <c r="G1728">
        <v>7.1</v>
      </c>
      <c r="H1728">
        <v>0.4</v>
      </c>
      <c r="I1728">
        <v>89.3</v>
      </c>
      <c r="J1728">
        <v>69.8</v>
      </c>
      <c r="K1728">
        <v>1</v>
      </c>
      <c r="L1728">
        <v>2.6</v>
      </c>
      <c r="M1728">
        <v>1.4</v>
      </c>
      <c r="N1728">
        <v>0</v>
      </c>
      <c r="O1728" t="s">
        <v>27</v>
      </c>
      <c r="P1728" t="s">
        <v>27</v>
      </c>
      <c r="Q1728" t="s">
        <v>27</v>
      </c>
      <c r="R1728" t="s">
        <v>27</v>
      </c>
      <c r="S1728">
        <v>5.5</v>
      </c>
      <c r="T1728">
        <v>8.6999999999999993</v>
      </c>
      <c r="U1728" t="s">
        <v>27</v>
      </c>
      <c r="V1728">
        <v>5.5E-2</v>
      </c>
      <c r="W1728">
        <v>0.70599999999999996</v>
      </c>
      <c r="X1728">
        <v>0.30499999999999999</v>
      </c>
      <c r="Y1728" t="s">
        <v>27</v>
      </c>
      <c r="Z1728" t="s">
        <v>27</v>
      </c>
      <c r="AA1728" t="s">
        <v>27</v>
      </c>
      <c r="AB1728" t="s">
        <v>27</v>
      </c>
      <c r="AC1728" t="s">
        <v>27</v>
      </c>
      <c r="AD1728" t="s">
        <v>27</v>
      </c>
      <c r="AE1728" t="s">
        <v>27</v>
      </c>
      <c r="AF1728" t="s">
        <v>27</v>
      </c>
      <c r="AG1728">
        <v>18.440000000000001</v>
      </c>
    </row>
    <row r="1729" spans="1:33" x14ac:dyDescent="0.25">
      <c r="A1729" t="s">
        <v>57</v>
      </c>
      <c r="B1729" s="3">
        <v>45190</v>
      </c>
      <c r="C1729">
        <v>2023264</v>
      </c>
      <c r="D1729">
        <v>0.87</v>
      </c>
      <c r="E1729" t="s">
        <v>27</v>
      </c>
      <c r="F1729">
        <v>5.8</v>
      </c>
      <c r="G1729">
        <v>12.8</v>
      </c>
      <c r="H1729">
        <v>-0.6</v>
      </c>
      <c r="I1729">
        <v>72.5</v>
      </c>
      <c r="J1729">
        <v>42.1</v>
      </c>
      <c r="K1729">
        <v>0.9</v>
      </c>
      <c r="L1729">
        <v>2.8</v>
      </c>
      <c r="M1729">
        <v>0</v>
      </c>
      <c r="N1729">
        <v>0</v>
      </c>
      <c r="O1729" t="s">
        <v>27</v>
      </c>
      <c r="P1729" t="s">
        <v>27</v>
      </c>
      <c r="Q1729" t="s">
        <v>27</v>
      </c>
      <c r="R1729" t="s">
        <v>27</v>
      </c>
      <c r="S1729">
        <v>6.2</v>
      </c>
      <c r="T1729">
        <v>8.4</v>
      </c>
      <c r="U1729" t="s">
        <v>27</v>
      </c>
      <c r="V1729">
        <v>4.9000000000000002E-2</v>
      </c>
      <c r="W1729">
        <v>0.622</v>
      </c>
      <c r="X1729">
        <v>0.85499999999999998</v>
      </c>
      <c r="Y1729" t="s">
        <v>27</v>
      </c>
      <c r="Z1729" t="s">
        <v>27</v>
      </c>
      <c r="AA1729" t="s">
        <v>27</v>
      </c>
      <c r="AB1729" t="s">
        <v>27</v>
      </c>
      <c r="AC1729" t="s">
        <v>27</v>
      </c>
      <c r="AD1729" t="s">
        <v>27</v>
      </c>
      <c r="AE1729" t="s">
        <v>27</v>
      </c>
      <c r="AF1729" t="s">
        <v>27</v>
      </c>
      <c r="AG1729">
        <v>18.18</v>
      </c>
    </row>
    <row r="1730" spans="1:33" x14ac:dyDescent="0.25">
      <c r="A1730" t="s">
        <v>57</v>
      </c>
      <c r="B1730" s="3">
        <v>45191</v>
      </c>
      <c r="C1730">
        <v>2023265</v>
      </c>
      <c r="D1730">
        <v>1.74</v>
      </c>
      <c r="E1730" t="s">
        <v>27</v>
      </c>
      <c r="F1730">
        <v>8.6999999999999993</v>
      </c>
      <c r="G1730">
        <v>18.600000000000001</v>
      </c>
      <c r="H1730">
        <v>-1.2</v>
      </c>
      <c r="I1730">
        <v>67.900000000000006</v>
      </c>
      <c r="J1730">
        <v>37.299999999999997</v>
      </c>
      <c r="K1730">
        <v>0.5</v>
      </c>
      <c r="L1730">
        <v>2.5</v>
      </c>
      <c r="M1730">
        <v>0</v>
      </c>
      <c r="N1730">
        <v>0</v>
      </c>
      <c r="O1730" t="s">
        <v>27</v>
      </c>
      <c r="P1730" t="s">
        <v>27</v>
      </c>
      <c r="Q1730" t="s">
        <v>27</v>
      </c>
      <c r="R1730" t="s">
        <v>27</v>
      </c>
      <c r="S1730">
        <v>9.8000000000000007</v>
      </c>
      <c r="T1730">
        <v>8.8000000000000007</v>
      </c>
      <c r="U1730" t="s">
        <v>27</v>
      </c>
      <c r="V1730">
        <v>4.4999999999999998E-2</v>
      </c>
      <c r="W1730">
        <v>0.8</v>
      </c>
      <c r="X1730">
        <v>1.345</v>
      </c>
      <c r="Y1730" t="s">
        <v>27</v>
      </c>
      <c r="Z1730" t="s">
        <v>27</v>
      </c>
      <c r="AA1730" t="s">
        <v>27</v>
      </c>
      <c r="AB1730" t="s">
        <v>27</v>
      </c>
      <c r="AC1730" t="s">
        <v>27</v>
      </c>
      <c r="AD1730" t="s">
        <v>27</v>
      </c>
      <c r="AE1730" t="s">
        <v>27</v>
      </c>
      <c r="AF1730" t="s">
        <v>27</v>
      </c>
      <c r="AG1730">
        <v>17.93</v>
      </c>
    </row>
    <row r="1731" spans="1:33" x14ac:dyDescent="0.25">
      <c r="A1731" t="s">
        <v>57</v>
      </c>
      <c r="B1731" s="3">
        <v>45192</v>
      </c>
      <c r="C1731">
        <v>2023266</v>
      </c>
      <c r="D1731">
        <v>0.12</v>
      </c>
      <c r="E1731" t="s">
        <v>27</v>
      </c>
      <c r="F1731">
        <v>8.1</v>
      </c>
      <c r="G1731">
        <v>11.2</v>
      </c>
      <c r="H1731">
        <v>4.9000000000000004</v>
      </c>
      <c r="I1731">
        <v>76.599999999999994</v>
      </c>
      <c r="J1731">
        <v>53.3</v>
      </c>
      <c r="K1731">
        <v>1</v>
      </c>
      <c r="L1731">
        <v>3.2</v>
      </c>
      <c r="M1731">
        <v>1.6</v>
      </c>
      <c r="N1731">
        <v>0</v>
      </c>
      <c r="O1731" t="s">
        <v>27</v>
      </c>
      <c r="P1731" t="s">
        <v>27</v>
      </c>
      <c r="Q1731" t="s">
        <v>27</v>
      </c>
      <c r="R1731" t="s">
        <v>27</v>
      </c>
      <c r="S1731">
        <v>9.3000000000000007</v>
      </c>
      <c r="T1731">
        <v>9.9</v>
      </c>
      <c r="U1731" t="s">
        <v>27</v>
      </c>
      <c r="V1731">
        <v>4.2000000000000003E-2</v>
      </c>
      <c r="W1731">
        <v>0.70799999999999996</v>
      </c>
      <c r="X1731">
        <v>0.62</v>
      </c>
      <c r="Y1731" t="s">
        <v>27</v>
      </c>
      <c r="Z1731" t="s">
        <v>27</v>
      </c>
      <c r="AA1731" t="s">
        <v>27</v>
      </c>
      <c r="AB1731" t="s">
        <v>27</v>
      </c>
      <c r="AC1731" t="s">
        <v>27</v>
      </c>
      <c r="AD1731" t="s">
        <v>27</v>
      </c>
      <c r="AE1731" t="s">
        <v>27</v>
      </c>
      <c r="AF1731" t="s">
        <v>27</v>
      </c>
      <c r="AG1731">
        <v>17.68</v>
      </c>
    </row>
    <row r="1732" spans="1:33" x14ac:dyDescent="0.25">
      <c r="A1732" t="s">
        <v>57</v>
      </c>
      <c r="B1732" s="3">
        <v>45193</v>
      </c>
      <c r="C1732">
        <v>2023267</v>
      </c>
      <c r="D1732">
        <v>0.13</v>
      </c>
      <c r="E1732" t="s">
        <v>27</v>
      </c>
      <c r="F1732">
        <v>6.8</v>
      </c>
      <c r="G1732">
        <v>11</v>
      </c>
      <c r="H1732">
        <v>1.8</v>
      </c>
      <c r="I1732">
        <v>78.2</v>
      </c>
      <c r="J1732">
        <v>56.1</v>
      </c>
      <c r="K1732">
        <v>0.9</v>
      </c>
      <c r="L1732">
        <v>2.2999999999999998</v>
      </c>
      <c r="M1732">
        <v>0.3</v>
      </c>
      <c r="N1732">
        <v>0</v>
      </c>
      <c r="O1732" t="s">
        <v>27</v>
      </c>
      <c r="P1732" t="s">
        <v>27</v>
      </c>
      <c r="Q1732" t="s">
        <v>27</v>
      </c>
      <c r="R1732" t="s">
        <v>27</v>
      </c>
      <c r="S1732">
        <v>8.1</v>
      </c>
      <c r="T1732">
        <v>9.3000000000000007</v>
      </c>
      <c r="U1732" t="s">
        <v>27</v>
      </c>
      <c r="V1732">
        <v>0.04</v>
      </c>
      <c r="W1732">
        <v>0.73499999999999999</v>
      </c>
      <c r="X1732">
        <v>0.57499999999999996</v>
      </c>
      <c r="Y1732" t="s">
        <v>27</v>
      </c>
      <c r="Z1732" t="s">
        <v>27</v>
      </c>
      <c r="AA1732" t="s">
        <v>27</v>
      </c>
      <c r="AB1732" t="s">
        <v>27</v>
      </c>
      <c r="AC1732" t="s">
        <v>27</v>
      </c>
      <c r="AD1732" t="s">
        <v>27</v>
      </c>
      <c r="AE1732" t="s">
        <v>27</v>
      </c>
      <c r="AF1732" t="s">
        <v>27</v>
      </c>
      <c r="AG1732">
        <v>17.43</v>
      </c>
    </row>
    <row r="1733" spans="1:33" x14ac:dyDescent="0.25">
      <c r="A1733" t="s">
        <v>57</v>
      </c>
      <c r="B1733" s="3">
        <v>45194</v>
      </c>
      <c r="C1733">
        <v>2023268</v>
      </c>
      <c r="D1733">
        <v>0.01</v>
      </c>
      <c r="E1733" t="s">
        <v>27</v>
      </c>
      <c r="F1733">
        <v>7.8</v>
      </c>
      <c r="G1733">
        <v>11.1</v>
      </c>
      <c r="H1733">
        <v>5.7</v>
      </c>
      <c r="I1733">
        <v>84</v>
      </c>
      <c r="J1733">
        <v>58.2</v>
      </c>
      <c r="K1733">
        <v>1.4</v>
      </c>
      <c r="L1733">
        <v>4</v>
      </c>
      <c r="M1733">
        <v>5.3</v>
      </c>
      <c r="N1733">
        <v>0</v>
      </c>
      <c r="O1733" t="s">
        <v>27</v>
      </c>
      <c r="P1733" t="s">
        <v>27</v>
      </c>
      <c r="Q1733" t="s">
        <v>27</v>
      </c>
      <c r="R1733" t="s">
        <v>27</v>
      </c>
      <c r="S1733">
        <v>8.3000000000000007</v>
      </c>
      <c r="T1733">
        <v>9.1999999999999993</v>
      </c>
      <c r="U1733" t="s">
        <v>27</v>
      </c>
      <c r="V1733">
        <v>5.7000000000000002E-2</v>
      </c>
      <c r="W1733">
        <v>0.76800000000000002</v>
      </c>
      <c r="X1733">
        <v>0.55200000000000005</v>
      </c>
      <c r="Y1733" t="s">
        <v>27</v>
      </c>
      <c r="Z1733" t="s">
        <v>27</v>
      </c>
      <c r="AA1733" t="s">
        <v>27</v>
      </c>
      <c r="AB1733" t="s">
        <v>27</v>
      </c>
      <c r="AC1733" t="s">
        <v>27</v>
      </c>
      <c r="AD1733" t="s">
        <v>27</v>
      </c>
      <c r="AE1733" t="s">
        <v>27</v>
      </c>
      <c r="AF1733" t="s">
        <v>27</v>
      </c>
      <c r="AG1733">
        <v>17.170000000000002</v>
      </c>
    </row>
    <row r="1734" spans="1:33" x14ac:dyDescent="0.25">
      <c r="A1734" t="s">
        <v>57</v>
      </c>
      <c r="B1734" s="3">
        <v>45195</v>
      </c>
      <c r="C1734">
        <v>2023269</v>
      </c>
      <c r="D1734">
        <v>0.03</v>
      </c>
      <c r="E1734" t="s">
        <v>27</v>
      </c>
      <c r="F1734">
        <v>6.4</v>
      </c>
      <c r="G1734">
        <v>9.6</v>
      </c>
      <c r="H1734">
        <v>0.3</v>
      </c>
      <c r="I1734">
        <v>84</v>
      </c>
      <c r="J1734">
        <v>66.5</v>
      </c>
      <c r="K1734">
        <v>0.9</v>
      </c>
      <c r="L1734">
        <v>2.7</v>
      </c>
      <c r="M1734">
        <v>0.5</v>
      </c>
      <c r="N1734">
        <v>0</v>
      </c>
      <c r="O1734" t="s">
        <v>27</v>
      </c>
      <c r="P1734" t="s">
        <v>27</v>
      </c>
      <c r="Q1734" t="s">
        <v>27</v>
      </c>
      <c r="R1734" t="s">
        <v>27</v>
      </c>
      <c r="S1734">
        <v>7.4</v>
      </c>
      <c r="T1734">
        <v>9</v>
      </c>
      <c r="U1734" t="s">
        <v>27</v>
      </c>
      <c r="V1734">
        <v>5.5E-2</v>
      </c>
      <c r="W1734">
        <v>0.79700000000000004</v>
      </c>
      <c r="X1734">
        <v>0.40100000000000002</v>
      </c>
      <c r="Y1734" t="s">
        <v>27</v>
      </c>
      <c r="Z1734" t="s">
        <v>27</v>
      </c>
      <c r="AA1734" t="s">
        <v>27</v>
      </c>
      <c r="AB1734" t="s">
        <v>27</v>
      </c>
      <c r="AC1734" t="s">
        <v>27</v>
      </c>
      <c r="AD1734" t="s">
        <v>27</v>
      </c>
      <c r="AE1734" t="s">
        <v>27</v>
      </c>
      <c r="AF1734" t="s">
        <v>27</v>
      </c>
      <c r="AG1734">
        <v>16.93</v>
      </c>
    </row>
    <row r="1735" spans="1:33" x14ac:dyDescent="0.25">
      <c r="A1735" t="s">
        <v>57</v>
      </c>
      <c r="B1735" s="3">
        <v>45196</v>
      </c>
      <c r="C1735">
        <v>2023270</v>
      </c>
      <c r="D1735">
        <v>0</v>
      </c>
      <c r="E1735" t="s">
        <v>27</v>
      </c>
      <c r="F1735">
        <v>3.5</v>
      </c>
      <c r="G1735">
        <v>5.3</v>
      </c>
      <c r="H1735">
        <v>0.3</v>
      </c>
      <c r="I1735">
        <v>95</v>
      </c>
      <c r="J1735">
        <v>90.8</v>
      </c>
      <c r="K1735">
        <v>0.4</v>
      </c>
      <c r="L1735">
        <v>1.9</v>
      </c>
      <c r="M1735">
        <v>6.3</v>
      </c>
      <c r="N1735">
        <v>0</v>
      </c>
      <c r="O1735" t="s">
        <v>27</v>
      </c>
      <c r="P1735" t="s">
        <v>27</v>
      </c>
      <c r="Q1735" t="s">
        <v>27</v>
      </c>
      <c r="R1735" t="s">
        <v>27</v>
      </c>
      <c r="S1735">
        <v>5</v>
      </c>
      <c r="T1735">
        <v>7.8</v>
      </c>
      <c r="U1735" t="s">
        <v>27</v>
      </c>
      <c r="V1735">
        <v>7.0000000000000007E-2</v>
      </c>
      <c r="W1735">
        <v>0.80600000000000005</v>
      </c>
      <c r="X1735">
        <v>8.2000000000000003E-2</v>
      </c>
      <c r="Y1735" t="s">
        <v>27</v>
      </c>
      <c r="Z1735" t="s">
        <v>27</v>
      </c>
      <c r="AA1735" t="s">
        <v>27</v>
      </c>
      <c r="AB1735" t="s">
        <v>27</v>
      </c>
      <c r="AC1735" t="s">
        <v>27</v>
      </c>
      <c r="AD1735" t="s">
        <v>27</v>
      </c>
      <c r="AE1735" t="s">
        <v>27</v>
      </c>
      <c r="AF1735" t="s">
        <v>27</v>
      </c>
      <c r="AG1735">
        <v>16.68</v>
      </c>
    </row>
    <row r="1736" spans="1:33" x14ac:dyDescent="0.25">
      <c r="A1736" t="s">
        <v>57</v>
      </c>
      <c r="B1736" s="3">
        <v>45197</v>
      </c>
      <c r="C1736">
        <v>2023271</v>
      </c>
      <c r="D1736">
        <v>0.04</v>
      </c>
      <c r="E1736" t="s">
        <v>27</v>
      </c>
      <c r="F1736">
        <v>2.9</v>
      </c>
      <c r="G1736">
        <v>7.6</v>
      </c>
      <c r="H1736">
        <v>-0.1</v>
      </c>
      <c r="I1736">
        <v>87.9</v>
      </c>
      <c r="J1736">
        <v>62.2</v>
      </c>
      <c r="K1736">
        <v>0.7</v>
      </c>
      <c r="L1736">
        <v>3.1</v>
      </c>
      <c r="M1736">
        <v>1.3</v>
      </c>
      <c r="N1736">
        <v>0</v>
      </c>
      <c r="O1736" t="s">
        <v>27</v>
      </c>
      <c r="P1736" t="s">
        <v>27</v>
      </c>
      <c r="Q1736" t="s">
        <v>27</v>
      </c>
      <c r="R1736" t="s">
        <v>27</v>
      </c>
      <c r="S1736">
        <v>4.9000000000000004</v>
      </c>
      <c r="T1736">
        <v>7.6</v>
      </c>
      <c r="U1736" t="s">
        <v>27</v>
      </c>
      <c r="V1736">
        <v>7.1999999999999995E-2</v>
      </c>
      <c r="W1736">
        <v>0.64800000000000002</v>
      </c>
      <c r="X1736">
        <v>0.39400000000000002</v>
      </c>
      <c r="Y1736" t="s">
        <v>27</v>
      </c>
      <c r="Z1736" t="s">
        <v>27</v>
      </c>
      <c r="AA1736" t="s">
        <v>27</v>
      </c>
      <c r="AB1736" t="s">
        <v>27</v>
      </c>
      <c r="AC1736" t="s">
        <v>27</v>
      </c>
      <c r="AD1736" t="s">
        <v>27</v>
      </c>
      <c r="AE1736" t="s">
        <v>27</v>
      </c>
      <c r="AF1736" t="s">
        <v>27</v>
      </c>
      <c r="AG1736">
        <v>16.43</v>
      </c>
    </row>
    <row r="1737" spans="1:33" x14ac:dyDescent="0.25">
      <c r="A1737" t="s">
        <v>57</v>
      </c>
      <c r="B1737" s="3">
        <v>45198</v>
      </c>
      <c r="C1737">
        <v>2023272</v>
      </c>
      <c r="D1737">
        <v>0</v>
      </c>
      <c r="E1737" t="s">
        <v>27</v>
      </c>
      <c r="F1737">
        <v>0.6</v>
      </c>
      <c r="G1737">
        <v>3.9</v>
      </c>
      <c r="H1737">
        <v>-2.2999999999999998</v>
      </c>
      <c r="I1737">
        <v>92.4</v>
      </c>
      <c r="J1737">
        <v>84.3</v>
      </c>
      <c r="K1737">
        <v>0.2</v>
      </c>
      <c r="L1737">
        <v>1.6</v>
      </c>
      <c r="M1737">
        <v>3.6</v>
      </c>
      <c r="N1737">
        <v>0</v>
      </c>
      <c r="O1737" t="s">
        <v>27</v>
      </c>
      <c r="P1737" t="s">
        <v>27</v>
      </c>
      <c r="Q1737" t="s">
        <v>27</v>
      </c>
      <c r="R1737" t="s">
        <v>27</v>
      </c>
      <c r="S1737">
        <v>2.5</v>
      </c>
      <c r="T1737">
        <v>6.3</v>
      </c>
      <c r="U1737" t="s">
        <v>27</v>
      </c>
      <c r="V1737">
        <v>8.5000000000000006E-2</v>
      </c>
      <c r="W1737">
        <v>0.68</v>
      </c>
      <c r="X1737">
        <v>0.127</v>
      </c>
      <c r="Y1737" t="s">
        <v>27</v>
      </c>
      <c r="Z1737" t="s">
        <v>27</v>
      </c>
      <c r="AA1737" t="s">
        <v>27</v>
      </c>
      <c r="AB1737" t="s">
        <v>27</v>
      </c>
      <c r="AC1737" t="s">
        <v>27</v>
      </c>
      <c r="AD1737" t="s">
        <v>27</v>
      </c>
      <c r="AE1737" t="s">
        <v>27</v>
      </c>
      <c r="AF1737" t="s">
        <v>27</v>
      </c>
      <c r="AG1737">
        <v>16.18</v>
      </c>
    </row>
    <row r="1738" spans="1:33" x14ac:dyDescent="0.25">
      <c r="A1738" t="s">
        <v>57</v>
      </c>
      <c r="B1738" s="3">
        <v>45199</v>
      </c>
      <c r="C1738">
        <v>2023273</v>
      </c>
      <c r="D1738">
        <v>0.22</v>
      </c>
      <c r="E1738" t="s">
        <v>27</v>
      </c>
      <c r="F1738">
        <v>3.2</v>
      </c>
      <c r="G1738">
        <v>7.7</v>
      </c>
      <c r="H1738">
        <v>0.6</v>
      </c>
      <c r="I1738">
        <v>87.8</v>
      </c>
      <c r="J1738">
        <v>63.5</v>
      </c>
      <c r="K1738">
        <v>1</v>
      </c>
      <c r="L1738">
        <v>2.8</v>
      </c>
      <c r="M1738">
        <v>0.1</v>
      </c>
      <c r="N1738">
        <v>0</v>
      </c>
      <c r="O1738" t="s">
        <v>27</v>
      </c>
      <c r="P1738" t="s">
        <v>27</v>
      </c>
      <c r="Q1738" t="s">
        <v>27</v>
      </c>
      <c r="R1738" t="s">
        <v>27</v>
      </c>
      <c r="S1738">
        <v>5.4</v>
      </c>
      <c r="T1738">
        <v>6.6</v>
      </c>
      <c r="U1738" t="s">
        <v>27</v>
      </c>
      <c r="V1738">
        <v>0.08</v>
      </c>
      <c r="W1738">
        <v>0.66600000000000004</v>
      </c>
      <c r="X1738">
        <v>0.38300000000000001</v>
      </c>
      <c r="Y1738" t="s">
        <v>27</v>
      </c>
      <c r="Z1738" t="s">
        <v>27</v>
      </c>
      <c r="AA1738" t="s">
        <v>27</v>
      </c>
      <c r="AB1738" t="s">
        <v>27</v>
      </c>
      <c r="AC1738" t="s">
        <v>27</v>
      </c>
      <c r="AD1738" t="s">
        <v>27</v>
      </c>
      <c r="AE1738" t="s">
        <v>27</v>
      </c>
      <c r="AF1738" t="s">
        <v>27</v>
      </c>
      <c r="AG1738">
        <v>15.93</v>
      </c>
    </row>
    <row r="1739" spans="1:33" x14ac:dyDescent="0.25">
      <c r="A1739" t="s">
        <v>57</v>
      </c>
      <c r="B1739" s="3">
        <v>45200</v>
      </c>
      <c r="C1739">
        <v>2023274</v>
      </c>
      <c r="D1739">
        <v>0.83</v>
      </c>
      <c r="E1739" t="s">
        <v>27</v>
      </c>
      <c r="F1739">
        <v>4.4000000000000004</v>
      </c>
      <c r="G1739">
        <v>12.2</v>
      </c>
      <c r="H1739">
        <v>-0.4</v>
      </c>
      <c r="I1739">
        <v>76.3</v>
      </c>
      <c r="J1739">
        <v>35.299999999999997</v>
      </c>
      <c r="K1739">
        <v>0.8</v>
      </c>
      <c r="L1739">
        <v>2.8</v>
      </c>
      <c r="M1739">
        <v>0</v>
      </c>
      <c r="N1739">
        <v>0</v>
      </c>
      <c r="O1739" t="s">
        <v>27</v>
      </c>
      <c r="P1739" t="s">
        <v>27</v>
      </c>
      <c r="Q1739" t="s">
        <v>27</v>
      </c>
      <c r="R1739" t="s">
        <v>27</v>
      </c>
      <c r="S1739">
        <v>4.4000000000000004</v>
      </c>
      <c r="T1739">
        <v>6.6</v>
      </c>
      <c r="U1739" t="s">
        <v>27</v>
      </c>
      <c r="V1739">
        <v>7.2999999999999995E-2</v>
      </c>
      <c r="W1739">
        <v>0.502</v>
      </c>
      <c r="X1739">
        <v>0.92</v>
      </c>
      <c r="Y1739" t="s">
        <v>27</v>
      </c>
      <c r="Z1739" t="s">
        <v>27</v>
      </c>
      <c r="AA1739" t="s">
        <v>27</v>
      </c>
      <c r="AB1739" t="s">
        <v>27</v>
      </c>
      <c r="AC1739" t="s">
        <v>27</v>
      </c>
      <c r="AD1739" t="s">
        <v>27</v>
      </c>
      <c r="AE1739" t="s">
        <v>27</v>
      </c>
      <c r="AF1739" t="s">
        <v>27</v>
      </c>
      <c r="AG1739">
        <v>15.69</v>
      </c>
    </row>
    <row r="1740" spans="1:33" x14ac:dyDescent="0.25">
      <c r="A1740" t="s">
        <v>57</v>
      </c>
      <c r="B1740" s="3">
        <v>45201</v>
      </c>
      <c r="C1740">
        <v>2023275</v>
      </c>
      <c r="D1740">
        <v>0.38</v>
      </c>
      <c r="E1740" t="s">
        <v>27</v>
      </c>
      <c r="F1740">
        <v>5.5</v>
      </c>
      <c r="G1740">
        <v>11</v>
      </c>
      <c r="H1740">
        <v>-1.2</v>
      </c>
      <c r="I1740">
        <v>83.4</v>
      </c>
      <c r="J1740">
        <v>56.9</v>
      </c>
      <c r="K1740">
        <v>0.5</v>
      </c>
      <c r="L1740">
        <v>2.9</v>
      </c>
      <c r="M1740">
        <v>2.5</v>
      </c>
      <c r="N1740">
        <v>0</v>
      </c>
      <c r="O1740" t="s">
        <v>27</v>
      </c>
      <c r="P1740" t="s">
        <v>27</v>
      </c>
      <c r="Q1740" t="s">
        <v>27</v>
      </c>
      <c r="R1740" t="s">
        <v>27</v>
      </c>
      <c r="S1740">
        <v>5.7</v>
      </c>
      <c r="T1740">
        <v>6.5</v>
      </c>
      <c r="U1740" t="s">
        <v>27</v>
      </c>
      <c r="V1740">
        <v>6.8000000000000005E-2</v>
      </c>
      <c r="W1740">
        <v>0.748</v>
      </c>
      <c r="X1740">
        <v>0.56699999999999995</v>
      </c>
      <c r="Y1740" t="s">
        <v>27</v>
      </c>
      <c r="Z1740" t="s">
        <v>27</v>
      </c>
      <c r="AA1740" t="s">
        <v>27</v>
      </c>
      <c r="AB1740" t="s">
        <v>27</v>
      </c>
      <c r="AC1740" t="s">
        <v>27</v>
      </c>
      <c r="AD1740" t="s">
        <v>27</v>
      </c>
      <c r="AE1740" t="s">
        <v>27</v>
      </c>
      <c r="AF1740" t="s">
        <v>27</v>
      </c>
      <c r="AG1740">
        <v>15.45</v>
      </c>
    </row>
    <row r="1741" spans="1:33" x14ac:dyDescent="0.25">
      <c r="A1741" t="s">
        <v>57</v>
      </c>
      <c r="B1741" s="3">
        <v>45202</v>
      </c>
      <c r="C1741">
        <v>2023276</v>
      </c>
      <c r="D1741">
        <v>0.6</v>
      </c>
      <c r="E1741" t="s">
        <v>27</v>
      </c>
      <c r="F1741">
        <v>6.3</v>
      </c>
      <c r="G1741">
        <v>12.8</v>
      </c>
      <c r="H1741">
        <v>1.8</v>
      </c>
      <c r="I1741">
        <v>83.2</v>
      </c>
      <c r="J1741">
        <v>50.5</v>
      </c>
      <c r="K1741">
        <v>0.5</v>
      </c>
      <c r="L1741">
        <v>2.7</v>
      </c>
      <c r="M1741">
        <v>0.1</v>
      </c>
      <c r="N1741">
        <v>0</v>
      </c>
      <c r="O1741" t="s">
        <v>27</v>
      </c>
      <c r="P1741" t="s">
        <v>27</v>
      </c>
      <c r="Q1741" t="s">
        <v>27</v>
      </c>
      <c r="R1741" t="s">
        <v>27</v>
      </c>
      <c r="S1741">
        <v>6.6</v>
      </c>
      <c r="T1741">
        <v>7.3</v>
      </c>
      <c r="U1741" t="s">
        <v>27</v>
      </c>
      <c r="V1741">
        <v>6.7000000000000004E-2</v>
      </c>
      <c r="W1741">
        <v>0.74399999999999999</v>
      </c>
      <c r="X1741">
        <v>0.72899999999999998</v>
      </c>
      <c r="Y1741" t="s">
        <v>27</v>
      </c>
      <c r="Z1741" t="s">
        <v>27</v>
      </c>
      <c r="AA1741" t="s">
        <v>27</v>
      </c>
      <c r="AB1741" t="s">
        <v>27</v>
      </c>
      <c r="AC1741" t="s">
        <v>27</v>
      </c>
      <c r="AD1741" t="s">
        <v>27</v>
      </c>
      <c r="AE1741" t="s">
        <v>27</v>
      </c>
      <c r="AF1741" t="s">
        <v>27</v>
      </c>
      <c r="AG1741">
        <v>15.2</v>
      </c>
    </row>
    <row r="1742" spans="1:33" x14ac:dyDescent="0.25">
      <c r="A1742" t="s">
        <v>57</v>
      </c>
      <c r="B1742" s="3">
        <v>45203</v>
      </c>
      <c r="C1742">
        <v>2023277</v>
      </c>
      <c r="D1742">
        <v>1.07</v>
      </c>
      <c r="E1742" t="s">
        <v>27</v>
      </c>
      <c r="F1742">
        <v>8.6</v>
      </c>
      <c r="G1742">
        <v>13.8</v>
      </c>
      <c r="H1742">
        <v>4.9000000000000004</v>
      </c>
      <c r="I1742">
        <v>75</v>
      </c>
      <c r="J1742">
        <v>53.1</v>
      </c>
      <c r="K1742">
        <v>1.2</v>
      </c>
      <c r="L1742">
        <v>3.4</v>
      </c>
      <c r="M1742">
        <v>0</v>
      </c>
      <c r="N1742">
        <v>0</v>
      </c>
      <c r="O1742" t="s">
        <v>27</v>
      </c>
      <c r="P1742" t="s">
        <v>27</v>
      </c>
      <c r="Q1742" t="s">
        <v>27</v>
      </c>
      <c r="R1742" t="s">
        <v>27</v>
      </c>
      <c r="S1742">
        <v>8.6999999999999993</v>
      </c>
      <c r="T1742">
        <v>7.8</v>
      </c>
      <c r="U1742" t="s">
        <v>27</v>
      </c>
      <c r="V1742">
        <v>6.3E-2</v>
      </c>
      <c r="W1742">
        <v>0.83599999999999997</v>
      </c>
      <c r="X1742">
        <v>0.73799999999999999</v>
      </c>
      <c r="Y1742" t="s">
        <v>27</v>
      </c>
      <c r="Z1742" t="s">
        <v>27</v>
      </c>
      <c r="AA1742" t="s">
        <v>27</v>
      </c>
      <c r="AB1742" t="s">
        <v>27</v>
      </c>
      <c r="AC1742" t="s">
        <v>27</v>
      </c>
      <c r="AD1742" t="s">
        <v>27</v>
      </c>
      <c r="AE1742" t="s">
        <v>27</v>
      </c>
      <c r="AF1742" t="s">
        <v>27</v>
      </c>
      <c r="AG1742">
        <v>14.96</v>
      </c>
    </row>
    <row r="1743" spans="1:33" x14ac:dyDescent="0.25">
      <c r="A1743" t="s">
        <v>57</v>
      </c>
      <c r="B1743" s="3">
        <v>45204</v>
      </c>
      <c r="C1743">
        <v>2023278</v>
      </c>
      <c r="D1743">
        <v>0.51</v>
      </c>
      <c r="E1743" t="s">
        <v>27</v>
      </c>
      <c r="F1743">
        <v>7.1</v>
      </c>
      <c r="G1743">
        <v>12.2</v>
      </c>
      <c r="H1743">
        <v>0.7</v>
      </c>
      <c r="I1743">
        <v>83.3</v>
      </c>
      <c r="J1743">
        <v>64.5</v>
      </c>
      <c r="K1743">
        <v>0.6</v>
      </c>
      <c r="L1743">
        <v>2.9</v>
      </c>
      <c r="M1743">
        <v>0</v>
      </c>
      <c r="N1743">
        <v>0</v>
      </c>
      <c r="O1743" t="s">
        <v>27</v>
      </c>
      <c r="P1743" t="s">
        <v>27</v>
      </c>
      <c r="Q1743" t="s">
        <v>27</v>
      </c>
      <c r="R1743" t="s">
        <v>27</v>
      </c>
      <c r="S1743">
        <v>7.2</v>
      </c>
      <c r="T1743">
        <v>8.3000000000000007</v>
      </c>
      <c r="U1743" t="s">
        <v>27</v>
      </c>
      <c r="V1743">
        <v>0.06</v>
      </c>
      <c r="W1743">
        <v>0.91400000000000003</v>
      </c>
      <c r="X1743">
        <v>0.503</v>
      </c>
      <c r="Y1743" t="s">
        <v>27</v>
      </c>
      <c r="Z1743" t="s">
        <v>27</v>
      </c>
      <c r="AA1743" t="s">
        <v>27</v>
      </c>
      <c r="AB1743" t="s">
        <v>27</v>
      </c>
      <c r="AC1743" t="s">
        <v>27</v>
      </c>
      <c r="AD1743" t="s">
        <v>27</v>
      </c>
      <c r="AE1743" t="s">
        <v>27</v>
      </c>
      <c r="AF1743" t="s">
        <v>27</v>
      </c>
      <c r="AG1743">
        <v>14.72</v>
      </c>
    </row>
    <row r="1744" spans="1:33" x14ac:dyDescent="0.25">
      <c r="A1744" t="s">
        <v>57</v>
      </c>
      <c r="B1744" s="3">
        <v>45205</v>
      </c>
      <c r="C1744">
        <v>2023279</v>
      </c>
      <c r="D1744">
        <v>1.86</v>
      </c>
      <c r="E1744" t="s">
        <v>27</v>
      </c>
      <c r="F1744">
        <v>7.1</v>
      </c>
      <c r="G1744">
        <v>19</v>
      </c>
      <c r="H1744">
        <v>-0.9</v>
      </c>
      <c r="I1744">
        <v>79.5</v>
      </c>
      <c r="J1744">
        <v>39.799999999999997</v>
      </c>
      <c r="K1744">
        <v>0.3</v>
      </c>
      <c r="L1744">
        <v>1.9</v>
      </c>
      <c r="M1744">
        <v>0</v>
      </c>
      <c r="N1744">
        <v>0</v>
      </c>
      <c r="O1744" t="s">
        <v>27</v>
      </c>
      <c r="P1744" t="s">
        <v>27</v>
      </c>
      <c r="Q1744" t="s">
        <v>27</v>
      </c>
      <c r="R1744" t="s">
        <v>27</v>
      </c>
      <c r="S1744">
        <v>5.6</v>
      </c>
      <c r="T1744">
        <v>7.2</v>
      </c>
      <c r="U1744" t="s">
        <v>27</v>
      </c>
      <c r="V1744">
        <v>5.7000000000000002E-2</v>
      </c>
      <c r="W1744">
        <v>0.875</v>
      </c>
      <c r="X1744">
        <v>1.323</v>
      </c>
      <c r="Y1744" t="s">
        <v>27</v>
      </c>
      <c r="Z1744" t="s">
        <v>27</v>
      </c>
      <c r="AA1744" t="s">
        <v>27</v>
      </c>
      <c r="AB1744" t="s">
        <v>27</v>
      </c>
      <c r="AC1744" t="s">
        <v>27</v>
      </c>
      <c r="AD1744" t="s">
        <v>27</v>
      </c>
      <c r="AE1744" t="s">
        <v>27</v>
      </c>
      <c r="AF1744" t="s">
        <v>27</v>
      </c>
      <c r="AG1744">
        <v>14.48</v>
      </c>
    </row>
    <row r="1745" spans="1:33" x14ac:dyDescent="0.25">
      <c r="A1745" t="s">
        <v>57</v>
      </c>
      <c r="B1745" s="3">
        <v>45206</v>
      </c>
      <c r="C1745">
        <v>2023280</v>
      </c>
      <c r="D1745">
        <v>2.0299999999999998</v>
      </c>
      <c r="E1745" t="s">
        <v>27</v>
      </c>
      <c r="F1745">
        <v>8.6</v>
      </c>
      <c r="G1745">
        <v>20.3</v>
      </c>
      <c r="H1745">
        <v>0.4</v>
      </c>
      <c r="I1745">
        <v>73.5</v>
      </c>
      <c r="J1745">
        <v>28.6</v>
      </c>
      <c r="K1745">
        <v>0.4</v>
      </c>
      <c r="L1745">
        <v>2.4</v>
      </c>
      <c r="M1745">
        <v>0</v>
      </c>
      <c r="N1745">
        <v>0</v>
      </c>
      <c r="O1745" t="s">
        <v>27</v>
      </c>
      <c r="P1745" t="s">
        <v>27</v>
      </c>
      <c r="Q1745" t="s">
        <v>27</v>
      </c>
      <c r="R1745" t="s">
        <v>27</v>
      </c>
      <c r="S1745">
        <v>6.4</v>
      </c>
      <c r="T1745">
        <v>7.1</v>
      </c>
      <c r="U1745" t="s">
        <v>27</v>
      </c>
      <c r="V1745">
        <v>5.3999999999999999E-2</v>
      </c>
      <c r="W1745">
        <v>0.67900000000000005</v>
      </c>
      <c r="X1745">
        <v>1.6950000000000001</v>
      </c>
      <c r="Y1745" t="s">
        <v>27</v>
      </c>
      <c r="Z1745" t="s">
        <v>27</v>
      </c>
      <c r="AA1745" t="s">
        <v>27</v>
      </c>
      <c r="AB1745" t="s">
        <v>27</v>
      </c>
      <c r="AC1745" t="s">
        <v>27</v>
      </c>
      <c r="AD1745" t="s">
        <v>27</v>
      </c>
      <c r="AE1745" t="s">
        <v>27</v>
      </c>
      <c r="AF1745" t="s">
        <v>27</v>
      </c>
      <c r="AG1745">
        <v>14.24</v>
      </c>
    </row>
    <row r="1746" spans="1:33" x14ac:dyDescent="0.25">
      <c r="A1746" t="s">
        <v>57</v>
      </c>
      <c r="B1746" s="3">
        <v>45207</v>
      </c>
      <c r="C1746">
        <v>2023281</v>
      </c>
      <c r="D1746">
        <v>2.0299999999999998</v>
      </c>
      <c r="E1746" t="s">
        <v>27</v>
      </c>
      <c r="F1746">
        <v>9.6999999999999993</v>
      </c>
      <c r="G1746">
        <v>20.3</v>
      </c>
      <c r="H1746">
        <v>1.9</v>
      </c>
      <c r="I1746">
        <v>76.099999999999994</v>
      </c>
      <c r="J1746">
        <v>38</v>
      </c>
      <c r="K1746">
        <v>0.6</v>
      </c>
      <c r="L1746">
        <v>3.3</v>
      </c>
      <c r="M1746">
        <v>0</v>
      </c>
      <c r="N1746">
        <v>0</v>
      </c>
      <c r="O1746" t="s">
        <v>27</v>
      </c>
      <c r="P1746" t="s">
        <v>27</v>
      </c>
      <c r="Q1746" t="s">
        <v>27</v>
      </c>
      <c r="R1746" t="s">
        <v>27</v>
      </c>
      <c r="S1746">
        <v>7.6</v>
      </c>
      <c r="T1746">
        <v>7.5</v>
      </c>
      <c r="U1746" t="s">
        <v>27</v>
      </c>
      <c r="V1746">
        <v>5.1999999999999998E-2</v>
      </c>
      <c r="W1746">
        <v>0.90300000000000002</v>
      </c>
      <c r="X1746">
        <v>1.4730000000000001</v>
      </c>
      <c r="Y1746" t="s">
        <v>27</v>
      </c>
      <c r="Z1746" t="s">
        <v>27</v>
      </c>
      <c r="AA1746" t="s">
        <v>27</v>
      </c>
      <c r="AB1746" t="s">
        <v>27</v>
      </c>
      <c r="AC1746" t="s">
        <v>27</v>
      </c>
      <c r="AD1746" t="s">
        <v>27</v>
      </c>
      <c r="AE1746" t="s">
        <v>27</v>
      </c>
      <c r="AF1746" t="s">
        <v>27</v>
      </c>
      <c r="AG1746">
        <v>14.01</v>
      </c>
    </row>
    <row r="1747" spans="1:33" x14ac:dyDescent="0.25">
      <c r="A1747" t="s">
        <v>57</v>
      </c>
      <c r="B1747" s="3">
        <v>45208</v>
      </c>
      <c r="C1747">
        <v>2023282</v>
      </c>
      <c r="D1747">
        <v>1.1100000000000001</v>
      </c>
      <c r="E1747" t="s">
        <v>27</v>
      </c>
      <c r="F1747">
        <v>10.199999999999999</v>
      </c>
      <c r="G1747">
        <v>16.8</v>
      </c>
      <c r="H1747">
        <v>3.2</v>
      </c>
      <c r="I1747">
        <v>73.900000000000006</v>
      </c>
      <c r="J1747">
        <v>45.4</v>
      </c>
      <c r="K1747">
        <v>0.7</v>
      </c>
      <c r="L1747">
        <v>2.9</v>
      </c>
      <c r="M1747">
        <v>0.1</v>
      </c>
      <c r="N1747">
        <v>0</v>
      </c>
      <c r="O1747" t="s">
        <v>27</v>
      </c>
      <c r="P1747" t="s">
        <v>27</v>
      </c>
      <c r="Q1747" t="s">
        <v>27</v>
      </c>
      <c r="R1747" t="s">
        <v>27</v>
      </c>
      <c r="S1747">
        <v>8.3000000000000007</v>
      </c>
      <c r="T1747">
        <v>7.8</v>
      </c>
      <c r="U1747" t="s">
        <v>27</v>
      </c>
      <c r="V1747">
        <v>0.05</v>
      </c>
      <c r="W1747">
        <v>0.87</v>
      </c>
      <c r="X1747">
        <v>1.046</v>
      </c>
      <c r="Y1747" t="s">
        <v>27</v>
      </c>
      <c r="Z1747" t="s">
        <v>27</v>
      </c>
      <c r="AA1747" t="s">
        <v>27</v>
      </c>
      <c r="AB1747" t="s">
        <v>27</v>
      </c>
      <c r="AC1747" t="s">
        <v>27</v>
      </c>
      <c r="AD1747" t="s">
        <v>27</v>
      </c>
      <c r="AE1747" t="s">
        <v>27</v>
      </c>
      <c r="AF1747" t="s">
        <v>27</v>
      </c>
      <c r="AG1747">
        <v>13.78</v>
      </c>
    </row>
    <row r="1748" spans="1:33" x14ac:dyDescent="0.25">
      <c r="A1748" t="s">
        <v>57</v>
      </c>
      <c r="B1748" s="3">
        <v>45209</v>
      </c>
      <c r="C1748">
        <v>2023283</v>
      </c>
      <c r="D1748">
        <v>0</v>
      </c>
      <c r="E1748" t="s">
        <v>27</v>
      </c>
      <c r="F1748">
        <v>5.9</v>
      </c>
      <c r="G1748">
        <v>8.1999999999999993</v>
      </c>
      <c r="H1748">
        <v>3.4</v>
      </c>
      <c r="I1748">
        <v>82.6</v>
      </c>
      <c r="J1748">
        <v>61.7</v>
      </c>
      <c r="K1748">
        <v>0.9</v>
      </c>
      <c r="L1748">
        <v>3.4</v>
      </c>
      <c r="M1748">
        <v>0.8</v>
      </c>
      <c r="N1748">
        <v>0</v>
      </c>
      <c r="O1748" t="s">
        <v>27</v>
      </c>
      <c r="P1748" t="s">
        <v>27</v>
      </c>
      <c r="Q1748" t="s">
        <v>27</v>
      </c>
      <c r="R1748" t="s">
        <v>27</v>
      </c>
      <c r="S1748">
        <v>7</v>
      </c>
      <c r="T1748">
        <v>8</v>
      </c>
      <c r="U1748" t="s">
        <v>27</v>
      </c>
      <c r="V1748">
        <v>4.8000000000000001E-2</v>
      </c>
      <c r="W1748">
        <v>0.67200000000000004</v>
      </c>
      <c r="X1748">
        <v>0.41699999999999998</v>
      </c>
      <c r="Y1748" t="s">
        <v>27</v>
      </c>
      <c r="Z1748" t="s">
        <v>27</v>
      </c>
      <c r="AA1748" t="s">
        <v>27</v>
      </c>
      <c r="AB1748" t="s">
        <v>27</v>
      </c>
      <c r="AC1748" t="s">
        <v>27</v>
      </c>
      <c r="AD1748" t="s">
        <v>27</v>
      </c>
      <c r="AE1748" t="s">
        <v>27</v>
      </c>
      <c r="AF1748" t="s">
        <v>27</v>
      </c>
      <c r="AG1748">
        <v>13.55</v>
      </c>
    </row>
    <row r="1749" spans="1:33" x14ac:dyDescent="0.25">
      <c r="A1749" t="s">
        <v>57</v>
      </c>
      <c r="B1749" s="3">
        <v>45210</v>
      </c>
      <c r="C1749">
        <v>2023284</v>
      </c>
      <c r="D1749">
        <v>0</v>
      </c>
      <c r="E1749" t="s">
        <v>27</v>
      </c>
      <c r="F1749">
        <v>3.4</v>
      </c>
      <c r="G1749">
        <v>7.7</v>
      </c>
      <c r="H1749">
        <v>-2.2000000000000002</v>
      </c>
      <c r="I1749">
        <v>87.8</v>
      </c>
      <c r="J1749">
        <v>66.099999999999994</v>
      </c>
      <c r="K1749">
        <v>0.3</v>
      </c>
      <c r="L1749">
        <v>2</v>
      </c>
      <c r="M1749">
        <v>0.1</v>
      </c>
      <c r="N1749">
        <v>0</v>
      </c>
      <c r="O1749" t="s">
        <v>27</v>
      </c>
      <c r="P1749" t="s">
        <v>27</v>
      </c>
      <c r="Q1749" t="s">
        <v>27</v>
      </c>
      <c r="R1749" t="s">
        <v>27</v>
      </c>
      <c r="S1749">
        <v>5.5</v>
      </c>
      <c r="T1749">
        <v>7.3</v>
      </c>
      <c r="U1749" t="s">
        <v>27</v>
      </c>
      <c r="V1749">
        <v>4.7E-2</v>
      </c>
      <c r="W1749">
        <v>0.69499999999999995</v>
      </c>
      <c r="X1749">
        <v>0.35599999999999998</v>
      </c>
      <c r="Y1749" t="s">
        <v>27</v>
      </c>
      <c r="Z1749" t="s">
        <v>27</v>
      </c>
      <c r="AA1749" t="s">
        <v>27</v>
      </c>
      <c r="AB1749" t="s">
        <v>27</v>
      </c>
      <c r="AC1749" t="s">
        <v>27</v>
      </c>
      <c r="AD1749" t="s">
        <v>27</v>
      </c>
      <c r="AE1749" t="s">
        <v>27</v>
      </c>
      <c r="AF1749" t="s">
        <v>27</v>
      </c>
      <c r="AG1749">
        <v>13.32</v>
      </c>
    </row>
    <row r="1750" spans="1:33" x14ac:dyDescent="0.25">
      <c r="A1750" t="s">
        <v>57</v>
      </c>
      <c r="B1750" s="3">
        <v>45211</v>
      </c>
      <c r="C1750">
        <v>2023285</v>
      </c>
      <c r="D1750">
        <v>0.72</v>
      </c>
      <c r="E1750" t="s">
        <v>27</v>
      </c>
      <c r="F1750">
        <v>2.9</v>
      </c>
      <c r="G1750">
        <v>12.3</v>
      </c>
      <c r="H1750">
        <v>-3.1</v>
      </c>
      <c r="I1750">
        <v>83.7</v>
      </c>
      <c r="J1750">
        <v>50.2</v>
      </c>
      <c r="K1750">
        <v>0.3</v>
      </c>
      <c r="L1750">
        <v>1.9</v>
      </c>
      <c r="M1750">
        <v>0</v>
      </c>
      <c r="N1750">
        <v>0</v>
      </c>
      <c r="O1750" t="s">
        <v>27</v>
      </c>
      <c r="P1750" t="s">
        <v>27</v>
      </c>
      <c r="Q1750" t="s">
        <v>27</v>
      </c>
      <c r="R1750" t="s">
        <v>27</v>
      </c>
      <c r="S1750">
        <v>2.2999999999999998</v>
      </c>
      <c r="T1750">
        <v>5.8</v>
      </c>
      <c r="U1750" t="s">
        <v>27</v>
      </c>
      <c r="V1750">
        <v>4.5999999999999999E-2</v>
      </c>
      <c r="W1750">
        <v>0.71699999999999997</v>
      </c>
      <c r="X1750">
        <v>0.71099999999999997</v>
      </c>
      <c r="Y1750" t="s">
        <v>27</v>
      </c>
      <c r="Z1750" t="s">
        <v>27</v>
      </c>
      <c r="AA1750" t="s">
        <v>27</v>
      </c>
      <c r="AB1750" t="s">
        <v>27</v>
      </c>
      <c r="AC1750" t="s">
        <v>27</v>
      </c>
      <c r="AD1750" t="s">
        <v>27</v>
      </c>
      <c r="AE1750" t="s">
        <v>27</v>
      </c>
      <c r="AF1750" t="s">
        <v>27</v>
      </c>
      <c r="AG1750">
        <v>13.09</v>
      </c>
    </row>
    <row r="1751" spans="1:33" x14ac:dyDescent="0.25">
      <c r="A1751" t="s">
        <v>57</v>
      </c>
      <c r="B1751" s="3">
        <v>45212</v>
      </c>
      <c r="C1751">
        <v>2023286</v>
      </c>
      <c r="D1751">
        <v>0.61</v>
      </c>
      <c r="E1751" t="s">
        <v>27</v>
      </c>
      <c r="F1751">
        <v>6.3</v>
      </c>
      <c r="G1751">
        <v>10.6</v>
      </c>
      <c r="H1751">
        <v>0.3</v>
      </c>
      <c r="I1751">
        <v>73.3</v>
      </c>
      <c r="J1751">
        <v>55.5</v>
      </c>
      <c r="K1751">
        <v>1.2</v>
      </c>
      <c r="L1751">
        <v>3.1</v>
      </c>
      <c r="M1751">
        <v>0</v>
      </c>
      <c r="N1751">
        <v>0</v>
      </c>
      <c r="O1751" t="s">
        <v>27</v>
      </c>
      <c r="P1751" t="s">
        <v>27</v>
      </c>
      <c r="Q1751" t="s">
        <v>27</v>
      </c>
      <c r="R1751" t="s">
        <v>27</v>
      </c>
      <c r="S1751">
        <v>4.4000000000000004</v>
      </c>
      <c r="T1751">
        <v>5.7</v>
      </c>
      <c r="U1751" t="s">
        <v>27</v>
      </c>
      <c r="V1751">
        <v>4.4999999999999998E-2</v>
      </c>
      <c r="W1751">
        <v>0.71099999999999997</v>
      </c>
      <c r="X1751">
        <v>0.56999999999999995</v>
      </c>
      <c r="Y1751" t="s">
        <v>27</v>
      </c>
      <c r="Z1751" t="s">
        <v>27</v>
      </c>
      <c r="AA1751" t="s">
        <v>27</v>
      </c>
      <c r="AB1751" t="s">
        <v>27</v>
      </c>
      <c r="AC1751" t="s">
        <v>27</v>
      </c>
      <c r="AD1751" t="s">
        <v>27</v>
      </c>
      <c r="AE1751" t="s">
        <v>27</v>
      </c>
      <c r="AF1751" t="s">
        <v>27</v>
      </c>
      <c r="AG1751">
        <v>12.87</v>
      </c>
    </row>
    <row r="1752" spans="1:33" x14ac:dyDescent="0.25">
      <c r="A1752" t="s">
        <v>57</v>
      </c>
      <c r="B1752" s="3">
        <v>45213</v>
      </c>
      <c r="C1752">
        <v>2023287</v>
      </c>
      <c r="D1752">
        <v>0.3</v>
      </c>
      <c r="E1752" t="s">
        <v>27</v>
      </c>
      <c r="F1752">
        <v>5.8</v>
      </c>
      <c r="G1752">
        <v>11.1</v>
      </c>
      <c r="H1752">
        <v>2.8</v>
      </c>
      <c r="I1752">
        <v>82.4</v>
      </c>
      <c r="J1752">
        <v>57.5</v>
      </c>
      <c r="K1752">
        <v>0.6</v>
      </c>
      <c r="L1752">
        <v>2.4</v>
      </c>
      <c r="M1752">
        <v>1.3</v>
      </c>
      <c r="N1752">
        <v>0</v>
      </c>
      <c r="O1752" t="s">
        <v>27</v>
      </c>
      <c r="P1752" t="s">
        <v>27</v>
      </c>
      <c r="Q1752" t="s">
        <v>27</v>
      </c>
      <c r="R1752" t="s">
        <v>27</v>
      </c>
      <c r="S1752">
        <v>5.8</v>
      </c>
      <c r="T1752">
        <v>6.2</v>
      </c>
      <c r="U1752" t="s">
        <v>27</v>
      </c>
      <c r="V1752">
        <v>4.3999999999999997E-2</v>
      </c>
      <c r="W1752">
        <v>0.75900000000000001</v>
      </c>
      <c r="X1752">
        <v>0.56100000000000005</v>
      </c>
      <c r="Y1752" t="s">
        <v>27</v>
      </c>
      <c r="Z1752" t="s">
        <v>27</v>
      </c>
      <c r="AA1752" t="s">
        <v>27</v>
      </c>
      <c r="AB1752" t="s">
        <v>27</v>
      </c>
      <c r="AC1752" t="s">
        <v>27</v>
      </c>
      <c r="AD1752" t="s">
        <v>27</v>
      </c>
      <c r="AE1752" t="s">
        <v>27</v>
      </c>
      <c r="AF1752" t="s">
        <v>27</v>
      </c>
      <c r="AG1752">
        <v>12.65</v>
      </c>
    </row>
    <row r="1753" spans="1:33" x14ac:dyDescent="0.25">
      <c r="A1753" t="s">
        <v>57</v>
      </c>
      <c r="B1753" s="3">
        <v>45214</v>
      </c>
      <c r="C1753">
        <v>2023288</v>
      </c>
      <c r="D1753">
        <v>0.34</v>
      </c>
      <c r="E1753" t="s">
        <v>27</v>
      </c>
      <c r="F1753">
        <v>5.8</v>
      </c>
      <c r="G1753">
        <v>10</v>
      </c>
      <c r="H1753">
        <v>0</v>
      </c>
      <c r="I1753">
        <v>87.3</v>
      </c>
      <c r="J1753">
        <v>61.7</v>
      </c>
      <c r="K1753">
        <v>0.5</v>
      </c>
      <c r="L1753">
        <v>2.1</v>
      </c>
      <c r="M1753">
        <v>2.7</v>
      </c>
      <c r="N1753">
        <v>0</v>
      </c>
      <c r="O1753" t="s">
        <v>27</v>
      </c>
      <c r="P1753" t="s">
        <v>27</v>
      </c>
      <c r="Q1753" t="s">
        <v>27</v>
      </c>
      <c r="R1753" t="s">
        <v>27</v>
      </c>
      <c r="S1753">
        <v>5.4</v>
      </c>
      <c r="T1753">
        <v>6.3</v>
      </c>
      <c r="U1753" t="s">
        <v>27</v>
      </c>
      <c r="V1753">
        <v>4.2999999999999997E-2</v>
      </c>
      <c r="W1753">
        <v>0.75800000000000001</v>
      </c>
      <c r="X1753">
        <v>0.47099999999999997</v>
      </c>
      <c r="Y1753" t="s">
        <v>27</v>
      </c>
      <c r="Z1753" t="s">
        <v>27</v>
      </c>
      <c r="AA1753" t="s">
        <v>27</v>
      </c>
      <c r="AB1753" t="s">
        <v>27</v>
      </c>
      <c r="AC1753" t="s">
        <v>27</v>
      </c>
      <c r="AD1753" t="s">
        <v>27</v>
      </c>
      <c r="AE1753" t="s">
        <v>27</v>
      </c>
      <c r="AF1753" t="s">
        <v>27</v>
      </c>
      <c r="AG1753">
        <v>12.43</v>
      </c>
    </row>
    <row r="1754" spans="1:33" x14ac:dyDescent="0.25">
      <c r="A1754" t="s">
        <v>57</v>
      </c>
      <c r="B1754" s="3">
        <v>45215</v>
      </c>
      <c r="C1754">
        <v>2023289</v>
      </c>
      <c r="D1754">
        <v>0.59</v>
      </c>
      <c r="E1754" t="s">
        <v>27</v>
      </c>
      <c r="F1754">
        <v>7.4</v>
      </c>
      <c r="G1754">
        <v>11.7</v>
      </c>
      <c r="H1754">
        <v>0.6</v>
      </c>
      <c r="I1754">
        <v>85.2</v>
      </c>
      <c r="J1754">
        <v>64</v>
      </c>
      <c r="K1754">
        <v>0.9</v>
      </c>
      <c r="L1754">
        <v>2.8</v>
      </c>
      <c r="M1754">
        <v>8.3000000000000007</v>
      </c>
      <c r="N1754">
        <v>0</v>
      </c>
      <c r="O1754" t="s">
        <v>27</v>
      </c>
      <c r="P1754" t="s">
        <v>27</v>
      </c>
      <c r="Q1754" t="s">
        <v>27</v>
      </c>
      <c r="R1754" t="s">
        <v>27</v>
      </c>
      <c r="S1754">
        <v>7.1</v>
      </c>
      <c r="T1754">
        <v>7.1</v>
      </c>
      <c r="U1754" t="s">
        <v>27</v>
      </c>
      <c r="V1754">
        <v>0.05</v>
      </c>
      <c r="W1754">
        <v>0.877</v>
      </c>
      <c r="X1754">
        <v>0.49299999999999999</v>
      </c>
      <c r="Y1754" t="s">
        <v>27</v>
      </c>
      <c r="Z1754" t="s">
        <v>27</v>
      </c>
      <c r="AA1754" t="s">
        <v>27</v>
      </c>
      <c r="AB1754" t="s">
        <v>27</v>
      </c>
      <c r="AC1754" t="s">
        <v>27</v>
      </c>
      <c r="AD1754" t="s">
        <v>27</v>
      </c>
      <c r="AE1754" t="s">
        <v>27</v>
      </c>
      <c r="AF1754" t="s">
        <v>27</v>
      </c>
      <c r="AG1754">
        <v>12.21</v>
      </c>
    </row>
    <row r="1755" spans="1:33" x14ac:dyDescent="0.25">
      <c r="A1755" t="s">
        <v>57</v>
      </c>
      <c r="B1755" s="3">
        <v>45216</v>
      </c>
      <c r="C1755">
        <v>2023290</v>
      </c>
      <c r="D1755">
        <v>0.38</v>
      </c>
      <c r="E1755" t="s">
        <v>27</v>
      </c>
      <c r="F1755">
        <v>3.3</v>
      </c>
      <c r="G1755">
        <v>8.6</v>
      </c>
      <c r="H1755">
        <v>0.5</v>
      </c>
      <c r="I1755">
        <v>75.5</v>
      </c>
      <c r="J1755">
        <v>44.2</v>
      </c>
      <c r="K1755">
        <v>1.1000000000000001</v>
      </c>
      <c r="L1755">
        <v>3.7</v>
      </c>
      <c r="M1755">
        <v>2.6</v>
      </c>
      <c r="N1755">
        <v>0</v>
      </c>
      <c r="O1755" t="s">
        <v>27</v>
      </c>
      <c r="P1755" t="s">
        <v>27</v>
      </c>
      <c r="Q1755" t="s">
        <v>27</v>
      </c>
      <c r="R1755" t="s">
        <v>27</v>
      </c>
      <c r="S1755">
        <v>3</v>
      </c>
      <c r="T1755">
        <v>5.6</v>
      </c>
      <c r="U1755" t="s">
        <v>27</v>
      </c>
      <c r="V1755">
        <v>7.6999999999999999E-2</v>
      </c>
      <c r="W1755">
        <v>0.49199999999999999</v>
      </c>
      <c r="X1755">
        <v>0.621</v>
      </c>
      <c r="Y1755" t="s">
        <v>27</v>
      </c>
      <c r="Z1755" t="s">
        <v>27</v>
      </c>
      <c r="AA1755" t="s">
        <v>27</v>
      </c>
      <c r="AB1755" t="s">
        <v>27</v>
      </c>
      <c r="AC1755" t="s">
        <v>27</v>
      </c>
      <c r="AD1755" t="s">
        <v>27</v>
      </c>
      <c r="AE1755" t="s">
        <v>27</v>
      </c>
      <c r="AF1755" t="s">
        <v>27</v>
      </c>
      <c r="AG1755">
        <v>11.99</v>
      </c>
    </row>
    <row r="1756" spans="1:33" x14ac:dyDescent="0.25">
      <c r="A1756" t="s">
        <v>57</v>
      </c>
      <c r="B1756" s="3">
        <v>45217</v>
      </c>
      <c r="C1756">
        <v>2023291</v>
      </c>
      <c r="D1756">
        <v>0.2</v>
      </c>
      <c r="E1756" t="s">
        <v>27</v>
      </c>
      <c r="F1756">
        <v>5.5</v>
      </c>
      <c r="G1756">
        <v>8.5</v>
      </c>
      <c r="H1756">
        <v>2.4</v>
      </c>
      <c r="I1756">
        <v>90.7</v>
      </c>
      <c r="J1756">
        <v>77.900000000000006</v>
      </c>
      <c r="K1756">
        <v>0.4</v>
      </c>
      <c r="L1756">
        <v>1.6</v>
      </c>
      <c r="M1756">
        <v>1</v>
      </c>
      <c r="N1756">
        <v>0</v>
      </c>
      <c r="O1756" t="s">
        <v>27</v>
      </c>
      <c r="P1756" t="s">
        <v>27</v>
      </c>
      <c r="Q1756" t="s">
        <v>27</v>
      </c>
      <c r="R1756" t="s">
        <v>27</v>
      </c>
      <c r="S1756">
        <v>6.6</v>
      </c>
      <c r="T1756">
        <v>6.2</v>
      </c>
      <c r="U1756" t="s">
        <v>27</v>
      </c>
      <c r="V1756">
        <v>8.8999999999999996E-2</v>
      </c>
      <c r="W1756">
        <v>0.86599999999999999</v>
      </c>
      <c r="X1756">
        <v>0.246</v>
      </c>
      <c r="Y1756" t="s">
        <v>27</v>
      </c>
      <c r="Z1756" t="s">
        <v>27</v>
      </c>
      <c r="AA1756" t="s">
        <v>27</v>
      </c>
      <c r="AB1756" t="s">
        <v>27</v>
      </c>
      <c r="AC1756" t="s">
        <v>27</v>
      </c>
      <c r="AD1756" t="s">
        <v>27</v>
      </c>
      <c r="AE1756" t="s">
        <v>27</v>
      </c>
      <c r="AF1756" t="s">
        <v>27</v>
      </c>
      <c r="AG1756">
        <v>11.78</v>
      </c>
    </row>
    <row r="1757" spans="1:33" x14ac:dyDescent="0.25">
      <c r="A1757" t="s">
        <v>57</v>
      </c>
      <c r="B1757" s="3">
        <v>45218</v>
      </c>
      <c r="C1757">
        <v>2023292</v>
      </c>
      <c r="D1757">
        <v>1.1200000000000001</v>
      </c>
      <c r="E1757" t="s">
        <v>27</v>
      </c>
      <c r="F1757">
        <v>8.1999999999999993</v>
      </c>
      <c r="G1757">
        <v>15.8</v>
      </c>
      <c r="H1757">
        <v>-0.6</v>
      </c>
      <c r="I1757">
        <v>78.400000000000006</v>
      </c>
      <c r="J1757">
        <v>51.5</v>
      </c>
      <c r="K1757">
        <v>0.6</v>
      </c>
      <c r="L1757">
        <v>2.8</v>
      </c>
      <c r="M1757">
        <v>0</v>
      </c>
      <c r="N1757">
        <v>0</v>
      </c>
      <c r="O1757" t="s">
        <v>27</v>
      </c>
      <c r="P1757" t="s">
        <v>27</v>
      </c>
      <c r="Q1757" t="s">
        <v>27</v>
      </c>
      <c r="R1757" t="s">
        <v>27</v>
      </c>
      <c r="S1757">
        <v>5.9</v>
      </c>
      <c r="T1757">
        <v>6.4</v>
      </c>
      <c r="U1757" t="s">
        <v>27</v>
      </c>
      <c r="V1757">
        <v>7.4999999999999997E-2</v>
      </c>
      <c r="W1757">
        <v>0.92400000000000004</v>
      </c>
      <c r="X1757">
        <v>0.87</v>
      </c>
      <c r="Y1757" t="s">
        <v>27</v>
      </c>
      <c r="Z1757" t="s">
        <v>27</v>
      </c>
      <c r="AA1757" t="s">
        <v>27</v>
      </c>
      <c r="AB1757" t="s">
        <v>27</v>
      </c>
      <c r="AC1757" t="s">
        <v>27</v>
      </c>
      <c r="AD1757" t="s">
        <v>27</v>
      </c>
      <c r="AE1757" t="s">
        <v>27</v>
      </c>
      <c r="AF1757" t="s">
        <v>27</v>
      </c>
      <c r="AG1757">
        <v>11.57</v>
      </c>
    </row>
    <row r="1758" spans="1:33" x14ac:dyDescent="0.25">
      <c r="A1758" t="s">
        <v>57</v>
      </c>
      <c r="B1758" s="3">
        <v>45219</v>
      </c>
      <c r="C1758">
        <v>2023293</v>
      </c>
      <c r="D1758">
        <v>0.31</v>
      </c>
      <c r="E1758" t="s">
        <v>27</v>
      </c>
      <c r="F1758">
        <v>5.7</v>
      </c>
      <c r="G1758">
        <v>9.3000000000000007</v>
      </c>
      <c r="H1758">
        <v>-1.4</v>
      </c>
      <c r="I1758">
        <v>78.5</v>
      </c>
      <c r="J1758">
        <v>56.9</v>
      </c>
      <c r="K1758">
        <v>0.7</v>
      </c>
      <c r="L1758">
        <v>2.4</v>
      </c>
      <c r="M1758">
        <v>0</v>
      </c>
      <c r="N1758">
        <v>0</v>
      </c>
      <c r="O1758" t="s">
        <v>27</v>
      </c>
      <c r="P1758" t="s">
        <v>27</v>
      </c>
      <c r="Q1758" t="s">
        <v>27</v>
      </c>
      <c r="R1758" t="s">
        <v>27</v>
      </c>
      <c r="S1758">
        <v>5.3</v>
      </c>
      <c r="T1758">
        <v>6.8</v>
      </c>
      <c r="U1758" t="s">
        <v>27</v>
      </c>
      <c r="V1758">
        <v>6.9000000000000006E-2</v>
      </c>
      <c r="W1758">
        <v>0.66500000000000004</v>
      </c>
      <c r="X1758">
        <v>0.504</v>
      </c>
      <c r="Y1758" t="s">
        <v>27</v>
      </c>
      <c r="Z1758" t="s">
        <v>27</v>
      </c>
      <c r="AA1758" t="s">
        <v>27</v>
      </c>
      <c r="AB1758" t="s">
        <v>27</v>
      </c>
      <c r="AC1758" t="s">
        <v>27</v>
      </c>
      <c r="AD1758" t="s">
        <v>27</v>
      </c>
      <c r="AE1758" t="s">
        <v>27</v>
      </c>
      <c r="AF1758" t="s">
        <v>27</v>
      </c>
      <c r="AG1758">
        <v>11.36</v>
      </c>
    </row>
    <row r="1759" spans="1:33" x14ac:dyDescent="0.25">
      <c r="A1759" t="s">
        <v>57</v>
      </c>
      <c r="B1759" s="3">
        <v>45220</v>
      </c>
      <c r="C1759">
        <v>2023294</v>
      </c>
      <c r="D1759">
        <v>0.39</v>
      </c>
      <c r="E1759" t="s">
        <v>27</v>
      </c>
      <c r="F1759">
        <v>5</v>
      </c>
      <c r="G1759">
        <v>11.2</v>
      </c>
      <c r="H1759">
        <v>-1.1000000000000001</v>
      </c>
      <c r="I1759">
        <v>76.599999999999994</v>
      </c>
      <c r="J1759">
        <v>43.6</v>
      </c>
      <c r="K1759">
        <v>0.3</v>
      </c>
      <c r="L1759">
        <v>1.9</v>
      </c>
      <c r="M1759">
        <v>0</v>
      </c>
      <c r="N1759">
        <v>0</v>
      </c>
      <c r="O1759" t="s">
        <v>27</v>
      </c>
      <c r="P1759" t="s">
        <v>27</v>
      </c>
      <c r="Q1759" t="s">
        <v>27</v>
      </c>
      <c r="R1759" t="s">
        <v>27</v>
      </c>
      <c r="S1759">
        <v>4.2</v>
      </c>
      <c r="T1759">
        <v>5.7</v>
      </c>
      <c r="U1759" t="s">
        <v>27</v>
      </c>
      <c r="V1759">
        <v>6.6000000000000003E-2</v>
      </c>
      <c r="W1759">
        <v>0.58099999999999996</v>
      </c>
      <c r="X1759">
        <v>0.752</v>
      </c>
      <c r="Y1759" t="s">
        <v>27</v>
      </c>
      <c r="Z1759" t="s">
        <v>27</v>
      </c>
      <c r="AA1759" t="s">
        <v>27</v>
      </c>
      <c r="AB1759" t="s">
        <v>27</v>
      </c>
      <c r="AC1759" t="s">
        <v>27</v>
      </c>
      <c r="AD1759" t="s">
        <v>27</v>
      </c>
      <c r="AE1759" t="s">
        <v>27</v>
      </c>
      <c r="AF1759" t="s">
        <v>27</v>
      </c>
      <c r="AG1759">
        <v>11.15</v>
      </c>
    </row>
    <row r="1760" spans="1:33" x14ac:dyDescent="0.25">
      <c r="A1760" t="s">
        <v>57</v>
      </c>
      <c r="B1760" s="3">
        <v>45221</v>
      </c>
      <c r="C1760">
        <v>2023295</v>
      </c>
      <c r="D1760">
        <v>0.25</v>
      </c>
      <c r="E1760" t="s">
        <v>27</v>
      </c>
      <c r="F1760">
        <v>3.2</v>
      </c>
      <c r="G1760">
        <v>9.3000000000000007</v>
      </c>
      <c r="H1760">
        <v>-3.4</v>
      </c>
      <c r="I1760">
        <v>79.3</v>
      </c>
      <c r="J1760">
        <v>56.4</v>
      </c>
      <c r="K1760">
        <v>0.5</v>
      </c>
      <c r="L1760">
        <v>1.9</v>
      </c>
      <c r="M1760">
        <v>0</v>
      </c>
      <c r="N1760">
        <v>0</v>
      </c>
      <c r="O1760" t="s">
        <v>27</v>
      </c>
      <c r="P1760" t="s">
        <v>27</v>
      </c>
      <c r="Q1760" t="s">
        <v>27</v>
      </c>
      <c r="R1760" t="s">
        <v>27</v>
      </c>
      <c r="S1760">
        <v>3.7</v>
      </c>
      <c r="T1760">
        <v>5.8</v>
      </c>
      <c r="U1760" t="s">
        <v>27</v>
      </c>
      <c r="V1760">
        <v>6.3E-2</v>
      </c>
      <c r="W1760">
        <v>0.66200000000000003</v>
      </c>
      <c r="X1760">
        <v>0.51200000000000001</v>
      </c>
      <c r="Y1760" t="s">
        <v>27</v>
      </c>
      <c r="Z1760" t="s">
        <v>27</v>
      </c>
      <c r="AA1760" t="s">
        <v>27</v>
      </c>
      <c r="AB1760" t="s">
        <v>27</v>
      </c>
      <c r="AC1760" t="s">
        <v>27</v>
      </c>
      <c r="AD1760" t="s">
        <v>27</v>
      </c>
      <c r="AE1760" t="s">
        <v>27</v>
      </c>
      <c r="AF1760" t="s">
        <v>27</v>
      </c>
      <c r="AG1760">
        <v>10.95</v>
      </c>
    </row>
    <row r="1761" spans="1:33" x14ac:dyDescent="0.25">
      <c r="A1761" t="s">
        <v>57</v>
      </c>
      <c r="B1761" s="3">
        <v>45222</v>
      </c>
      <c r="C1761">
        <v>2023296</v>
      </c>
      <c r="D1761">
        <v>1.43</v>
      </c>
      <c r="E1761" t="s">
        <v>27</v>
      </c>
      <c r="F1761">
        <v>0.2</v>
      </c>
      <c r="G1761">
        <v>5.4</v>
      </c>
      <c r="H1761">
        <v>-3.5</v>
      </c>
      <c r="I1761">
        <v>71.5</v>
      </c>
      <c r="J1761">
        <v>43.4</v>
      </c>
      <c r="K1761">
        <v>1.1000000000000001</v>
      </c>
      <c r="L1761">
        <v>4.2</v>
      </c>
      <c r="M1761">
        <v>0</v>
      </c>
      <c r="N1761">
        <v>0</v>
      </c>
      <c r="O1761" t="s">
        <v>27</v>
      </c>
      <c r="P1761" t="s">
        <v>27</v>
      </c>
      <c r="Q1761" t="s">
        <v>27</v>
      </c>
      <c r="R1761" t="s">
        <v>27</v>
      </c>
      <c r="S1761">
        <v>0.2</v>
      </c>
      <c r="T1761">
        <v>4.2</v>
      </c>
      <c r="U1761" t="s">
        <v>27</v>
      </c>
      <c r="V1761">
        <v>6.0999999999999999E-2</v>
      </c>
      <c r="W1761">
        <v>0.39</v>
      </c>
      <c r="X1761">
        <v>0.50900000000000001</v>
      </c>
      <c r="Y1761" t="s">
        <v>27</v>
      </c>
      <c r="Z1761" t="s">
        <v>27</v>
      </c>
      <c r="AA1761" t="s">
        <v>27</v>
      </c>
      <c r="AB1761" t="s">
        <v>27</v>
      </c>
      <c r="AC1761" t="s">
        <v>27</v>
      </c>
      <c r="AD1761" t="s">
        <v>27</v>
      </c>
      <c r="AE1761" t="s">
        <v>27</v>
      </c>
      <c r="AF1761" t="s">
        <v>27</v>
      </c>
      <c r="AG1761">
        <v>10.75</v>
      </c>
    </row>
    <row r="1762" spans="1:33" x14ac:dyDescent="0.25">
      <c r="A1762" t="s">
        <v>57</v>
      </c>
      <c r="B1762" s="3">
        <v>45223</v>
      </c>
      <c r="C1762">
        <v>2023297</v>
      </c>
      <c r="D1762">
        <v>1.9</v>
      </c>
      <c r="E1762" t="s">
        <v>27</v>
      </c>
      <c r="F1762">
        <v>-2.7</v>
      </c>
      <c r="G1762">
        <v>0.6</v>
      </c>
      <c r="H1762">
        <v>-4</v>
      </c>
      <c r="I1762">
        <v>87.2</v>
      </c>
      <c r="J1762">
        <v>74.400000000000006</v>
      </c>
      <c r="K1762">
        <v>0.4</v>
      </c>
      <c r="L1762">
        <v>1.4</v>
      </c>
      <c r="M1762">
        <v>9.8000000000000007</v>
      </c>
      <c r="N1762">
        <v>0.13600000000000012</v>
      </c>
      <c r="O1762">
        <v>-0.3</v>
      </c>
      <c r="P1762">
        <v>-2.9</v>
      </c>
      <c r="Q1762">
        <v>2.8</v>
      </c>
      <c r="R1762">
        <v>-5.4</v>
      </c>
      <c r="S1762">
        <v>-0.3</v>
      </c>
      <c r="T1762">
        <v>3.3</v>
      </c>
      <c r="U1762" t="s">
        <v>27</v>
      </c>
      <c r="V1762">
        <v>5.8999999999999997E-2</v>
      </c>
      <c r="W1762">
        <v>0.47499999999999998</v>
      </c>
      <c r="X1762">
        <v>0.16300000000000001</v>
      </c>
      <c r="Y1762" t="s">
        <v>27</v>
      </c>
      <c r="Z1762" t="s">
        <v>27</v>
      </c>
      <c r="AA1762" t="s">
        <v>27</v>
      </c>
      <c r="AB1762" t="s">
        <v>27</v>
      </c>
      <c r="AC1762" t="s">
        <v>27</v>
      </c>
      <c r="AD1762" t="s">
        <v>27</v>
      </c>
      <c r="AE1762" t="s">
        <v>27</v>
      </c>
      <c r="AF1762" t="s">
        <v>27</v>
      </c>
      <c r="AG1762">
        <v>10.55</v>
      </c>
    </row>
    <row r="1763" spans="1:33" x14ac:dyDescent="0.25">
      <c r="A1763" t="s">
        <v>57</v>
      </c>
      <c r="B1763" s="3">
        <v>45224</v>
      </c>
      <c r="C1763">
        <v>2023298</v>
      </c>
      <c r="D1763">
        <v>0</v>
      </c>
      <c r="E1763" t="s">
        <v>27</v>
      </c>
      <c r="F1763">
        <v>-5.8</v>
      </c>
      <c r="G1763">
        <v>-3.6</v>
      </c>
      <c r="H1763">
        <v>-8.4</v>
      </c>
      <c r="I1763">
        <v>87.6</v>
      </c>
      <c r="J1763">
        <v>81.599999999999994</v>
      </c>
      <c r="K1763">
        <v>1.1000000000000001</v>
      </c>
      <c r="L1763">
        <v>2.6</v>
      </c>
      <c r="M1763">
        <v>3.7</v>
      </c>
      <c r="N1763">
        <v>0.11699999999999999</v>
      </c>
      <c r="O1763">
        <v>0.2</v>
      </c>
      <c r="P1763">
        <v>-6</v>
      </c>
      <c r="Q1763">
        <v>-2.1</v>
      </c>
      <c r="R1763">
        <v>-9.8000000000000007</v>
      </c>
      <c r="S1763">
        <v>0.2</v>
      </c>
      <c r="T1763">
        <v>3.1</v>
      </c>
      <c r="U1763" t="s">
        <v>27</v>
      </c>
      <c r="V1763">
        <v>5.8999999999999997E-2</v>
      </c>
      <c r="W1763">
        <v>0.38100000000000001</v>
      </c>
      <c r="X1763">
        <v>8.5999999999999993E-2</v>
      </c>
      <c r="Y1763" t="s">
        <v>27</v>
      </c>
      <c r="Z1763" t="s">
        <v>27</v>
      </c>
      <c r="AA1763" t="s">
        <v>27</v>
      </c>
      <c r="AB1763" t="s">
        <v>27</v>
      </c>
      <c r="AC1763" t="s">
        <v>27</v>
      </c>
      <c r="AD1763" t="s">
        <v>27</v>
      </c>
      <c r="AE1763" t="s">
        <v>27</v>
      </c>
      <c r="AF1763" t="s">
        <v>27</v>
      </c>
      <c r="AG1763">
        <v>10.36</v>
      </c>
    </row>
    <row r="1764" spans="1:33" x14ac:dyDescent="0.25">
      <c r="A1764" t="s">
        <v>57</v>
      </c>
      <c r="B1764" s="3">
        <v>45225</v>
      </c>
      <c r="C1764">
        <v>2023299</v>
      </c>
      <c r="D1764">
        <v>1.33</v>
      </c>
      <c r="E1764" t="s">
        <v>27</v>
      </c>
      <c r="F1764">
        <v>-7.8</v>
      </c>
      <c r="G1764">
        <v>-3.8</v>
      </c>
      <c r="H1764">
        <v>-11.9</v>
      </c>
      <c r="I1764">
        <v>81.2</v>
      </c>
      <c r="J1764">
        <v>61</v>
      </c>
      <c r="K1764">
        <v>0.6</v>
      </c>
      <c r="L1764">
        <v>2.1</v>
      </c>
      <c r="M1764">
        <v>0.2</v>
      </c>
      <c r="N1764">
        <v>0.10600000000000032</v>
      </c>
      <c r="O1764">
        <v>0.4</v>
      </c>
      <c r="P1764">
        <v>-7.8</v>
      </c>
      <c r="Q1764">
        <v>1.1000000000000001</v>
      </c>
      <c r="R1764">
        <v>-13.1</v>
      </c>
      <c r="S1764">
        <v>0.4</v>
      </c>
      <c r="T1764">
        <v>3</v>
      </c>
      <c r="U1764" t="s">
        <v>27</v>
      </c>
      <c r="V1764">
        <v>5.8000000000000003E-2</v>
      </c>
      <c r="W1764">
        <v>0.28199999999999997</v>
      </c>
      <c r="X1764">
        <v>0.18</v>
      </c>
      <c r="Y1764" t="s">
        <v>27</v>
      </c>
      <c r="Z1764" t="s">
        <v>27</v>
      </c>
      <c r="AA1764" t="s">
        <v>27</v>
      </c>
      <c r="AB1764" t="s">
        <v>27</v>
      </c>
      <c r="AC1764" t="s">
        <v>27</v>
      </c>
      <c r="AD1764" t="s">
        <v>27</v>
      </c>
      <c r="AE1764" t="s">
        <v>27</v>
      </c>
      <c r="AF1764" t="s">
        <v>27</v>
      </c>
      <c r="AG1764">
        <v>10.17</v>
      </c>
    </row>
    <row r="1765" spans="1:33" x14ac:dyDescent="0.25">
      <c r="A1765" t="s">
        <v>57</v>
      </c>
      <c r="B1765" s="3">
        <v>45226</v>
      </c>
      <c r="C1765">
        <v>2023300</v>
      </c>
      <c r="D1765">
        <v>1.21</v>
      </c>
      <c r="E1765" t="s">
        <v>27</v>
      </c>
      <c r="F1765">
        <v>-11.1</v>
      </c>
      <c r="G1765">
        <v>-4.4000000000000004</v>
      </c>
      <c r="H1765">
        <v>-17</v>
      </c>
      <c r="I1765">
        <v>79.8</v>
      </c>
      <c r="J1765">
        <v>56.7</v>
      </c>
      <c r="K1765">
        <v>0.4</v>
      </c>
      <c r="L1765">
        <v>2.2000000000000002</v>
      </c>
      <c r="M1765">
        <v>0.7</v>
      </c>
      <c r="N1765">
        <v>9.1000000000000192E-2</v>
      </c>
      <c r="O1765">
        <v>0.3</v>
      </c>
      <c r="P1765">
        <v>-11.6</v>
      </c>
      <c r="Q1765">
        <v>-1.4</v>
      </c>
      <c r="R1765">
        <v>-18.600000000000001</v>
      </c>
      <c r="S1765">
        <v>0.3</v>
      </c>
      <c r="T1765">
        <v>2.8</v>
      </c>
      <c r="U1765" t="s">
        <v>27</v>
      </c>
      <c r="V1765">
        <v>5.7000000000000002E-2</v>
      </c>
      <c r="W1765">
        <v>0.25</v>
      </c>
      <c r="X1765">
        <v>0.191</v>
      </c>
      <c r="Y1765" t="s">
        <v>27</v>
      </c>
      <c r="Z1765" t="s">
        <v>27</v>
      </c>
      <c r="AA1765" t="s">
        <v>27</v>
      </c>
      <c r="AB1765" t="s">
        <v>27</v>
      </c>
      <c r="AC1765" t="s">
        <v>27</v>
      </c>
      <c r="AD1765" t="s">
        <v>27</v>
      </c>
      <c r="AE1765" t="s">
        <v>27</v>
      </c>
      <c r="AF1765" t="s">
        <v>27</v>
      </c>
      <c r="AG1765">
        <v>9.98</v>
      </c>
    </row>
    <row r="1766" spans="1:33" x14ac:dyDescent="0.25">
      <c r="A1766" t="s">
        <v>57</v>
      </c>
      <c r="B1766" s="3">
        <v>45227</v>
      </c>
      <c r="C1766">
        <v>2023301</v>
      </c>
      <c r="D1766">
        <v>5.74</v>
      </c>
      <c r="E1766" t="s">
        <v>27</v>
      </c>
      <c r="F1766">
        <v>-10</v>
      </c>
      <c r="G1766">
        <v>0.9</v>
      </c>
      <c r="H1766">
        <v>-17.7</v>
      </c>
      <c r="I1766">
        <v>73.8</v>
      </c>
      <c r="J1766">
        <v>37.1</v>
      </c>
      <c r="K1766">
        <v>0.4</v>
      </c>
      <c r="L1766">
        <v>2</v>
      </c>
      <c r="M1766">
        <v>0.2</v>
      </c>
      <c r="N1766">
        <v>9.1000000000000192E-2</v>
      </c>
      <c r="O1766">
        <v>-0.1</v>
      </c>
      <c r="P1766">
        <v>-10.7</v>
      </c>
      <c r="Q1766">
        <v>2.5</v>
      </c>
      <c r="R1766">
        <v>-19.100000000000001</v>
      </c>
      <c r="S1766">
        <v>-0.1</v>
      </c>
      <c r="T1766">
        <v>2.5</v>
      </c>
      <c r="U1766" t="s">
        <v>27</v>
      </c>
      <c r="V1766">
        <v>5.6000000000000001E-2</v>
      </c>
      <c r="W1766">
        <v>0.24099999999999999</v>
      </c>
      <c r="X1766">
        <v>0.40899999999999997</v>
      </c>
      <c r="Y1766" t="s">
        <v>27</v>
      </c>
      <c r="Z1766" t="s">
        <v>27</v>
      </c>
      <c r="AA1766" t="s">
        <v>27</v>
      </c>
      <c r="AB1766" t="s">
        <v>27</v>
      </c>
      <c r="AC1766" t="s">
        <v>27</v>
      </c>
      <c r="AD1766" t="s">
        <v>27</v>
      </c>
      <c r="AE1766" t="s">
        <v>27</v>
      </c>
      <c r="AF1766" t="s">
        <v>27</v>
      </c>
      <c r="AG1766">
        <v>9.8000000000000007</v>
      </c>
    </row>
    <row r="1767" spans="1:33" x14ac:dyDescent="0.25">
      <c r="A1767" t="s">
        <v>57</v>
      </c>
      <c r="B1767" s="3">
        <v>45228</v>
      </c>
      <c r="C1767">
        <v>2023302</v>
      </c>
      <c r="D1767">
        <v>7.79</v>
      </c>
      <c r="E1767" t="s">
        <v>27</v>
      </c>
      <c r="F1767">
        <v>-7.1</v>
      </c>
      <c r="G1767">
        <v>3.6</v>
      </c>
      <c r="H1767">
        <v>-14.7</v>
      </c>
      <c r="I1767">
        <v>75.900000000000006</v>
      </c>
      <c r="J1767">
        <v>39.700000000000003</v>
      </c>
      <c r="K1767">
        <v>0.3</v>
      </c>
      <c r="L1767">
        <v>1.8</v>
      </c>
      <c r="M1767">
        <v>0</v>
      </c>
      <c r="N1767">
        <v>8.6000000000000298E-2</v>
      </c>
      <c r="O1767">
        <v>-0.4</v>
      </c>
      <c r="P1767">
        <v>-8</v>
      </c>
      <c r="Q1767">
        <v>5.9</v>
      </c>
      <c r="R1767">
        <v>-16</v>
      </c>
      <c r="S1767">
        <v>-0.4</v>
      </c>
      <c r="T1767">
        <v>2.2999999999999998</v>
      </c>
      <c r="U1767" t="s">
        <v>27</v>
      </c>
      <c r="V1767">
        <v>5.5E-2</v>
      </c>
      <c r="W1767">
        <v>0.313</v>
      </c>
      <c r="X1767">
        <v>0.47499999999999998</v>
      </c>
      <c r="Y1767" t="s">
        <v>27</v>
      </c>
      <c r="Z1767" t="s">
        <v>27</v>
      </c>
      <c r="AA1767" t="s">
        <v>27</v>
      </c>
      <c r="AB1767" t="s">
        <v>27</v>
      </c>
      <c r="AC1767" t="s">
        <v>27</v>
      </c>
      <c r="AD1767" t="s">
        <v>27</v>
      </c>
      <c r="AE1767" t="s">
        <v>27</v>
      </c>
      <c r="AF1767" t="s">
        <v>27</v>
      </c>
      <c r="AG1767">
        <v>9.6199999999999992</v>
      </c>
    </row>
    <row r="1768" spans="1:33" x14ac:dyDescent="0.25">
      <c r="A1768" t="s">
        <v>57</v>
      </c>
      <c r="B1768" s="3">
        <v>45229</v>
      </c>
      <c r="C1768">
        <v>2023303</v>
      </c>
      <c r="D1768">
        <v>8.33</v>
      </c>
      <c r="E1768" t="s">
        <v>27</v>
      </c>
      <c r="F1768">
        <v>-4.0999999999999996</v>
      </c>
      <c r="G1768">
        <v>9.1</v>
      </c>
      <c r="H1768">
        <v>-10.9</v>
      </c>
      <c r="I1768">
        <v>75.8</v>
      </c>
      <c r="J1768">
        <v>30.6</v>
      </c>
      <c r="K1768">
        <v>0.2</v>
      </c>
      <c r="L1768">
        <v>1.7</v>
      </c>
      <c r="M1768">
        <v>0</v>
      </c>
      <c r="N1768">
        <v>7.6000000000000068E-2</v>
      </c>
      <c r="O1768">
        <v>-0.6</v>
      </c>
      <c r="P1768">
        <v>-4.8</v>
      </c>
      <c r="Q1768">
        <v>10.8</v>
      </c>
      <c r="R1768">
        <v>-12.3</v>
      </c>
      <c r="S1768">
        <v>-0.6</v>
      </c>
      <c r="T1768">
        <v>2</v>
      </c>
      <c r="U1768" t="s">
        <v>27</v>
      </c>
      <c r="V1768">
        <v>5.5E-2</v>
      </c>
      <c r="W1768">
        <v>0.35299999999999998</v>
      </c>
      <c r="X1768">
        <v>0.80100000000000005</v>
      </c>
      <c r="Y1768" t="s">
        <v>27</v>
      </c>
      <c r="Z1768" t="s">
        <v>27</v>
      </c>
      <c r="AA1768" t="s">
        <v>27</v>
      </c>
      <c r="AB1768" t="s">
        <v>27</v>
      </c>
      <c r="AC1768" t="s">
        <v>27</v>
      </c>
      <c r="AD1768" t="s">
        <v>27</v>
      </c>
      <c r="AE1768" t="s">
        <v>27</v>
      </c>
      <c r="AF1768" t="s">
        <v>27</v>
      </c>
      <c r="AG1768">
        <v>9.44</v>
      </c>
    </row>
    <row r="1769" spans="1:33" x14ac:dyDescent="0.25">
      <c r="A1769" t="s">
        <v>57</v>
      </c>
      <c r="B1769" s="3">
        <v>45230</v>
      </c>
      <c r="C1769">
        <v>2023304</v>
      </c>
      <c r="D1769">
        <v>6.37</v>
      </c>
      <c r="E1769" t="s">
        <v>27</v>
      </c>
      <c r="F1769">
        <v>-4.0999999999999996</v>
      </c>
      <c r="G1769">
        <v>3.6</v>
      </c>
      <c r="H1769">
        <v>-10.5</v>
      </c>
      <c r="I1769">
        <v>72.3</v>
      </c>
      <c r="J1769">
        <v>39.200000000000003</v>
      </c>
      <c r="K1769">
        <v>0.2</v>
      </c>
      <c r="L1769">
        <v>1.6</v>
      </c>
      <c r="M1769">
        <v>0</v>
      </c>
      <c r="N1769">
        <v>7.2999999999999954E-2</v>
      </c>
      <c r="O1769">
        <v>-0.8</v>
      </c>
      <c r="P1769">
        <v>-5.0999999999999996</v>
      </c>
      <c r="Q1769">
        <v>5.5</v>
      </c>
      <c r="R1769">
        <v>-11.7</v>
      </c>
      <c r="S1769">
        <v>-0.8</v>
      </c>
      <c r="T1769">
        <v>1.8</v>
      </c>
      <c r="U1769" t="s">
        <v>27</v>
      </c>
      <c r="V1769">
        <v>5.5E-2</v>
      </c>
      <c r="W1769">
        <v>0.311</v>
      </c>
      <c r="X1769">
        <v>0.48199999999999998</v>
      </c>
      <c r="Y1769" t="s">
        <v>27</v>
      </c>
      <c r="Z1769" t="s">
        <v>27</v>
      </c>
      <c r="AA1769" t="s">
        <v>27</v>
      </c>
      <c r="AB1769" t="s">
        <v>27</v>
      </c>
      <c r="AC1769" t="s">
        <v>27</v>
      </c>
      <c r="AD1769" t="s">
        <v>27</v>
      </c>
      <c r="AE1769" t="s">
        <v>27</v>
      </c>
      <c r="AF1769" t="s">
        <v>27</v>
      </c>
      <c r="AG1769">
        <v>9.26</v>
      </c>
    </row>
    <row r="1770" spans="1:33" x14ac:dyDescent="0.25">
      <c r="A1770" t="s">
        <v>57</v>
      </c>
      <c r="B1770" s="3">
        <v>45231</v>
      </c>
      <c r="C1770">
        <v>2023305</v>
      </c>
      <c r="D1770">
        <v>5.62</v>
      </c>
      <c r="E1770" t="s">
        <v>27</v>
      </c>
      <c r="F1770">
        <v>-1.9</v>
      </c>
      <c r="G1770">
        <v>6.5</v>
      </c>
      <c r="H1770">
        <v>-9.1</v>
      </c>
      <c r="I1770">
        <v>72.400000000000006</v>
      </c>
      <c r="J1770">
        <v>39</v>
      </c>
      <c r="K1770">
        <v>0.3</v>
      </c>
      <c r="L1770">
        <v>1.5</v>
      </c>
      <c r="M1770">
        <v>0</v>
      </c>
      <c r="N1770">
        <v>7.2999999999999954E-2</v>
      </c>
      <c r="O1770">
        <v>-0.6</v>
      </c>
      <c r="P1770">
        <v>-2.2000000000000002</v>
      </c>
      <c r="Q1770">
        <v>10.9</v>
      </c>
      <c r="R1770">
        <v>-10.1</v>
      </c>
      <c r="S1770">
        <v>-0.6</v>
      </c>
      <c r="T1770">
        <v>1.7</v>
      </c>
      <c r="U1770" t="s">
        <v>27</v>
      </c>
      <c r="V1770">
        <v>5.5E-2</v>
      </c>
      <c r="W1770">
        <v>0.378</v>
      </c>
      <c r="X1770">
        <v>0.59099999999999997</v>
      </c>
      <c r="Y1770" t="s">
        <v>27</v>
      </c>
      <c r="Z1770" t="s">
        <v>27</v>
      </c>
      <c r="AA1770" t="s">
        <v>27</v>
      </c>
      <c r="AB1770" t="s">
        <v>27</v>
      </c>
      <c r="AC1770" t="s">
        <v>27</v>
      </c>
      <c r="AD1770" t="s">
        <v>27</v>
      </c>
      <c r="AE1770" t="s">
        <v>27</v>
      </c>
      <c r="AF1770" t="s">
        <v>27</v>
      </c>
      <c r="AG1770">
        <v>9.09</v>
      </c>
    </row>
    <row r="1771" spans="1:33" x14ac:dyDescent="0.25">
      <c r="A1771" t="s">
        <v>57</v>
      </c>
      <c r="B1771" s="3">
        <v>45232</v>
      </c>
      <c r="C1771">
        <v>2023306</v>
      </c>
      <c r="D1771">
        <v>1.4</v>
      </c>
      <c r="E1771" t="s">
        <v>27</v>
      </c>
      <c r="F1771">
        <v>-0.3</v>
      </c>
      <c r="G1771">
        <v>1.9</v>
      </c>
      <c r="H1771">
        <v>-1.7</v>
      </c>
      <c r="I1771">
        <v>94.7</v>
      </c>
      <c r="J1771">
        <v>90</v>
      </c>
      <c r="K1771">
        <v>0.5</v>
      </c>
      <c r="L1771">
        <v>2</v>
      </c>
      <c r="M1771">
        <v>6.5</v>
      </c>
      <c r="N1771">
        <v>6.6000000000000281E-2</v>
      </c>
      <c r="O1771">
        <v>-0.1</v>
      </c>
      <c r="P1771">
        <v>-0.8</v>
      </c>
      <c r="Q1771">
        <v>0.6</v>
      </c>
      <c r="R1771">
        <v>-2.1</v>
      </c>
      <c r="S1771">
        <v>-0.1</v>
      </c>
      <c r="T1771">
        <v>1.7</v>
      </c>
      <c r="U1771" t="s">
        <v>27</v>
      </c>
      <c r="V1771">
        <v>5.6000000000000001E-2</v>
      </c>
      <c r="W1771">
        <v>0.629</v>
      </c>
      <c r="X1771">
        <v>7.0000000000000007E-2</v>
      </c>
      <c r="Y1771" t="s">
        <v>27</v>
      </c>
      <c r="Z1771" t="s">
        <v>27</v>
      </c>
      <c r="AA1771" t="s">
        <v>27</v>
      </c>
      <c r="AB1771" t="s">
        <v>27</v>
      </c>
      <c r="AC1771" t="s">
        <v>27</v>
      </c>
      <c r="AD1771" t="s">
        <v>27</v>
      </c>
      <c r="AE1771" t="s">
        <v>27</v>
      </c>
      <c r="AF1771" t="s">
        <v>27</v>
      </c>
      <c r="AG1771">
        <v>8.92</v>
      </c>
    </row>
    <row r="1772" spans="1:33" x14ac:dyDescent="0.25">
      <c r="A1772" t="s">
        <v>57</v>
      </c>
      <c r="B1772" s="3">
        <v>45233</v>
      </c>
      <c r="C1772">
        <v>2023307</v>
      </c>
      <c r="D1772">
        <v>5.87</v>
      </c>
      <c r="E1772" t="s">
        <v>27</v>
      </c>
      <c r="F1772">
        <v>1.5</v>
      </c>
      <c r="G1772">
        <v>5.7</v>
      </c>
      <c r="H1772">
        <v>-0.9</v>
      </c>
      <c r="I1772">
        <v>90.2</v>
      </c>
      <c r="J1772">
        <v>66.400000000000006</v>
      </c>
      <c r="K1772">
        <v>0.6</v>
      </c>
      <c r="L1772">
        <v>2.5</v>
      </c>
      <c r="M1772">
        <v>1.6</v>
      </c>
      <c r="N1772">
        <v>6.800000000000006E-2</v>
      </c>
      <c r="O1772">
        <v>0</v>
      </c>
      <c r="P1772">
        <v>0.9</v>
      </c>
      <c r="Q1772">
        <v>6.8</v>
      </c>
      <c r="R1772">
        <v>-1.6</v>
      </c>
      <c r="S1772">
        <v>0</v>
      </c>
      <c r="T1772">
        <v>1.8</v>
      </c>
      <c r="U1772" t="s">
        <v>27</v>
      </c>
      <c r="V1772">
        <v>7.1999999999999995E-2</v>
      </c>
      <c r="W1772">
        <v>0.60599999999999998</v>
      </c>
      <c r="X1772">
        <v>0.307</v>
      </c>
      <c r="Y1772" t="s">
        <v>27</v>
      </c>
      <c r="Z1772" t="s">
        <v>27</v>
      </c>
      <c r="AA1772" t="s">
        <v>27</v>
      </c>
      <c r="AB1772" t="s">
        <v>27</v>
      </c>
      <c r="AC1772" t="s">
        <v>27</v>
      </c>
      <c r="AD1772" t="s">
        <v>27</v>
      </c>
      <c r="AE1772" t="s">
        <v>27</v>
      </c>
      <c r="AF1772" t="s">
        <v>27</v>
      </c>
      <c r="AG1772">
        <v>8.76</v>
      </c>
    </row>
    <row r="1773" spans="1:33" x14ac:dyDescent="0.25">
      <c r="A1773" t="s">
        <v>57</v>
      </c>
      <c r="B1773" s="3">
        <v>45234</v>
      </c>
      <c r="C1773">
        <v>2023308</v>
      </c>
      <c r="D1773">
        <v>0.93</v>
      </c>
      <c r="E1773" t="s">
        <v>27</v>
      </c>
      <c r="F1773">
        <v>1.4</v>
      </c>
      <c r="G1773">
        <v>3.8</v>
      </c>
      <c r="H1773">
        <v>-0.6</v>
      </c>
      <c r="I1773">
        <v>95.9</v>
      </c>
      <c r="J1773">
        <v>86</v>
      </c>
      <c r="K1773">
        <v>0.5</v>
      </c>
      <c r="L1773">
        <v>3.1</v>
      </c>
      <c r="M1773">
        <v>1.5</v>
      </c>
      <c r="N1773">
        <v>6.899999999999995E-2</v>
      </c>
      <c r="O1773">
        <v>0.1</v>
      </c>
      <c r="P1773">
        <v>1</v>
      </c>
      <c r="Q1773">
        <v>3.7</v>
      </c>
      <c r="R1773">
        <v>-1.3</v>
      </c>
      <c r="S1773">
        <v>0.1</v>
      </c>
      <c r="T1773">
        <v>1.9</v>
      </c>
      <c r="U1773" t="s">
        <v>27</v>
      </c>
      <c r="V1773">
        <v>8.3000000000000004E-2</v>
      </c>
      <c r="W1773">
        <v>0.68899999999999995</v>
      </c>
      <c r="X1773">
        <v>0.112</v>
      </c>
      <c r="Y1773" t="s">
        <v>27</v>
      </c>
      <c r="Z1773" t="s">
        <v>27</v>
      </c>
      <c r="AA1773" t="s">
        <v>27</v>
      </c>
      <c r="AB1773" t="s">
        <v>27</v>
      </c>
      <c r="AC1773" t="s">
        <v>27</v>
      </c>
      <c r="AD1773" t="s">
        <v>27</v>
      </c>
      <c r="AE1773" t="s">
        <v>27</v>
      </c>
      <c r="AF1773" t="s">
        <v>27</v>
      </c>
      <c r="AG1773">
        <v>8.59</v>
      </c>
    </row>
    <row r="1774" spans="1:33" x14ac:dyDescent="0.25">
      <c r="A1774" t="s">
        <v>57</v>
      </c>
      <c r="B1774" s="3">
        <v>45235</v>
      </c>
      <c r="C1774">
        <v>2023309</v>
      </c>
      <c r="D1774">
        <v>2.81</v>
      </c>
      <c r="E1774" t="s">
        <v>27</v>
      </c>
      <c r="F1774">
        <v>0</v>
      </c>
      <c r="G1774">
        <v>2.2000000000000002</v>
      </c>
      <c r="H1774">
        <v>-1.6</v>
      </c>
      <c r="I1774">
        <v>95.8</v>
      </c>
      <c r="J1774">
        <v>94.4</v>
      </c>
      <c r="K1774">
        <v>0.2</v>
      </c>
      <c r="L1774">
        <v>1.6</v>
      </c>
      <c r="M1774">
        <v>0.8</v>
      </c>
      <c r="N1774">
        <v>6.899999999999995E-2</v>
      </c>
      <c r="O1774">
        <v>0.2</v>
      </c>
      <c r="P1774">
        <v>-0.6</v>
      </c>
      <c r="Q1774">
        <v>2.9</v>
      </c>
      <c r="R1774">
        <v>-2.8</v>
      </c>
      <c r="S1774">
        <v>0.2</v>
      </c>
      <c r="T1774">
        <v>1.9</v>
      </c>
      <c r="U1774" t="s">
        <v>27</v>
      </c>
      <c r="V1774">
        <v>8.1000000000000003E-2</v>
      </c>
      <c r="W1774">
        <v>0.67700000000000005</v>
      </c>
      <c r="X1774">
        <v>0.04</v>
      </c>
      <c r="Y1774" t="s">
        <v>27</v>
      </c>
      <c r="Z1774" t="s">
        <v>27</v>
      </c>
      <c r="AA1774" t="s">
        <v>27</v>
      </c>
      <c r="AB1774" t="s">
        <v>27</v>
      </c>
      <c r="AC1774" t="s">
        <v>27</v>
      </c>
      <c r="AD1774" t="s">
        <v>27</v>
      </c>
      <c r="AE1774" t="s">
        <v>27</v>
      </c>
      <c r="AF1774" t="s">
        <v>27</v>
      </c>
      <c r="AG1774">
        <v>8.43</v>
      </c>
    </row>
    <row r="1775" spans="1:33" x14ac:dyDescent="0.25">
      <c r="A1775" t="s">
        <v>57</v>
      </c>
      <c r="B1775" s="3">
        <v>45236</v>
      </c>
      <c r="C1775">
        <v>2023310</v>
      </c>
      <c r="D1775">
        <v>1.76</v>
      </c>
      <c r="E1775" t="s">
        <v>27</v>
      </c>
      <c r="F1775">
        <v>0.4</v>
      </c>
      <c r="G1775">
        <v>2.2999999999999998</v>
      </c>
      <c r="H1775">
        <v>-0.5</v>
      </c>
      <c r="I1775">
        <v>94.2</v>
      </c>
      <c r="J1775">
        <v>88.1</v>
      </c>
      <c r="K1775">
        <v>0.2</v>
      </c>
      <c r="L1775">
        <v>1.2</v>
      </c>
      <c r="M1775">
        <v>10.6</v>
      </c>
      <c r="N1775">
        <v>0.14900000000000002</v>
      </c>
      <c r="O1775">
        <v>0.2</v>
      </c>
      <c r="P1775">
        <v>0</v>
      </c>
      <c r="Q1775">
        <v>2.5</v>
      </c>
      <c r="R1775">
        <v>-1.3</v>
      </c>
      <c r="S1775">
        <v>0.2</v>
      </c>
      <c r="T1775">
        <v>1.9</v>
      </c>
      <c r="U1775" t="s">
        <v>27</v>
      </c>
      <c r="V1775">
        <v>7.8E-2</v>
      </c>
      <c r="W1775">
        <v>0.63700000000000001</v>
      </c>
      <c r="X1775">
        <v>8.5999999999999993E-2</v>
      </c>
      <c r="Y1775" t="s">
        <v>27</v>
      </c>
      <c r="Z1775" t="s">
        <v>27</v>
      </c>
      <c r="AA1775" t="s">
        <v>27</v>
      </c>
      <c r="AB1775" t="s">
        <v>27</v>
      </c>
      <c r="AC1775" t="s">
        <v>27</v>
      </c>
      <c r="AD1775" t="s">
        <v>27</v>
      </c>
      <c r="AE1775" t="s">
        <v>27</v>
      </c>
      <c r="AF1775" t="s">
        <v>27</v>
      </c>
      <c r="AG1775">
        <v>8.2799999999999994</v>
      </c>
    </row>
    <row r="1776" spans="1:33" x14ac:dyDescent="0.25">
      <c r="A1776" t="s">
        <v>57</v>
      </c>
      <c r="B1776" s="3">
        <v>45237</v>
      </c>
      <c r="C1776">
        <v>2023311</v>
      </c>
      <c r="D1776">
        <v>0.06</v>
      </c>
      <c r="E1776" t="s">
        <v>27</v>
      </c>
      <c r="F1776">
        <v>-0.6</v>
      </c>
      <c r="G1776">
        <v>1.4</v>
      </c>
      <c r="H1776">
        <v>-5.5</v>
      </c>
      <c r="I1776">
        <v>93.4</v>
      </c>
      <c r="J1776">
        <v>88.1</v>
      </c>
      <c r="K1776">
        <v>0.7</v>
      </c>
      <c r="L1776">
        <v>2.8</v>
      </c>
      <c r="M1776">
        <v>14.8</v>
      </c>
      <c r="N1776">
        <v>0.2589999999999999</v>
      </c>
      <c r="O1776">
        <v>0.3</v>
      </c>
      <c r="P1776">
        <v>-1.3</v>
      </c>
      <c r="Q1776">
        <v>0.9</v>
      </c>
      <c r="R1776">
        <v>-7.5</v>
      </c>
      <c r="S1776">
        <v>0.3</v>
      </c>
      <c r="T1776">
        <v>1.9</v>
      </c>
      <c r="U1776" t="s">
        <v>27</v>
      </c>
      <c r="V1776">
        <v>7.8E-2</v>
      </c>
      <c r="W1776">
        <v>0.59499999999999997</v>
      </c>
      <c r="X1776">
        <v>0.08</v>
      </c>
      <c r="Y1776" t="s">
        <v>27</v>
      </c>
      <c r="Z1776" t="s">
        <v>27</v>
      </c>
      <c r="AA1776" t="s">
        <v>27</v>
      </c>
      <c r="AB1776" t="s">
        <v>27</v>
      </c>
      <c r="AC1776" t="s">
        <v>27</v>
      </c>
      <c r="AD1776" t="s">
        <v>27</v>
      </c>
      <c r="AE1776" t="s">
        <v>27</v>
      </c>
      <c r="AF1776" t="s">
        <v>27</v>
      </c>
      <c r="AG1776">
        <v>8.1199999999999992</v>
      </c>
    </row>
    <row r="1777" spans="1:33" x14ac:dyDescent="0.25">
      <c r="A1777" t="s">
        <v>57</v>
      </c>
      <c r="B1777" s="3">
        <v>45238</v>
      </c>
      <c r="C1777">
        <v>2023312</v>
      </c>
      <c r="D1777">
        <v>1.96</v>
      </c>
      <c r="E1777" t="s">
        <v>27</v>
      </c>
      <c r="F1777">
        <v>-2.6</v>
      </c>
      <c r="G1777">
        <v>3.3</v>
      </c>
      <c r="H1777">
        <v>-7.2</v>
      </c>
      <c r="I1777">
        <v>89.2</v>
      </c>
      <c r="J1777">
        <v>71.5</v>
      </c>
      <c r="K1777">
        <v>0.3</v>
      </c>
      <c r="L1777">
        <v>2.4</v>
      </c>
      <c r="M1777">
        <v>1.3</v>
      </c>
      <c r="N1777">
        <v>0.22500000000000009</v>
      </c>
      <c r="O1777">
        <v>0.4</v>
      </c>
      <c r="P1777">
        <v>-3.5</v>
      </c>
      <c r="Q1777">
        <v>5.5</v>
      </c>
      <c r="R1777">
        <v>-9.1</v>
      </c>
      <c r="S1777">
        <v>0.4</v>
      </c>
      <c r="T1777">
        <v>1.9</v>
      </c>
      <c r="U1777" t="s">
        <v>27</v>
      </c>
      <c r="V1777">
        <v>7.6999999999999999E-2</v>
      </c>
      <c r="W1777">
        <v>0.55200000000000005</v>
      </c>
      <c r="X1777">
        <v>0.22</v>
      </c>
      <c r="Y1777" t="s">
        <v>27</v>
      </c>
      <c r="Z1777" t="s">
        <v>27</v>
      </c>
      <c r="AA1777" t="s">
        <v>27</v>
      </c>
      <c r="AB1777" t="s">
        <v>27</v>
      </c>
      <c r="AC1777" t="s">
        <v>27</v>
      </c>
      <c r="AD1777" t="s">
        <v>27</v>
      </c>
      <c r="AE1777" t="s">
        <v>27</v>
      </c>
      <c r="AF1777" t="s">
        <v>27</v>
      </c>
      <c r="AG1777">
        <v>7.98</v>
      </c>
    </row>
    <row r="1778" spans="1:33" x14ac:dyDescent="0.25">
      <c r="A1778" t="s">
        <v>57</v>
      </c>
      <c r="B1778" s="3">
        <v>45239</v>
      </c>
      <c r="C1778">
        <v>2023313</v>
      </c>
      <c r="D1778">
        <v>3.46</v>
      </c>
      <c r="E1778" t="s">
        <v>27</v>
      </c>
      <c r="F1778">
        <v>-4</v>
      </c>
      <c r="G1778">
        <v>-0.8</v>
      </c>
      <c r="H1778">
        <v>-8.5</v>
      </c>
      <c r="I1778">
        <v>90.5</v>
      </c>
      <c r="J1778">
        <v>85.7</v>
      </c>
      <c r="K1778">
        <v>0.6</v>
      </c>
      <c r="L1778">
        <v>2.2000000000000002</v>
      </c>
      <c r="M1778">
        <v>0</v>
      </c>
      <c r="N1778">
        <v>0.21900000000000031</v>
      </c>
      <c r="O1778">
        <v>0.4</v>
      </c>
      <c r="P1778">
        <v>-4.7</v>
      </c>
      <c r="Q1778">
        <v>0.6</v>
      </c>
      <c r="R1778">
        <v>-10.1</v>
      </c>
      <c r="S1778">
        <v>0.4</v>
      </c>
      <c r="T1778">
        <v>1.8</v>
      </c>
      <c r="U1778" t="s">
        <v>27</v>
      </c>
      <c r="V1778">
        <v>7.5999999999999998E-2</v>
      </c>
      <c r="W1778">
        <v>0.49399999999999999</v>
      </c>
      <c r="X1778">
        <v>8.2000000000000003E-2</v>
      </c>
      <c r="Y1778" t="s">
        <v>27</v>
      </c>
      <c r="Z1778" t="s">
        <v>27</v>
      </c>
      <c r="AA1778" t="s">
        <v>27</v>
      </c>
      <c r="AB1778" t="s">
        <v>27</v>
      </c>
      <c r="AC1778" t="s">
        <v>27</v>
      </c>
      <c r="AD1778" t="s">
        <v>27</v>
      </c>
      <c r="AE1778" t="s">
        <v>27</v>
      </c>
      <c r="AF1778" t="s">
        <v>27</v>
      </c>
      <c r="AG1778">
        <v>7.83</v>
      </c>
    </row>
    <row r="1779" spans="1:33" x14ac:dyDescent="0.25">
      <c r="A1779" t="s">
        <v>57</v>
      </c>
      <c r="B1779" s="3">
        <v>45240</v>
      </c>
      <c r="C1779">
        <v>2023314</v>
      </c>
      <c r="D1779">
        <v>5.14</v>
      </c>
      <c r="E1779" t="s">
        <v>27</v>
      </c>
      <c r="F1779">
        <v>-1.7</v>
      </c>
      <c r="G1779">
        <v>2</v>
      </c>
      <c r="H1779">
        <v>-3.8</v>
      </c>
      <c r="I1779">
        <v>88.3</v>
      </c>
      <c r="J1779">
        <v>70.5</v>
      </c>
      <c r="K1779">
        <v>0.5</v>
      </c>
      <c r="L1779">
        <v>3.1</v>
      </c>
      <c r="M1779">
        <v>0</v>
      </c>
      <c r="N1779">
        <v>0.20599999999999996</v>
      </c>
      <c r="O1779">
        <v>0.5</v>
      </c>
      <c r="P1779">
        <v>-2</v>
      </c>
      <c r="Q1779">
        <v>3.9</v>
      </c>
      <c r="R1779">
        <v>-5</v>
      </c>
      <c r="S1779">
        <v>0.5</v>
      </c>
      <c r="T1779">
        <v>1.8</v>
      </c>
      <c r="U1779" t="s">
        <v>27</v>
      </c>
      <c r="V1779">
        <v>7.5999999999999998E-2</v>
      </c>
      <c r="W1779">
        <v>0.499</v>
      </c>
      <c r="X1779">
        <v>0.20899999999999999</v>
      </c>
      <c r="Y1779" t="s">
        <v>27</v>
      </c>
      <c r="Z1779" t="s">
        <v>27</v>
      </c>
      <c r="AA1779" t="s">
        <v>27</v>
      </c>
      <c r="AB1779" t="s">
        <v>27</v>
      </c>
      <c r="AC1779" t="s">
        <v>27</v>
      </c>
      <c r="AD1779" t="s">
        <v>27</v>
      </c>
      <c r="AE1779" t="s">
        <v>27</v>
      </c>
      <c r="AF1779" t="s">
        <v>27</v>
      </c>
      <c r="AG1779">
        <v>7.69</v>
      </c>
    </row>
    <row r="1780" spans="1:33" x14ac:dyDescent="0.25">
      <c r="A1780" t="s">
        <v>57</v>
      </c>
      <c r="B1780" s="3">
        <v>45241</v>
      </c>
      <c r="C1780">
        <v>2023315</v>
      </c>
      <c r="D1780">
        <v>0.78</v>
      </c>
      <c r="E1780" t="s">
        <v>27</v>
      </c>
      <c r="F1780">
        <v>-1.3</v>
      </c>
      <c r="G1780">
        <v>0.6</v>
      </c>
      <c r="H1780">
        <v>-3.3</v>
      </c>
      <c r="I1780">
        <v>90.1</v>
      </c>
      <c r="J1780">
        <v>79.8</v>
      </c>
      <c r="K1780">
        <v>1.4</v>
      </c>
      <c r="L1780">
        <v>3.8</v>
      </c>
      <c r="M1780">
        <v>7.5</v>
      </c>
      <c r="N1780">
        <v>0.27400000000000002</v>
      </c>
      <c r="O1780">
        <v>0</v>
      </c>
      <c r="P1780">
        <v>-1.8</v>
      </c>
      <c r="Q1780">
        <v>1.4</v>
      </c>
      <c r="R1780">
        <v>-4.7</v>
      </c>
      <c r="S1780">
        <v>0.5</v>
      </c>
      <c r="T1780">
        <v>1.8</v>
      </c>
      <c r="U1780" t="s">
        <v>27</v>
      </c>
      <c r="V1780">
        <v>7.5999999999999998E-2</v>
      </c>
      <c r="W1780">
        <v>0.50800000000000001</v>
      </c>
      <c r="X1780">
        <v>0.129</v>
      </c>
      <c r="Y1780" t="s">
        <v>27</v>
      </c>
      <c r="Z1780" t="s">
        <v>27</v>
      </c>
      <c r="AA1780" t="s">
        <v>27</v>
      </c>
      <c r="AB1780" t="s">
        <v>27</v>
      </c>
      <c r="AC1780" t="s">
        <v>27</v>
      </c>
      <c r="AD1780" t="s">
        <v>27</v>
      </c>
      <c r="AE1780" t="s">
        <v>27</v>
      </c>
      <c r="AF1780" t="s">
        <v>27</v>
      </c>
      <c r="AG1780">
        <v>7.55</v>
      </c>
    </row>
    <row r="1781" spans="1:33" x14ac:dyDescent="0.25">
      <c r="A1781" t="s">
        <v>57</v>
      </c>
      <c r="B1781" s="3">
        <v>45242</v>
      </c>
      <c r="C1781">
        <v>2023316</v>
      </c>
      <c r="D1781">
        <v>1.67</v>
      </c>
      <c r="E1781" t="s">
        <v>27</v>
      </c>
      <c r="F1781">
        <v>-2.8</v>
      </c>
      <c r="G1781">
        <v>0.1</v>
      </c>
      <c r="H1781">
        <v>-8.4</v>
      </c>
      <c r="I1781">
        <v>86.4</v>
      </c>
      <c r="J1781">
        <v>69.5</v>
      </c>
      <c r="K1781">
        <v>0.4</v>
      </c>
      <c r="L1781">
        <v>2.9</v>
      </c>
      <c r="M1781">
        <v>0</v>
      </c>
      <c r="N1781">
        <v>0.25800000000000001</v>
      </c>
      <c r="O1781">
        <v>-0.4</v>
      </c>
      <c r="P1781">
        <v>-3.6</v>
      </c>
      <c r="Q1781">
        <v>0.2</v>
      </c>
      <c r="R1781">
        <v>-9.8000000000000007</v>
      </c>
      <c r="S1781">
        <v>0.5</v>
      </c>
      <c r="T1781">
        <v>1.8</v>
      </c>
      <c r="U1781" t="s">
        <v>27</v>
      </c>
      <c r="V1781">
        <v>7.4999999999999997E-2</v>
      </c>
      <c r="W1781">
        <v>0.42699999999999999</v>
      </c>
      <c r="X1781">
        <v>0.187</v>
      </c>
      <c r="Y1781" t="s">
        <v>27</v>
      </c>
      <c r="Z1781" t="s">
        <v>27</v>
      </c>
      <c r="AA1781" t="s">
        <v>27</v>
      </c>
      <c r="AB1781" t="s">
        <v>27</v>
      </c>
      <c r="AC1781" t="s">
        <v>27</v>
      </c>
      <c r="AD1781" t="s">
        <v>27</v>
      </c>
      <c r="AE1781" t="s">
        <v>27</v>
      </c>
      <c r="AF1781" t="s">
        <v>27</v>
      </c>
      <c r="AG1781">
        <v>7.41</v>
      </c>
    </row>
    <row r="1782" spans="1:33" x14ac:dyDescent="0.25">
      <c r="A1782" t="s">
        <v>57</v>
      </c>
      <c r="B1782" s="3">
        <v>45243</v>
      </c>
      <c r="C1782">
        <v>2023317</v>
      </c>
      <c r="D1782">
        <v>2.66</v>
      </c>
      <c r="E1782" t="s">
        <v>27</v>
      </c>
      <c r="F1782">
        <v>-1.5</v>
      </c>
      <c r="G1782">
        <v>1.7</v>
      </c>
      <c r="H1782">
        <v>-8.5</v>
      </c>
      <c r="I1782">
        <v>82.2</v>
      </c>
      <c r="J1782">
        <v>65.599999999999994</v>
      </c>
      <c r="K1782">
        <v>1.3</v>
      </c>
      <c r="L1782">
        <v>3.3</v>
      </c>
      <c r="M1782">
        <v>4</v>
      </c>
      <c r="N1782">
        <v>0.26600000000000001</v>
      </c>
      <c r="O1782">
        <v>-0.1</v>
      </c>
      <c r="P1782">
        <v>-2.4</v>
      </c>
      <c r="Q1782">
        <v>1.2</v>
      </c>
      <c r="R1782">
        <v>-10.1</v>
      </c>
      <c r="S1782">
        <v>0.5</v>
      </c>
      <c r="T1782">
        <v>1.8</v>
      </c>
      <c r="U1782" t="s">
        <v>27</v>
      </c>
      <c r="V1782">
        <v>7.4999999999999997E-2</v>
      </c>
      <c r="W1782">
        <v>0.45200000000000001</v>
      </c>
      <c r="X1782">
        <v>0.23699999999999999</v>
      </c>
      <c r="Y1782" t="s">
        <v>27</v>
      </c>
      <c r="Z1782" t="s">
        <v>27</v>
      </c>
      <c r="AA1782" t="s">
        <v>27</v>
      </c>
      <c r="AB1782" t="s">
        <v>27</v>
      </c>
      <c r="AC1782" t="s">
        <v>27</v>
      </c>
      <c r="AD1782" t="s">
        <v>27</v>
      </c>
      <c r="AE1782" t="s">
        <v>27</v>
      </c>
      <c r="AF1782" t="s">
        <v>27</v>
      </c>
      <c r="AG1782">
        <v>7.28</v>
      </c>
    </row>
    <row r="1783" spans="1:33" x14ac:dyDescent="0.25">
      <c r="A1783" t="s">
        <v>57</v>
      </c>
      <c r="B1783" s="3">
        <v>45244</v>
      </c>
      <c r="C1783">
        <v>2023318</v>
      </c>
      <c r="D1783">
        <v>5.61</v>
      </c>
      <c r="E1783" t="s">
        <v>27</v>
      </c>
      <c r="F1783">
        <v>-6.8</v>
      </c>
      <c r="G1783">
        <v>1.6</v>
      </c>
      <c r="H1783">
        <v>-14.2</v>
      </c>
      <c r="I1783">
        <v>80.599999999999994</v>
      </c>
      <c r="J1783">
        <v>44.2</v>
      </c>
      <c r="K1783">
        <v>0.3</v>
      </c>
      <c r="L1783">
        <v>1.8</v>
      </c>
      <c r="M1783">
        <v>0</v>
      </c>
      <c r="N1783">
        <v>0.26200000000000001</v>
      </c>
      <c r="O1783">
        <v>-1.2</v>
      </c>
      <c r="P1783">
        <v>-7.9</v>
      </c>
      <c r="Q1783">
        <v>3.6</v>
      </c>
      <c r="R1783">
        <v>-15.9</v>
      </c>
      <c r="S1783">
        <v>0.4</v>
      </c>
      <c r="T1783">
        <v>1.7</v>
      </c>
      <c r="U1783" t="s">
        <v>27</v>
      </c>
      <c r="V1783">
        <v>7.3999999999999996E-2</v>
      </c>
      <c r="W1783">
        <v>0.30199999999999999</v>
      </c>
      <c r="X1783">
        <v>0.38100000000000001</v>
      </c>
      <c r="Y1783" t="s">
        <v>27</v>
      </c>
      <c r="Z1783" t="s">
        <v>27</v>
      </c>
      <c r="AA1783" t="s">
        <v>27</v>
      </c>
      <c r="AB1783" t="s">
        <v>27</v>
      </c>
      <c r="AC1783" t="s">
        <v>27</v>
      </c>
      <c r="AD1783" t="s">
        <v>27</v>
      </c>
      <c r="AE1783" t="s">
        <v>27</v>
      </c>
      <c r="AF1783" t="s">
        <v>27</v>
      </c>
      <c r="AG1783">
        <v>7.16</v>
      </c>
    </row>
    <row r="1784" spans="1:33" x14ac:dyDescent="0.25">
      <c r="A1784" t="s">
        <v>57</v>
      </c>
      <c r="B1784" s="3">
        <v>45245</v>
      </c>
      <c r="C1784">
        <v>2023319</v>
      </c>
      <c r="D1784">
        <v>1.64</v>
      </c>
      <c r="E1784" t="s">
        <v>27</v>
      </c>
      <c r="F1784">
        <v>-5</v>
      </c>
      <c r="G1784">
        <v>-0.4</v>
      </c>
      <c r="H1784">
        <v>-8.1</v>
      </c>
      <c r="I1784">
        <v>84.6</v>
      </c>
      <c r="J1784">
        <v>53.8</v>
      </c>
      <c r="K1784">
        <v>0.5</v>
      </c>
      <c r="L1784">
        <v>2.4</v>
      </c>
      <c r="M1784">
        <v>1.8</v>
      </c>
      <c r="N1784">
        <v>0.29899999999999993</v>
      </c>
      <c r="O1784">
        <v>-0.8</v>
      </c>
      <c r="P1784">
        <v>-5.5</v>
      </c>
      <c r="Q1784">
        <v>0.3</v>
      </c>
      <c r="R1784">
        <v>-9.1999999999999993</v>
      </c>
      <c r="S1784">
        <v>0.3</v>
      </c>
      <c r="T1784">
        <v>1.6</v>
      </c>
      <c r="U1784" t="s">
        <v>27</v>
      </c>
      <c r="V1784">
        <v>7.2999999999999995E-2</v>
      </c>
      <c r="W1784">
        <v>0.32</v>
      </c>
      <c r="X1784">
        <v>0.27500000000000002</v>
      </c>
      <c r="Y1784" t="s">
        <v>27</v>
      </c>
      <c r="Z1784" t="s">
        <v>27</v>
      </c>
      <c r="AA1784" t="s">
        <v>27</v>
      </c>
      <c r="AB1784" t="s">
        <v>27</v>
      </c>
      <c r="AC1784" t="s">
        <v>27</v>
      </c>
      <c r="AD1784" t="s">
        <v>27</v>
      </c>
      <c r="AE1784" t="s">
        <v>27</v>
      </c>
      <c r="AF1784" t="s">
        <v>27</v>
      </c>
      <c r="AG1784">
        <v>7.03</v>
      </c>
    </row>
    <row r="1785" spans="1:33" x14ac:dyDescent="0.25">
      <c r="A1785" t="s">
        <v>57</v>
      </c>
      <c r="B1785" s="3">
        <v>45246</v>
      </c>
      <c r="C1785">
        <v>2023320</v>
      </c>
      <c r="D1785">
        <v>4.88</v>
      </c>
      <c r="E1785" t="s">
        <v>27</v>
      </c>
      <c r="F1785">
        <v>-7.1</v>
      </c>
      <c r="G1785">
        <v>0.6</v>
      </c>
      <c r="H1785">
        <v>-14.4</v>
      </c>
      <c r="I1785">
        <v>83</v>
      </c>
      <c r="J1785">
        <v>52</v>
      </c>
      <c r="K1785">
        <v>0.1</v>
      </c>
      <c r="L1785">
        <v>1.7</v>
      </c>
      <c r="M1785">
        <v>0.6</v>
      </c>
      <c r="N1785">
        <v>0.28400000000000025</v>
      </c>
      <c r="O1785">
        <v>-0.7</v>
      </c>
      <c r="P1785">
        <v>-7.9</v>
      </c>
      <c r="Q1785">
        <v>4</v>
      </c>
      <c r="R1785">
        <v>-16.100000000000001</v>
      </c>
      <c r="S1785">
        <v>0.3</v>
      </c>
      <c r="T1785">
        <v>1.6</v>
      </c>
      <c r="U1785" t="s">
        <v>27</v>
      </c>
      <c r="V1785">
        <v>7.1999999999999995E-2</v>
      </c>
      <c r="W1785">
        <v>0.33</v>
      </c>
      <c r="X1785">
        <v>0.30499999999999999</v>
      </c>
      <c r="Y1785" t="s">
        <v>27</v>
      </c>
      <c r="Z1785" t="s">
        <v>27</v>
      </c>
      <c r="AA1785" t="s">
        <v>27</v>
      </c>
      <c r="AB1785" t="s">
        <v>27</v>
      </c>
      <c r="AC1785" t="s">
        <v>27</v>
      </c>
      <c r="AD1785" t="s">
        <v>27</v>
      </c>
      <c r="AE1785" t="s">
        <v>27</v>
      </c>
      <c r="AF1785" t="s">
        <v>27</v>
      </c>
      <c r="AG1785">
        <v>6.91</v>
      </c>
    </row>
    <row r="1786" spans="1:33" x14ac:dyDescent="0.25">
      <c r="A1786" t="s">
        <v>57</v>
      </c>
      <c r="B1786" s="3">
        <v>45247</v>
      </c>
      <c r="C1786">
        <v>2023321</v>
      </c>
      <c r="D1786">
        <v>5.2</v>
      </c>
      <c r="E1786" t="s">
        <v>27</v>
      </c>
      <c r="F1786">
        <v>-5.0999999999999996</v>
      </c>
      <c r="G1786">
        <v>1.3</v>
      </c>
      <c r="H1786">
        <v>-10.5</v>
      </c>
      <c r="I1786">
        <v>80.8</v>
      </c>
      <c r="J1786">
        <v>60.9</v>
      </c>
      <c r="K1786">
        <v>0.6</v>
      </c>
      <c r="L1786">
        <v>1.9</v>
      </c>
      <c r="M1786">
        <v>0</v>
      </c>
      <c r="N1786">
        <v>0.27499999999999991</v>
      </c>
      <c r="O1786">
        <v>-1.1000000000000001</v>
      </c>
      <c r="P1786">
        <v>-6.1</v>
      </c>
      <c r="Q1786">
        <v>2.5</v>
      </c>
      <c r="R1786">
        <v>-11.7</v>
      </c>
      <c r="S1786">
        <v>0.2</v>
      </c>
      <c r="T1786">
        <v>1.5</v>
      </c>
      <c r="U1786" t="s">
        <v>27</v>
      </c>
      <c r="V1786">
        <v>7.0999999999999994E-2</v>
      </c>
      <c r="W1786">
        <v>0.40799999999999997</v>
      </c>
      <c r="X1786">
        <v>0.26200000000000001</v>
      </c>
      <c r="Y1786" t="s">
        <v>27</v>
      </c>
      <c r="Z1786" t="s">
        <v>27</v>
      </c>
      <c r="AA1786" t="s">
        <v>27</v>
      </c>
      <c r="AB1786" t="s">
        <v>27</v>
      </c>
      <c r="AC1786" t="s">
        <v>27</v>
      </c>
      <c r="AD1786" t="s">
        <v>27</v>
      </c>
      <c r="AE1786" t="s">
        <v>27</v>
      </c>
      <c r="AF1786" t="s">
        <v>27</v>
      </c>
      <c r="AG1786">
        <v>6.8</v>
      </c>
    </row>
    <row r="1787" spans="1:33" x14ac:dyDescent="0.25">
      <c r="A1787" t="s">
        <v>57</v>
      </c>
      <c r="B1787" s="3">
        <v>45248</v>
      </c>
      <c r="C1787">
        <v>2023322</v>
      </c>
      <c r="D1787">
        <v>5</v>
      </c>
      <c r="E1787" t="s">
        <v>27</v>
      </c>
      <c r="F1787">
        <v>-1.4</v>
      </c>
      <c r="G1787">
        <v>2.9</v>
      </c>
      <c r="H1787">
        <v>-6.2</v>
      </c>
      <c r="I1787">
        <v>85.4</v>
      </c>
      <c r="J1787">
        <v>70</v>
      </c>
      <c r="K1787">
        <v>0.7</v>
      </c>
      <c r="L1787">
        <v>2.2000000000000002</v>
      </c>
      <c r="M1787">
        <v>0</v>
      </c>
      <c r="N1787">
        <v>0.27700000000000014</v>
      </c>
      <c r="O1787">
        <v>-0.9</v>
      </c>
      <c r="P1787">
        <v>-2.2000000000000002</v>
      </c>
      <c r="Q1787">
        <v>5.9</v>
      </c>
      <c r="R1787">
        <v>-8</v>
      </c>
      <c r="S1787">
        <v>0.2</v>
      </c>
      <c r="T1787">
        <v>1.5</v>
      </c>
      <c r="U1787" t="s">
        <v>27</v>
      </c>
      <c r="V1787">
        <v>7.0000000000000007E-2</v>
      </c>
      <c r="W1787">
        <v>0.52500000000000002</v>
      </c>
      <c r="X1787">
        <v>0.22500000000000001</v>
      </c>
      <c r="Y1787" t="s">
        <v>27</v>
      </c>
      <c r="Z1787" t="s">
        <v>27</v>
      </c>
      <c r="AA1787" t="s">
        <v>27</v>
      </c>
      <c r="AB1787" t="s">
        <v>27</v>
      </c>
      <c r="AC1787" t="s">
        <v>27</v>
      </c>
      <c r="AD1787" t="s">
        <v>27</v>
      </c>
      <c r="AE1787" t="s">
        <v>27</v>
      </c>
      <c r="AF1787" t="s">
        <v>27</v>
      </c>
      <c r="AG1787">
        <v>6.68</v>
      </c>
    </row>
    <row r="1788" spans="1:33" x14ac:dyDescent="0.25">
      <c r="A1788" t="s">
        <v>57</v>
      </c>
      <c r="B1788" s="3">
        <v>45249</v>
      </c>
      <c r="C1788">
        <v>2023323</v>
      </c>
      <c r="D1788">
        <v>2.5</v>
      </c>
      <c r="E1788" t="s">
        <v>27</v>
      </c>
      <c r="F1788">
        <v>-1.2</v>
      </c>
      <c r="G1788">
        <v>1.2</v>
      </c>
      <c r="H1788">
        <v>-7.6</v>
      </c>
      <c r="I1788">
        <v>82.4</v>
      </c>
      <c r="J1788">
        <v>68.900000000000006</v>
      </c>
      <c r="K1788">
        <v>1.2</v>
      </c>
      <c r="L1788">
        <v>4.3</v>
      </c>
      <c r="M1788">
        <v>3.2</v>
      </c>
      <c r="N1788">
        <v>0.30100000000000016</v>
      </c>
      <c r="O1788">
        <v>-0.2</v>
      </c>
      <c r="P1788">
        <v>-1.8</v>
      </c>
      <c r="Q1788">
        <v>2.2999999999999998</v>
      </c>
      <c r="R1788">
        <v>-9.1999999999999993</v>
      </c>
      <c r="S1788">
        <v>0.3</v>
      </c>
      <c r="T1788">
        <v>1.5</v>
      </c>
      <c r="U1788" t="s">
        <v>27</v>
      </c>
      <c r="V1788">
        <v>7.0000000000000007E-2</v>
      </c>
      <c r="W1788">
        <v>0.45900000000000002</v>
      </c>
      <c r="X1788">
        <v>0.20699999999999999</v>
      </c>
      <c r="Y1788" t="s">
        <v>27</v>
      </c>
      <c r="Z1788" t="s">
        <v>27</v>
      </c>
      <c r="AA1788" t="s">
        <v>27</v>
      </c>
      <c r="AB1788" t="s">
        <v>27</v>
      </c>
      <c r="AC1788" t="s">
        <v>27</v>
      </c>
      <c r="AD1788" t="s">
        <v>27</v>
      </c>
      <c r="AE1788" t="s">
        <v>27</v>
      </c>
      <c r="AF1788" t="s">
        <v>27</v>
      </c>
      <c r="AG1788">
        <v>6.57</v>
      </c>
    </row>
    <row r="1789" spans="1:33" x14ac:dyDescent="0.25">
      <c r="A1789" t="s">
        <v>57</v>
      </c>
      <c r="B1789" s="3">
        <v>45250</v>
      </c>
      <c r="C1789">
        <v>2023324</v>
      </c>
      <c r="D1789">
        <v>2.13</v>
      </c>
      <c r="E1789" t="s">
        <v>27</v>
      </c>
      <c r="F1789">
        <v>-6.3</v>
      </c>
      <c r="G1789">
        <v>-0.8</v>
      </c>
      <c r="H1789">
        <v>-11.8</v>
      </c>
      <c r="I1789">
        <v>87.4</v>
      </c>
      <c r="J1789">
        <v>67.400000000000006</v>
      </c>
      <c r="K1789">
        <v>0.6</v>
      </c>
      <c r="L1789">
        <v>1.9</v>
      </c>
      <c r="M1789">
        <v>0</v>
      </c>
      <c r="N1789">
        <v>0.29800000000000004</v>
      </c>
      <c r="O1789">
        <v>-0.8</v>
      </c>
      <c r="P1789">
        <v>-7.2</v>
      </c>
      <c r="Q1789">
        <v>0.8</v>
      </c>
      <c r="R1789">
        <v>-13.2</v>
      </c>
      <c r="S1789">
        <v>0.3</v>
      </c>
      <c r="T1789">
        <v>1.5</v>
      </c>
      <c r="U1789" t="s">
        <v>27</v>
      </c>
      <c r="V1789">
        <v>6.9000000000000006E-2</v>
      </c>
      <c r="W1789">
        <v>0.38700000000000001</v>
      </c>
      <c r="X1789">
        <v>0.187</v>
      </c>
      <c r="Y1789" t="s">
        <v>27</v>
      </c>
      <c r="Z1789" t="s">
        <v>27</v>
      </c>
      <c r="AA1789" t="s">
        <v>27</v>
      </c>
      <c r="AB1789" t="s">
        <v>27</v>
      </c>
      <c r="AC1789" t="s">
        <v>27</v>
      </c>
      <c r="AD1789" t="s">
        <v>27</v>
      </c>
      <c r="AE1789" t="s">
        <v>27</v>
      </c>
      <c r="AF1789" t="s">
        <v>27</v>
      </c>
      <c r="AG1789">
        <v>6.47</v>
      </c>
    </row>
    <row r="1790" spans="1:33" x14ac:dyDescent="0.25">
      <c r="A1790" t="s">
        <v>57</v>
      </c>
      <c r="B1790" s="3">
        <v>45251</v>
      </c>
      <c r="C1790">
        <v>2023325</v>
      </c>
      <c r="D1790">
        <v>3.54</v>
      </c>
      <c r="E1790" t="s">
        <v>27</v>
      </c>
      <c r="F1790">
        <v>-3.5</v>
      </c>
      <c r="G1790">
        <v>-0.6</v>
      </c>
      <c r="H1790">
        <v>-5.7</v>
      </c>
      <c r="I1790">
        <v>86</v>
      </c>
      <c r="J1790">
        <v>74.599999999999994</v>
      </c>
      <c r="K1790">
        <v>1</v>
      </c>
      <c r="L1790">
        <v>2.1</v>
      </c>
      <c r="M1790">
        <v>0</v>
      </c>
      <c r="N1790">
        <v>0.28699999999999992</v>
      </c>
      <c r="O1790">
        <v>-0.8</v>
      </c>
      <c r="P1790">
        <v>-4.0999999999999996</v>
      </c>
      <c r="Q1790">
        <v>0.8</v>
      </c>
      <c r="R1790">
        <v>-6.6</v>
      </c>
      <c r="S1790">
        <v>0.2</v>
      </c>
      <c r="T1790">
        <v>1.5</v>
      </c>
      <c r="U1790" t="s">
        <v>27</v>
      </c>
      <c r="V1790">
        <v>6.8000000000000005E-2</v>
      </c>
      <c r="W1790">
        <v>0.435</v>
      </c>
      <c r="X1790">
        <v>0.14799999999999999</v>
      </c>
      <c r="Y1790" t="s">
        <v>27</v>
      </c>
      <c r="Z1790" t="s">
        <v>27</v>
      </c>
      <c r="AA1790" t="s">
        <v>27</v>
      </c>
      <c r="AB1790" t="s">
        <v>27</v>
      </c>
      <c r="AC1790" t="s">
        <v>27</v>
      </c>
      <c r="AD1790" t="s">
        <v>27</v>
      </c>
      <c r="AE1790" t="s">
        <v>27</v>
      </c>
      <c r="AF1790" t="s">
        <v>27</v>
      </c>
      <c r="AG1790">
        <v>6.37</v>
      </c>
    </row>
    <row r="1791" spans="1:33" x14ac:dyDescent="0.25">
      <c r="A1791" t="s">
        <v>57</v>
      </c>
      <c r="B1791" s="3">
        <v>45252</v>
      </c>
      <c r="C1791">
        <v>2023326</v>
      </c>
      <c r="D1791">
        <v>2.25</v>
      </c>
      <c r="E1791" t="s">
        <v>27</v>
      </c>
      <c r="F1791">
        <v>-2.5</v>
      </c>
      <c r="G1791">
        <v>1.7</v>
      </c>
      <c r="H1791">
        <v>-8</v>
      </c>
      <c r="I1791">
        <v>84.8</v>
      </c>
      <c r="J1791">
        <v>64.099999999999994</v>
      </c>
      <c r="K1791">
        <v>0.7</v>
      </c>
      <c r="L1791">
        <v>2.6</v>
      </c>
      <c r="M1791">
        <v>0.5</v>
      </c>
      <c r="N1791">
        <v>0.28600000000000003</v>
      </c>
      <c r="O1791">
        <v>-0.4</v>
      </c>
      <c r="P1791">
        <v>-3.3</v>
      </c>
      <c r="Q1791">
        <v>2.1</v>
      </c>
      <c r="R1791">
        <v>-9.5</v>
      </c>
      <c r="S1791">
        <v>0.3</v>
      </c>
      <c r="T1791">
        <v>1.4</v>
      </c>
      <c r="U1791" t="s">
        <v>27</v>
      </c>
      <c r="V1791">
        <v>6.8000000000000005E-2</v>
      </c>
      <c r="W1791">
        <v>0.441</v>
      </c>
      <c r="X1791">
        <v>0.247</v>
      </c>
      <c r="Y1791" t="s">
        <v>27</v>
      </c>
      <c r="Z1791" t="s">
        <v>27</v>
      </c>
      <c r="AA1791" t="s">
        <v>27</v>
      </c>
      <c r="AB1791" t="s">
        <v>27</v>
      </c>
      <c r="AC1791" t="s">
        <v>27</v>
      </c>
      <c r="AD1791" t="s">
        <v>27</v>
      </c>
      <c r="AE1791" t="s">
        <v>27</v>
      </c>
      <c r="AF1791" t="s">
        <v>27</v>
      </c>
      <c r="AG1791">
        <v>6.26</v>
      </c>
    </row>
    <row r="1792" spans="1:33" x14ac:dyDescent="0.25">
      <c r="A1792" t="s">
        <v>57</v>
      </c>
      <c r="B1792" s="3">
        <v>45253</v>
      </c>
      <c r="C1792">
        <v>2023327</v>
      </c>
      <c r="D1792">
        <v>4.26</v>
      </c>
      <c r="E1792" t="s">
        <v>27</v>
      </c>
      <c r="F1792">
        <v>-5.8</v>
      </c>
      <c r="G1792">
        <v>-2.8</v>
      </c>
      <c r="H1792">
        <v>-9.6</v>
      </c>
      <c r="I1792">
        <v>83.1</v>
      </c>
      <c r="J1792">
        <v>67.099999999999994</v>
      </c>
      <c r="K1792">
        <v>1.3</v>
      </c>
      <c r="L1792">
        <v>3.1</v>
      </c>
      <c r="M1792">
        <v>0.2</v>
      </c>
      <c r="N1792">
        <v>0.27600000000000025</v>
      </c>
      <c r="O1792">
        <v>-0.9</v>
      </c>
      <c r="P1792">
        <v>-6.8</v>
      </c>
      <c r="Q1792">
        <v>-2.5</v>
      </c>
      <c r="R1792">
        <v>-11.2</v>
      </c>
      <c r="S1792">
        <v>0.2</v>
      </c>
      <c r="T1792">
        <v>1.4</v>
      </c>
      <c r="U1792" t="s">
        <v>27</v>
      </c>
      <c r="V1792">
        <v>6.7000000000000004E-2</v>
      </c>
      <c r="W1792">
        <v>0.33400000000000002</v>
      </c>
      <c r="X1792">
        <v>0.16400000000000001</v>
      </c>
      <c r="Y1792" t="s">
        <v>27</v>
      </c>
      <c r="Z1792" t="s">
        <v>27</v>
      </c>
      <c r="AA1792" t="s">
        <v>27</v>
      </c>
      <c r="AB1792" t="s">
        <v>27</v>
      </c>
      <c r="AC1792" t="s">
        <v>27</v>
      </c>
      <c r="AD1792" t="s">
        <v>27</v>
      </c>
      <c r="AE1792" t="s">
        <v>27</v>
      </c>
      <c r="AF1792" t="s">
        <v>27</v>
      </c>
      <c r="AG1792">
        <v>6.17</v>
      </c>
    </row>
    <row r="1793" spans="1:33" x14ac:dyDescent="0.25">
      <c r="A1793" t="s">
        <v>57</v>
      </c>
      <c r="B1793" s="3">
        <v>45254</v>
      </c>
      <c r="C1793">
        <v>2023328</v>
      </c>
      <c r="D1793">
        <v>4.92</v>
      </c>
      <c r="E1793" t="s">
        <v>27</v>
      </c>
      <c r="F1793">
        <v>-7.3</v>
      </c>
      <c r="G1793">
        <v>-3.4</v>
      </c>
      <c r="H1793">
        <v>-11.8</v>
      </c>
      <c r="I1793">
        <v>86.3</v>
      </c>
      <c r="J1793">
        <v>71.900000000000006</v>
      </c>
      <c r="K1793">
        <v>0.9</v>
      </c>
      <c r="L1793">
        <v>2.7</v>
      </c>
      <c r="M1793">
        <v>0</v>
      </c>
      <c r="N1793">
        <v>0.28500000000000014</v>
      </c>
      <c r="O1793">
        <v>-1.4</v>
      </c>
      <c r="P1793">
        <v>-8</v>
      </c>
      <c r="Q1793">
        <v>-1.6</v>
      </c>
      <c r="R1793">
        <v>-13</v>
      </c>
      <c r="S1793">
        <v>0.1</v>
      </c>
      <c r="T1793">
        <v>1.3</v>
      </c>
      <c r="U1793" t="s">
        <v>27</v>
      </c>
      <c r="V1793">
        <v>6.6000000000000003E-2</v>
      </c>
      <c r="W1793">
        <v>0.34</v>
      </c>
      <c r="X1793">
        <v>0.13300000000000001</v>
      </c>
      <c r="Y1793" t="s">
        <v>27</v>
      </c>
      <c r="Z1793" t="s">
        <v>27</v>
      </c>
      <c r="AA1793" t="s">
        <v>27</v>
      </c>
      <c r="AB1793" t="s">
        <v>27</v>
      </c>
      <c r="AC1793" t="s">
        <v>27</v>
      </c>
      <c r="AD1793" t="s">
        <v>27</v>
      </c>
      <c r="AE1793" t="s">
        <v>27</v>
      </c>
      <c r="AF1793" t="s">
        <v>27</v>
      </c>
      <c r="AG1793">
        <v>6.07</v>
      </c>
    </row>
    <row r="1794" spans="1:33" x14ac:dyDescent="0.25">
      <c r="A1794" t="s">
        <v>57</v>
      </c>
      <c r="B1794" s="3">
        <v>45255</v>
      </c>
      <c r="C1794">
        <v>2023329</v>
      </c>
      <c r="D1794">
        <v>0.73</v>
      </c>
      <c r="E1794" t="s">
        <v>27</v>
      </c>
      <c r="F1794">
        <v>-2.6</v>
      </c>
      <c r="G1794">
        <v>-0.9</v>
      </c>
      <c r="H1794">
        <v>-3.8</v>
      </c>
      <c r="I1794">
        <v>91.4</v>
      </c>
      <c r="J1794">
        <v>86.2</v>
      </c>
      <c r="K1794">
        <v>0.8</v>
      </c>
      <c r="L1794">
        <v>2.2000000000000002</v>
      </c>
      <c r="M1794">
        <v>0</v>
      </c>
      <c r="N1794">
        <v>0.28699999999999992</v>
      </c>
      <c r="O1794">
        <v>-0.7</v>
      </c>
      <c r="P1794">
        <v>-3.1</v>
      </c>
      <c r="Q1794">
        <v>-1</v>
      </c>
      <c r="R1794">
        <v>-4.2</v>
      </c>
      <c r="S1794">
        <v>0.1</v>
      </c>
      <c r="T1794">
        <v>1.3</v>
      </c>
      <c r="U1794" t="s">
        <v>27</v>
      </c>
      <c r="V1794">
        <v>6.5000000000000002E-2</v>
      </c>
      <c r="W1794">
        <v>0.49199999999999999</v>
      </c>
      <c r="X1794">
        <v>7.9000000000000001E-2</v>
      </c>
      <c r="Y1794" t="s">
        <v>27</v>
      </c>
      <c r="Z1794" t="s">
        <v>27</v>
      </c>
      <c r="AA1794" t="s">
        <v>27</v>
      </c>
      <c r="AB1794" t="s">
        <v>27</v>
      </c>
      <c r="AC1794" t="s">
        <v>27</v>
      </c>
      <c r="AD1794" t="s">
        <v>27</v>
      </c>
      <c r="AE1794" t="s">
        <v>27</v>
      </c>
      <c r="AF1794" t="s">
        <v>27</v>
      </c>
      <c r="AG1794">
        <v>5.99</v>
      </c>
    </row>
    <row r="1795" spans="1:33" x14ac:dyDescent="0.25">
      <c r="A1795" t="s">
        <v>57</v>
      </c>
      <c r="B1795" s="3">
        <v>45256</v>
      </c>
      <c r="C1795">
        <v>2023330</v>
      </c>
      <c r="D1795">
        <v>3.03</v>
      </c>
      <c r="E1795" t="s">
        <v>27</v>
      </c>
      <c r="F1795">
        <v>-2.5</v>
      </c>
      <c r="G1795">
        <v>2</v>
      </c>
      <c r="H1795">
        <v>-4.8</v>
      </c>
      <c r="I1795">
        <v>89.7</v>
      </c>
      <c r="J1795">
        <v>72</v>
      </c>
      <c r="K1795">
        <v>0.5</v>
      </c>
      <c r="L1795">
        <v>1.6</v>
      </c>
      <c r="M1795">
        <v>0.7</v>
      </c>
      <c r="N1795">
        <v>0.27</v>
      </c>
      <c r="O1795">
        <v>-0.2</v>
      </c>
      <c r="P1795">
        <v>-2.7</v>
      </c>
      <c r="Q1795">
        <v>3.9</v>
      </c>
      <c r="R1795">
        <v>-5.2</v>
      </c>
      <c r="S1795">
        <v>0.2</v>
      </c>
      <c r="T1795">
        <v>1.3</v>
      </c>
      <c r="U1795" t="s">
        <v>27</v>
      </c>
      <c r="V1795">
        <v>6.4000000000000001E-2</v>
      </c>
      <c r="W1795">
        <v>0.50800000000000001</v>
      </c>
      <c r="X1795">
        <v>0.19800000000000001</v>
      </c>
      <c r="Y1795" t="s">
        <v>27</v>
      </c>
      <c r="Z1795" t="s">
        <v>27</v>
      </c>
      <c r="AA1795" t="s">
        <v>27</v>
      </c>
      <c r="AB1795" t="s">
        <v>27</v>
      </c>
      <c r="AC1795" t="s">
        <v>27</v>
      </c>
      <c r="AD1795" t="s">
        <v>27</v>
      </c>
      <c r="AE1795" t="s">
        <v>27</v>
      </c>
      <c r="AF1795" t="s">
        <v>27</v>
      </c>
      <c r="AG1795">
        <v>5.9</v>
      </c>
    </row>
    <row r="1796" spans="1:33" x14ac:dyDescent="0.25">
      <c r="A1796" t="s">
        <v>57</v>
      </c>
      <c r="B1796" s="3">
        <v>45257</v>
      </c>
      <c r="C1796">
        <v>2023331</v>
      </c>
      <c r="D1796">
        <v>2.41</v>
      </c>
      <c r="E1796" t="s">
        <v>27</v>
      </c>
      <c r="F1796">
        <v>-6.8</v>
      </c>
      <c r="G1796">
        <v>-4.3</v>
      </c>
      <c r="H1796">
        <v>-12.4</v>
      </c>
      <c r="I1796">
        <v>90.5</v>
      </c>
      <c r="J1796">
        <v>84.6</v>
      </c>
      <c r="K1796">
        <v>0.6</v>
      </c>
      <c r="L1796">
        <v>1.5</v>
      </c>
      <c r="M1796">
        <v>1.1000000000000001</v>
      </c>
      <c r="N1796">
        <v>0.29000000000000004</v>
      </c>
      <c r="O1796">
        <v>-0.4</v>
      </c>
      <c r="P1796">
        <v>-6.9</v>
      </c>
      <c r="Q1796">
        <v>-1.6</v>
      </c>
      <c r="R1796">
        <v>-12.9</v>
      </c>
      <c r="S1796">
        <v>0.3</v>
      </c>
      <c r="T1796">
        <v>1.3</v>
      </c>
      <c r="U1796" t="s">
        <v>27</v>
      </c>
      <c r="V1796">
        <v>6.4000000000000001E-2</v>
      </c>
      <c r="W1796">
        <v>0.375</v>
      </c>
      <c r="X1796">
        <v>6.8000000000000005E-2</v>
      </c>
      <c r="Y1796" t="s">
        <v>27</v>
      </c>
      <c r="Z1796" t="s">
        <v>27</v>
      </c>
      <c r="AA1796" t="s">
        <v>27</v>
      </c>
      <c r="AB1796" t="s">
        <v>27</v>
      </c>
      <c r="AC1796" t="s">
        <v>27</v>
      </c>
      <c r="AD1796" t="s">
        <v>27</v>
      </c>
      <c r="AE1796" t="s">
        <v>27</v>
      </c>
      <c r="AF1796" t="s">
        <v>27</v>
      </c>
      <c r="AG1796">
        <v>5.82</v>
      </c>
    </row>
    <row r="1797" spans="1:33" x14ac:dyDescent="0.25">
      <c r="A1797" t="s">
        <v>57</v>
      </c>
      <c r="B1797" s="3">
        <v>45258</v>
      </c>
      <c r="C1797">
        <v>2023332</v>
      </c>
      <c r="D1797">
        <v>2.62</v>
      </c>
      <c r="E1797" t="s">
        <v>27</v>
      </c>
      <c r="F1797">
        <v>-10.3</v>
      </c>
      <c r="G1797">
        <v>-6.4</v>
      </c>
      <c r="H1797">
        <v>-15</v>
      </c>
      <c r="I1797">
        <v>87.8</v>
      </c>
      <c r="J1797">
        <v>83</v>
      </c>
      <c r="K1797">
        <v>0.6</v>
      </c>
      <c r="L1797">
        <v>1.8</v>
      </c>
      <c r="M1797">
        <v>0.1</v>
      </c>
      <c r="N1797">
        <v>0.29300000000000015</v>
      </c>
      <c r="O1797">
        <v>-1.2</v>
      </c>
      <c r="P1797">
        <v>-10.8</v>
      </c>
      <c r="Q1797">
        <v>-4.7</v>
      </c>
      <c r="R1797">
        <v>-16.3</v>
      </c>
      <c r="S1797">
        <v>0.1</v>
      </c>
      <c r="T1797">
        <v>1.3</v>
      </c>
      <c r="U1797" t="s">
        <v>27</v>
      </c>
      <c r="V1797">
        <v>6.3E-2</v>
      </c>
      <c r="W1797">
        <v>0.314</v>
      </c>
      <c r="X1797">
        <v>6.4000000000000001E-2</v>
      </c>
      <c r="Y1797" t="s">
        <v>27</v>
      </c>
      <c r="Z1797" t="s">
        <v>27</v>
      </c>
      <c r="AA1797" t="s">
        <v>27</v>
      </c>
      <c r="AB1797" t="s">
        <v>27</v>
      </c>
      <c r="AC1797" t="s">
        <v>27</v>
      </c>
      <c r="AD1797" t="s">
        <v>27</v>
      </c>
      <c r="AE1797" t="s">
        <v>27</v>
      </c>
      <c r="AF1797" t="s">
        <v>27</v>
      </c>
      <c r="AG1797">
        <v>5.74</v>
      </c>
    </row>
    <row r="1798" spans="1:33" x14ac:dyDescent="0.25">
      <c r="A1798" t="s">
        <v>57</v>
      </c>
      <c r="B1798" s="3">
        <v>45259</v>
      </c>
      <c r="C1798">
        <v>2023333</v>
      </c>
      <c r="D1798">
        <v>3.62</v>
      </c>
      <c r="E1798" t="s">
        <v>27</v>
      </c>
      <c r="F1798">
        <v>-11.7</v>
      </c>
      <c r="G1798">
        <v>-4.3</v>
      </c>
      <c r="H1798">
        <v>-16.5</v>
      </c>
      <c r="I1798">
        <v>85.1</v>
      </c>
      <c r="J1798">
        <v>74.3</v>
      </c>
      <c r="K1798">
        <v>0.2</v>
      </c>
      <c r="L1798">
        <v>1.8</v>
      </c>
      <c r="M1798">
        <v>0.1</v>
      </c>
      <c r="N1798">
        <v>0.28299999999999992</v>
      </c>
      <c r="O1798">
        <v>-2.2999999999999998</v>
      </c>
      <c r="P1798">
        <v>-12.6</v>
      </c>
      <c r="Q1798">
        <v>-2.7</v>
      </c>
      <c r="R1798">
        <v>-17.899999999999999</v>
      </c>
      <c r="S1798">
        <v>0</v>
      </c>
      <c r="T1798">
        <v>1.2</v>
      </c>
      <c r="U1798" t="s">
        <v>27</v>
      </c>
      <c r="V1798">
        <v>6.0999999999999999E-2</v>
      </c>
      <c r="W1798">
        <v>0.33100000000000002</v>
      </c>
      <c r="X1798">
        <v>0.114</v>
      </c>
      <c r="Y1798" t="s">
        <v>27</v>
      </c>
      <c r="Z1798" t="s">
        <v>27</v>
      </c>
      <c r="AA1798" t="s">
        <v>27</v>
      </c>
      <c r="AB1798" t="s">
        <v>27</v>
      </c>
      <c r="AC1798" t="s">
        <v>27</v>
      </c>
      <c r="AD1798" t="s">
        <v>27</v>
      </c>
      <c r="AE1798" t="s">
        <v>27</v>
      </c>
      <c r="AF1798" t="s">
        <v>27</v>
      </c>
      <c r="AG1798">
        <v>5.67</v>
      </c>
    </row>
    <row r="1799" spans="1:33" x14ac:dyDescent="0.25">
      <c r="A1799" t="s">
        <v>57</v>
      </c>
      <c r="B1799" s="3">
        <v>45260</v>
      </c>
      <c r="C1799">
        <v>2023334</v>
      </c>
      <c r="D1799">
        <v>0.74</v>
      </c>
      <c r="E1799" t="s">
        <v>27</v>
      </c>
      <c r="F1799">
        <v>-11.2</v>
      </c>
      <c r="G1799">
        <v>-8.9</v>
      </c>
      <c r="H1799">
        <v>-15.8</v>
      </c>
      <c r="I1799">
        <v>87.4</v>
      </c>
      <c r="J1799">
        <v>82.9</v>
      </c>
      <c r="K1799">
        <v>0.3</v>
      </c>
      <c r="L1799">
        <v>1.3</v>
      </c>
      <c r="M1799">
        <v>0</v>
      </c>
      <c r="N1799">
        <v>0.28400000000000025</v>
      </c>
      <c r="O1799">
        <v>-1.9</v>
      </c>
      <c r="P1799">
        <v>-11.5</v>
      </c>
      <c r="Q1799">
        <v>-7.9</v>
      </c>
      <c r="R1799">
        <v>-16.7</v>
      </c>
      <c r="S1799">
        <v>-0.1</v>
      </c>
      <c r="T1799">
        <v>1.1000000000000001</v>
      </c>
      <c r="U1799" t="s">
        <v>27</v>
      </c>
      <c r="V1799">
        <v>5.8999999999999997E-2</v>
      </c>
      <c r="W1799">
        <v>0.25800000000000001</v>
      </c>
      <c r="X1799">
        <v>5.2999999999999999E-2</v>
      </c>
      <c r="Y1799" t="s">
        <v>27</v>
      </c>
      <c r="Z1799" t="s">
        <v>27</v>
      </c>
      <c r="AA1799" t="s">
        <v>27</v>
      </c>
      <c r="AB1799" t="s">
        <v>27</v>
      </c>
      <c r="AC1799" t="s">
        <v>27</v>
      </c>
      <c r="AD1799" t="s">
        <v>27</v>
      </c>
      <c r="AE1799" t="s">
        <v>27</v>
      </c>
      <c r="AF1799" t="s">
        <v>27</v>
      </c>
      <c r="AG1799">
        <v>5.6</v>
      </c>
    </row>
    <row r="1800" spans="1:33" x14ac:dyDescent="0.25">
      <c r="A1800" t="s">
        <v>57</v>
      </c>
      <c r="B1800" s="3">
        <v>45261</v>
      </c>
      <c r="C1800">
        <v>2023335</v>
      </c>
      <c r="D1800">
        <v>0.22</v>
      </c>
      <c r="E1800" t="s">
        <v>27</v>
      </c>
      <c r="F1800">
        <v>-8.9</v>
      </c>
      <c r="G1800">
        <v>-6.6</v>
      </c>
      <c r="H1800">
        <v>-11.1</v>
      </c>
      <c r="I1800">
        <v>88</v>
      </c>
      <c r="J1800">
        <v>84.6</v>
      </c>
      <c r="K1800">
        <v>0.3</v>
      </c>
      <c r="L1800">
        <v>1.4</v>
      </c>
      <c r="M1800">
        <v>1.2</v>
      </c>
      <c r="N1800">
        <v>0.30100000000000016</v>
      </c>
      <c r="O1800">
        <v>-1.6</v>
      </c>
      <c r="P1800">
        <v>-9.1999999999999993</v>
      </c>
      <c r="Q1800">
        <v>-5.9</v>
      </c>
      <c r="R1800">
        <v>-12.1</v>
      </c>
      <c r="S1800">
        <v>-0.1</v>
      </c>
      <c r="T1800">
        <v>1</v>
      </c>
      <c r="U1800" t="s">
        <v>27</v>
      </c>
      <c r="V1800">
        <v>5.7000000000000002E-2</v>
      </c>
      <c r="W1800">
        <v>0.316</v>
      </c>
      <c r="X1800">
        <v>5.8000000000000003E-2</v>
      </c>
      <c r="Y1800" t="s">
        <v>27</v>
      </c>
      <c r="Z1800" t="s">
        <v>27</v>
      </c>
      <c r="AA1800" t="s">
        <v>27</v>
      </c>
      <c r="AB1800" t="s">
        <v>27</v>
      </c>
      <c r="AC1800" t="s">
        <v>27</v>
      </c>
      <c r="AD1800" t="s">
        <v>27</v>
      </c>
      <c r="AE1800" t="s">
        <v>27</v>
      </c>
      <c r="AF1800" t="s">
        <v>27</v>
      </c>
      <c r="AG1800">
        <v>5.53</v>
      </c>
    </row>
    <row r="1801" spans="1:33" x14ac:dyDescent="0.25">
      <c r="A1801" t="s">
        <v>57</v>
      </c>
      <c r="B1801" s="3">
        <v>45262</v>
      </c>
      <c r="C1801">
        <v>2023336</v>
      </c>
      <c r="D1801">
        <v>0.28999999999999998</v>
      </c>
      <c r="E1801" t="s">
        <v>27</v>
      </c>
      <c r="F1801">
        <v>-5.6</v>
      </c>
      <c r="G1801">
        <v>-3</v>
      </c>
      <c r="H1801">
        <v>-9.3000000000000007</v>
      </c>
      <c r="I1801">
        <v>86</v>
      </c>
      <c r="J1801">
        <v>75.7</v>
      </c>
      <c r="K1801">
        <v>1</v>
      </c>
      <c r="L1801">
        <v>3.6</v>
      </c>
      <c r="M1801">
        <v>1.3</v>
      </c>
      <c r="N1801">
        <v>0.31899999999999995</v>
      </c>
      <c r="O1801">
        <v>-1.2</v>
      </c>
      <c r="P1801">
        <v>-6.3</v>
      </c>
      <c r="Q1801">
        <v>-2.9</v>
      </c>
      <c r="R1801">
        <v>-10.199999999999999</v>
      </c>
      <c r="S1801">
        <v>-0.1</v>
      </c>
      <c r="T1801">
        <v>1</v>
      </c>
      <c r="U1801" t="s">
        <v>27</v>
      </c>
      <c r="V1801">
        <v>5.6000000000000001E-2</v>
      </c>
      <c r="W1801">
        <v>0.371</v>
      </c>
      <c r="X1801">
        <v>0.11899999999999999</v>
      </c>
      <c r="Y1801" t="s">
        <v>27</v>
      </c>
      <c r="Z1801" t="s">
        <v>27</v>
      </c>
      <c r="AA1801" t="s">
        <v>27</v>
      </c>
      <c r="AB1801" t="s">
        <v>27</v>
      </c>
      <c r="AC1801" t="s">
        <v>27</v>
      </c>
      <c r="AD1801" t="s">
        <v>27</v>
      </c>
      <c r="AE1801" t="s">
        <v>27</v>
      </c>
      <c r="AF1801" t="s">
        <v>27</v>
      </c>
      <c r="AG1801">
        <v>5.47</v>
      </c>
    </row>
    <row r="1802" spans="1:33" x14ac:dyDescent="0.25">
      <c r="A1802" t="s">
        <v>57</v>
      </c>
      <c r="B1802" s="3">
        <v>45263</v>
      </c>
      <c r="C1802">
        <v>2023337</v>
      </c>
      <c r="D1802">
        <v>0</v>
      </c>
      <c r="E1802" t="s">
        <v>27</v>
      </c>
      <c r="F1802">
        <v>-5.5</v>
      </c>
      <c r="G1802">
        <v>-2.2000000000000002</v>
      </c>
      <c r="H1802">
        <v>-11</v>
      </c>
      <c r="I1802">
        <v>88.6</v>
      </c>
      <c r="J1802">
        <v>80.2</v>
      </c>
      <c r="K1802">
        <v>0.4</v>
      </c>
      <c r="L1802">
        <v>2.5</v>
      </c>
      <c r="M1802">
        <v>4.5</v>
      </c>
      <c r="N1802">
        <v>0.36299999999999999</v>
      </c>
      <c r="O1802">
        <v>-1.2</v>
      </c>
      <c r="P1802">
        <v>-6.5</v>
      </c>
      <c r="Q1802">
        <v>-3.7</v>
      </c>
      <c r="R1802">
        <v>-12.3</v>
      </c>
      <c r="S1802">
        <v>-0.1</v>
      </c>
      <c r="T1802">
        <v>1</v>
      </c>
      <c r="U1802" t="s">
        <v>27</v>
      </c>
      <c r="V1802">
        <v>5.5E-2</v>
      </c>
      <c r="W1802">
        <v>0.41799999999999998</v>
      </c>
      <c r="X1802">
        <v>0.10299999999999999</v>
      </c>
      <c r="Y1802" t="s">
        <v>27</v>
      </c>
      <c r="Z1802" t="s">
        <v>27</v>
      </c>
      <c r="AA1802" t="s">
        <v>27</v>
      </c>
      <c r="AB1802" t="s">
        <v>27</v>
      </c>
      <c r="AC1802" t="s">
        <v>27</v>
      </c>
      <c r="AD1802" t="s">
        <v>27</v>
      </c>
      <c r="AE1802" t="s">
        <v>27</v>
      </c>
      <c r="AF1802" t="s">
        <v>27</v>
      </c>
      <c r="AG1802">
        <v>5.41</v>
      </c>
    </row>
    <row r="1803" spans="1:33" x14ac:dyDescent="0.25">
      <c r="A1803" t="s">
        <v>57</v>
      </c>
      <c r="B1803" s="3">
        <v>45264</v>
      </c>
      <c r="C1803">
        <v>2023338</v>
      </c>
      <c r="D1803">
        <v>0</v>
      </c>
      <c r="E1803" t="s">
        <v>27</v>
      </c>
      <c r="F1803">
        <v>-2.9</v>
      </c>
      <c r="G1803">
        <v>-0.2</v>
      </c>
      <c r="H1803">
        <v>-5.8</v>
      </c>
      <c r="I1803">
        <v>90.7</v>
      </c>
      <c r="J1803">
        <v>79</v>
      </c>
      <c r="K1803">
        <v>0.5</v>
      </c>
      <c r="L1803">
        <v>2.2999999999999998</v>
      </c>
      <c r="M1803">
        <v>3.8</v>
      </c>
      <c r="N1803">
        <v>0.379</v>
      </c>
      <c r="O1803">
        <v>-0.9</v>
      </c>
      <c r="P1803">
        <v>-3.6</v>
      </c>
      <c r="Q1803">
        <v>-0.4</v>
      </c>
      <c r="R1803">
        <v>-7.2</v>
      </c>
      <c r="S1803">
        <v>-0.1</v>
      </c>
      <c r="T1803">
        <v>1</v>
      </c>
      <c r="U1803" t="s">
        <v>27</v>
      </c>
      <c r="V1803">
        <v>5.5E-2</v>
      </c>
      <c r="W1803">
        <v>0.47599999999999998</v>
      </c>
      <c r="X1803">
        <v>0.127</v>
      </c>
      <c r="Y1803" t="s">
        <v>27</v>
      </c>
      <c r="Z1803" t="s">
        <v>27</v>
      </c>
      <c r="AA1803" t="s">
        <v>27</v>
      </c>
      <c r="AB1803" t="s">
        <v>27</v>
      </c>
      <c r="AC1803" t="s">
        <v>27</v>
      </c>
      <c r="AD1803" t="s">
        <v>27</v>
      </c>
      <c r="AE1803" t="s">
        <v>27</v>
      </c>
      <c r="AF1803" t="s">
        <v>27</v>
      </c>
      <c r="AG1803">
        <v>5.35</v>
      </c>
    </row>
    <row r="1804" spans="1:33" x14ac:dyDescent="0.25">
      <c r="A1804" t="s">
        <v>57</v>
      </c>
      <c r="B1804" s="3">
        <v>45265</v>
      </c>
      <c r="C1804">
        <v>2023339</v>
      </c>
      <c r="D1804">
        <v>1.03</v>
      </c>
      <c r="E1804" t="s">
        <v>27</v>
      </c>
      <c r="F1804">
        <v>2</v>
      </c>
      <c r="G1804">
        <v>4.4000000000000004</v>
      </c>
      <c r="H1804">
        <v>-0.3</v>
      </c>
      <c r="I1804">
        <v>96.6</v>
      </c>
      <c r="J1804">
        <v>95.7</v>
      </c>
      <c r="K1804">
        <v>0.4</v>
      </c>
      <c r="L1804">
        <v>2.5</v>
      </c>
      <c r="M1804">
        <v>4</v>
      </c>
      <c r="N1804">
        <v>0.34200000000000008</v>
      </c>
      <c r="O1804">
        <v>-0.2</v>
      </c>
      <c r="P1804">
        <v>1.4</v>
      </c>
      <c r="Q1804">
        <v>3.9</v>
      </c>
      <c r="R1804">
        <v>-0.6</v>
      </c>
      <c r="S1804">
        <v>0</v>
      </c>
      <c r="T1804">
        <v>1</v>
      </c>
      <c r="U1804" t="s">
        <v>27</v>
      </c>
      <c r="V1804">
        <v>7.6999999999999999E-2</v>
      </c>
      <c r="W1804">
        <v>0.8</v>
      </c>
      <c r="X1804">
        <v>3.5999999999999997E-2</v>
      </c>
      <c r="Y1804" t="s">
        <v>27</v>
      </c>
      <c r="Z1804" t="s">
        <v>27</v>
      </c>
      <c r="AA1804" t="s">
        <v>27</v>
      </c>
      <c r="AB1804" t="s">
        <v>27</v>
      </c>
      <c r="AC1804" t="s">
        <v>27</v>
      </c>
      <c r="AD1804" t="s">
        <v>27</v>
      </c>
      <c r="AE1804" t="s">
        <v>27</v>
      </c>
      <c r="AF1804" t="s">
        <v>27</v>
      </c>
      <c r="AG1804">
        <v>5.3</v>
      </c>
    </row>
    <row r="1805" spans="1:33" x14ac:dyDescent="0.25">
      <c r="A1805" t="s">
        <v>57</v>
      </c>
      <c r="B1805" s="3">
        <v>45266</v>
      </c>
      <c r="C1805">
        <v>2023340</v>
      </c>
      <c r="D1805">
        <v>1.03</v>
      </c>
      <c r="E1805" t="s">
        <v>27</v>
      </c>
      <c r="F1805">
        <v>0.9</v>
      </c>
      <c r="G1805">
        <v>1.9</v>
      </c>
      <c r="H1805">
        <v>-1.1000000000000001</v>
      </c>
      <c r="I1805">
        <v>96.2</v>
      </c>
      <c r="J1805">
        <v>93.7</v>
      </c>
      <c r="K1805">
        <v>0.2</v>
      </c>
      <c r="L1805">
        <v>1.6</v>
      </c>
      <c r="M1805">
        <v>5</v>
      </c>
      <c r="N1805">
        <v>0.33099999999999996</v>
      </c>
      <c r="O1805">
        <v>0</v>
      </c>
      <c r="P1805">
        <v>0.5</v>
      </c>
      <c r="Q1805">
        <v>1.9</v>
      </c>
      <c r="R1805">
        <v>-1.5</v>
      </c>
      <c r="S1805">
        <v>0</v>
      </c>
      <c r="T1805">
        <v>1</v>
      </c>
      <c r="U1805" t="s">
        <v>27</v>
      </c>
      <c r="V1805">
        <v>0.154</v>
      </c>
      <c r="W1805">
        <v>0.65800000000000003</v>
      </c>
      <c r="X1805">
        <v>4.3999999999999997E-2</v>
      </c>
      <c r="Y1805" t="s">
        <v>27</v>
      </c>
      <c r="Z1805" t="s">
        <v>27</v>
      </c>
      <c r="AA1805" t="s">
        <v>27</v>
      </c>
      <c r="AB1805" t="s">
        <v>27</v>
      </c>
      <c r="AC1805" t="s">
        <v>27</v>
      </c>
      <c r="AD1805" t="s">
        <v>27</v>
      </c>
      <c r="AE1805" t="s">
        <v>27</v>
      </c>
      <c r="AF1805" t="s">
        <v>27</v>
      </c>
      <c r="AG1805">
        <v>5.24</v>
      </c>
    </row>
    <row r="1806" spans="1:33" x14ac:dyDescent="0.25">
      <c r="A1806" t="s">
        <v>57</v>
      </c>
      <c r="B1806" s="3">
        <v>45267</v>
      </c>
      <c r="C1806">
        <v>2023341</v>
      </c>
      <c r="D1806">
        <v>0.76</v>
      </c>
      <c r="E1806" t="s">
        <v>27</v>
      </c>
      <c r="F1806">
        <v>-3.1</v>
      </c>
      <c r="G1806">
        <v>-0.8</v>
      </c>
      <c r="H1806">
        <v>-5.0999999999999996</v>
      </c>
      <c r="I1806">
        <v>91.5</v>
      </c>
      <c r="J1806">
        <v>83.3</v>
      </c>
      <c r="K1806">
        <v>0.5</v>
      </c>
      <c r="L1806">
        <v>2.5</v>
      </c>
      <c r="M1806">
        <v>6.8</v>
      </c>
      <c r="N1806">
        <v>0.38700000000000001</v>
      </c>
      <c r="O1806">
        <v>-0.1</v>
      </c>
      <c r="P1806">
        <v>-3.7</v>
      </c>
      <c r="Q1806">
        <v>-1.1000000000000001</v>
      </c>
      <c r="R1806">
        <v>-6.1</v>
      </c>
      <c r="S1806">
        <v>0</v>
      </c>
      <c r="T1806">
        <v>0.9</v>
      </c>
      <c r="U1806" t="s">
        <v>27</v>
      </c>
      <c r="V1806">
        <v>0.124</v>
      </c>
      <c r="W1806">
        <v>0.47899999999999998</v>
      </c>
      <c r="X1806">
        <v>9.6000000000000002E-2</v>
      </c>
      <c r="Y1806" t="s">
        <v>27</v>
      </c>
      <c r="Z1806" t="s">
        <v>27</v>
      </c>
      <c r="AA1806" t="s">
        <v>27</v>
      </c>
      <c r="AB1806" t="s">
        <v>27</v>
      </c>
      <c r="AC1806" t="s">
        <v>27</v>
      </c>
      <c r="AD1806" t="s">
        <v>27</v>
      </c>
      <c r="AE1806" t="s">
        <v>27</v>
      </c>
      <c r="AF1806" t="s">
        <v>27</v>
      </c>
      <c r="AG1806">
        <v>5.2</v>
      </c>
    </row>
    <row r="1807" spans="1:33" x14ac:dyDescent="0.25">
      <c r="A1807" t="s">
        <v>57</v>
      </c>
      <c r="B1807" s="3">
        <v>45268</v>
      </c>
      <c r="C1807">
        <v>2023342</v>
      </c>
      <c r="D1807">
        <v>0.28000000000000003</v>
      </c>
      <c r="E1807" t="s">
        <v>27</v>
      </c>
      <c r="F1807">
        <v>-7.2</v>
      </c>
      <c r="G1807">
        <v>-3.9</v>
      </c>
      <c r="H1807">
        <v>-14.9</v>
      </c>
      <c r="I1807">
        <v>85.7</v>
      </c>
      <c r="J1807">
        <v>74.2</v>
      </c>
      <c r="K1807">
        <v>0.7</v>
      </c>
      <c r="L1807">
        <v>2.4</v>
      </c>
      <c r="M1807">
        <v>2.9</v>
      </c>
      <c r="N1807">
        <v>0.40500000000000025</v>
      </c>
      <c r="O1807">
        <v>-0.3</v>
      </c>
      <c r="P1807">
        <v>-8</v>
      </c>
      <c r="Q1807">
        <v>-2.6</v>
      </c>
      <c r="R1807">
        <v>-16.600000000000001</v>
      </c>
      <c r="S1807">
        <v>0</v>
      </c>
      <c r="T1807">
        <v>0.9</v>
      </c>
      <c r="U1807" t="s">
        <v>27</v>
      </c>
      <c r="V1807">
        <v>0.112</v>
      </c>
      <c r="W1807">
        <v>0.34100000000000003</v>
      </c>
      <c r="X1807">
        <v>0.11899999999999999</v>
      </c>
      <c r="Y1807" t="s">
        <v>27</v>
      </c>
      <c r="Z1807" t="s">
        <v>27</v>
      </c>
      <c r="AA1807" t="s">
        <v>27</v>
      </c>
      <c r="AB1807" t="s">
        <v>27</v>
      </c>
      <c r="AC1807" t="s">
        <v>27</v>
      </c>
      <c r="AD1807" t="s">
        <v>27</v>
      </c>
      <c r="AE1807" t="s">
        <v>27</v>
      </c>
      <c r="AF1807" t="s">
        <v>27</v>
      </c>
      <c r="AG1807">
        <v>5.15</v>
      </c>
    </row>
    <row r="1808" spans="1:33" x14ac:dyDescent="0.25">
      <c r="A1808" t="s">
        <v>57</v>
      </c>
      <c r="B1808" s="3">
        <v>45269</v>
      </c>
      <c r="C1808">
        <v>2023343</v>
      </c>
      <c r="D1808">
        <v>0</v>
      </c>
      <c r="E1808" t="s">
        <v>27</v>
      </c>
      <c r="F1808">
        <v>-8.1</v>
      </c>
      <c r="G1808">
        <v>-4.9000000000000004</v>
      </c>
      <c r="H1808">
        <v>-15.6</v>
      </c>
      <c r="I1808">
        <v>88.7</v>
      </c>
      <c r="J1808">
        <v>82.3</v>
      </c>
      <c r="K1808">
        <v>0.7</v>
      </c>
      <c r="L1808">
        <v>3.2</v>
      </c>
      <c r="M1808">
        <v>6.2</v>
      </c>
      <c r="N1808">
        <v>0.46399999999999997</v>
      </c>
      <c r="O1808">
        <v>-0.7</v>
      </c>
      <c r="P1808">
        <v>-9.1</v>
      </c>
      <c r="Q1808">
        <v>-5.5</v>
      </c>
      <c r="R1808">
        <v>-17.100000000000001</v>
      </c>
      <c r="S1808">
        <v>0.1</v>
      </c>
      <c r="T1808">
        <v>1</v>
      </c>
      <c r="U1808" t="s">
        <v>27</v>
      </c>
      <c r="V1808">
        <v>0.106</v>
      </c>
      <c r="W1808">
        <v>0.34799999999999998</v>
      </c>
      <c r="X1808">
        <v>7.4999999999999997E-2</v>
      </c>
      <c r="Y1808" t="s">
        <v>27</v>
      </c>
      <c r="Z1808" t="s">
        <v>27</v>
      </c>
      <c r="AA1808" t="s">
        <v>27</v>
      </c>
      <c r="AB1808" t="s">
        <v>27</v>
      </c>
      <c r="AC1808" t="s">
        <v>27</v>
      </c>
      <c r="AD1808" t="s">
        <v>27</v>
      </c>
      <c r="AE1808" t="s">
        <v>27</v>
      </c>
      <c r="AF1808" t="s">
        <v>27</v>
      </c>
      <c r="AG1808">
        <v>5.1100000000000003</v>
      </c>
    </row>
    <row r="1809" spans="1:33" x14ac:dyDescent="0.25">
      <c r="A1809" t="s">
        <v>57</v>
      </c>
      <c r="B1809" s="3">
        <v>45270</v>
      </c>
      <c r="C1809">
        <v>2023344</v>
      </c>
      <c r="D1809">
        <v>1.51</v>
      </c>
      <c r="E1809" t="s">
        <v>27</v>
      </c>
      <c r="F1809">
        <v>-2.8</v>
      </c>
      <c r="G1809">
        <v>0.1</v>
      </c>
      <c r="H1809">
        <v>-6.1</v>
      </c>
      <c r="I1809">
        <v>92.6</v>
      </c>
      <c r="J1809">
        <v>89.4</v>
      </c>
      <c r="K1809">
        <v>0.3</v>
      </c>
      <c r="L1809">
        <v>2.1</v>
      </c>
      <c r="M1809">
        <v>0.8</v>
      </c>
      <c r="N1809">
        <v>0.45300000000000029</v>
      </c>
      <c r="O1809">
        <v>-0.5</v>
      </c>
      <c r="P1809">
        <v>-2.9</v>
      </c>
      <c r="Q1809">
        <v>0.7</v>
      </c>
      <c r="R1809">
        <v>-6.7</v>
      </c>
      <c r="S1809">
        <v>0.1</v>
      </c>
      <c r="T1809">
        <v>1</v>
      </c>
      <c r="U1809" t="s">
        <v>27</v>
      </c>
      <c r="V1809">
        <v>0.10199999999999999</v>
      </c>
      <c r="W1809">
        <v>0.55000000000000004</v>
      </c>
      <c r="X1809">
        <v>6.5000000000000002E-2</v>
      </c>
      <c r="Y1809" t="s">
        <v>27</v>
      </c>
      <c r="Z1809" t="s">
        <v>27</v>
      </c>
      <c r="AA1809" t="s">
        <v>27</v>
      </c>
      <c r="AB1809" t="s">
        <v>27</v>
      </c>
      <c r="AC1809" t="s">
        <v>27</v>
      </c>
      <c r="AD1809" t="s">
        <v>27</v>
      </c>
      <c r="AE1809" t="s">
        <v>27</v>
      </c>
      <c r="AF1809" t="s">
        <v>27</v>
      </c>
      <c r="AG1809">
        <v>5.08</v>
      </c>
    </row>
    <row r="1810" spans="1:33" x14ac:dyDescent="0.25">
      <c r="A1810" t="s">
        <v>57</v>
      </c>
      <c r="B1810" s="3">
        <v>45271</v>
      </c>
      <c r="C1810">
        <v>2023345</v>
      </c>
      <c r="D1810">
        <v>3.34</v>
      </c>
      <c r="E1810" t="s">
        <v>27</v>
      </c>
      <c r="F1810">
        <v>-5.9</v>
      </c>
      <c r="G1810">
        <v>-0.1</v>
      </c>
      <c r="H1810">
        <v>-14.5</v>
      </c>
      <c r="I1810">
        <v>89.8</v>
      </c>
      <c r="J1810">
        <v>78</v>
      </c>
      <c r="K1810">
        <v>0.3</v>
      </c>
      <c r="L1810">
        <v>1.6</v>
      </c>
      <c r="M1810">
        <v>2.5</v>
      </c>
      <c r="N1810">
        <v>0.45500000000000007</v>
      </c>
      <c r="O1810">
        <v>-0.3</v>
      </c>
      <c r="P1810">
        <v>-6.4</v>
      </c>
      <c r="Q1810">
        <v>0.3</v>
      </c>
      <c r="R1810">
        <v>-16.2</v>
      </c>
      <c r="S1810">
        <v>0.1</v>
      </c>
      <c r="T1810">
        <v>1</v>
      </c>
      <c r="U1810" t="s">
        <v>27</v>
      </c>
      <c r="V1810">
        <v>9.9000000000000005E-2</v>
      </c>
      <c r="W1810">
        <v>0.47199999999999998</v>
      </c>
      <c r="X1810">
        <v>0.13300000000000001</v>
      </c>
      <c r="Y1810" t="s">
        <v>27</v>
      </c>
      <c r="Z1810" t="s">
        <v>27</v>
      </c>
      <c r="AA1810" t="s">
        <v>27</v>
      </c>
      <c r="AB1810" t="s">
        <v>27</v>
      </c>
      <c r="AC1810" t="s">
        <v>27</v>
      </c>
      <c r="AD1810" t="s">
        <v>27</v>
      </c>
      <c r="AE1810" t="s">
        <v>27</v>
      </c>
      <c r="AF1810" t="s">
        <v>27</v>
      </c>
      <c r="AG1810">
        <v>5.04</v>
      </c>
    </row>
    <row r="1811" spans="1:33" x14ac:dyDescent="0.25">
      <c r="A1811" t="s">
        <v>57</v>
      </c>
      <c r="B1811" s="3">
        <v>45272</v>
      </c>
      <c r="C1811">
        <v>2023346</v>
      </c>
      <c r="D1811">
        <v>3.34</v>
      </c>
      <c r="E1811" t="s">
        <v>27</v>
      </c>
      <c r="F1811">
        <v>-9.3000000000000007</v>
      </c>
      <c r="G1811">
        <v>-0.3</v>
      </c>
      <c r="H1811">
        <v>-14.8</v>
      </c>
      <c r="I1811">
        <v>87.1</v>
      </c>
      <c r="J1811">
        <v>69.5</v>
      </c>
      <c r="K1811">
        <v>0.3</v>
      </c>
      <c r="L1811">
        <v>1.6</v>
      </c>
      <c r="M1811">
        <v>0</v>
      </c>
      <c r="N1811">
        <v>0.43500000000000005</v>
      </c>
      <c r="O1811">
        <v>-0.8</v>
      </c>
      <c r="P1811">
        <v>-10.5</v>
      </c>
      <c r="Q1811">
        <v>0.4</v>
      </c>
      <c r="R1811">
        <v>-16.7</v>
      </c>
      <c r="S1811">
        <v>0.1</v>
      </c>
      <c r="T1811">
        <v>1</v>
      </c>
      <c r="U1811" t="s">
        <v>27</v>
      </c>
      <c r="V1811">
        <v>9.6000000000000002E-2</v>
      </c>
      <c r="W1811">
        <v>0.41399999999999998</v>
      </c>
      <c r="X1811">
        <v>0.182</v>
      </c>
      <c r="Y1811" t="s">
        <v>27</v>
      </c>
      <c r="Z1811" t="s">
        <v>27</v>
      </c>
      <c r="AA1811" t="s">
        <v>27</v>
      </c>
      <c r="AB1811" t="s">
        <v>27</v>
      </c>
      <c r="AC1811" t="s">
        <v>27</v>
      </c>
      <c r="AD1811" t="s">
        <v>27</v>
      </c>
      <c r="AE1811" t="s">
        <v>27</v>
      </c>
      <c r="AF1811" t="s">
        <v>27</v>
      </c>
      <c r="AG1811">
        <v>5.01</v>
      </c>
    </row>
    <row r="1812" spans="1:33" x14ac:dyDescent="0.25">
      <c r="A1812" t="s">
        <v>57</v>
      </c>
      <c r="B1812" s="3">
        <v>45273</v>
      </c>
      <c r="C1812">
        <v>2023347</v>
      </c>
      <c r="D1812">
        <v>0.8</v>
      </c>
      <c r="E1812" t="s">
        <v>27</v>
      </c>
      <c r="F1812">
        <v>-6.5</v>
      </c>
      <c r="G1812">
        <v>-5.3</v>
      </c>
      <c r="H1812">
        <v>-7.3</v>
      </c>
      <c r="I1812">
        <v>91.5</v>
      </c>
      <c r="J1812">
        <v>90.9</v>
      </c>
      <c r="K1812">
        <v>0.9</v>
      </c>
      <c r="L1812">
        <v>1.8</v>
      </c>
      <c r="M1812">
        <v>0</v>
      </c>
      <c r="N1812">
        <v>0.43999999999999995</v>
      </c>
      <c r="O1812">
        <v>-0.9</v>
      </c>
      <c r="P1812">
        <v>-6.9</v>
      </c>
      <c r="Q1812">
        <v>-4.8</v>
      </c>
      <c r="R1812">
        <v>-8</v>
      </c>
      <c r="S1812">
        <v>0.1</v>
      </c>
      <c r="T1812">
        <v>1</v>
      </c>
      <c r="U1812" t="s">
        <v>27</v>
      </c>
      <c r="V1812">
        <v>9.2999999999999999E-2</v>
      </c>
      <c r="W1812">
        <v>0.375</v>
      </c>
      <c r="X1812">
        <v>3.7999999999999999E-2</v>
      </c>
      <c r="Y1812" t="s">
        <v>27</v>
      </c>
      <c r="Z1812" t="s">
        <v>27</v>
      </c>
      <c r="AA1812" t="s">
        <v>27</v>
      </c>
      <c r="AB1812" t="s">
        <v>27</v>
      </c>
      <c r="AC1812" t="s">
        <v>27</v>
      </c>
      <c r="AD1812" t="s">
        <v>27</v>
      </c>
      <c r="AE1812" t="s">
        <v>27</v>
      </c>
      <c r="AF1812" t="s">
        <v>27</v>
      </c>
      <c r="AG1812">
        <v>4.99</v>
      </c>
    </row>
    <row r="1813" spans="1:33" x14ac:dyDescent="0.25">
      <c r="A1813" t="s">
        <v>57</v>
      </c>
      <c r="B1813" s="3">
        <v>45274</v>
      </c>
      <c r="C1813">
        <v>2023348</v>
      </c>
      <c r="D1813">
        <v>0.01</v>
      </c>
      <c r="E1813" t="s">
        <v>27</v>
      </c>
      <c r="F1813">
        <v>-4.4000000000000004</v>
      </c>
      <c r="G1813">
        <v>-2.4</v>
      </c>
      <c r="H1813">
        <v>-6.5</v>
      </c>
      <c r="I1813">
        <v>92.7</v>
      </c>
      <c r="J1813">
        <v>91.4</v>
      </c>
      <c r="K1813">
        <v>0.3</v>
      </c>
      <c r="L1813">
        <v>1.2</v>
      </c>
      <c r="M1813">
        <v>2.1</v>
      </c>
      <c r="N1813">
        <v>0.47199999999999998</v>
      </c>
      <c r="O1813">
        <v>-0.6</v>
      </c>
      <c r="P1813">
        <v>-4.9000000000000004</v>
      </c>
      <c r="Q1813">
        <v>-2</v>
      </c>
      <c r="R1813">
        <v>-7</v>
      </c>
      <c r="S1813">
        <v>0.1</v>
      </c>
      <c r="T1813">
        <v>1</v>
      </c>
      <c r="U1813" t="s">
        <v>27</v>
      </c>
      <c r="V1813">
        <v>9.0999999999999998E-2</v>
      </c>
      <c r="W1813">
        <v>0.46600000000000003</v>
      </c>
      <c r="X1813">
        <v>4.3999999999999997E-2</v>
      </c>
      <c r="Y1813" t="s">
        <v>27</v>
      </c>
      <c r="Z1813" t="s">
        <v>27</v>
      </c>
      <c r="AA1813" t="s">
        <v>27</v>
      </c>
      <c r="AB1813" t="s">
        <v>27</v>
      </c>
      <c r="AC1813" t="s">
        <v>27</v>
      </c>
      <c r="AD1813" t="s">
        <v>27</v>
      </c>
      <c r="AE1813" t="s">
        <v>27</v>
      </c>
      <c r="AF1813" t="s">
        <v>27</v>
      </c>
      <c r="AG1813">
        <v>4.97</v>
      </c>
    </row>
    <row r="1814" spans="1:33" x14ac:dyDescent="0.25">
      <c r="A1814" t="s">
        <v>57</v>
      </c>
      <c r="B1814" s="3">
        <v>45275</v>
      </c>
      <c r="C1814">
        <v>2023349</v>
      </c>
      <c r="D1814">
        <v>0.21</v>
      </c>
      <c r="E1814" t="s">
        <v>27</v>
      </c>
      <c r="F1814">
        <v>-3.1</v>
      </c>
      <c r="G1814">
        <v>-1.7</v>
      </c>
      <c r="H1814">
        <v>-4.5</v>
      </c>
      <c r="I1814">
        <v>93.8</v>
      </c>
      <c r="J1814">
        <v>92.8</v>
      </c>
      <c r="K1814">
        <v>0.5</v>
      </c>
      <c r="L1814">
        <v>1.3</v>
      </c>
      <c r="M1814">
        <v>0.1</v>
      </c>
      <c r="N1814">
        <v>0.45999999999999996</v>
      </c>
      <c r="O1814">
        <v>-0.3</v>
      </c>
      <c r="P1814">
        <v>-3.4</v>
      </c>
      <c r="Q1814">
        <v>-0.8</v>
      </c>
      <c r="R1814">
        <v>-5.0999999999999996</v>
      </c>
      <c r="S1814">
        <v>0.1</v>
      </c>
      <c r="T1814">
        <v>1</v>
      </c>
      <c r="U1814" t="s">
        <v>27</v>
      </c>
      <c r="V1814">
        <v>8.8999999999999996E-2</v>
      </c>
      <c r="W1814">
        <v>0.501</v>
      </c>
      <c r="X1814">
        <v>3.9E-2</v>
      </c>
      <c r="Y1814" t="s">
        <v>27</v>
      </c>
      <c r="Z1814" t="s">
        <v>27</v>
      </c>
      <c r="AA1814" t="s">
        <v>27</v>
      </c>
      <c r="AB1814" t="s">
        <v>27</v>
      </c>
      <c r="AC1814" t="s">
        <v>27</v>
      </c>
      <c r="AD1814" t="s">
        <v>27</v>
      </c>
      <c r="AE1814" t="s">
        <v>27</v>
      </c>
      <c r="AF1814" t="s">
        <v>27</v>
      </c>
      <c r="AG1814">
        <v>4.9400000000000004</v>
      </c>
    </row>
    <row r="1815" spans="1:33" x14ac:dyDescent="0.25">
      <c r="A1815" t="s">
        <v>57</v>
      </c>
      <c r="B1815" s="3">
        <v>45276</v>
      </c>
      <c r="C1815">
        <v>2023350</v>
      </c>
      <c r="D1815">
        <v>0.3</v>
      </c>
      <c r="E1815" t="s">
        <v>27</v>
      </c>
      <c r="F1815">
        <v>-2.4</v>
      </c>
      <c r="G1815">
        <v>-0.4</v>
      </c>
      <c r="H1815">
        <v>-4.3</v>
      </c>
      <c r="I1815">
        <v>93.8</v>
      </c>
      <c r="J1815">
        <v>92.8</v>
      </c>
      <c r="K1815">
        <v>0.3</v>
      </c>
      <c r="L1815">
        <v>1.5</v>
      </c>
      <c r="M1815">
        <v>0.1</v>
      </c>
      <c r="N1815">
        <v>0.44799999999999995</v>
      </c>
      <c r="O1815">
        <v>-0.2</v>
      </c>
      <c r="P1815">
        <v>-2.7</v>
      </c>
      <c r="Q1815">
        <v>0</v>
      </c>
      <c r="R1815">
        <v>-4.9000000000000004</v>
      </c>
      <c r="S1815">
        <v>0.1</v>
      </c>
      <c r="T1815">
        <v>1</v>
      </c>
      <c r="U1815" t="s">
        <v>27</v>
      </c>
      <c r="V1815">
        <v>8.7999999999999995E-2</v>
      </c>
      <c r="W1815">
        <v>0.55100000000000005</v>
      </c>
      <c r="X1815">
        <v>4.2999999999999997E-2</v>
      </c>
      <c r="Y1815" t="s">
        <v>27</v>
      </c>
      <c r="Z1815" t="s">
        <v>27</v>
      </c>
      <c r="AA1815" t="s">
        <v>27</v>
      </c>
      <c r="AB1815" t="s">
        <v>27</v>
      </c>
      <c r="AC1815" t="s">
        <v>27</v>
      </c>
      <c r="AD1815" t="s">
        <v>27</v>
      </c>
      <c r="AE1815" t="s">
        <v>27</v>
      </c>
      <c r="AF1815" t="s">
        <v>27</v>
      </c>
      <c r="AG1815">
        <v>4.93</v>
      </c>
    </row>
    <row r="1816" spans="1:33" x14ac:dyDescent="0.25">
      <c r="A1816" t="s">
        <v>57</v>
      </c>
      <c r="B1816" s="3">
        <v>45277</v>
      </c>
      <c r="C1816">
        <v>2023351</v>
      </c>
      <c r="D1816">
        <v>1.93</v>
      </c>
      <c r="E1816" t="s">
        <v>27</v>
      </c>
      <c r="F1816">
        <v>-1.6</v>
      </c>
      <c r="G1816">
        <v>0.6</v>
      </c>
      <c r="H1816">
        <v>-2.8</v>
      </c>
      <c r="I1816">
        <v>94</v>
      </c>
      <c r="J1816">
        <v>90.9</v>
      </c>
      <c r="K1816">
        <v>0.2</v>
      </c>
      <c r="L1816">
        <v>1.3</v>
      </c>
      <c r="M1816">
        <v>0</v>
      </c>
      <c r="N1816">
        <v>0.43800000000000017</v>
      </c>
      <c r="O1816">
        <v>-0.1</v>
      </c>
      <c r="P1816">
        <v>-2.1</v>
      </c>
      <c r="Q1816">
        <v>1.7</v>
      </c>
      <c r="R1816">
        <v>-3.8</v>
      </c>
      <c r="S1816">
        <v>0.1</v>
      </c>
      <c r="T1816">
        <v>1</v>
      </c>
      <c r="U1816" t="s">
        <v>27</v>
      </c>
      <c r="V1816">
        <v>8.6999999999999994E-2</v>
      </c>
      <c r="W1816">
        <v>0.57899999999999996</v>
      </c>
      <c r="X1816">
        <v>5.8000000000000003E-2</v>
      </c>
      <c r="Y1816" t="s">
        <v>27</v>
      </c>
      <c r="Z1816" t="s">
        <v>27</v>
      </c>
      <c r="AA1816" t="s">
        <v>27</v>
      </c>
      <c r="AB1816" t="s">
        <v>27</v>
      </c>
      <c r="AC1816" t="s">
        <v>27</v>
      </c>
      <c r="AD1816" t="s">
        <v>27</v>
      </c>
      <c r="AE1816" t="s">
        <v>27</v>
      </c>
      <c r="AF1816" t="s">
        <v>27</v>
      </c>
      <c r="AG1816">
        <v>4.92</v>
      </c>
    </row>
    <row r="1817" spans="1:33" x14ac:dyDescent="0.25">
      <c r="A1817" t="s">
        <v>57</v>
      </c>
      <c r="B1817" s="3">
        <v>45278</v>
      </c>
      <c r="C1817">
        <v>2023352</v>
      </c>
      <c r="D1817">
        <v>1.86</v>
      </c>
      <c r="E1817" t="s">
        <v>27</v>
      </c>
      <c r="F1817">
        <v>-2.4</v>
      </c>
      <c r="G1817">
        <v>-0.4</v>
      </c>
      <c r="H1817">
        <v>-3.4</v>
      </c>
      <c r="I1817">
        <v>90.4</v>
      </c>
      <c r="J1817">
        <v>82</v>
      </c>
      <c r="K1817">
        <v>0.7</v>
      </c>
      <c r="L1817">
        <v>1.6</v>
      </c>
      <c r="M1817">
        <v>0</v>
      </c>
      <c r="N1817">
        <v>0.44500000000000028</v>
      </c>
      <c r="O1817">
        <v>-0.2</v>
      </c>
      <c r="P1817">
        <v>-2.8</v>
      </c>
      <c r="Q1817">
        <v>0.3</v>
      </c>
      <c r="R1817">
        <v>-4.0999999999999996</v>
      </c>
      <c r="S1817">
        <v>0.2</v>
      </c>
      <c r="T1817">
        <v>1</v>
      </c>
      <c r="U1817" t="s">
        <v>27</v>
      </c>
      <c r="V1817">
        <v>8.6999999999999994E-2</v>
      </c>
      <c r="W1817">
        <v>0.48499999999999999</v>
      </c>
      <c r="X1817">
        <v>0.106</v>
      </c>
      <c r="Y1817" t="s">
        <v>27</v>
      </c>
      <c r="Z1817" t="s">
        <v>27</v>
      </c>
      <c r="AA1817" t="s">
        <v>27</v>
      </c>
      <c r="AB1817" t="s">
        <v>27</v>
      </c>
      <c r="AC1817" t="s">
        <v>27</v>
      </c>
      <c r="AD1817" t="s">
        <v>27</v>
      </c>
      <c r="AE1817" t="s">
        <v>27</v>
      </c>
      <c r="AF1817" t="s">
        <v>27</v>
      </c>
      <c r="AG1817">
        <v>4.91</v>
      </c>
    </row>
    <row r="1818" spans="1:33" x14ac:dyDescent="0.25">
      <c r="A1818" t="s">
        <v>57</v>
      </c>
      <c r="B1818" s="3">
        <v>45279</v>
      </c>
      <c r="C1818">
        <v>2023353</v>
      </c>
      <c r="D1818">
        <v>0.6</v>
      </c>
      <c r="E1818" t="s">
        <v>27</v>
      </c>
      <c r="F1818">
        <v>-1</v>
      </c>
      <c r="G1818">
        <v>0.8</v>
      </c>
      <c r="H1818">
        <v>-2.8</v>
      </c>
      <c r="I1818">
        <v>94.3</v>
      </c>
      <c r="J1818">
        <v>91.4</v>
      </c>
      <c r="K1818">
        <v>0.5</v>
      </c>
      <c r="L1818">
        <v>1.7</v>
      </c>
      <c r="M1818">
        <v>2.5</v>
      </c>
      <c r="N1818">
        <v>0.48600000000000021</v>
      </c>
      <c r="O1818">
        <v>-0.1</v>
      </c>
      <c r="P1818">
        <v>-1.4</v>
      </c>
      <c r="Q1818">
        <v>0.8</v>
      </c>
      <c r="R1818">
        <v>-3.3</v>
      </c>
      <c r="S1818">
        <v>0.2</v>
      </c>
      <c r="T1818">
        <v>1</v>
      </c>
      <c r="U1818" t="s">
        <v>27</v>
      </c>
      <c r="V1818">
        <v>8.5999999999999993E-2</v>
      </c>
      <c r="W1818">
        <v>0.58899999999999997</v>
      </c>
      <c r="X1818">
        <v>5.5E-2</v>
      </c>
      <c r="Y1818" t="s">
        <v>27</v>
      </c>
      <c r="Z1818" t="s">
        <v>27</v>
      </c>
      <c r="AA1818" t="s">
        <v>27</v>
      </c>
      <c r="AB1818" t="s">
        <v>27</v>
      </c>
      <c r="AC1818" t="s">
        <v>27</v>
      </c>
      <c r="AD1818" t="s">
        <v>27</v>
      </c>
      <c r="AE1818" t="s">
        <v>27</v>
      </c>
      <c r="AF1818" t="s">
        <v>27</v>
      </c>
      <c r="AG1818">
        <v>4.9000000000000004</v>
      </c>
    </row>
    <row r="1819" spans="1:33" x14ac:dyDescent="0.25">
      <c r="A1819" t="s">
        <v>57</v>
      </c>
      <c r="B1819" s="3">
        <v>45280</v>
      </c>
      <c r="C1819">
        <v>2023354</v>
      </c>
      <c r="D1819">
        <v>4.5199999999999996</v>
      </c>
      <c r="E1819" t="s">
        <v>27</v>
      </c>
      <c r="F1819">
        <v>-3.1</v>
      </c>
      <c r="G1819">
        <v>1</v>
      </c>
      <c r="H1819">
        <v>-7.7</v>
      </c>
      <c r="I1819">
        <v>92.7</v>
      </c>
      <c r="J1819">
        <v>85.7</v>
      </c>
      <c r="K1819">
        <v>0.1</v>
      </c>
      <c r="L1819">
        <v>1.2</v>
      </c>
      <c r="M1819">
        <v>0.4</v>
      </c>
      <c r="N1819">
        <v>0.47700000000000031</v>
      </c>
      <c r="O1819">
        <v>-0.1</v>
      </c>
      <c r="P1819">
        <v>-3.9</v>
      </c>
      <c r="Q1819">
        <v>3.6</v>
      </c>
      <c r="R1819">
        <v>-9.3000000000000007</v>
      </c>
      <c r="S1819">
        <v>0.2</v>
      </c>
      <c r="T1819">
        <v>1</v>
      </c>
      <c r="U1819" t="s">
        <v>27</v>
      </c>
      <c r="V1819">
        <v>8.5999999999999993E-2</v>
      </c>
      <c r="W1819">
        <v>0.56200000000000006</v>
      </c>
      <c r="X1819">
        <v>9.4E-2</v>
      </c>
      <c r="Y1819" t="s">
        <v>27</v>
      </c>
      <c r="Z1819" t="s">
        <v>27</v>
      </c>
      <c r="AA1819" t="s">
        <v>27</v>
      </c>
      <c r="AB1819" t="s">
        <v>27</v>
      </c>
      <c r="AC1819" t="s">
        <v>27</v>
      </c>
      <c r="AD1819" t="s">
        <v>27</v>
      </c>
      <c r="AE1819" t="s">
        <v>27</v>
      </c>
      <c r="AF1819" t="s">
        <v>27</v>
      </c>
      <c r="AG1819">
        <v>4.9000000000000004</v>
      </c>
    </row>
    <row r="1820" spans="1:33" x14ac:dyDescent="0.25">
      <c r="A1820" t="s">
        <v>57</v>
      </c>
      <c r="B1820" s="3">
        <v>45281</v>
      </c>
      <c r="C1820">
        <v>2023355</v>
      </c>
      <c r="D1820">
        <v>1.65</v>
      </c>
      <c r="E1820" t="s">
        <v>27</v>
      </c>
      <c r="F1820">
        <v>-0.8</v>
      </c>
      <c r="G1820">
        <v>1.3</v>
      </c>
      <c r="H1820">
        <v>-3.3</v>
      </c>
      <c r="I1820">
        <v>95.1</v>
      </c>
      <c r="J1820">
        <v>92.6</v>
      </c>
      <c r="K1820">
        <v>0.3</v>
      </c>
      <c r="L1820">
        <v>1.6</v>
      </c>
      <c r="M1820">
        <v>1</v>
      </c>
      <c r="N1820">
        <v>0.46700000000000008</v>
      </c>
      <c r="O1820">
        <v>-0.2</v>
      </c>
      <c r="P1820">
        <v>-1.2</v>
      </c>
      <c r="Q1820">
        <v>2.7</v>
      </c>
      <c r="R1820">
        <v>-4.0999999999999996</v>
      </c>
      <c r="S1820">
        <v>0.2</v>
      </c>
      <c r="T1820">
        <v>1</v>
      </c>
      <c r="U1820" t="s">
        <v>27</v>
      </c>
      <c r="V1820">
        <v>8.5000000000000006E-2</v>
      </c>
      <c r="W1820">
        <v>0.621</v>
      </c>
      <c r="X1820">
        <v>0.05</v>
      </c>
      <c r="Y1820" t="s">
        <v>27</v>
      </c>
      <c r="Z1820" t="s">
        <v>27</v>
      </c>
      <c r="AA1820" t="s">
        <v>27</v>
      </c>
      <c r="AB1820" t="s">
        <v>27</v>
      </c>
      <c r="AC1820" t="s">
        <v>27</v>
      </c>
      <c r="AD1820" t="s">
        <v>27</v>
      </c>
      <c r="AE1820" t="s">
        <v>27</v>
      </c>
      <c r="AF1820" t="s">
        <v>27</v>
      </c>
      <c r="AG1820">
        <v>4.9000000000000004</v>
      </c>
    </row>
    <row r="1821" spans="1:33" x14ac:dyDescent="0.25">
      <c r="A1821" t="s">
        <v>57</v>
      </c>
      <c r="B1821" s="3">
        <v>45282</v>
      </c>
      <c r="C1821">
        <v>2023356</v>
      </c>
      <c r="D1821">
        <v>0.81</v>
      </c>
      <c r="E1821" t="s">
        <v>27</v>
      </c>
      <c r="F1821">
        <v>-1.9</v>
      </c>
      <c r="G1821">
        <v>0.6</v>
      </c>
      <c r="H1821">
        <v>-5.8</v>
      </c>
      <c r="I1821">
        <v>93.4</v>
      </c>
      <c r="J1821">
        <v>84.1</v>
      </c>
      <c r="K1821">
        <v>0.9</v>
      </c>
      <c r="L1821">
        <v>3.5</v>
      </c>
      <c r="M1821">
        <v>11</v>
      </c>
      <c r="N1821">
        <v>0.61899999999999999</v>
      </c>
      <c r="O1821">
        <v>-0.4</v>
      </c>
      <c r="P1821">
        <v>-2.2999999999999998</v>
      </c>
      <c r="Q1821">
        <v>0.3</v>
      </c>
      <c r="R1821">
        <v>-6.6</v>
      </c>
      <c r="S1821">
        <v>0.2</v>
      </c>
      <c r="T1821">
        <v>1</v>
      </c>
      <c r="U1821" t="s">
        <v>27</v>
      </c>
      <c r="V1821">
        <v>8.5000000000000006E-2</v>
      </c>
      <c r="W1821">
        <v>0.53600000000000003</v>
      </c>
      <c r="X1821">
        <v>0.10100000000000001</v>
      </c>
      <c r="Y1821" t="s">
        <v>27</v>
      </c>
      <c r="Z1821" t="s">
        <v>27</v>
      </c>
      <c r="AA1821" t="s">
        <v>27</v>
      </c>
      <c r="AB1821" t="s">
        <v>27</v>
      </c>
      <c r="AC1821" t="s">
        <v>27</v>
      </c>
      <c r="AD1821" t="s">
        <v>27</v>
      </c>
      <c r="AE1821" t="s">
        <v>27</v>
      </c>
      <c r="AF1821" t="s">
        <v>27</v>
      </c>
      <c r="AG1821">
        <v>4.9000000000000004</v>
      </c>
    </row>
    <row r="1822" spans="1:33" x14ac:dyDescent="0.25">
      <c r="A1822" t="s">
        <v>57</v>
      </c>
      <c r="B1822" s="3">
        <v>45283</v>
      </c>
      <c r="C1822">
        <v>2023357</v>
      </c>
      <c r="D1822">
        <v>2.19</v>
      </c>
      <c r="E1822" t="s">
        <v>27</v>
      </c>
      <c r="F1822">
        <v>-8.9</v>
      </c>
      <c r="G1822">
        <v>-2.4</v>
      </c>
      <c r="H1822">
        <v>-16</v>
      </c>
      <c r="I1822">
        <v>87.4</v>
      </c>
      <c r="J1822">
        <v>78</v>
      </c>
      <c r="K1822">
        <v>0.3</v>
      </c>
      <c r="L1822">
        <v>2.2999999999999998</v>
      </c>
      <c r="M1822">
        <v>3.2</v>
      </c>
      <c r="N1822">
        <v>0.58200000000000007</v>
      </c>
      <c r="O1822">
        <v>-0.5</v>
      </c>
      <c r="P1822">
        <v>-10</v>
      </c>
      <c r="Q1822">
        <v>-2.6</v>
      </c>
      <c r="R1822">
        <v>-18</v>
      </c>
      <c r="S1822">
        <v>0.2</v>
      </c>
      <c r="T1822">
        <v>0.9</v>
      </c>
      <c r="U1822" t="s">
        <v>27</v>
      </c>
      <c r="V1822">
        <v>8.5000000000000006E-2</v>
      </c>
      <c r="W1822">
        <v>0.39900000000000002</v>
      </c>
      <c r="X1822">
        <v>0.113</v>
      </c>
      <c r="Y1822" t="s">
        <v>27</v>
      </c>
      <c r="Z1822" t="s">
        <v>27</v>
      </c>
      <c r="AA1822" t="s">
        <v>27</v>
      </c>
      <c r="AB1822" t="s">
        <v>27</v>
      </c>
      <c r="AC1822" t="s">
        <v>27</v>
      </c>
      <c r="AD1822" t="s">
        <v>27</v>
      </c>
      <c r="AE1822" t="s">
        <v>27</v>
      </c>
      <c r="AF1822" t="s">
        <v>27</v>
      </c>
      <c r="AG1822">
        <v>4.9000000000000004</v>
      </c>
    </row>
    <row r="1823" spans="1:33" x14ac:dyDescent="0.25">
      <c r="A1823" t="s">
        <v>57</v>
      </c>
      <c r="B1823" s="3">
        <v>45284</v>
      </c>
      <c r="C1823">
        <v>2023358</v>
      </c>
      <c r="D1823">
        <v>1.46</v>
      </c>
      <c r="E1823" t="s">
        <v>27</v>
      </c>
      <c r="F1823">
        <v>-10.5</v>
      </c>
      <c r="G1823">
        <v>-7.8</v>
      </c>
      <c r="H1823">
        <v>-15.8</v>
      </c>
      <c r="I1823">
        <v>87.1</v>
      </c>
      <c r="J1823">
        <v>82.6</v>
      </c>
      <c r="K1823">
        <v>0.4</v>
      </c>
      <c r="L1823">
        <v>1.5</v>
      </c>
      <c r="M1823">
        <v>0</v>
      </c>
      <c r="N1823">
        <v>0.57600000000000007</v>
      </c>
      <c r="O1823">
        <v>-1</v>
      </c>
      <c r="P1823">
        <v>-11.9</v>
      </c>
      <c r="Q1823">
        <v>-7.2</v>
      </c>
      <c r="R1823">
        <v>-18.100000000000001</v>
      </c>
      <c r="S1823">
        <v>0.2</v>
      </c>
      <c r="T1823">
        <v>0.9</v>
      </c>
      <c r="U1823" t="s">
        <v>27</v>
      </c>
      <c r="V1823">
        <v>8.4000000000000005E-2</v>
      </c>
      <c r="W1823">
        <v>0.28100000000000003</v>
      </c>
      <c r="X1823">
        <v>5.8999999999999997E-2</v>
      </c>
      <c r="Y1823" t="s">
        <v>27</v>
      </c>
      <c r="Z1823" t="s">
        <v>27</v>
      </c>
      <c r="AA1823" t="s">
        <v>27</v>
      </c>
      <c r="AB1823" t="s">
        <v>27</v>
      </c>
      <c r="AC1823" t="s">
        <v>27</v>
      </c>
      <c r="AD1823" t="s">
        <v>27</v>
      </c>
      <c r="AE1823" t="s">
        <v>27</v>
      </c>
      <c r="AF1823" t="s">
        <v>27</v>
      </c>
      <c r="AG1823">
        <v>4.92</v>
      </c>
    </row>
    <row r="1824" spans="1:33" x14ac:dyDescent="0.25">
      <c r="A1824" t="s">
        <v>57</v>
      </c>
      <c r="B1824" s="3">
        <v>45285</v>
      </c>
      <c r="C1824">
        <v>2023359</v>
      </c>
      <c r="D1824">
        <v>0.08</v>
      </c>
      <c r="E1824" t="s">
        <v>27</v>
      </c>
      <c r="F1824">
        <v>-6.8</v>
      </c>
      <c r="G1824">
        <v>-4.8</v>
      </c>
      <c r="H1824">
        <v>-11</v>
      </c>
      <c r="I1824">
        <v>90.5</v>
      </c>
      <c r="J1824">
        <v>85.7</v>
      </c>
      <c r="K1824">
        <v>0.7</v>
      </c>
      <c r="L1824">
        <v>2.2000000000000002</v>
      </c>
      <c r="M1824">
        <v>0</v>
      </c>
      <c r="N1824">
        <v>0.55000000000000004</v>
      </c>
      <c r="O1824">
        <v>-1.3</v>
      </c>
      <c r="P1824">
        <v>-7.4</v>
      </c>
      <c r="Q1824">
        <v>-5.2</v>
      </c>
      <c r="R1824">
        <v>-12.8</v>
      </c>
      <c r="S1824">
        <v>0.2</v>
      </c>
      <c r="T1824">
        <v>1</v>
      </c>
      <c r="U1824" t="s">
        <v>27</v>
      </c>
      <c r="V1824">
        <v>8.2000000000000003E-2</v>
      </c>
      <c r="W1824">
        <v>0.36499999999999999</v>
      </c>
      <c r="X1824">
        <v>6.0999999999999999E-2</v>
      </c>
      <c r="Y1824" t="s">
        <v>27</v>
      </c>
      <c r="Z1824" t="s">
        <v>27</v>
      </c>
      <c r="AA1824" t="s">
        <v>27</v>
      </c>
      <c r="AB1824" t="s">
        <v>27</v>
      </c>
      <c r="AC1824" t="s">
        <v>27</v>
      </c>
      <c r="AD1824" t="s">
        <v>27</v>
      </c>
      <c r="AE1824" t="s">
        <v>27</v>
      </c>
      <c r="AF1824" t="s">
        <v>27</v>
      </c>
      <c r="AG1824">
        <v>4.93</v>
      </c>
    </row>
    <row r="1825" spans="1:33" x14ac:dyDescent="0.25">
      <c r="A1825" t="s">
        <v>57</v>
      </c>
      <c r="B1825" s="3">
        <v>45286</v>
      </c>
      <c r="C1825">
        <v>2023360</v>
      </c>
      <c r="D1825">
        <v>1.32</v>
      </c>
      <c r="E1825" t="s">
        <v>27</v>
      </c>
      <c r="F1825">
        <v>-4.7</v>
      </c>
      <c r="G1825">
        <v>-3.1</v>
      </c>
      <c r="H1825">
        <v>-5.6</v>
      </c>
      <c r="I1825">
        <v>92.4</v>
      </c>
      <c r="J1825">
        <v>90.9</v>
      </c>
      <c r="K1825">
        <v>0.8</v>
      </c>
      <c r="L1825">
        <v>2</v>
      </c>
      <c r="M1825">
        <v>0</v>
      </c>
      <c r="N1825">
        <v>0.53800000000000003</v>
      </c>
      <c r="O1825">
        <v>-1</v>
      </c>
      <c r="P1825">
        <v>-5.0999999999999996</v>
      </c>
      <c r="Q1825">
        <v>-1.9</v>
      </c>
      <c r="R1825">
        <v>-6.3</v>
      </c>
      <c r="S1825">
        <v>0.2</v>
      </c>
      <c r="T1825">
        <v>0.9</v>
      </c>
      <c r="U1825" t="s">
        <v>27</v>
      </c>
      <c r="V1825">
        <v>8.1000000000000003E-2</v>
      </c>
      <c r="W1825">
        <v>0.441</v>
      </c>
      <c r="X1825">
        <v>4.3999999999999997E-2</v>
      </c>
      <c r="Y1825" t="s">
        <v>27</v>
      </c>
      <c r="Z1825" t="s">
        <v>27</v>
      </c>
      <c r="AA1825" t="s">
        <v>27</v>
      </c>
      <c r="AB1825" t="s">
        <v>27</v>
      </c>
      <c r="AC1825" t="s">
        <v>27</v>
      </c>
      <c r="AD1825" t="s">
        <v>27</v>
      </c>
      <c r="AE1825" t="s">
        <v>27</v>
      </c>
      <c r="AF1825" t="s">
        <v>27</v>
      </c>
      <c r="AG1825">
        <v>4.95</v>
      </c>
    </row>
    <row r="1826" spans="1:33" x14ac:dyDescent="0.25">
      <c r="A1826" t="s">
        <v>57</v>
      </c>
      <c r="B1826" s="3">
        <v>45287</v>
      </c>
      <c r="C1826">
        <v>2023361</v>
      </c>
      <c r="D1826">
        <v>2.91</v>
      </c>
      <c r="E1826" t="s">
        <v>27</v>
      </c>
      <c r="F1826">
        <v>-1.4</v>
      </c>
      <c r="G1826">
        <v>1.3</v>
      </c>
      <c r="H1826">
        <v>-4.3</v>
      </c>
      <c r="I1826">
        <v>91</v>
      </c>
      <c r="J1826">
        <v>80</v>
      </c>
      <c r="K1826">
        <v>1</v>
      </c>
      <c r="L1826">
        <v>2.4</v>
      </c>
      <c r="M1826">
        <v>0</v>
      </c>
      <c r="N1826">
        <v>0.52200000000000002</v>
      </c>
      <c r="O1826">
        <v>-0.7</v>
      </c>
      <c r="P1826">
        <v>-1.8</v>
      </c>
      <c r="Q1826">
        <v>2</v>
      </c>
      <c r="R1826">
        <v>-5</v>
      </c>
      <c r="S1826">
        <v>0.2</v>
      </c>
      <c r="T1826">
        <v>1</v>
      </c>
      <c r="U1826" t="s">
        <v>27</v>
      </c>
      <c r="V1826">
        <v>0.08</v>
      </c>
      <c r="W1826">
        <v>0.53800000000000003</v>
      </c>
      <c r="X1826">
        <v>0.13500000000000001</v>
      </c>
      <c r="Y1826" t="s">
        <v>27</v>
      </c>
      <c r="Z1826" t="s">
        <v>27</v>
      </c>
      <c r="AA1826" t="s">
        <v>27</v>
      </c>
      <c r="AB1826" t="s">
        <v>27</v>
      </c>
      <c r="AC1826" t="s">
        <v>27</v>
      </c>
      <c r="AD1826" t="s">
        <v>27</v>
      </c>
      <c r="AE1826" t="s">
        <v>27</v>
      </c>
      <c r="AF1826" t="s">
        <v>27</v>
      </c>
      <c r="AG1826">
        <v>4.97</v>
      </c>
    </row>
    <row r="1827" spans="1:33" x14ac:dyDescent="0.25">
      <c r="A1827" t="s">
        <v>57</v>
      </c>
      <c r="B1827" s="3">
        <v>45288</v>
      </c>
      <c r="C1827">
        <v>2023362</v>
      </c>
      <c r="D1827">
        <v>2.9</v>
      </c>
      <c r="E1827" t="s">
        <v>27</v>
      </c>
      <c r="F1827">
        <v>-0.6</v>
      </c>
      <c r="G1827">
        <v>1.1000000000000001</v>
      </c>
      <c r="H1827">
        <v>-2.1</v>
      </c>
      <c r="I1827">
        <v>94</v>
      </c>
      <c r="J1827">
        <v>86.2</v>
      </c>
      <c r="K1827">
        <v>0.6</v>
      </c>
      <c r="L1827">
        <v>2.4</v>
      </c>
      <c r="M1827">
        <v>0</v>
      </c>
      <c r="N1827">
        <v>0.52100000000000013</v>
      </c>
      <c r="O1827">
        <v>-0.5</v>
      </c>
      <c r="P1827">
        <v>-1</v>
      </c>
      <c r="Q1827">
        <v>1.8</v>
      </c>
      <c r="R1827">
        <v>-3.2</v>
      </c>
      <c r="S1827">
        <v>0.2</v>
      </c>
      <c r="T1827">
        <v>1</v>
      </c>
      <c r="U1827" t="s">
        <v>27</v>
      </c>
      <c r="V1827">
        <v>7.9000000000000001E-2</v>
      </c>
      <c r="W1827">
        <v>0.56999999999999995</v>
      </c>
      <c r="X1827">
        <v>9.0999999999999998E-2</v>
      </c>
      <c r="Y1827" t="s">
        <v>27</v>
      </c>
      <c r="Z1827" t="s">
        <v>27</v>
      </c>
      <c r="AA1827" t="s">
        <v>27</v>
      </c>
      <c r="AB1827" t="s">
        <v>27</v>
      </c>
      <c r="AC1827" t="s">
        <v>27</v>
      </c>
      <c r="AD1827" t="s">
        <v>27</v>
      </c>
      <c r="AE1827" t="s">
        <v>27</v>
      </c>
      <c r="AF1827" t="s">
        <v>27</v>
      </c>
      <c r="AG1827">
        <v>5</v>
      </c>
    </row>
    <row r="1828" spans="1:33" x14ac:dyDescent="0.25">
      <c r="A1828" t="s">
        <v>57</v>
      </c>
      <c r="B1828" s="3">
        <v>45289</v>
      </c>
      <c r="C1828">
        <v>2023363</v>
      </c>
      <c r="D1828">
        <v>2.89</v>
      </c>
      <c r="E1828" t="s">
        <v>27</v>
      </c>
      <c r="F1828">
        <v>0.6</v>
      </c>
      <c r="G1828">
        <v>2.8</v>
      </c>
      <c r="H1828">
        <v>-1.6</v>
      </c>
      <c r="I1828">
        <v>91.8</v>
      </c>
      <c r="J1828">
        <v>81.3</v>
      </c>
      <c r="K1828">
        <v>0.8</v>
      </c>
      <c r="L1828">
        <v>2.2999999999999998</v>
      </c>
      <c r="M1828">
        <v>0</v>
      </c>
      <c r="N1828">
        <v>0.52600000000000002</v>
      </c>
      <c r="O1828">
        <v>-0.3</v>
      </c>
      <c r="P1828">
        <v>-0.1</v>
      </c>
      <c r="Q1828">
        <v>3.9</v>
      </c>
      <c r="R1828">
        <v>-2.9</v>
      </c>
      <c r="S1828">
        <v>0.2</v>
      </c>
      <c r="T1828">
        <v>1</v>
      </c>
      <c r="U1828" t="s">
        <v>27</v>
      </c>
      <c r="V1828">
        <v>7.9000000000000001E-2</v>
      </c>
      <c r="W1828">
        <v>0.60599999999999998</v>
      </c>
      <c r="X1828">
        <v>0.13900000000000001</v>
      </c>
      <c r="Y1828" t="s">
        <v>27</v>
      </c>
      <c r="Z1828" t="s">
        <v>27</v>
      </c>
      <c r="AA1828" t="s">
        <v>27</v>
      </c>
      <c r="AB1828" t="s">
        <v>27</v>
      </c>
      <c r="AC1828" t="s">
        <v>27</v>
      </c>
      <c r="AD1828" t="s">
        <v>27</v>
      </c>
      <c r="AE1828" t="s">
        <v>27</v>
      </c>
      <c r="AF1828" t="s">
        <v>27</v>
      </c>
      <c r="AG1828">
        <v>5.0199999999999996</v>
      </c>
    </row>
    <row r="1829" spans="1:33" x14ac:dyDescent="0.25">
      <c r="A1829" t="s">
        <v>57</v>
      </c>
      <c r="B1829" s="3">
        <v>45290</v>
      </c>
      <c r="C1829">
        <v>2023364</v>
      </c>
      <c r="D1829">
        <v>2.71</v>
      </c>
      <c r="E1829" t="s">
        <v>27</v>
      </c>
      <c r="F1829">
        <v>1.2</v>
      </c>
      <c r="G1829">
        <v>3.6</v>
      </c>
      <c r="H1829">
        <v>0</v>
      </c>
      <c r="I1829">
        <v>88</v>
      </c>
      <c r="J1829">
        <v>74.900000000000006</v>
      </c>
      <c r="K1829">
        <v>0.6</v>
      </c>
      <c r="L1829">
        <v>2.4</v>
      </c>
      <c r="M1829">
        <v>3</v>
      </c>
      <c r="N1829">
        <v>0.53200000000000003</v>
      </c>
      <c r="O1829">
        <v>-0.3</v>
      </c>
      <c r="P1829">
        <v>0.5</v>
      </c>
      <c r="Q1829">
        <v>4.0999999999999996</v>
      </c>
      <c r="R1829">
        <v>-1.1000000000000001</v>
      </c>
      <c r="S1829">
        <v>0.2</v>
      </c>
      <c r="T1829">
        <v>1</v>
      </c>
      <c r="U1829" t="s">
        <v>27</v>
      </c>
      <c r="V1829">
        <v>0.08</v>
      </c>
      <c r="W1829">
        <v>0.59299999999999997</v>
      </c>
      <c r="X1829">
        <v>0.19900000000000001</v>
      </c>
      <c r="Y1829" t="s">
        <v>27</v>
      </c>
      <c r="Z1829" t="s">
        <v>27</v>
      </c>
      <c r="AA1829" t="s">
        <v>27</v>
      </c>
      <c r="AB1829" t="s">
        <v>27</v>
      </c>
      <c r="AC1829" t="s">
        <v>27</v>
      </c>
      <c r="AD1829" t="s">
        <v>27</v>
      </c>
      <c r="AE1829" t="s">
        <v>27</v>
      </c>
      <c r="AF1829" t="s">
        <v>27</v>
      </c>
      <c r="AG1829">
        <v>5.05</v>
      </c>
    </row>
    <row r="1830" spans="1:33" x14ac:dyDescent="0.25">
      <c r="A1830" t="s">
        <v>57</v>
      </c>
      <c r="B1830" s="3">
        <v>45291</v>
      </c>
      <c r="C1830">
        <v>2023365</v>
      </c>
      <c r="D1830">
        <v>0.02</v>
      </c>
      <c r="E1830" t="s">
        <v>27</v>
      </c>
      <c r="F1830">
        <v>-1</v>
      </c>
      <c r="G1830">
        <v>0.3</v>
      </c>
      <c r="H1830">
        <v>-4.0999999999999996</v>
      </c>
      <c r="I1830">
        <v>93.6</v>
      </c>
      <c r="J1830">
        <v>86.7</v>
      </c>
      <c r="K1830">
        <v>0.2</v>
      </c>
      <c r="L1830">
        <v>1.5</v>
      </c>
      <c r="M1830">
        <v>9.9</v>
      </c>
      <c r="N1830">
        <v>0.66800000000000015</v>
      </c>
      <c r="O1830">
        <v>-0.2</v>
      </c>
      <c r="P1830">
        <v>-1.5</v>
      </c>
      <c r="Q1830">
        <v>0.4</v>
      </c>
      <c r="R1830">
        <v>-5.7</v>
      </c>
      <c r="S1830">
        <v>0.2</v>
      </c>
      <c r="T1830">
        <v>1</v>
      </c>
      <c r="U1830" t="s">
        <v>27</v>
      </c>
      <c r="V1830">
        <v>0.08</v>
      </c>
      <c r="W1830">
        <v>0.54</v>
      </c>
      <c r="X1830">
        <v>8.3000000000000004E-2</v>
      </c>
      <c r="Y1830" t="s">
        <v>27</v>
      </c>
      <c r="Z1830" t="s">
        <v>27</v>
      </c>
      <c r="AA1830" t="s">
        <v>27</v>
      </c>
      <c r="AB1830" t="s">
        <v>27</v>
      </c>
      <c r="AC1830" t="s">
        <v>27</v>
      </c>
      <c r="AD1830" t="s">
        <v>27</v>
      </c>
      <c r="AE1830" t="s">
        <v>27</v>
      </c>
      <c r="AF1830" t="s">
        <v>27</v>
      </c>
      <c r="AG1830">
        <v>5.09</v>
      </c>
    </row>
    <row r="1831" spans="1:33" x14ac:dyDescent="0.25">
      <c r="A1831" t="s">
        <v>57</v>
      </c>
      <c r="B1831" s="3">
        <v>45292</v>
      </c>
      <c r="C1831">
        <v>2024001</v>
      </c>
      <c r="D1831">
        <v>0.08</v>
      </c>
      <c r="E1831" t="s">
        <v>27</v>
      </c>
      <c r="F1831">
        <v>-4.9000000000000004</v>
      </c>
      <c r="G1831">
        <v>-1.4</v>
      </c>
      <c r="H1831">
        <v>-7.5</v>
      </c>
      <c r="I1831">
        <v>91.2</v>
      </c>
      <c r="J1831">
        <v>85.4</v>
      </c>
      <c r="K1831">
        <v>0.5</v>
      </c>
      <c r="L1831">
        <v>1.7</v>
      </c>
      <c r="M1831">
        <v>0.4</v>
      </c>
      <c r="N1831">
        <v>0.63600000000000012</v>
      </c>
      <c r="O1831">
        <v>-0.2</v>
      </c>
      <c r="P1831">
        <v>-5.8</v>
      </c>
      <c r="Q1831">
        <v>0.1</v>
      </c>
      <c r="R1831">
        <v>-9.1999999999999993</v>
      </c>
      <c r="S1831">
        <v>0.2</v>
      </c>
      <c r="T1831">
        <v>0.9</v>
      </c>
      <c r="U1831" t="s">
        <v>27</v>
      </c>
      <c r="V1831">
        <v>8.1000000000000003E-2</v>
      </c>
      <c r="W1831">
        <v>0.47099999999999997</v>
      </c>
      <c r="X1831">
        <v>8.1000000000000003E-2</v>
      </c>
      <c r="Y1831" t="s">
        <v>27</v>
      </c>
      <c r="Z1831" t="s">
        <v>27</v>
      </c>
      <c r="AA1831" t="s">
        <v>27</v>
      </c>
      <c r="AB1831" t="s">
        <v>27</v>
      </c>
      <c r="AC1831" t="s">
        <v>27</v>
      </c>
      <c r="AD1831" t="s">
        <v>27</v>
      </c>
      <c r="AE1831" t="s">
        <v>27</v>
      </c>
      <c r="AF1831" t="s">
        <v>27</v>
      </c>
      <c r="AG1831">
        <v>5.14</v>
      </c>
    </row>
    <row r="1832" spans="1:33" x14ac:dyDescent="0.25">
      <c r="A1832" t="s">
        <v>57</v>
      </c>
      <c r="B1832" s="3">
        <v>45293</v>
      </c>
      <c r="C1832">
        <v>2024002</v>
      </c>
      <c r="D1832">
        <v>0.06</v>
      </c>
      <c r="E1832" t="s">
        <v>27</v>
      </c>
      <c r="F1832">
        <v>-3.8</v>
      </c>
      <c r="G1832">
        <v>-2.1</v>
      </c>
      <c r="H1832">
        <v>-6.2</v>
      </c>
      <c r="I1832">
        <v>91.8</v>
      </c>
      <c r="J1832">
        <v>88.5</v>
      </c>
      <c r="K1832">
        <v>0.4</v>
      </c>
      <c r="L1832">
        <v>1.3</v>
      </c>
      <c r="M1832">
        <v>1.2</v>
      </c>
      <c r="N1832">
        <v>0.6160000000000001</v>
      </c>
      <c r="O1832">
        <v>-0.4</v>
      </c>
      <c r="P1832">
        <v>-4.3</v>
      </c>
      <c r="Q1832">
        <v>-1.3</v>
      </c>
      <c r="R1832">
        <v>-7</v>
      </c>
      <c r="S1832">
        <v>0.2</v>
      </c>
      <c r="T1832">
        <v>0.9</v>
      </c>
      <c r="U1832" t="s">
        <v>27</v>
      </c>
      <c r="V1832">
        <v>8.1000000000000003E-2</v>
      </c>
      <c r="W1832">
        <v>0.46300000000000002</v>
      </c>
      <c r="X1832">
        <v>0.06</v>
      </c>
      <c r="Y1832" t="s">
        <v>27</v>
      </c>
      <c r="Z1832" t="s">
        <v>27</v>
      </c>
      <c r="AA1832" t="s">
        <v>27</v>
      </c>
      <c r="AB1832" t="s">
        <v>27</v>
      </c>
      <c r="AC1832" t="s">
        <v>27</v>
      </c>
      <c r="AD1832" t="s">
        <v>27</v>
      </c>
      <c r="AE1832" t="s">
        <v>27</v>
      </c>
      <c r="AF1832" t="s">
        <v>27</v>
      </c>
      <c r="AG1832">
        <v>5.18</v>
      </c>
    </row>
    <row r="1833" spans="1:33" x14ac:dyDescent="0.25">
      <c r="A1833" t="s">
        <v>57</v>
      </c>
      <c r="B1833" s="3">
        <v>45294</v>
      </c>
      <c r="C1833">
        <v>2024003</v>
      </c>
      <c r="D1833">
        <v>0.88</v>
      </c>
      <c r="E1833" t="s">
        <v>27</v>
      </c>
      <c r="F1833">
        <v>-2.2000000000000002</v>
      </c>
      <c r="G1833">
        <v>1</v>
      </c>
      <c r="H1833">
        <v>-4.3</v>
      </c>
      <c r="I1833">
        <v>91.9</v>
      </c>
      <c r="J1833">
        <v>80</v>
      </c>
      <c r="K1833">
        <v>0.1</v>
      </c>
      <c r="L1833">
        <v>1.4</v>
      </c>
      <c r="M1833">
        <v>3.8</v>
      </c>
      <c r="N1833">
        <v>0.623</v>
      </c>
      <c r="O1833">
        <v>-0.4</v>
      </c>
      <c r="P1833">
        <v>-2.6</v>
      </c>
      <c r="Q1833">
        <v>1.7</v>
      </c>
      <c r="R1833">
        <v>-5.3</v>
      </c>
      <c r="S1833">
        <v>0.2</v>
      </c>
      <c r="T1833">
        <v>0.9</v>
      </c>
      <c r="U1833" t="s">
        <v>27</v>
      </c>
      <c r="V1833">
        <v>0.08</v>
      </c>
      <c r="W1833">
        <v>0.52500000000000002</v>
      </c>
      <c r="X1833">
        <v>0.13100000000000001</v>
      </c>
      <c r="Y1833" t="s">
        <v>27</v>
      </c>
      <c r="Z1833" t="s">
        <v>27</v>
      </c>
      <c r="AA1833" t="s">
        <v>27</v>
      </c>
      <c r="AB1833" t="s">
        <v>27</v>
      </c>
      <c r="AC1833" t="s">
        <v>27</v>
      </c>
      <c r="AD1833" t="s">
        <v>27</v>
      </c>
      <c r="AE1833" t="s">
        <v>27</v>
      </c>
      <c r="AF1833" t="s">
        <v>27</v>
      </c>
      <c r="AG1833">
        <v>5.22</v>
      </c>
    </row>
    <row r="1834" spans="1:33" x14ac:dyDescent="0.25">
      <c r="A1834" t="s">
        <v>57</v>
      </c>
      <c r="B1834" s="3">
        <v>45295</v>
      </c>
      <c r="C1834">
        <v>2024004</v>
      </c>
      <c r="D1834">
        <v>0.15</v>
      </c>
      <c r="E1834" t="s">
        <v>27</v>
      </c>
      <c r="F1834">
        <v>-3.8</v>
      </c>
      <c r="G1834">
        <v>-2</v>
      </c>
      <c r="H1834">
        <v>-6.3</v>
      </c>
      <c r="I1834">
        <v>90.9</v>
      </c>
      <c r="J1834">
        <v>82.4</v>
      </c>
      <c r="K1834">
        <v>0.5</v>
      </c>
      <c r="L1834">
        <v>2.7</v>
      </c>
      <c r="M1834">
        <v>1.8</v>
      </c>
      <c r="N1834">
        <v>0.63000000000000012</v>
      </c>
      <c r="O1834">
        <v>-0.4</v>
      </c>
      <c r="P1834">
        <v>-4.5</v>
      </c>
      <c r="Q1834">
        <v>-0.8</v>
      </c>
      <c r="R1834">
        <v>-7.6</v>
      </c>
      <c r="S1834">
        <v>0.2</v>
      </c>
      <c r="T1834">
        <v>0.9</v>
      </c>
      <c r="U1834" t="s">
        <v>27</v>
      </c>
      <c r="V1834">
        <v>0.08</v>
      </c>
      <c r="W1834">
        <v>0.435</v>
      </c>
      <c r="X1834">
        <v>9.2999999999999999E-2</v>
      </c>
      <c r="Y1834" t="s">
        <v>27</v>
      </c>
      <c r="Z1834" t="s">
        <v>27</v>
      </c>
      <c r="AA1834" t="s">
        <v>27</v>
      </c>
      <c r="AB1834" t="s">
        <v>27</v>
      </c>
      <c r="AC1834" t="s">
        <v>27</v>
      </c>
      <c r="AD1834" t="s">
        <v>27</v>
      </c>
      <c r="AE1834" t="s">
        <v>27</v>
      </c>
      <c r="AF1834" t="s">
        <v>27</v>
      </c>
      <c r="AG1834">
        <v>5.27</v>
      </c>
    </row>
    <row r="1835" spans="1:33" x14ac:dyDescent="0.25">
      <c r="A1835" t="s">
        <v>57</v>
      </c>
      <c r="B1835" s="3">
        <v>45296</v>
      </c>
      <c r="C1835">
        <v>2024005</v>
      </c>
      <c r="D1835">
        <v>0.25</v>
      </c>
      <c r="E1835" t="s">
        <v>27</v>
      </c>
      <c r="F1835">
        <v>-6</v>
      </c>
      <c r="G1835">
        <v>-3</v>
      </c>
      <c r="H1835">
        <v>-9.1999999999999993</v>
      </c>
      <c r="I1835">
        <v>88.4</v>
      </c>
      <c r="J1835">
        <v>76.3</v>
      </c>
      <c r="K1835">
        <v>0.4</v>
      </c>
      <c r="L1835">
        <v>1.8</v>
      </c>
      <c r="M1835">
        <v>0</v>
      </c>
      <c r="N1835">
        <v>0.621</v>
      </c>
      <c r="O1835">
        <v>-0.5</v>
      </c>
      <c r="P1835">
        <v>-6.8</v>
      </c>
      <c r="Q1835">
        <v>-2.2999999999999998</v>
      </c>
      <c r="R1835">
        <v>-10.3</v>
      </c>
      <c r="S1835">
        <v>0.2</v>
      </c>
      <c r="T1835">
        <v>0.9</v>
      </c>
      <c r="U1835" t="s">
        <v>27</v>
      </c>
      <c r="V1835">
        <v>0.08</v>
      </c>
      <c r="W1835">
        <v>0.373</v>
      </c>
      <c r="X1835">
        <v>0.11600000000000001</v>
      </c>
      <c r="Y1835" t="s">
        <v>27</v>
      </c>
      <c r="Z1835" t="s">
        <v>27</v>
      </c>
      <c r="AA1835" t="s">
        <v>27</v>
      </c>
      <c r="AB1835" t="s">
        <v>27</v>
      </c>
      <c r="AC1835" t="s">
        <v>27</v>
      </c>
      <c r="AD1835" t="s">
        <v>27</v>
      </c>
      <c r="AE1835" t="s">
        <v>27</v>
      </c>
      <c r="AF1835" t="s">
        <v>27</v>
      </c>
      <c r="AG1835">
        <v>5.32</v>
      </c>
    </row>
    <row r="1836" spans="1:33" x14ac:dyDescent="0.25">
      <c r="A1836" t="s">
        <v>57</v>
      </c>
      <c r="B1836" s="3">
        <v>45297</v>
      </c>
      <c r="C1836">
        <v>2024006</v>
      </c>
      <c r="D1836">
        <v>0</v>
      </c>
      <c r="E1836" t="s">
        <v>27</v>
      </c>
      <c r="F1836">
        <v>-5.2</v>
      </c>
      <c r="G1836">
        <v>-3</v>
      </c>
      <c r="H1836">
        <v>-7.9</v>
      </c>
      <c r="I1836">
        <v>90.2</v>
      </c>
      <c r="J1836">
        <v>84.3</v>
      </c>
      <c r="K1836">
        <v>0.9</v>
      </c>
      <c r="L1836">
        <v>2.5</v>
      </c>
      <c r="M1836">
        <v>9.3000000000000007</v>
      </c>
      <c r="N1836">
        <v>0.82200000000000006</v>
      </c>
      <c r="O1836">
        <v>-0.6</v>
      </c>
      <c r="P1836">
        <v>-5.6</v>
      </c>
      <c r="Q1836">
        <v>-3.1</v>
      </c>
      <c r="R1836">
        <v>-8.8000000000000007</v>
      </c>
      <c r="S1836">
        <v>0.2</v>
      </c>
      <c r="T1836">
        <v>0.9</v>
      </c>
      <c r="U1836" t="s">
        <v>27</v>
      </c>
      <c r="V1836">
        <v>7.9000000000000001E-2</v>
      </c>
      <c r="W1836">
        <v>0.41099999999999998</v>
      </c>
      <c r="X1836">
        <v>7.6999999999999999E-2</v>
      </c>
      <c r="Y1836" t="s">
        <v>27</v>
      </c>
      <c r="Z1836" t="s">
        <v>27</v>
      </c>
      <c r="AA1836" t="s">
        <v>27</v>
      </c>
      <c r="AB1836" t="s">
        <v>27</v>
      </c>
      <c r="AC1836" t="s">
        <v>27</v>
      </c>
      <c r="AD1836" t="s">
        <v>27</v>
      </c>
      <c r="AE1836" t="s">
        <v>27</v>
      </c>
      <c r="AF1836" t="s">
        <v>27</v>
      </c>
      <c r="AG1836">
        <v>5.37</v>
      </c>
    </row>
    <row r="1837" spans="1:33" x14ac:dyDescent="0.25">
      <c r="A1837" t="s">
        <v>57</v>
      </c>
      <c r="B1837" s="3">
        <v>45298</v>
      </c>
      <c r="C1837">
        <v>2024007</v>
      </c>
      <c r="D1837">
        <v>0</v>
      </c>
      <c r="E1837" t="s">
        <v>27</v>
      </c>
      <c r="F1837">
        <v>-9.5</v>
      </c>
      <c r="G1837">
        <v>-7.8</v>
      </c>
      <c r="H1837">
        <v>-11.5</v>
      </c>
      <c r="I1837">
        <v>88.6</v>
      </c>
      <c r="J1837">
        <v>86.7</v>
      </c>
      <c r="K1837">
        <v>0.7</v>
      </c>
      <c r="L1837">
        <v>2.1</v>
      </c>
      <c r="M1837">
        <v>1.4</v>
      </c>
      <c r="N1837">
        <v>0.79</v>
      </c>
      <c r="O1837">
        <v>-0.5</v>
      </c>
      <c r="P1837">
        <v>-10</v>
      </c>
      <c r="Q1837">
        <v>-7.4</v>
      </c>
      <c r="R1837">
        <v>-12.2</v>
      </c>
      <c r="S1837">
        <v>0.2</v>
      </c>
      <c r="T1837">
        <v>0.9</v>
      </c>
      <c r="U1837" t="s">
        <v>27</v>
      </c>
      <c r="V1837">
        <v>7.8E-2</v>
      </c>
      <c r="W1837">
        <v>0.29399999999999998</v>
      </c>
      <c r="X1837">
        <v>4.4999999999999998E-2</v>
      </c>
      <c r="Y1837" t="s">
        <v>27</v>
      </c>
      <c r="Z1837" t="s">
        <v>27</v>
      </c>
      <c r="AA1837" t="s">
        <v>27</v>
      </c>
      <c r="AB1837" t="s">
        <v>27</v>
      </c>
      <c r="AC1837" t="s">
        <v>27</v>
      </c>
      <c r="AD1837" t="s">
        <v>27</v>
      </c>
      <c r="AE1837" t="s">
        <v>27</v>
      </c>
      <c r="AF1837" t="s">
        <v>27</v>
      </c>
      <c r="AG1837">
        <v>5.43</v>
      </c>
    </row>
    <row r="1838" spans="1:33" x14ac:dyDescent="0.25">
      <c r="A1838" t="s">
        <v>57</v>
      </c>
      <c r="B1838" s="3">
        <v>45299</v>
      </c>
      <c r="C1838">
        <v>2024008</v>
      </c>
      <c r="D1838">
        <v>0</v>
      </c>
      <c r="E1838" t="s">
        <v>27</v>
      </c>
      <c r="F1838">
        <v>-10.9</v>
      </c>
      <c r="G1838">
        <v>-7.6</v>
      </c>
      <c r="H1838">
        <v>-15.3</v>
      </c>
      <c r="I1838">
        <v>87.2</v>
      </c>
      <c r="J1838">
        <v>83.4</v>
      </c>
      <c r="K1838">
        <v>0.5</v>
      </c>
      <c r="L1838">
        <v>1.9</v>
      </c>
      <c r="M1838">
        <v>8.4</v>
      </c>
      <c r="N1838">
        <v>0.83200000000000007</v>
      </c>
      <c r="O1838">
        <v>-0.5</v>
      </c>
      <c r="P1838">
        <v>-11.4</v>
      </c>
      <c r="Q1838">
        <v>-6.8</v>
      </c>
      <c r="R1838">
        <v>-16.5</v>
      </c>
      <c r="S1838">
        <v>0.2</v>
      </c>
      <c r="T1838">
        <v>0.9</v>
      </c>
      <c r="U1838" t="s">
        <v>27</v>
      </c>
      <c r="V1838">
        <v>7.8E-2</v>
      </c>
      <c r="W1838">
        <v>0.28699999999999998</v>
      </c>
      <c r="X1838">
        <v>5.7000000000000002E-2</v>
      </c>
      <c r="Y1838" t="s">
        <v>27</v>
      </c>
      <c r="Z1838" t="s">
        <v>27</v>
      </c>
      <c r="AA1838" t="s">
        <v>27</v>
      </c>
      <c r="AB1838" t="s">
        <v>27</v>
      </c>
      <c r="AC1838" t="s">
        <v>27</v>
      </c>
      <c r="AD1838" t="s">
        <v>27</v>
      </c>
      <c r="AE1838" t="s">
        <v>27</v>
      </c>
      <c r="AF1838" t="s">
        <v>27</v>
      </c>
      <c r="AG1838">
        <v>5.49</v>
      </c>
    </row>
    <row r="1839" spans="1:33" x14ac:dyDescent="0.25">
      <c r="A1839" t="s">
        <v>57</v>
      </c>
      <c r="B1839" s="3">
        <v>45300</v>
      </c>
      <c r="C1839">
        <v>2024009</v>
      </c>
      <c r="D1839">
        <v>0</v>
      </c>
      <c r="E1839" t="s">
        <v>27</v>
      </c>
      <c r="F1839">
        <v>-6.1</v>
      </c>
      <c r="G1839">
        <v>-3.8</v>
      </c>
      <c r="H1839">
        <v>-11.8</v>
      </c>
      <c r="I1839">
        <v>91</v>
      </c>
      <c r="J1839">
        <v>86.8</v>
      </c>
      <c r="K1839">
        <v>1</v>
      </c>
      <c r="L1839">
        <v>3.4</v>
      </c>
      <c r="M1839">
        <v>6.2</v>
      </c>
      <c r="N1839">
        <v>0.84300000000000019</v>
      </c>
      <c r="O1839">
        <v>-0.5</v>
      </c>
      <c r="P1839">
        <v>-6.7</v>
      </c>
      <c r="Q1839">
        <v>-3.2</v>
      </c>
      <c r="R1839">
        <v>-13.2</v>
      </c>
      <c r="S1839">
        <v>0.2</v>
      </c>
      <c r="T1839">
        <v>0.9</v>
      </c>
      <c r="U1839" t="s">
        <v>27</v>
      </c>
      <c r="V1839">
        <v>7.6999999999999999E-2</v>
      </c>
      <c r="W1839">
        <v>0.39900000000000002</v>
      </c>
      <c r="X1839">
        <v>6.0999999999999999E-2</v>
      </c>
      <c r="Y1839" t="s">
        <v>27</v>
      </c>
      <c r="Z1839" t="s">
        <v>27</v>
      </c>
      <c r="AA1839" t="s">
        <v>27</v>
      </c>
      <c r="AB1839" t="s">
        <v>27</v>
      </c>
      <c r="AC1839" t="s">
        <v>27</v>
      </c>
      <c r="AD1839" t="s">
        <v>27</v>
      </c>
      <c r="AE1839" t="s">
        <v>27</v>
      </c>
      <c r="AF1839" t="s">
        <v>27</v>
      </c>
      <c r="AG1839">
        <v>5.56</v>
      </c>
    </row>
    <row r="1840" spans="1:33" x14ac:dyDescent="0.25">
      <c r="A1840" t="s">
        <v>57</v>
      </c>
      <c r="B1840" s="3">
        <v>45301</v>
      </c>
      <c r="C1840">
        <v>2024010</v>
      </c>
      <c r="D1840">
        <v>0</v>
      </c>
      <c r="E1840" t="s">
        <v>27</v>
      </c>
      <c r="F1840">
        <v>-10.3</v>
      </c>
      <c r="G1840">
        <v>-5</v>
      </c>
      <c r="H1840">
        <v>-13.5</v>
      </c>
      <c r="I1840">
        <v>85.1</v>
      </c>
      <c r="J1840">
        <v>77.5</v>
      </c>
      <c r="K1840">
        <v>1.1000000000000001</v>
      </c>
      <c r="L1840">
        <v>3</v>
      </c>
      <c r="M1840">
        <v>2.9</v>
      </c>
      <c r="N1840">
        <v>0.81600000000000006</v>
      </c>
      <c r="O1840">
        <v>-0.5</v>
      </c>
      <c r="P1840">
        <v>-10.6</v>
      </c>
      <c r="Q1840">
        <v>-5.6</v>
      </c>
      <c r="R1840">
        <v>-14.3</v>
      </c>
      <c r="S1840">
        <v>0.2</v>
      </c>
      <c r="T1840">
        <v>0.9</v>
      </c>
      <c r="U1840" t="s">
        <v>27</v>
      </c>
      <c r="V1840">
        <v>7.5999999999999998E-2</v>
      </c>
      <c r="W1840">
        <v>0.32700000000000001</v>
      </c>
      <c r="X1840">
        <v>9.5000000000000001E-2</v>
      </c>
      <c r="Y1840" t="s">
        <v>27</v>
      </c>
      <c r="Z1840" t="s">
        <v>27</v>
      </c>
      <c r="AA1840" t="s">
        <v>27</v>
      </c>
      <c r="AB1840" t="s">
        <v>27</v>
      </c>
      <c r="AC1840" t="s">
        <v>27</v>
      </c>
      <c r="AD1840" t="s">
        <v>27</v>
      </c>
      <c r="AE1840" t="s">
        <v>27</v>
      </c>
      <c r="AF1840" t="s">
        <v>27</v>
      </c>
      <c r="AG1840">
        <v>5.63</v>
      </c>
    </row>
    <row r="1841" spans="1:33" x14ac:dyDescent="0.25">
      <c r="A1841" t="s">
        <v>57</v>
      </c>
      <c r="B1841" s="3">
        <v>45302</v>
      </c>
      <c r="C1841">
        <v>2024011</v>
      </c>
      <c r="D1841">
        <v>0</v>
      </c>
      <c r="E1841" t="s">
        <v>27</v>
      </c>
      <c r="F1841">
        <v>-21</v>
      </c>
      <c r="G1841">
        <v>-12.9</v>
      </c>
      <c r="H1841">
        <v>-31.2</v>
      </c>
      <c r="I1841">
        <v>77.8</v>
      </c>
      <c r="J1841">
        <v>71.599999999999994</v>
      </c>
      <c r="K1841">
        <v>1.2</v>
      </c>
      <c r="L1841">
        <v>3.1</v>
      </c>
      <c r="M1841">
        <v>13.7</v>
      </c>
      <c r="N1841">
        <v>0.85200000000000009</v>
      </c>
      <c r="O1841">
        <v>-0.6</v>
      </c>
      <c r="P1841">
        <v>-21.2</v>
      </c>
      <c r="Q1841">
        <v>-13.5</v>
      </c>
      <c r="R1841">
        <v>-32.1</v>
      </c>
      <c r="S1841">
        <v>0.1</v>
      </c>
      <c r="T1841">
        <v>0.8</v>
      </c>
      <c r="U1841" t="s">
        <v>27</v>
      </c>
      <c r="V1841">
        <v>7.5999999999999998E-2</v>
      </c>
      <c r="W1841">
        <v>0.16200000000000001</v>
      </c>
      <c r="X1841">
        <v>6.4000000000000001E-2</v>
      </c>
      <c r="Y1841" t="s">
        <v>27</v>
      </c>
      <c r="Z1841" t="s">
        <v>27</v>
      </c>
      <c r="AA1841" t="s">
        <v>27</v>
      </c>
      <c r="AB1841" t="s">
        <v>27</v>
      </c>
      <c r="AC1841" t="s">
        <v>27</v>
      </c>
      <c r="AD1841" t="s">
        <v>27</v>
      </c>
      <c r="AE1841" t="s">
        <v>27</v>
      </c>
      <c r="AF1841" t="s">
        <v>27</v>
      </c>
      <c r="AG1841">
        <v>5.7</v>
      </c>
    </row>
    <row r="1842" spans="1:33" x14ac:dyDescent="0.25">
      <c r="A1842" t="s">
        <v>57</v>
      </c>
      <c r="B1842" s="3">
        <v>45303</v>
      </c>
      <c r="C1842">
        <v>2024012</v>
      </c>
      <c r="D1842">
        <v>0</v>
      </c>
      <c r="E1842" t="s">
        <v>27</v>
      </c>
      <c r="F1842">
        <v>-33.1</v>
      </c>
      <c r="G1842">
        <v>-28.8</v>
      </c>
      <c r="H1842">
        <v>-38.4</v>
      </c>
      <c r="I1842">
        <v>69.900000000000006</v>
      </c>
      <c r="J1842">
        <v>67.900000000000006</v>
      </c>
      <c r="K1842">
        <v>0.7</v>
      </c>
      <c r="L1842">
        <v>2.4</v>
      </c>
      <c r="M1842">
        <v>7.9</v>
      </c>
      <c r="N1842">
        <v>0.83100000000000018</v>
      </c>
      <c r="O1842">
        <v>-0.7</v>
      </c>
      <c r="P1842">
        <v>-33.6</v>
      </c>
      <c r="Q1842">
        <v>-25.3</v>
      </c>
      <c r="R1842">
        <v>-40.1</v>
      </c>
      <c r="S1842">
        <v>0.1</v>
      </c>
      <c r="T1842">
        <v>0.7</v>
      </c>
      <c r="U1842" t="s">
        <v>27</v>
      </c>
      <c r="V1842">
        <v>7.4999999999999997E-2</v>
      </c>
      <c r="W1842">
        <v>3.7999999999999999E-2</v>
      </c>
      <c r="X1842">
        <v>1.7999999999999999E-2</v>
      </c>
      <c r="Y1842" t="s">
        <v>27</v>
      </c>
      <c r="Z1842" t="s">
        <v>27</v>
      </c>
      <c r="AA1842" t="s">
        <v>27</v>
      </c>
      <c r="AB1842" t="s">
        <v>27</v>
      </c>
      <c r="AC1842" t="s">
        <v>27</v>
      </c>
      <c r="AD1842" t="s">
        <v>27</v>
      </c>
      <c r="AE1842" t="s">
        <v>27</v>
      </c>
      <c r="AF1842" t="s">
        <v>27</v>
      </c>
      <c r="AG1842">
        <v>5.77</v>
      </c>
    </row>
    <row r="1843" spans="1:33" x14ac:dyDescent="0.25">
      <c r="A1843" t="s">
        <v>57</v>
      </c>
      <c r="B1843" s="3">
        <v>45304</v>
      </c>
      <c r="C1843">
        <v>2024013</v>
      </c>
      <c r="D1843">
        <v>0</v>
      </c>
      <c r="E1843" t="s">
        <v>27</v>
      </c>
      <c r="F1843">
        <v>-29</v>
      </c>
      <c r="G1843">
        <v>-22.3</v>
      </c>
      <c r="H1843">
        <v>-38</v>
      </c>
      <c r="I1843">
        <v>71.3</v>
      </c>
      <c r="J1843">
        <v>67.2</v>
      </c>
      <c r="K1843">
        <v>0.5</v>
      </c>
      <c r="L1843">
        <v>1.9</v>
      </c>
      <c r="M1843">
        <v>0</v>
      </c>
      <c r="N1843">
        <v>0.81300000000000017</v>
      </c>
      <c r="O1843">
        <v>-0.9</v>
      </c>
      <c r="P1843">
        <v>-29.7</v>
      </c>
      <c r="Q1843">
        <v>-18.399999999999999</v>
      </c>
      <c r="R1843">
        <v>-39.9</v>
      </c>
      <c r="S1843">
        <v>0.1</v>
      </c>
      <c r="T1843">
        <v>0.8</v>
      </c>
      <c r="U1843" t="s">
        <v>27</v>
      </c>
      <c r="V1843">
        <v>7.3999999999999996E-2</v>
      </c>
      <c r="W1843">
        <v>6.8000000000000005E-2</v>
      </c>
      <c r="X1843">
        <v>3.3000000000000002E-2</v>
      </c>
      <c r="Y1843" t="s">
        <v>27</v>
      </c>
      <c r="Z1843" t="s">
        <v>27</v>
      </c>
      <c r="AA1843" t="s">
        <v>27</v>
      </c>
      <c r="AB1843" t="s">
        <v>27</v>
      </c>
      <c r="AC1843" t="s">
        <v>27</v>
      </c>
      <c r="AD1843" t="s">
        <v>27</v>
      </c>
      <c r="AE1843" t="s">
        <v>27</v>
      </c>
      <c r="AF1843" t="s">
        <v>27</v>
      </c>
      <c r="AG1843">
        <v>5.85</v>
      </c>
    </row>
    <row r="1844" spans="1:33" x14ac:dyDescent="0.25">
      <c r="A1844" t="s">
        <v>57</v>
      </c>
      <c r="B1844" s="3">
        <v>45305</v>
      </c>
      <c r="C1844">
        <v>2024014</v>
      </c>
      <c r="D1844">
        <v>0.08</v>
      </c>
      <c r="E1844" t="s">
        <v>27</v>
      </c>
      <c r="F1844">
        <v>-20</v>
      </c>
      <c r="G1844">
        <v>-13.8</v>
      </c>
      <c r="H1844">
        <v>-28.1</v>
      </c>
      <c r="I1844">
        <v>72.7</v>
      </c>
      <c r="J1844">
        <v>64.3</v>
      </c>
      <c r="K1844">
        <v>0.7</v>
      </c>
      <c r="L1844">
        <v>2.2000000000000002</v>
      </c>
      <c r="M1844">
        <v>0</v>
      </c>
      <c r="N1844">
        <v>0.79700000000000015</v>
      </c>
      <c r="O1844">
        <v>-1.2</v>
      </c>
      <c r="P1844">
        <v>-20.3</v>
      </c>
      <c r="Q1844">
        <v>-8.9</v>
      </c>
      <c r="R1844">
        <v>-29.9</v>
      </c>
      <c r="S1844">
        <v>0.1</v>
      </c>
      <c r="T1844">
        <v>0.8</v>
      </c>
      <c r="U1844" t="s">
        <v>27</v>
      </c>
      <c r="V1844">
        <v>7.2999999999999995E-2</v>
      </c>
      <c r="W1844">
        <v>0.13500000000000001</v>
      </c>
      <c r="X1844">
        <v>7.4999999999999997E-2</v>
      </c>
      <c r="Y1844" t="s">
        <v>27</v>
      </c>
      <c r="Z1844" t="s">
        <v>27</v>
      </c>
      <c r="AA1844" t="s">
        <v>27</v>
      </c>
      <c r="AB1844" t="s">
        <v>27</v>
      </c>
      <c r="AC1844" t="s">
        <v>27</v>
      </c>
      <c r="AD1844" t="s">
        <v>27</v>
      </c>
      <c r="AE1844" t="s">
        <v>27</v>
      </c>
      <c r="AF1844" t="s">
        <v>27</v>
      </c>
      <c r="AG1844">
        <v>5.93</v>
      </c>
    </row>
    <row r="1845" spans="1:33" x14ac:dyDescent="0.25">
      <c r="A1845" t="s">
        <v>57</v>
      </c>
      <c r="B1845" s="3">
        <v>45306</v>
      </c>
      <c r="C1845">
        <v>2024015</v>
      </c>
      <c r="D1845">
        <v>0</v>
      </c>
      <c r="E1845" t="s">
        <v>27</v>
      </c>
      <c r="F1845">
        <v>-19.2</v>
      </c>
      <c r="G1845">
        <v>-11.5</v>
      </c>
      <c r="H1845">
        <v>-26</v>
      </c>
      <c r="I1845">
        <v>76</v>
      </c>
      <c r="J1845">
        <v>63.2</v>
      </c>
      <c r="K1845">
        <v>0.2</v>
      </c>
      <c r="L1845">
        <v>1.5</v>
      </c>
      <c r="M1845">
        <v>0</v>
      </c>
      <c r="N1845">
        <v>0.78700000000000014</v>
      </c>
      <c r="O1845">
        <v>-1.5</v>
      </c>
      <c r="P1845">
        <v>-19.899999999999999</v>
      </c>
      <c r="Q1845">
        <v>-9.4</v>
      </c>
      <c r="R1845">
        <v>-27.5</v>
      </c>
      <c r="S1845">
        <v>0</v>
      </c>
      <c r="T1845">
        <v>0.8</v>
      </c>
      <c r="U1845" t="s">
        <v>27</v>
      </c>
      <c r="V1845">
        <v>7.0999999999999994E-2</v>
      </c>
      <c r="W1845">
        <v>0.16</v>
      </c>
      <c r="X1845">
        <v>9.2999999999999999E-2</v>
      </c>
      <c r="Y1845" t="s">
        <v>27</v>
      </c>
      <c r="Z1845" t="s">
        <v>27</v>
      </c>
      <c r="AA1845" t="s">
        <v>27</v>
      </c>
      <c r="AB1845" t="s">
        <v>27</v>
      </c>
      <c r="AC1845" t="s">
        <v>27</v>
      </c>
      <c r="AD1845" t="s">
        <v>27</v>
      </c>
      <c r="AE1845" t="s">
        <v>27</v>
      </c>
      <c r="AF1845" t="s">
        <v>27</v>
      </c>
      <c r="AG1845">
        <v>6.02</v>
      </c>
    </row>
    <row r="1846" spans="1:33" x14ac:dyDescent="0.25">
      <c r="A1846" t="s">
        <v>57</v>
      </c>
      <c r="B1846" s="3">
        <v>45307</v>
      </c>
      <c r="C1846">
        <v>2024016</v>
      </c>
      <c r="D1846">
        <v>0</v>
      </c>
      <c r="E1846" t="s">
        <v>27</v>
      </c>
      <c r="F1846">
        <v>-16</v>
      </c>
      <c r="G1846">
        <v>-13.7</v>
      </c>
      <c r="H1846">
        <v>-18.600000000000001</v>
      </c>
      <c r="I1846">
        <v>76.8</v>
      </c>
      <c r="J1846">
        <v>71.900000000000006</v>
      </c>
      <c r="K1846">
        <v>0.9</v>
      </c>
      <c r="L1846">
        <v>2</v>
      </c>
      <c r="M1846">
        <v>0</v>
      </c>
      <c r="N1846">
        <v>0.77400000000000002</v>
      </c>
      <c r="O1846">
        <v>-1.6</v>
      </c>
      <c r="P1846">
        <v>-16.399999999999999</v>
      </c>
      <c r="Q1846">
        <v>-12.5</v>
      </c>
      <c r="R1846">
        <v>-20</v>
      </c>
      <c r="S1846">
        <v>0</v>
      </c>
      <c r="T1846">
        <v>0.7</v>
      </c>
      <c r="U1846" t="s">
        <v>27</v>
      </c>
      <c r="V1846">
        <v>7.0000000000000007E-2</v>
      </c>
      <c r="W1846">
        <v>0.152</v>
      </c>
      <c r="X1846">
        <v>5.8999999999999997E-2</v>
      </c>
      <c r="Y1846" t="s">
        <v>27</v>
      </c>
      <c r="Z1846" t="s">
        <v>27</v>
      </c>
      <c r="AA1846" t="s">
        <v>27</v>
      </c>
      <c r="AB1846" t="s">
        <v>27</v>
      </c>
      <c r="AC1846" t="s">
        <v>27</v>
      </c>
      <c r="AD1846" t="s">
        <v>27</v>
      </c>
      <c r="AE1846" t="s">
        <v>27</v>
      </c>
      <c r="AF1846" t="s">
        <v>27</v>
      </c>
      <c r="AG1846">
        <v>6.11</v>
      </c>
    </row>
    <row r="1847" spans="1:33" x14ac:dyDescent="0.25">
      <c r="A1847" t="s">
        <v>57</v>
      </c>
      <c r="B1847" s="3">
        <v>45308</v>
      </c>
      <c r="C1847">
        <v>2024017</v>
      </c>
      <c r="D1847">
        <v>0</v>
      </c>
      <c r="E1847" t="s">
        <v>27</v>
      </c>
      <c r="F1847">
        <v>-15.1</v>
      </c>
      <c r="G1847">
        <v>-12.4</v>
      </c>
      <c r="H1847">
        <v>-18</v>
      </c>
      <c r="I1847">
        <v>81.599999999999994</v>
      </c>
      <c r="J1847">
        <v>77.2</v>
      </c>
      <c r="K1847">
        <v>0.8</v>
      </c>
      <c r="L1847">
        <v>2</v>
      </c>
      <c r="M1847">
        <v>0</v>
      </c>
      <c r="N1847">
        <v>0.90800000000000014</v>
      </c>
      <c r="O1847">
        <v>-1.6</v>
      </c>
      <c r="P1847">
        <v>-15.6</v>
      </c>
      <c r="Q1847">
        <v>-12.3</v>
      </c>
      <c r="R1847">
        <v>-19.399999999999999</v>
      </c>
      <c r="S1847">
        <v>0</v>
      </c>
      <c r="T1847">
        <v>0.7</v>
      </c>
      <c r="U1847" t="s">
        <v>27</v>
      </c>
      <c r="V1847">
        <v>6.9000000000000006E-2</v>
      </c>
      <c r="W1847">
        <v>0.18099999999999999</v>
      </c>
      <c r="X1847">
        <v>5.2999999999999999E-2</v>
      </c>
      <c r="Y1847" t="s">
        <v>27</v>
      </c>
      <c r="Z1847" t="s">
        <v>27</v>
      </c>
      <c r="AA1847" t="s">
        <v>27</v>
      </c>
      <c r="AB1847" t="s">
        <v>27</v>
      </c>
      <c r="AC1847" t="s">
        <v>27</v>
      </c>
      <c r="AD1847" t="s">
        <v>27</v>
      </c>
      <c r="AE1847" t="s">
        <v>27</v>
      </c>
      <c r="AF1847" t="s">
        <v>27</v>
      </c>
      <c r="AG1847">
        <v>6.2</v>
      </c>
    </row>
    <row r="1848" spans="1:33" x14ac:dyDescent="0.25">
      <c r="A1848" t="s">
        <v>57</v>
      </c>
      <c r="B1848" s="3">
        <v>45309</v>
      </c>
      <c r="C1848">
        <v>2024018</v>
      </c>
      <c r="D1848">
        <v>0</v>
      </c>
      <c r="E1848" t="s">
        <v>27</v>
      </c>
      <c r="F1848">
        <v>-15.5</v>
      </c>
      <c r="G1848">
        <v>-10</v>
      </c>
      <c r="H1848">
        <v>-23.4</v>
      </c>
      <c r="I1848">
        <v>79.599999999999994</v>
      </c>
      <c r="J1848">
        <v>75.3</v>
      </c>
      <c r="K1848">
        <v>0.6</v>
      </c>
      <c r="L1848">
        <v>1.9</v>
      </c>
      <c r="M1848">
        <v>0</v>
      </c>
      <c r="N1848">
        <v>0.88700000000000001</v>
      </c>
      <c r="O1848">
        <v>-1.5</v>
      </c>
      <c r="P1848">
        <v>-16.399999999999999</v>
      </c>
      <c r="Q1848">
        <v>-8</v>
      </c>
      <c r="R1848">
        <v>-25.3</v>
      </c>
      <c r="S1848">
        <v>0</v>
      </c>
      <c r="T1848">
        <v>0.7</v>
      </c>
      <c r="U1848" t="s">
        <v>27</v>
      </c>
      <c r="V1848">
        <v>6.8000000000000005E-2</v>
      </c>
      <c r="W1848">
        <v>0.215</v>
      </c>
      <c r="X1848">
        <v>7.0999999999999994E-2</v>
      </c>
      <c r="Y1848" t="s">
        <v>27</v>
      </c>
      <c r="Z1848" t="s">
        <v>27</v>
      </c>
      <c r="AA1848" t="s">
        <v>27</v>
      </c>
      <c r="AB1848" t="s">
        <v>27</v>
      </c>
      <c r="AC1848" t="s">
        <v>27</v>
      </c>
      <c r="AD1848" t="s">
        <v>27</v>
      </c>
      <c r="AE1848" t="s">
        <v>27</v>
      </c>
      <c r="AF1848" t="s">
        <v>27</v>
      </c>
      <c r="AG1848">
        <v>6.3</v>
      </c>
    </row>
    <row r="1849" spans="1:33" x14ac:dyDescent="0.25">
      <c r="A1849" t="s">
        <v>57</v>
      </c>
      <c r="B1849" s="3">
        <v>45310</v>
      </c>
      <c r="C1849">
        <v>2024019</v>
      </c>
      <c r="D1849">
        <v>0</v>
      </c>
      <c r="E1849" t="s">
        <v>27</v>
      </c>
      <c r="F1849">
        <v>-8</v>
      </c>
      <c r="G1849">
        <v>-5.3</v>
      </c>
      <c r="H1849">
        <v>-11.1</v>
      </c>
      <c r="I1849">
        <v>87.9</v>
      </c>
      <c r="J1849">
        <v>80.2</v>
      </c>
      <c r="K1849">
        <v>0.9</v>
      </c>
      <c r="L1849">
        <v>2</v>
      </c>
      <c r="M1849">
        <v>0</v>
      </c>
      <c r="N1849">
        <v>0.92800000000000016</v>
      </c>
      <c r="O1849">
        <v>-1.4</v>
      </c>
      <c r="P1849">
        <v>-8.3000000000000007</v>
      </c>
      <c r="Q1849">
        <v>-5.7</v>
      </c>
      <c r="R1849">
        <v>-11.7</v>
      </c>
      <c r="S1849">
        <v>0</v>
      </c>
      <c r="T1849">
        <v>0.7</v>
      </c>
      <c r="U1849" t="s">
        <v>27</v>
      </c>
      <c r="V1849">
        <v>6.7000000000000004E-2</v>
      </c>
      <c r="W1849">
        <v>0.33100000000000002</v>
      </c>
      <c r="X1849">
        <v>8.2000000000000003E-2</v>
      </c>
      <c r="Y1849" t="s">
        <v>27</v>
      </c>
      <c r="Z1849" t="s">
        <v>27</v>
      </c>
      <c r="AA1849" t="s">
        <v>27</v>
      </c>
      <c r="AB1849" t="s">
        <v>27</v>
      </c>
      <c r="AC1849" t="s">
        <v>27</v>
      </c>
      <c r="AD1849" t="s">
        <v>27</v>
      </c>
      <c r="AE1849" t="s">
        <v>27</v>
      </c>
      <c r="AF1849" t="s">
        <v>27</v>
      </c>
      <c r="AG1849">
        <v>6.4</v>
      </c>
    </row>
    <row r="1850" spans="1:33" x14ac:dyDescent="0.25">
      <c r="A1850" t="s">
        <v>57</v>
      </c>
      <c r="B1850" s="3">
        <v>45311</v>
      </c>
      <c r="C1850">
        <v>2024020</v>
      </c>
      <c r="D1850">
        <v>0.38</v>
      </c>
      <c r="E1850" t="s">
        <v>27</v>
      </c>
      <c r="F1850">
        <v>-2.4</v>
      </c>
      <c r="G1850">
        <v>0.2</v>
      </c>
      <c r="H1850">
        <v>-5.9</v>
      </c>
      <c r="I1850">
        <v>93.7</v>
      </c>
      <c r="J1850">
        <v>91.2</v>
      </c>
      <c r="K1850">
        <v>0.5</v>
      </c>
      <c r="L1850">
        <v>1.8</v>
      </c>
      <c r="M1850">
        <v>21.6</v>
      </c>
      <c r="N1850">
        <v>0.94500000000000006</v>
      </c>
      <c r="O1850">
        <v>-1.3</v>
      </c>
      <c r="P1850">
        <v>-2.8</v>
      </c>
      <c r="Q1850">
        <v>1.2</v>
      </c>
      <c r="R1850">
        <v>-6.5</v>
      </c>
      <c r="S1850">
        <v>0</v>
      </c>
      <c r="T1850">
        <v>0.7</v>
      </c>
      <c r="U1850" t="s">
        <v>27</v>
      </c>
      <c r="V1850">
        <v>6.7000000000000004E-2</v>
      </c>
      <c r="W1850">
        <v>0.56699999999999995</v>
      </c>
      <c r="X1850">
        <v>5.5E-2</v>
      </c>
      <c r="Y1850" t="s">
        <v>27</v>
      </c>
      <c r="Z1850" t="s">
        <v>27</v>
      </c>
      <c r="AA1850" t="s">
        <v>27</v>
      </c>
      <c r="AB1850" t="s">
        <v>27</v>
      </c>
      <c r="AC1850" t="s">
        <v>27</v>
      </c>
      <c r="AD1850" t="s">
        <v>27</v>
      </c>
      <c r="AE1850" t="s">
        <v>27</v>
      </c>
      <c r="AF1850" t="s">
        <v>27</v>
      </c>
      <c r="AG1850">
        <v>6.51</v>
      </c>
    </row>
    <row r="1851" spans="1:33" x14ac:dyDescent="0.25">
      <c r="A1851" t="s">
        <v>57</v>
      </c>
      <c r="B1851" s="3">
        <v>45312</v>
      </c>
      <c r="C1851">
        <v>2024021</v>
      </c>
      <c r="D1851">
        <v>0.37</v>
      </c>
      <c r="E1851" t="s">
        <v>27</v>
      </c>
      <c r="F1851">
        <v>-1.3</v>
      </c>
      <c r="G1851">
        <v>0</v>
      </c>
      <c r="H1851">
        <v>-2</v>
      </c>
      <c r="I1851">
        <v>93.9</v>
      </c>
      <c r="J1851">
        <v>90.1</v>
      </c>
      <c r="K1851">
        <v>0.3</v>
      </c>
      <c r="L1851">
        <v>1.2</v>
      </c>
      <c r="M1851">
        <v>2.7</v>
      </c>
      <c r="N1851">
        <v>0.94500000000000006</v>
      </c>
      <c r="O1851">
        <v>-1.1000000000000001</v>
      </c>
      <c r="P1851">
        <v>-1.5</v>
      </c>
      <c r="Q1851">
        <v>1</v>
      </c>
      <c r="R1851">
        <v>-2.7</v>
      </c>
      <c r="S1851">
        <v>0.1</v>
      </c>
      <c r="T1851">
        <v>0.7</v>
      </c>
      <c r="U1851" t="s">
        <v>27</v>
      </c>
      <c r="V1851">
        <v>6.6000000000000003E-2</v>
      </c>
      <c r="W1851">
        <v>0.54900000000000004</v>
      </c>
      <c r="X1851">
        <v>0.06</v>
      </c>
      <c r="Y1851" t="s">
        <v>27</v>
      </c>
      <c r="Z1851" t="s">
        <v>27</v>
      </c>
      <c r="AA1851" t="s">
        <v>27</v>
      </c>
      <c r="AB1851" t="s">
        <v>27</v>
      </c>
      <c r="AC1851" t="s">
        <v>27</v>
      </c>
      <c r="AD1851" t="s">
        <v>27</v>
      </c>
      <c r="AE1851" t="s">
        <v>27</v>
      </c>
      <c r="AF1851" t="s">
        <v>27</v>
      </c>
      <c r="AG1851">
        <v>6.61</v>
      </c>
    </row>
    <row r="1852" spans="1:33" x14ac:dyDescent="0.25">
      <c r="A1852" t="s">
        <v>57</v>
      </c>
      <c r="B1852" s="3">
        <v>45313</v>
      </c>
      <c r="C1852">
        <v>2024022</v>
      </c>
      <c r="D1852">
        <v>0.31</v>
      </c>
      <c r="E1852" t="s">
        <v>27</v>
      </c>
      <c r="F1852">
        <v>-0.3</v>
      </c>
      <c r="G1852">
        <v>1.5</v>
      </c>
      <c r="H1852">
        <v>-1.9</v>
      </c>
      <c r="I1852">
        <v>94.1</v>
      </c>
      <c r="J1852">
        <v>90.3</v>
      </c>
      <c r="K1852">
        <v>0.4</v>
      </c>
      <c r="L1852">
        <v>2.1</v>
      </c>
      <c r="M1852">
        <v>4.3</v>
      </c>
      <c r="N1852">
        <v>0.94800000000000018</v>
      </c>
      <c r="O1852">
        <v>-0.8</v>
      </c>
      <c r="P1852">
        <v>-0.8</v>
      </c>
      <c r="Q1852">
        <v>1.6</v>
      </c>
      <c r="R1852">
        <v>-2.8</v>
      </c>
      <c r="S1852">
        <v>0.1</v>
      </c>
      <c r="T1852">
        <v>0.7</v>
      </c>
      <c r="U1852" t="s">
        <v>27</v>
      </c>
      <c r="V1852">
        <v>6.6000000000000003E-2</v>
      </c>
      <c r="W1852">
        <v>0.61299999999999999</v>
      </c>
      <c r="X1852">
        <v>6.6000000000000003E-2</v>
      </c>
      <c r="Y1852" t="s">
        <v>27</v>
      </c>
      <c r="Z1852" t="s">
        <v>27</v>
      </c>
      <c r="AA1852" t="s">
        <v>27</v>
      </c>
      <c r="AB1852" t="s">
        <v>27</v>
      </c>
      <c r="AC1852" t="s">
        <v>27</v>
      </c>
      <c r="AD1852" t="s">
        <v>27</v>
      </c>
      <c r="AE1852" t="s">
        <v>27</v>
      </c>
      <c r="AF1852" t="s">
        <v>27</v>
      </c>
      <c r="AG1852">
        <v>6.73</v>
      </c>
    </row>
    <row r="1853" spans="1:33" x14ac:dyDescent="0.25">
      <c r="A1853" t="s">
        <v>57</v>
      </c>
      <c r="B1853" s="3">
        <v>45314</v>
      </c>
      <c r="C1853">
        <v>2024023</v>
      </c>
      <c r="D1853">
        <v>2.81</v>
      </c>
      <c r="E1853" t="s">
        <v>27</v>
      </c>
      <c r="F1853">
        <v>-1.3</v>
      </c>
      <c r="G1853">
        <v>3.3</v>
      </c>
      <c r="H1853">
        <v>-4.3</v>
      </c>
      <c r="I1853">
        <v>93</v>
      </c>
      <c r="J1853">
        <v>81</v>
      </c>
      <c r="K1853">
        <v>0.2</v>
      </c>
      <c r="L1853">
        <v>1.7</v>
      </c>
      <c r="M1853">
        <v>1.6</v>
      </c>
      <c r="N1853">
        <v>0.95300000000000007</v>
      </c>
      <c r="O1853">
        <v>-0.6</v>
      </c>
      <c r="P1853">
        <v>-1.9</v>
      </c>
      <c r="Q1853">
        <v>6.5</v>
      </c>
      <c r="R1853">
        <v>-5.7</v>
      </c>
      <c r="S1853">
        <v>0.1</v>
      </c>
      <c r="T1853">
        <v>0.7</v>
      </c>
      <c r="U1853" t="s">
        <v>27</v>
      </c>
      <c r="V1853">
        <v>6.6000000000000003E-2</v>
      </c>
      <c r="W1853">
        <v>0.626</v>
      </c>
      <c r="X1853">
        <v>0.14699999999999999</v>
      </c>
      <c r="Y1853" t="s">
        <v>27</v>
      </c>
      <c r="Z1853" t="s">
        <v>27</v>
      </c>
      <c r="AA1853" t="s">
        <v>27</v>
      </c>
      <c r="AB1853" t="s">
        <v>27</v>
      </c>
      <c r="AC1853" t="s">
        <v>27</v>
      </c>
      <c r="AD1853" t="s">
        <v>27</v>
      </c>
      <c r="AE1853" t="s">
        <v>27</v>
      </c>
      <c r="AF1853" t="s">
        <v>27</v>
      </c>
      <c r="AG1853">
        <v>6.84</v>
      </c>
    </row>
    <row r="1854" spans="1:33" x14ac:dyDescent="0.25">
      <c r="A1854" t="s">
        <v>57</v>
      </c>
      <c r="B1854" s="3">
        <v>45315</v>
      </c>
      <c r="C1854">
        <v>2024024</v>
      </c>
      <c r="D1854">
        <v>0.8</v>
      </c>
      <c r="E1854" t="s">
        <v>27</v>
      </c>
      <c r="F1854">
        <v>-2.2000000000000002</v>
      </c>
      <c r="G1854">
        <v>-0.3</v>
      </c>
      <c r="H1854">
        <v>-5.7</v>
      </c>
      <c r="I1854">
        <v>93.2</v>
      </c>
      <c r="J1854">
        <v>89</v>
      </c>
      <c r="K1854">
        <v>0.4</v>
      </c>
      <c r="L1854">
        <v>2</v>
      </c>
      <c r="M1854">
        <v>5.7</v>
      </c>
      <c r="N1854">
        <v>0.97900000000000009</v>
      </c>
      <c r="O1854">
        <v>-0.5</v>
      </c>
      <c r="P1854">
        <v>-3.1</v>
      </c>
      <c r="Q1854">
        <v>-0.6</v>
      </c>
      <c r="R1854">
        <v>-7.4</v>
      </c>
      <c r="S1854">
        <v>0.1</v>
      </c>
      <c r="T1854">
        <v>0.7</v>
      </c>
      <c r="U1854" t="s">
        <v>27</v>
      </c>
      <c r="V1854">
        <v>6.6000000000000003E-2</v>
      </c>
      <c r="W1854">
        <v>0.53100000000000003</v>
      </c>
      <c r="X1854">
        <v>6.6000000000000003E-2</v>
      </c>
      <c r="Y1854" t="s">
        <v>27</v>
      </c>
      <c r="Z1854" t="s">
        <v>27</v>
      </c>
      <c r="AA1854" t="s">
        <v>27</v>
      </c>
      <c r="AB1854" t="s">
        <v>27</v>
      </c>
      <c r="AC1854" t="s">
        <v>27</v>
      </c>
      <c r="AD1854" t="s">
        <v>27</v>
      </c>
      <c r="AE1854" t="s">
        <v>27</v>
      </c>
      <c r="AF1854" t="s">
        <v>27</v>
      </c>
      <c r="AG1854">
        <v>6.96</v>
      </c>
    </row>
    <row r="1855" spans="1:33" x14ac:dyDescent="0.25">
      <c r="A1855" t="s">
        <v>57</v>
      </c>
      <c r="B1855" s="3">
        <v>45316</v>
      </c>
      <c r="C1855">
        <v>2024025</v>
      </c>
      <c r="D1855">
        <v>0.66</v>
      </c>
      <c r="E1855" t="s">
        <v>27</v>
      </c>
      <c r="F1855">
        <v>-4.5999999999999996</v>
      </c>
      <c r="G1855">
        <v>0</v>
      </c>
      <c r="H1855">
        <v>-11.3</v>
      </c>
      <c r="I1855">
        <v>90.7</v>
      </c>
      <c r="J1855">
        <v>85.2</v>
      </c>
      <c r="K1855">
        <v>0.2</v>
      </c>
      <c r="L1855">
        <v>0.9</v>
      </c>
      <c r="M1855">
        <v>0</v>
      </c>
      <c r="N1855">
        <v>0.96300000000000008</v>
      </c>
      <c r="O1855">
        <v>-0.4</v>
      </c>
      <c r="P1855">
        <v>-5.2</v>
      </c>
      <c r="Q1855">
        <v>1.1000000000000001</v>
      </c>
      <c r="R1855">
        <v>-12.5</v>
      </c>
      <c r="S1855">
        <v>0.1</v>
      </c>
      <c r="T1855">
        <v>0.7</v>
      </c>
      <c r="U1855" t="s">
        <v>27</v>
      </c>
      <c r="V1855">
        <v>6.6000000000000003E-2</v>
      </c>
      <c r="W1855">
        <v>0.52100000000000002</v>
      </c>
      <c r="X1855">
        <v>9.0999999999999998E-2</v>
      </c>
      <c r="Y1855" t="s">
        <v>27</v>
      </c>
      <c r="Z1855" t="s">
        <v>27</v>
      </c>
      <c r="AA1855" t="s">
        <v>27</v>
      </c>
      <c r="AB1855" t="s">
        <v>27</v>
      </c>
      <c r="AC1855" t="s">
        <v>27</v>
      </c>
      <c r="AD1855" t="s">
        <v>27</v>
      </c>
      <c r="AE1855" t="s">
        <v>27</v>
      </c>
      <c r="AF1855" t="s">
        <v>27</v>
      </c>
      <c r="AG1855">
        <v>7.09</v>
      </c>
    </row>
    <row r="1856" spans="1:33" x14ac:dyDescent="0.25">
      <c r="A1856" t="s">
        <v>57</v>
      </c>
      <c r="B1856" s="3">
        <v>45317</v>
      </c>
      <c r="C1856">
        <v>2024026</v>
      </c>
      <c r="D1856">
        <v>2.25</v>
      </c>
      <c r="E1856" t="s">
        <v>27</v>
      </c>
      <c r="F1856">
        <v>-3.1</v>
      </c>
      <c r="G1856">
        <v>1.5</v>
      </c>
      <c r="H1856">
        <v>-8</v>
      </c>
      <c r="I1856">
        <v>91.7</v>
      </c>
      <c r="J1856">
        <v>83.9</v>
      </c>
      <c r="K1856">
        <v>0.5</v>
      </c>
      <c r="L1856">
        <v>2.2999999999999998</v>
      </c>
      <c r="M1856">
        <v>0</v>
      </c>
      <c r="N1856">
        <v>0.9910000000000001</v>
      </c>
      <c r="O1856">
        <v>-0.4</v>
      </c>
      <c r="P1856">
        <v>-3.8</v>
      </c>
      <c r="Q1856">
        <v>2.2999999999999998</v>
      </c>
      <c r="R1856">
        <v>-9.6</v>
      </c>
      <c r="S1856">
        <v>0.1</v>
      </c>
      <c r="T1856">
        <v>0.7</v>
      </c>
      <c r="U1856" t="s">
        <v>27</v>
      </c>
      <c r="V1856">
        <v>6.6000000000000003E-2</v>
      </c>
      <c r="W1856">
        <v>0.57199999999999995</v>
      </c>
      <c r="X1856">
        <v>0.11</v>
      </c>
      <c r="Y1856" t="s">
        <v>27</v>
      </c>
      <c r="Z1856" t="s">
        <v>27</v>
      </c>
      <c r="AA1856" t="s">
        <v>27</v>
      </c>
      <c r="AB1856" t="s">
        <v>27</v>
      </c>
      <c r="AC1856" t="s">
        <v>27</v>
      </c>
      <c r="AD1856" t="s">
        <v>27</v>
      </c>
      <c r="AE1856" t="s">
        <v>27</v>
      </c>
      <c r="AF1856" t="s">
        <v>27</v>
      </c>
      <c r="AG1856">
        <v>7.21</v>
      </c>
    </row>
    <row r="1857" spans="1:33" x14ac:dyDescent="0.25">
      <c r="A1857" t="s">
        <v>57</v>
      </c>
      <c r="B1857" s="3">
        <v>45318</v>
      </c>
      <c r="C1857">
        <v>2024027</v>
      </c>
      <c r="D1857">
        <v>0.62</v>
      </c>
      <c r="E1857" t="s">
        <v>27</v>
      </c>
      <c r="F1857">
        <v>-0.5</v>
      </c>
      <c r="G1857">
        <v>0.8</v>
      </c>
      <c r="H1857">
        <v>-1.9</v>
      </c>
      <c r="I1857">
        <v>95.2</v>
      </c>
      <c r="J1857">
        <v>93</v>
      </c>
      <c r="K1857">
        <v>0.7</v>
      </c>
      <c r="L1857">
        <v>1.5</v>
      </c>
      <c r="M1857">
        <v>0</v>
      </c>
      <c r="N1857">
        <v>1.008</v>
      </c>
      <c r="O1857">
        <v>-0.4</v>
      </c>
      <c r="P1857">
        <v>-0.9</v>
      </c>
      <c r="Q1857">
        <v>0.4</v>
      </c>
      <c r="R1857">
        <v>-2.5</v>
      </c>
      <c r="S1857">
        <v>0.1</v>
      </c>
      <c r="T1857">
        <v>0.8</v>
      </c>
      <c r="U1857" t="s">
        <v>27</v>
      </c>
      <c r="V1857">
        <v>6.6000000000000003E-2</v>
      </c>
      <c r="W1857">
        <v>0.60099999999999998</v>
      </c>
      <c r="X1857">
        <v>4.4999999999999998E-2</v>
      </c>
      <c r="Y1857" t="s">
        <v>27</v>
      </c>
      <c r="Z1857" t="s">
        <v>27</v>
      </c>
      <c r="AA1857" t="s">
        <v>27</v>
      </c>
      <c r="AB1857" t="s">
        <v>27</v>
      </c>
      <c r="AC1857" t="s">
        <v>27</v>
      </c>
      <c r="AD1857" t="s">
        <v>27</v>
      </c>
      <c r="AE1857" t="s">
        <v>27</v>
      </c>
      <c r="AF1857" t="s">
        <v>27</v>
      </c>
      <c r="AG1857">
        <v>7.34</v>
      </c>
    </row>
    <row r="1858" spans="1:33" x14ac:dyDescent="0.25">
      <c r="A1858" t="s">
        <v>57</v>
      </c>
      <c r="B1858" s="3">
        <v>45319</v>
      </c>
      <c r="C1858">
        <v>2024028</v>
      </c>
      <c r="D1858">
        <v>3.67</v>
      </c>
      <c r="E1858" t="s">
        <v>27</v>
      </c>
      <c r="F1858">
        <v>1.8</v>
      </c>
      <c r="G1858">
        <v>5.4</v>
      </c>
      <c r="H1858">
        <v>0.5</v>
      </c>
      <c r="I1858">
        <v>95.8</v>
      </c>
      <c r="J1858">
        <v>85.1</v>
      </c>
      <c r="K1858">
        <v>0.3</v>
      </c>
      <c r="L1858">
        <v>1.4</v>
      </c>
      <c r="M1858">
        <v>0</v>
      </c>
      <c r="N1858">
        <v>0.93000000000000016</v>
      </c>
      <c r="O1858">
        <v>-0.3</v>
      </c>
      <c r="P1858">
        <v>1.6</v>
      </c>
      <c r="Q1858">
        <v>7.5</v>
      </c>
      <c r="R1858">
        <v>0</v>
      </c>
      <c r="S1858">
        <v>0.2</v>
      </c>
      <c r="T1858">
        <v>0.8</v>
      </c>
      <c r="U1858" t="s">
        <v>27</v>
      </c>
      <c r="V1858">
        <v>6.8000000000000005E-2</v>
      </c>
      <c r="W1858">
        <v>0.76300000000000001</v>
      </c>
      <c r="X1858">
        <v>0.13400000000000001</v>
      </c>
      <c r="Y1858" t="s">
        <v>27</v>
      </c>
      <c r="Z1858" t="s">
        <v>27</v>
      </c>
      <c r="AA1858" t="s">
        <v>27</v>
      </c>
      <c r="AB1858" t="s">
        <v>27</v>
      </c>
      <c r="AC1858" t="s">
        <v>27</v>
      </c>
      <c r="AD1858" t="s">
        <v>27</v>
      </c>
      <c r="AE1858" t="s">
        <v>27</v>
      </c>
      <c r="AF1858" t="s">
        <v>27</v>
      </c>
      <c r="AG1858">
        <v>7.47</v>
      </c>
    </row>
    <row r="1859" spans="1:33" x14ac:dyDescent="0.25">
      <c r="A1859" t="s">
        <v>57</v>
      </c>
      <c r="B1859" s="3">
        <v>45320</v>
      </c>
      <c r="C1859">
        <v>2024029</v>
      </c>
      <c r="D1859">
        <v>4.8499999999999996</v>
      </c>
      <c r="E1859" t="s">
        <v>27</v>
      </c>
      <c r="F1859">
        <v>4.0999999999999996</v>
      </c>
      <c r="G1859">
        <v>8</v>
      </c>
      <c r="H1859">
        <v>2</v>
      </c>
      <c r="I1859">
        <v>93.3</v>
      </c>
      <c r="J1859">
        <v>78.400000000000006</v>
      </c>
      <c r="K1859">
        <v>1</v>
      </c>
      <c r="L1859">
        <v>3</v>
      </c>
      <c r="M1859">
        <v>2.2000000000000002</v>
      </c>
      <c r="N1859">
        <v>0.8680000000000001</v>
      </c>
      <c r="O1859">
        <v>-0.2</v>
      </c>
      <c r="P1859">
        <v>3.4</v>
      </c>
      <c r="Q1859">
        <v>7.9</v>
      </c>
      <c r="R1859">
        <v>1.4</v>
      </c>
      <c r="S1859">
        <v>0.2</v>
      </c>
      <c r="T1859">
        <v>0.8</v>
      </c>
      <c r="U1859" t="s">
        <v>27</v>
      </c>
      <c r="V1859">
        <v>7.0999999999999994E-2</v>
      </c>
      <c r="W1859">
        <v>0.84</v>
      </c>
      <c r="X1859">
        <v>0.23100000000000001</v>
      </c>
      <c r="Y1859" t="s">
        <v>27</v>
      </c>
      <c r="Z1859" t="s">
        <v>27</v>
      </c>
      <c r="AA1859" t="s">
        <v>27</v>
      </c>
      <c r="AB1859" t="s">
        <v>27</v>
      </c>
      <c r="AC1859" t="s">
        <v>27</v>
      </c>
      <c r="AD1859" t="s">
        <v>27</v>
      </c>
      <c r="AE1859" t="s">
        <v>27</v>
      </c>
      <c r="AF1859" t="s">
        <v>27</v>
      </c>
      <c r="AG1859">
        <v>7.61</v>
      </c>
    </row>
    <row r="1860" spans="1:33" x14ac:dyDescent="0.25">
      <c r="A1860" t="s">
        <v>57</v>
      </c>
      <c r="B1860" s="3">
        <v>45321</v>
      </c>
      <c r="C1860">
        <v>2024030</v>
      </c>
      <c r="D1860">
        <v>2.67</v>
      </c>
      <c r="E1860" t="s">
        <v>27</v>
      </c>
      <c r="F1860">
        <v>2.7</v>
      </c>
      <c r="G1860">
        <v>5.4</v>
      </c>
      <c r="H1860">
        <v>-0.6</v>
      </c>
      <c r="I1860">
        <v>93.8</v>
      </c>
      <c r="J1860">
        <v>81</v>
      </c>
      <c r="K1860">
        <v>0.6</v>
      </c>
      <c r="L1860">
        <v>2.7</v>
      </c>
      <c r="M1860">
        <v>2.2999999999999998</v>
      </c>
      <c r="N1860">
        <v>0.85200000000000009</v>
      </c>
      <c r="O1860">
        <v>-0.1</v>
      </c>
      <c r="P1860">
        <v>1.8</v>
      </c>
      <c r="Q1860">
        <v>4</v>
      </c>
      <c r="R1860">
        <v>-1.8</v>
      </c>
      <c r="S1860">
        <v>0.2</v>
      </c>
      <c r="T1860">
        <v>0.8</v>
      </c>
      <c r="U1860" t="s">
        <v>27</v>
      </c>
      <c r="V1860">
        <v>7.3999999999999996E-2</v>
      </c>
      <c r="W1860">
        <v>0.72799999999999998</v>
      </c>
      <c r="X1860">
        <v>0.17100000000000001</v>
      </c>
      <c r="Y1860" t="s">
        <v>27</v>
      </c>
      <c r="Z1860" t="s">
        <v>27</v>
      </c>
      <c r="AA1860" t="s">
        <v>27</v>
      </c>
      <c r="AB1860" t="s">
        <v>27</v>
      </c>
      <c r="AC1860" t="s">
        <v>27</v>
      </c>
      <c r="AD1860" t="s">
        <v>27</v>
      </c>
      <c r="AE1860" t="s">
        <v>27</v>
      </c>
      <c r="AF1860" t="s">
        <v>27</v>
      </c>
      <c r="AG1860">
        <v>7.75</v>
      </c>
    </row>
    <row r="1861" spans="1:33" x14ac:dyDescent="0.25">
      <c r="A1861" t="s">
        <v>57</v>
      </c>
      <c r="B1861" s="3">
        <v>45322</v>
      </c>
      <c r="C1861">
        <v>2024031</v>
      </c>
      <c r="D1861">
        <v>3.33</v>
      </c>
      <c r="E1861" t="s">
        <v>27</v>
      </c>
      <c r="F1861">
        <v>3.7</v>
      </c>
      <c r="G1861">
        <v>5.0999999999999996</v>
      </c>
      <c r="H1861">
        <v>2.2000000000000002</v>
      </c>
      <c r="I1861">
        <v>85.8</v>
      </c>
      <c r="J1861">
        <v>75.900000000000006</v>
      </c>
      <c r="K1861">
        <v>1.7</v>
      </c>
      <c r="L1861">
        <v>3.7</v>
      </c>
      <c r="M1861">
        <v>4</v>
      </c>
      <c r="N1861">
        <v>0.80600000000000005</v>
      </c>
      <c r="O1861">
        <v>0</v>
      </c>
      <c r="P1861">
        <v>2.8</v>
      </c>
      <c r="Q1861">
        <v>4.7</v>
      </c>
      <c r="R1861">
        <v>1.2</v>
      </c>
      <c r="S1861">
        <v>0.2</v>
      </c>
      <c r="T1861">
        <v>0.8</v>
      </c>
      <c r="U1861" t="s">
        <v>27</v>
      </c>
      <c r="V1861">
        <v>7.6999999999999999E-2</v>
      </c>
      <c r="W1861">
        <v>0.66800000000000004</v>
      </c>
      <c r="X1861">
        <v>0.21199999999999999</v>
      </c>
      <c r="Y1861" t="s">
        <v>27</v>
      </c>
      <c r="Z1861" t="s">
        <v>27</v>
      </c>
      <c r="AA1861" t="s">
        <v>27</v>
      </c>
      <c r="AB1861" t="s">
        <v>27</v>
      </c>
      <c r="AC1861" t="s">
        <v>27</v>
      </c>
      <c r="AD1861" t="s">
        <v>27</v>
      </c>
      <c r="AE1861" t="s">
        <v>27</v>
      </c>
      <c r="AF1861" t="s">
        <v>27</v>
      </c>
      <c r="AG1861">
        <v>7.9</v>
      </c>
    </row>
    <row r="1862" spans="1:33" x14ac:dyDescent="0.25">
      <c r="A1862" t="s">
        <v>57</v>
      </c>
      <c r="B1862" s="3">
        <v>45323</v>
      </c>
      <c r="C1862">
        <v>2024032</v>
      </c>
      <c r="D1862">
        <v>2.99</v>
      </c>
      <c r="E1862" t="s">
        <v>27</v>
      </c>
      <c r="F1862">
        <v>2.8</v>
      </c>
      <c r="G1862">
        <v>4.5</v>
      </c>
      <c r="H1862">
        <v>1.5</v>
      </c>
      <c r="I1862">
        <v>91.4</v>
      </c>
      <c r="J1862">
        <v>82.5</v>
      </c>
      <c r="K1862">
        <v>1</v>
      </c>
      <c r="L1862">
        <v>2.7</v>
      </c>
      <c r="M1862">
        <v>1.4</v>
      </c>
      <c r="N1862">
        <v>0.77100000000000013</v>
      </c>
      <c r="O1862">
        <v>0.1</v>
      </c>
      <c r="P1862">
        <v>2</v>
      </c>
      <c r="Q1862">
        <v>4</v>
      </c>
      <c r="R1862">
        <v>0.8</v>
      </c>
      <c r="S1862">
        <v>0.2</v>
      </c>
      <c r="T1862">
        <v>0.8</v>
      </c>
      <c r="U1862" t="s">
        <v>27</v>
      </c>
      <c r="V1862">
        <v>7.9000000000000001E-2</v>
      </c>
      <c r="W1862">
        <v>0.69199999999999995</v>
      </c>
      <c r="X1862">
        <v>0.14699999999999999</v>
      </c>
      <c r="Y1862" t="s">
        <v>27</v>
      </c>
      <c r="Z1862" t="s">
        <v>27</v>
      </c>
      <c r="AA1862" t="s">
        <v>27</v>
      </c>
      <c r="AB1862" t="s">
        <v>27</v>
      </c>
      <c r="AC1862" t="s">
        <v>27</v>
      </c>
      <c r="AD1862" t="s">
        <v>27</v>
      </c>
      <c r="AE1862" t="s">
        <v>27</v>
      </c>
      <c r="AF1862" t="s">
        <v>27</v>
      </c>
      <c r="AG1862">
        <v>8.0399999999999991</v>
      </c>
    </row>
    <row r="1863" spans="1:33" x14ac:dyDescent="0.25">
      <c r="A1863" t="s">
        <v>57</v>
      </c>
      <c r="B1863" s="3">
        <v>45324</v>
      </c>
      <c r="C1863">
        <v>2024033</v>
      </c>
      <c r="D1863">
        <v>6.61</v>
      </c>
      <c r="E1863" t="s">
        <v>27</v>
      </c>
      <c r="F1863">
        <v>0.8</v>
      </c>
      <c r="G1863">
        <v>5.7</v>
      </c>
      <c r="H1863">
        <v>-2.6</v>
      </c>
      <c r="I1863">
        <v>83.5</v>
      </c>
      <c r="J1863">
        <v>47</v>
      </c>
      <c r="K1863">
        <v>0.5</v>
      </c>
      <c r="L1863">
        <v>2.1</v>
      </c>
      <c r="M1863">
        <v>0.1</v>
      </c>
      <c r="N1863">
        <v>0.75800000000000001</v>
      </c>
      <c r="O1863">
        <v>0.1</v>
      </c>
      <c r="P1863">
        <v>0.3</v>
      </c>
      <c r="Q1863">
        <v>7.4</v>
      </c>
      <c r="R1863">
        <v>-4.3</v>
      </c>
      <c r="S1863">
        <v>0.2</v>
      </c>
      <c r="T1863">
        <v>0.8</v>
      </c>
      <c r="U1863" t="s">
        <v>27</v>
      </c>
      <c r="V1863">
        <v>0.08</v>
      </c>
      <c r="W1863">
        <v>0.43</v>
      </c>
      <c r="X1863">
        <v>0.48499999999999999</v>
      </c>
      <c r="Y1863" t="s">
        <v>27</v>
      </c>
      <c r="Z1863" t="s">
        <v>27</v>
      </c>
      <c r="AA1863" t="s">
        <v>27</v>
      </c>
      <c r="AB1863" t="s">
        <v>27</v>
      </c>
      <c r="AC1863" t="s">
        <v>27</v>
      </c>
      <c r="AD1863" t="s">
        <v>27</v>
      </c>
      <c r="AE1863" t="s">
        <v>27</v>
      </c>
      <c r="AF1863" t="s">
        <v>27</v>
      </c>
      <c r="AG1863">
        <v>8.1999999999999993</v>
      </c>
    </row>
    <row r="1864" spans="1:33" x14ac:dyDescent="0.25">
      <c r="A1864" t="s">
        <v>57</v>
      </c>
      <c r="B1864" s="3">
        <v>45325</v>
      </c>
      <c r="C1864">
        <v>2024034</v>
      </c>
      <c r="D1864">
        <v>1.99</v>
      </c>
      <c r="E1864" t="s">
        <v>27</v>
      </c>
      <c r="F1864">
        <v>-2.4</v>
      </c>
      <c r="G1864">
        <v>0</v>
      </c>
      <c r="H1864">
        <v>-5.5</v>
      </c>
      <c r="I1864">
        <v>88</v>
      </c>
      <c r="J1864">
        <v>77.099999999999994</v>
      </c>
      <c r="K1864">
        <v>0.7</v>
      </c>
      <c r="L1864">
        <v>2.4</v>
      </c>
      <c r="M1864">
        <v>2.2000000000000002</v>
      </c>
      <c r="N1864">
        <v>0.76800000000000002</v>
      </c>
      <c r="O1864">
        <v>0</v>
      </c>
      <c r="P1864">
        <v>-3.2</v>
      </c>
      <c r="Q1864">
        <v>0.1</v>
      </c>
      <c r="R1864">
        <v>-6.8</v>
      </c>
      <c r="S1864">
        <v>0.1</v>
      </c>
      <c r="T1864">
        <v>0.7</v>
      </c>
      <c r="U1864" t="s">
        <v>27</v>
      </c>
      <c r="V1864">
        <v>0.08</v>
      </c>
      <c r="W1864">
        <v>0.47</v>
      </c>
      <c r="X1864">
        <v>0.14000000000000001</v>
      </c>
      <c r="Y1864" t="s">
        <v>27</v>
      </c>
      <c r="Z1864" t="s">
        <v>27</v>
      </c>
      <c r="AA1864" t="s">
        <v>27</v>
      </c>
      <c r="AB1864" t="s">
        <v>27</v>
      </c>
      <c r="AC1864" t="s">
        <v>27</v>
      </c>
      <c r="AD1864" t="s">
        <v>27</v>
      </c>
      <c r="AE1864" t="s">
        <v>27</v>
      </c>
      <c r="AF1864" t="s">
        <v>27</v>
      </c>
      <c r="AG1864">
        <v>8.35</v>
      </c>
    </row>
    <row r="1865" spans="1:33" x14ac:dyDescent="0.25">
      <c r="A1865" t="s">
        <v>57</v>
      </c>
      <c r="B1865" s="3">
        <v>45326</v>
      </c>
      <c r="C1865">
        <v>2024035</v>
      </c>
      <c r="D1865">
        <v>3.18</v>
      </c>
      <c r="E1865" t="s">
        <v>27</v>
      </c>
      <c r="F1865">
        <v>-2.7</v>
      </c>
      <c r="G1865">
        <v>0.4</v>
      </c>
      <c r="H1865">
        <v>-4.9000000000000004</v>
      </c>
      <c r="I1865">
        <v>88.9</v>
      </c>
      <c r="J1865">
        <v>80.8</v>
      </c>
      <c r="K1865">
        <v>0.6</v>
      </c>
      <c r="L1865">
        <v>2</v>
      </c>
      <c r="M1865">
        <v>3.6</v>
      </c>
      <c r="N1865">
        <v>0.79600000000000004</v>
      </c>
      <c r="O1865">
        <v>0</v>
      </c>
      <c r="P1865">
        <v>-2.9</v>
      </c>
      <c r="Q1865">
        <v>2.2000000000000002</v>
      </c>
      <c r="R1865">
        <v>-5.7</v>
      </c>
      <c r="S1865">
        <v>0.1</v>
      </c>
      <c r="T1865">
        <v>0.7</v>
      </c>
      <c r="U1865" t="s">
        <v>27</v>
      </c>
      <c r="V1865">
        <v>8.1000000000000003E-2</v>
      </c>
      <c r="W1865">
        <v>0.50800000000000001</v>
      </c>
      <c r="X1865">
        <v>0.121</v>
      </c>
      <c r="Y1865" t="s">
        <v>27</v>
      </c>
      <c r="Z1865" t="s">
        <v>27</v>
      </c>
      <c r="AA1865" t="s">
        <v>27</v>
      </c>
      <c r="AB1865" t="s">
        <v>27</v>
      </c>
      <c r="AC1865" t="s">
        <v>27</v>
      </c>
      <c r="AD1865" t="s">
        <v>27</v>
      </c>
      <c r="AE1865" t="s">
        <v>27</v>
      </c>
      <c r="AF1865" t="s">
        <v>27</v>
      </c>
      <c r="AG1865">
        <v>8.52</v>
      </c>
    </row>
    <row r="1866" spans="1:33" x14ac:dyDescent="0.25">
      <c r="A1866" t="s">
        <v>57</v>
      </c>
      <c r="B1866" s="3">
        <v>45327</v>
      </c>
      <c r="C1866">
        <v>2024036</v>
      </c>
      <c r="D1866">
        <v>1.65</v>
      </c>
      <c r="E1866" t="s">
        <v>27</v>
      </c>
      <c r="F1866">
        <v>-2.1</v>
      </c>
      <c r="G1866">
        <v>-0.5</v>
      </c>
      <c r="H1866">
        <v>-3.6</v>
      </c>
      <c r="I1866">
        <v>90.4</v>
      </c>
      <c r="J1866">
        <v>83.7</v>
      </c>
      <c r="K1866">
        <v>0.4</v>
      </c>
      <c r="L1866">
        <v>1.8</v>
      </c>
      <c r="M1866">
        <v>1.9</v>
      </c>
      <c r="N1866">
        <v>0.82300000000000018</v>
      </c>
      <c r="O1866">
        <v>-0.1</v>
      </c>
      <c r="P1866">
        <v>-2.4</v>
      </c>
      <c r="Q1866">
        <v>1.1000000000000001</v>
      </c>
      <c r="R1866">
        <v>-4.5</v>
      </c>
      <c r="S1866">
        <v>0.1</v>
      </c>
      <c r="T1866">
        <v>0.7</v>
      </c>
      <c r="U1866" t="s">
        <v>27</v>
      </c>
      <c r="V1866">
        <v>8.3000000000000004E-2</v>
      </c>
      <c r="W1866">
        <v>0.49399999999999999</v>
      </c>
      <c r="X1866">
        <v>9.6000000000000002E-2</v>
      </c>
      <c r="Y1866" t="s">
        <v>27</v>
      </c>
      <c r="Z1866" t="s">
        <v>27</v>
      </c>
      <c r="AA1866" t="s">
        <v>27</v>
      </c>
      <c r="AB1866" t="s">
        <v>27</v>
      </c>
      <c r="AC1866" t="s">
        <v>27</v>
      </c>
      <c r="AD1866" t="s">
        <v>27</v>
      </c>
      <c r="AE1866" t="s">
        <v>27</v>
      </c>
      <c r="AF1866" t="s">
        <v>27</v>
      </c>
      <c r="AG1866">
        <v>8.68</v>
      </c>
    </row>
    <row r="1867" spans="1:33" x14ac:dyDescent="0.25">
      <c r="A1867" t="s">
        <v>57</v>
      </c>
      <c r="B1867" s="3">
        <v>45328</v>
      </c>
      <c r="C1867">
        <v>2024037</v>
      </c>
      <c r="D1867">
        <v>0.34</v>
      </c>
      <c r="E1867" t="s">
        <v>27</v>
      </c>
      <c r="F1867">
        <v>-1.1000000000000001</v>
      </c>
      <c r="G1867">
        <v>1.1000000000000001</v>
      </c>
      <c r="H1867">
        <v>-1.9</v>
      </c>
      <c r="I1867">
        <v>93.7</v>
      </c>
      <c r="J1867">
        <v>90</v>
      </c>
      <c r="K1867">
        <v>0.2</v>
      </c>
      <c r="L1867">
        <v>1.7</v>
      </c>
      <c r="M1867">
        <v>12.2</v>
      </c>
      <c r="N1867">
        <v>0.91500000000000004</v>
      </c>
      <c r="O1867">
        <v>-0.2</v>
      </c>
      <c r="P1867">
        <v>-1.6</v>
      </c>
      <c r="Q1867">
        <v>0.8</v>
      </c>
      <c r="R1867">
        <v>-2.6</v>
      </c>
      <c r="S1867">
        <v>0.1</v>
      </c>
      <c r="T1867">
        <v>0.7</v>
      </c>
      <c r="U1867" t="s">
        <v>27</v>
      </c>
      <c r="V1867">
        <v>8.4000000000000005E-2</v>
      </c>
      <c r="W1867">
        <v>0.59299999999999997</v>
      </c>
      <c r="X1867">
        <v>6.6000000000000003E-2</v>
      </c>
      <c r="Y1867" t="s">
        <v>27</v>
      </c>
      <c r="Z1867" t="s">
        <v>27</v>
      </c>
      <c r="AA1867" t="s">
        <v>27</v>
      </c>
      <c r="AB1867" t="s">
        <v>27</v>
      </c>
      <c r="AC1867" t="s">
        <v>27</v>
      </c>
      <c r="AD1867" t="s">
        <v>27</v>
      </c>
      <c r="AE1867" t="s">
        <v>27</v>
      </c>
      <c r="AF1867" t="s">
        <v>27</v>
      </c>
      <c r="AG1867">
        <v>8.85</v>
      </c>
    </row>
    <row r="1868" spans="1:33" x14ac:dyDescent="0.25">
      <c r="A1868" t="s">
        <v>57</v>
      </c>
      <c r="B1868" s="3">
        <v>45329</v>
      </c>
      <c r="C1868">
        <v>2024038</v>
      </c>
      <c r="D1868">
        <v>0.74</v>
      </c>
      <c r="E1868" t="s">
        <v>27</v>
      </c>
      <c r="F1868">
        <v>-2.2999999999999998</v>
      </c>
      <c r="G1868">
        <v>0</v>
      </c>
      <c r="H1868">
        <v>-4</v>
      </c>
      <c r="I1868">
        <v>91.7</v>
      </c>
      <c r="J1868">
        <v>84.5</v>
      </c>
      <c r="K1868">
        <v>0.3</v>
      </c>
      <c r="L1868">
        <v>1.5</v>
      </c>
      <c r="M1868">
        <v>1</v>
      </c>
      <c r="N1868">
        <v>0.89700000000000002</v>
      </c>
      <c r="O1868">
        <v>-0.2</v>
      </c>
      <c r="P1868">
        <v>-2.6</v>
      </c>
      <c r="Q1868">
        <v>0.8</v>
      </c>
      <c r="R1868">
        <v>-4.9000000000000004</v>
      </c>
      <c r="S1868">
        <v>0.1</v>
      </c>
      <c r="T1868">
        <v>0.7</v>
      </c>
      <c r="U1868" t="s">
        <v>27</v>
      </c>
      <c r="V1868">
        <v>8.5000000000000006E-2</v>
      </c>
      <c r="W1868">
        <v>0.51600000000000001</v>
      </c>
      <c r="X1868">
        <v>9.5000000000000001E-2</v>
      </c>
      <c r="Y1868" t="s">
        <v>27</v>
      </c>
      <c r="Z1868" t="s">
        <v>27</v>
      </c>
      <c r="AA1868" t="s">
        <v>27</v>
      </c>
      <c r="AB1868" t="s">
        <v>27</v>
      </c>
      <c r="AC1868" t="s">
        <v>27</v>
      </c>
      <c r="AD1868" t="s">
        <v>27</v>
      </c>
      <c r="AE1868" t="s">
        <v>27</v>
      </c>
      <c r="AF1868" t="s">
        <v>27</v>
      </c>
      <c r="AG1868">
        <v>9.02</v>
      </c>
    </row>
    <row r="1869" spans="1:33" x14ac:dyDescent="0.25">
      <c r="A1869" t="s">
        <v>57</v>
      </c>
      <c r="B1869" s="3">
        <v>45330</v>
      </c>
      <c r="C1869">
        <v>2024039</v>
      </c>
      <c r="D1869">
        <v>0.49</v>
      </c>
      <c r="E1869" t="s">
        <v>27</v>
      </c>
      <c r="F1869">
        <v>-4.7</v>
      </c>
      <c r="G1869">
        <v>-2.4</v>
      </c>
      <c r="H1869">
        <v>-7</v>
      </c>
      <c r="I1869">
        <v>86.8</v>
      </c>
      <c r="J1869">
        <v>78</v>
      </c>
      <c r="K1869">
        <v>0.3</v>
      </c>
      <c r="L1869">
        <v>1.8</v>
      </c>
      <c r="M1869">
        <v>0.8</v>
      </c>
      <c r="N1869">
        <v>0.89500000000000002</v>
      </c>
      <c r="O1869">
        <v>-0.2</v>
      </c>
      <c r="P1869">
        <v>-5.0999999999999996</v>
      </c>
      <c r="Q1869">
        <v>-0.9</v>
      </c>
      <c r="R1869">
        <v>-8.3000000000000007</v>
      </c>
      <c r="S1869">
        <v>0.1</v>
      </c>
      <c r="T1869">
        <v>0.7</v>
      </c>
      <c r="U1869" t="s">
        <v>27</v>
      </c>
      <c r="V1869">
        <v>8.5999999999999993E-2</v>
      </c>
      <c r="W1869">
        <v>0.39900000000000002</v>
      </c>
      <c r="X1869">
        <v>0.113</v>
      </c>
      <c r="Y1869" t="s">
        <v>27</v>
      </c>
      <c r="Z1869" t="s">
        <v>27</v>
      </c>
      <c r="AA1869" t="s">
        <v>27</v>
      </c>
      <c r="AB1869" t="s">
        <v>27</v>
      </c>
      <c r="AC1869" t="s">
        <v>27</v>
      </c>
      <c r="AD1869" t="s">
        <v>27</v>
      </c>
      <c r="AE1869" t="s">
        <v>27</v>
      </c>
      <c r="AF1869" t="s">
        <v>27</v>
      </c>
      <c r="AG1869">
        <v>9.19</v>
      </c>
    </row>
    <row r="1870" spans="1:33" x14ac:dyDescent="0.25">
      <c r="A1870" t="s">
        <v>57</v>
      </c>
      <c r="B1870" s="3">
        <v>45331</v>
      </c>
      <c r="C1870">
        <v>2024040</v>
      </c>
      <c r="D1870">
        <v>1.85</v>
      </c>
      <c r="E1870" t="s">
        <v>27</v>
      </c>
      <c r="F1870">
        <v>-9.3000000000000007</v>
      </c>
      <c r="G1870">
        <v>-4.5</v>
      </c>
      <c r="H1870">
        <v>-16.399999999999999</v>
      </c>
      <c r="I1870">
        <v>81.8</v>
      </c>
      <c r="J1870">
        <v>62.3</v>
      </c>
      <c r="K1870">
        <v>0.6</v>
      </c>
      <c r="L1870">
        <v>2</v>
      </c>
      <c r="M1870">
        <v>2.1</v>
      </c>
      <c r="N1870">
        <v>0.88800000000000012</v>
      </c>
      <c r="O1870">
        <v>-0.2</v>
      </c>
      <c r="P1870">
        <v>-9.3000000000000007</v>
      </c>
      <c r="Q1870">
        <v>-0.3</v>
      </c>
      <c r="R1870">
        <v>-18.2</v>
      </c>
      <c r="S1870">
        <v>0.1</v>
      </c>
      <c r="T1870">
        <v>0.6</v>
      </c>
      <c r="U1870" t="s">
        <v>27</v>
      </c>
      <c r="V1870">
        <v>8.6999999999999994E-2</v>
      </c>
      <c r="W1870">
        <v>0.27200000000000002</v>
      </c>
      <c r="X1870">
        <v>0.16500000000000001</v>
      </c>
      <c r="Y1870" t="s">
        <v>27</v>
      </c>
      <c r="Z1870" t="s">
        <v>27</v>
      </c>
      <c r="AA1870" t="s">
        <v>27</v>
      </c>
      <c r="AB1870" t="s">
        <v>27</v>
      </c>
      <c r="AC1870" t="s">
        <v>27</v>
      </c>
      <c r="AD1870" t="s">
        <v>27</v>
      </c>
      <c r="AE1870" t="s">
        <v>27</v>
      </c>
      <c r="AF1870" t="s">
        <v>27</v>
      </c>
      <c r="AG1870">
        <v>9.3699999999999992</v>
      </c>
    </row>
    <row r="1871" spans="1:33" x14ac:dyDescent="0.25">
      <c r="A1871" t="s">
        <v>57</v>
      </c>
      <c r="B1871" s="3">
        <v>45332</v>
      </c>
      <c r="C1871">
        <v>2024041</v>
      </c>
      <c r="D1871">
        <v>1.59</v>
      </c>
      <c r="E1871" t="s">
        <v>27</v>
      </c>
      <c r="F1871">
        <v>-7.1</v>
      </c>
      <c r="G1871">
        <v>-1.1000000000000001</v>
      </c>
      <c r="H1871">
        <v>-16.3</v>
      </c>
      <c r="I1871">
        <v>84.3</v>
      </c>
      <c r="J1871">
        <v>63.7</v>
      </c>
      <c r="K1871">
        <v>0.3</v>
      </c>
      <c r="L1871">
        <v>1.2</v>
      </c>
      <c r="M1871">
        <v>0</v>
      </c>
      <c r="N1871">
        <v>0.89900000000000002</v>
      </c>
      <c r="O1871">
        <v>-0.2</v>
      </c>
      <c r="P1871">
        <v>-7.4</v>
      </c>
      <c r="Q1871">
        <v>1.4</v>
      </c>
      <c r="R1871">
        <v>-18.2</v>
      </c>
      <c r="S1871">
        <v>0.1</v>
      </c>
      <c r="T1871">
        <v>0.7</v>
      </c>
      <c r="U1871" t="s">
        <v>27</v>
      </c>
      <c r="V1871">
        <v>8.6999999999999994E-2</v>
      </c>
      <c r="W1871">
        <v>0.35799999999999998</v>
      </c>
      <c r="X1871">
        <v>0.20399999999999999</v>
      </c>
      <c r="Y1871" t="s">
        <v>27</v>
      </c>
      <c r="Z1871" t="s">
        <v>27</v>
      </c>
      <c r="AA1871" t="s">
        <v>27</v>
      </c>
      <c r="AB1871" t="s">
        <v>27</v>
      </c>
      <c r="AC1871" t="s">
        <v>27</v>
      </c>
      <c r="AD1871" t="s">
        <v>27</v>
      </c>
      <c r="AE1871" t="s">
        <v>27</v>
      </c>
      <c r="AF1871" t="s">
        <v>27</v>
      </c>
      <c r="AG1871">
        <v>9.5500000000000007</v>
      </c>
    </row>
    <row r="1872" spans="1:33" x14ac:dyDescent="0.25">
      <c r="A1872" t="s">
        <v>57</v>
      </c>
      <c r="B1872" s="3">
        <v>45333</v>
      </c>
      <c r="C1872">
        <v>2024042</v>
      </c>
      <c r="D1872">
        <v>0.12</v>
      </c>
      <c r="E1872" t="s">
        <v>27</v>
      </c>
      <c r="F1872">
        <v>-4.2</v>
      </c>
      <c r="G1872">
        <v>-2.2000000000000002</v>
      </c>
      <c r="H1872">
        <v>-5.9</v>
      </c>
      <c r="I1872">
        <v>90.8</v>
      </c>
      <c r="J1872">
        <v>83.4</v>
      </c>
      <c r="K1872">
        <v>0.6</v>
      </c>
      <c r="L1872">
        <v>1.6</v>
      </c>
      <c r="M1872">
        <v>8</v>
      </c>
      <c r="N1872">
        <v>0.97700000000000009</v>
      </c>
      <c r="O1872">
        <v>-0.3</v>
      </c>
      <c r="P1872">
        <v>-4.5</v>
      </c>
      <c r="Q1872">
        <v>-0.5</v>
      </c>
      <c r="R1872">
        <v>-6.4</v>
      </c>
      <c r="S1872">
        <v>0.1</v>
      </c>
      <c r="T1872">
        <v>0.7</v>
      </c>
      <c r="U1872" t="s">
        <v>27</v>
      </c>
      <c r="V1872">
        <v>8.7999999999999995E-2</v>
      </c>
      <c r="W1872">
        <v>0.433</v>
      </c>
      <c r="X1872">
        <v>8.5999999999999993E-2</v>
      </c>
      <c r="Y1872" t="s">
        <v>27</v>
      </c>
      <c r="Z1872" t="s">
        <v>27</v>
      </c>
      <c r="AA1872" t="s">
        <v>27</v>
      </c>
      <c r="AB1872" t="s">
        <v>27</v>
      </c>
      <c r="AC1872" t="s">
        <v>27</v>
      </c>
      <c r="AD1872" t="s">
        <v>27</v>
      </c>
      <c r="AE1872" t="s">
        <v>27</v>
      </c>
      <c r="AF1872" t="s">
        <v>27</v>
      </c>
      <c r="AG1872">
        <v>9.74</v>
      </c>
    </row>
    <row r="1873" spans="1:33" x14ac:dyDescent="0.25">
      <c r="A1873" t="s">
        <v>57</v>
      </c>
      <c r="B1873" s="3">
        <v>45334</v>
      </c>
      <c r="C1873">
        <v>2024043</v>
      </c>
      <c r="D1873">
        <v>1.65</v>
      </c>
      <c r="E1873" t="s">
        <v>27</v>
      </c>
      <c r="F1873">
        <v>-5.5</v>
      </c>
      <c r="G1873">
        <v>-0.8</v>
      </c>
      <c r="H1873">
        <v>-13.4</v>
      </c>
      <c r="I1873">
        <v>87.3</v>
      </c>
      <c r="J1873">
        <v>73.3</v>
      </c>
      <c r="K1873">
        <v>0.6</v>
      </c>
      <c r="L1873">
        <v>2.5</v>
      </c>
      <c r="M1873">
        <v>3.8</v>
      </c>
      <c r="N1873">
        <v>0.98799999999999999</v>
      </c>
      <c r="O1873">
        <v>-0.4</v>
      </c>
      <c r="P1873">
        <v>-5.9</v>
      </c>
      <c r="Q1873">
        <v>3.7</v>
      </c>
      <c r="R1873">
        <v>-15.3</v>
      </c>
      <c r="S1873">
        <v>0.1</v>
      </c>
      <c r="T1873">
        <v>0.7</v>
      </c>
      <c r="U1873" t="s">
        <v>27</v>
      </c>
      <c r="V1873">
        <v>8.7999999999999995E-2</v>
      </c>
      <c r="W1873">
        <v>0.42199999999999999</v>
      </c>
      <c r="X1873">
        <v>0.154</v>
      </c>
      <c r="Y1873" t="s">
        <v>27</v>
      </c>
      <c r="Z1873" t="s">
        <v>27</v>
      </c>
      <c r="AA1873" t="s">
        <v>27</v>
      </c>
      <c r="AB1873" t="s">
        <v>27</v>
      </c>
      <c r="AC1873" t="s">
        <v>27</v>
      </c>
      <c r="AD1873" t="s">
        <v>27</v>
      </c>
      <c r="AE1873" t="s">
        <v>27</v>
      </c>
      <c r="AF1873" t="s">
        <v>27</v>
      </c>
      <c r="AG1873">
        <v>9.92</v>
      </c>
    </row>
    <row r="1874" spans="1:33" x14ac:dyDescent="0.25">
      <c r="A1874" t="s">
        <v>57</v>
      </c>
      <c r="B1874" s="3">
        <v>45335</v>
      </c>
      <c r="C1874">
        <v>2024044</v>
      </c>
      <c r="D1874">
        <v>7.65</v>
      </c>
      <c r="E1874" t="s">
        <v>27</v>
      </c>
      <c r="F1874">
        <v>-9.1</v>
      </c>
      <c r="G1874">
        <v>-3.9</v>
      </c>
      <c r="H1874">
        <v>-14.7</v>
      </c>
      <c r="I1874">
        <v>82.4</v>
      </c>
      <c r="J1874">
        <v>66.400000000000006</v>
      </c>
      <c r="K1874">
        <v>0.9</v>
      </c>
      <c r="L1874">
        <v>3.1</v>
      </c>
      <c r="M1874">
        <v>0</v>
      </c>
      <c r="N1874">
        <v>0.96600000000000019</v>
      </c>
      <c r="O1874">
        <v>-0.4</v>
      </c>
      <c r="P1874">
        <v>-9.4</v>
      </c>
      <c r="Q1874">
        <v>1.9</v>
      </c>
      <c r="R1874">
        <v>-16.399999999999999</v>
      </c>
      <c r="S1874">
        <v>0.1</v>
      </c>
      <c r="T1874">
        <v>0.6</v>
      </c>
      <c r="U1874" t="s">
        <v>27</v>
      </c>
      <c r="V1874">
        <v>8.8999999999999996E-2</v>
      </c>
      <c r="W1874">
        <v>0.30399999999999999</v>
      </c>
      <c r="X1874">
        <v>0.154</v>
      </c>
      <c r="Y1874" t="s">
        <v>27</v>
      </c>
      <c r="Z1874" t="s">
        <v>27</v>
      </c>
      <c r="AA1874" t="s">
        <v>27</v>
      </c>
      <c r="AB1874" t="s">
        <v>27</v>
      </c>
      <c r="AC1874" t="s">
        <v>27</v>
      </c>
      <c r="AD1874" t="s">
        <v>27</v>
      </c>
      <c r="AE1874" t="s">
        <v>27</v>
      </c>
      <c r="AF1874" t="s">
        <v>27</v>
      </c>
      <c r="AG1874">
        <v>10.119999999999999</v>
      </c>
    </row>
    <row r="1875" spans="1:33" x14ac:dyDescent="0.25">
      <c r="A1875" t="s">
        <v>57</v>
      </c>
      <c r="B1875" s="3">
        <v>45336</v>
      </c>
      <c r="C1875">
        <v>2024045</v>
      </c>
      <c r="D1875">
        <v>7.43</v>
      </c>
      <c r="E1875" t="s">
        <v>27</v>
      </c>
      <c r="F1875">
        <v>-11.8</v>
      </c>
      <c r="G1875">
        <v>-3.1</v>
      </c>
      <c r="H1875">
        <v>-18</v>
      </c>
      <c r="I1875">
        <v>78.599999999999994</v>
      </c>
      <c r="J1875">
        <v>54.1</v>
      </c>
      <c r="K1875">
        <v>0.5</v>
      </c>
      <c r="L1875">
        <v>1.6</v>
      </c>
      <c r="M1875">
        <v>0.9</v>
      </c>
      <c r="N1875">
        <v>0.94500000000000006</v>
      </c>
      <c r="O1875">
        <v>-0.4</v>
      </c>
      <c r="P1875">
        <v>-12.2</v>
      </c>
      <c r="Q1875">
        <v>3.7</v>
      </c>
      <c r="R1875">
        <v>-20.100000000000001</v>
      </c>
      <c r="S1875">
        <v>0.1</v>
      </c>
      <c r="T1875">
        <v>0.6</v>
      </c>
      <c r="U1875" t="s">
        <v>27</v>
      </c>
      <c r="V1875">
        <v>8.8999999999999996E-2</v>
      </c>
      <c r="W1875">
        <v>0.26400000000000001</v>
      </c>
      <c r="X1875">
        <v>0.224</v>
      </c>
      <c r="Y1875" t="s">
        <v>27</v>
      </c>
      <c r="Z1875" t="s">
        <v>27</v>
      </c>
      <c r="AA1875" t="s">
        <v>27</v>
      </c>
      <c r="AB1875" t="s">
        <v>27</v>
      </c>
      <c r="AC1875" t="s">
        <v>27</v>
      </c>
      <c r="AD1875" t="s">
        <v>27</v>
      </c>
      <c r="AE1875" t="s">
        <v>27</v>
      </c>
      <c r="AF1875" t="s">
        <v>27</v>
      </c>
      <c r="AG1875">
        <v>10.31</v>
      </c>
    </row>
    <row r="1876" spans="1:33" x14ac:dyDescent="0.25">
      <c r="A1876" t="s">
        <v>57</v>
      </c>
      <c r="B1876" s="3">
        <v>45337</v>
      </c>
      <c r="C1876">
        <v>2024046</v>
      </c>
      <c r="D1876">
        <v>5.14</v>
      </c>
      <c r="E1876" t="s">
        <v>27</v>
      </c>
      <c r="F1876">
        <v>-12.8</v>
      </c>
      <c r="G1876">
        <v>-4.5999999999999996</v>
      </c>
      <c r="H1876">
        <v>-18.2</v>
      </c>
      <c r="I1876">
        <v>76.900000000000006</v>
      </c>
      <c r="J1876">
        <v>45.7</v>
      </c>
      <c r="K1876">
        <v>0.7</v>
      </c>
      <c r="L1876">
        <v>2.1</v>
      </c>
      <c r="M1876">
        <v>2.1</v>
      </c>
      <c r="N1876">
        <v>0.94500000000000006</v>
      </c>
      <c r="O1876">
        <v>-0.5</v>
      </c>
      <c r="P1876">
        <v>-13.7</v>
      </c>
      <c r="Q1876">
        <v>-0.2</v>
      </c>
      <c r="R1876">
        <v>-19.899999999999999</v>
      </c>
      <c r="S1876">
        <v>0.1</v>
      </c>
      <c r="T1876">
        <v>0.6</v>
      </c>
      <c r="U1876" t="s">
        <v>27</v>
      </c>
      <c r="V1876">
        <v>8.8999999999999996E-2</v>
      </c>
      <c r="W1876">
        <v>0.19800000000000001</v>
      </c>
      <c r="X1876">
        <v>0.23499999999999999</v>
      </c>
      <c r="Y1876" t="s">
        <v>27</v>
      </c>
      <c r="Z1876" t="s">
        <v>27</v>
      </c>
      <c r="AA1876" t="s">
        <v>27</v>
      </c>
      <c r="AB1876" t="s">
        <v>27</v>
      </c>
      <c r="AC1876" t="s">
        <v>27</v>
      </c>
      <c r="AD1876" t="s">
        <v>27</v>
      </c>
      <c r="AE1876" t="s">
        <v>27</v>
      </c>
      <c r="AF1876" t="s">
        <v>27</v>
      </c>
      <c r="AG1876">
        <v>10.51</v>
      </c>
    </row>
    <row r="1877" spans="1:33" x14ac:dyDescent="0.25">
      <c r="A1877" t="s">
        <v>57</v>
      </c>
      <c r="B1877" s="3">
        <v>45338</v>
      </c>
      <c r="C1877">
        <v>2024047</v>
      </c>
      <c r="D1877">
        <v>9.01</v>
      </c>
      <c r="E1877" t="s">
        <v>27</v>
      </c>
      <c r="F1877">
        <v>-12</v>
      </c>
      <c r="G1877">
        <v>-1.6</v>
      </c>
      <c r="H1877">
        <v>-21.7</v>
      </c>
      <c r="I1877">
        <v>63.6</v>
      </c>
      <c r="J1877">
        <v>26.6</v>
      </c>
      <c r="K1877">
        <v>0.8</v>
      </c>
      <c r="L1877">
        <v>1.6</v>
      </c>
      <c r="M1877">
        <v>0</v>
      </c>
      <c r="N1877">
        <v>0.93500000000000005</v>
      </c>
      <c r="O1877">
        <v>-0.6</v>
      </c>
      <c r="P1877">
        <v>-12.9</v>
      </c>
      <c r="Q1877">
        <v>3.5</v>
      </c>
      <c r="R1877">
        <v>-23.2</v>
      </c>
      <c r="S1877">
        <v>0.1</v>
      </c>
      <c r="T1877">
        <v>0.6</v>
      </c>
      <c r="U1877" t="s">
        <v>27</v>
      </c>
      <c r="V1877">
        <v>8.8999999999999996E-2</v>
      </c>
      <c r="W1877">
        <v>0.14399999999999999</v>
      </c>
      <c r="X1877">
        <v>0.39700000000000002</v>
      </c>
      <c r="Y1877" t="s">
        <v>27</v>
      </c>
      <c r="Z1877" t="s">
        <v>27</v>
      </c>
      <c r="AA1877" t="s">
        <v>27</v>
      </c>
      <c r="AB1877" t="s">
        <v>27</v>
      </c>
      <c r="AC1877" t="s">
        <v>27</v>
      </c>
      <c r="AD1877" t="s">
        <v>27</v>
      </c>
      <c r="AE1877" t="s">
        <v>27</v>
      </c>
      <c r="AF1877" t="s">
        <v>27</v>
      </c>
      <c r="AG1877">
        <v>10.71</v>
      </c>
    </row>
    <row r="1878" spans="1:33" x14ac:dyDescent="0.25">
      <c r="A1878" t="s">
        <v>57</v>
      </c>
      <c r="B1878" s="3">
        <v>45339</v>
      </c>
      <c r="C1878">
        <v>2024048</v>
      </c>
      <c r="D1878">
        <v>9.4700000000000006</v>
      </c>
      <c r="E1878" t="s">
        <v>27</v>
      </c>
      <c r="F1878">
        <v>-7.3</v>
      </c>
      <c r="G1878">
        <v>1.8</v>
      </c>
      <c r="H1878">
        <v>-17.600000000000001</v>
      </c>
      <c r="I1878">
        <v>51.8</v>
      </c>
      <c r="J1878">
        <v>14.9</v>
      </c>
      <c r="K1878">
        <v>1</v>
      </c>
      <c r="L1878">
        <v>2.4</v>
      </c>
      <c r="M1878">
        <v>0</v>
      </c>
      <c r="N1878">
        <v>0.93700000000000006</v>
      </c>
      <c r="O1878">
        <v>-0.7</v>
      </c>
      <c r="P1878">
        <v>-8.1</v>
      </c>
      <c r="Q1878">
        <v>5.9</v>
      </c>
      <c r="R1878">
        <v>-19.2</v>
      </c>
      <c r="S1878">
        <v>0.1</v>
      </c>
      <c r="T1878">
        <v>0.6</v>
      </c>
      <c r="U1878" t="s">
        <v>27</v>
      </c>
      <c r="V1878">
        <v>8.7999999999999995E-2</v>
      </c>
      <c r="W1878">
        <v>0.10299999999999999</v>
      </c>
      <c r="X1878">
        <v>0.58799999999999997</v>
      </c>
      <c r="Y1878" t="s">
        <v>27</v>
      </c>
      <c r="Z1878" t="s">
        <v>27</v>
      </c>
      <c r="AA1878" t="s">
        <v>27</v>
      </c>
      <c r="AB1878" t="s">
        <v>27</v>
      </c>
      <c r="AC1878" t="s">
        <v>27</v>
      </c>
      <c r="AD1878" t="s">
        <v>27</v>
      </c>
      <c r="AE1878" t="s">
        <v>27</v>
      </c>
      <c r="AF1878" t="s">
        <v>27</v>
      </c>
      <c r="AG1878">
        <v>10.91</v>
      </c>
    </row>
    <row r="1879" spans="1:33" x14ac:dyDescent="0.25">
      <c r="A1879" t="s">
        <v>57</v>
      </c>
      <c r="B1879" s="3">
        <v>45340</v>
      </c>
      <c r="C1879">
        <v>2024049</v>
      </c>
      <c r="D1879">
        <v>4.9400000000000004</v>
      </c>
      <c r="E1879" t="s">
        <v>27</v>
      </c>
      <c r="F1879">
        <v>-3.4</v>
      </c>
      <c r="G1879">
        <v>0.4</v>
      </c>
      <c r="H1879">
        <v>-6.1</v>
      </c>
      <c r="I1879">
        <v>62.4</v>
      </c>
      <c r="J1879">
        <v>48.5</v>
      </c>
      <c r="K1879">
        <v>0.7</v>
      </c>
      <c r="L1879">
        <v>1.4</v>
      </c>
      <c r="M1879">
        <v>0</v>
      </c>
      <c r="N1879">
        <v>0.93200000000000016</v>
      </c>
      <c r="O1879">
        <v>-0.8</v>
      </c>
      <c r="P1879">
        <v>-3.5</v>
      </c>
      <c r="Q1879">
        <v>2.9</v>
      </c>
      <c r="R1879">
        <v>-7.7</v>
      </c>
      <c r="S1879">
        <v>0.1</v>
      </c>
      <c r="T1879">
        <v>0.7</v>
      </c>
      <c r="U1879" t="s">
        <v>27</v>
      </c>
      <c r="V1879">
        <v>8.7999999999999995E-2</v>
      </c>
      <c r="W1879">
        <v>0.30399999999999999</v>
      </c>
      <c r="X1879">
        <v>0.32300000000000001</v>
      </c>
      <c r="Y1879" t="s">
        <v>27</v>
      </c>
      <c r="Z1879" t="s">
        <v>27</v>
      </c>
      <c r="AA1879" t="s">
        <v>27</v>
      </c>
      <c r="AB1879" t="s">
        <v>27</v>
      </c>
      <c r="AC1879" t="s">
        <v>27</v>
      </c>
      <c r="AD1879" t="s">
        <v>27</v>
      </c>
      <c r="AE1879" t="s">
        <v>27</v>
      </c>
      <c r="AF1879" t="s">
        <v>27</v>
      </c>
      <c r="AG1879">
        <v>11.13</v>
      </c>
    </row>
    <row r="1880" spans="1:33" x14ac:dyDescent="0.25">
      <c r="A1880" t="s">
        <v>57</v>
      </c>
      <c r="B1880" s="3">
        <v>45341</v>
      </c>
      <c r="C1880">
        <v>2024050</v>
      </c>
      <c r="D1880">
        <v>6.13</v>
      </c>
      <c r="E1880" t="s">
        <v>27</v>
      </c>
      <c r="F1880">
        <v>-1.8</v>
      </c>
      <c r="G1880">
        <v>1.7</v>
      </c>
      <c r="H1880">
        <v>-6.9</v>
      </c>
      <c r="I1880">
        <v>86.1</v>
      </c>
      <c r="J1880">
        <v>69.599999999999994</v>
      </c>
      <c r="K1880">
        <v>0.8</v>
      </c>
      <c r="L1880">
        <v>1.8</v>
      </c>
      <c r="M1880">
        <v>0</v>
      </c>
      <c r="N1880">
        <v>0.90600000000000014</v>
      </c>
      <c r="O1880">
        <v>-0.8</v>
      </c>
      <c r="P1880">
        <v>-2</v>
      </c>
      <c r="Q1880">
        <v>5.7</v>
      </c>
      <c r="R1880">
        <v>-8.4</v>
      </c>
      <c r="S1880">
        <v>0.1</v>
      </c>
      <c r="T1880">
        <v>0.7</v>
      </c>
      <c r="U1880" t="s">
        <v>27</v>
      </c>
      <c r="V1880">
        <v>8.6999999999999994E-2</v>
      </c>
      <c r="W1880">
        <v>0.47899999999999998</v>
      </c>
      <c r="X1880">
        <v>0.20899999999999999</v>
      </c>
      <c r="Y1880" t="s">
        <v>27</v>
      </c>
      <c r="Z1880" t="s">
        <v>27</v>
      </c>
      <c r="AA1880" t="s">
        <v>27</v>
      </c>
      <c r="AB1880" t="s">
        <v>27</v>
      </c>
      <c r="AC1880" t="s">
        <v>27</v>
      </c>
      <c r="AD1880" t="s">
        <v>27</v>
      </c>
      <c r="AE1880" t="s">
        <v>27</v>
      </c>
      <c r="AF1880" t="s">
        <v>27</v>
      </c>
      <c r="AG1880">
        <v>11.33</v>
      </c>
    </row>
    <row r="1881" spans="1:33" x14ac:dyDescent="0.25">
      <c r="A1881" t="s">
        <v>57</v>
      </c>
      <c r="B1881" s="3">
        <v>45342</v>
      </c>
      <c r="C1881">
        <v>2024051</v>
      </c>
      <c r="D1881">
        <v>5.57</v>
      </c>
      <c r="E1881" t="s">
        <v>27</v>
      </c>
      <c r="F1881">
        <v>-0.6</v>
      </c>
      <c r="G1881">
        <v>4</v>
      </c>
      <c r="H1881">
        <v>-3.8</v>
      </c>
      <c r="I1881">
        <v>92.8</v>
      </c>
      <c r="J1881">
        <v>80</v>
      </c>
      <c r="K1881">
        <v>0.4</v>
      </c>
      <c r="L1881">
        <v>1.5</v>
      </c>
      <c r="M1881">
        <v>1.1000000000000001</v>
      </c>
      <c r="N1881">
        <v>0.91600000000000015</v>
      </c>
      <c r="O1881">
        <v>-0.8</v>
      </c>
      <c r="P1881">
        <v>-0.7</v>
      </c>
      <c r="Q1881">
        <v>6.4</v>
      </c>
      <c r="R1881">
        <v>-5.2</v>
      </c>
      <c r="S1881">
        <v>0.1</v>
      </c>
      <c r="T1881">
        <v>0.7</v>
      </c>
      <c r="U1881" t="s">
        <v>27</v>
      </c>
      <c r="V1881">
        <v>8.6999999999999994E-2</v>
      </c>
      <c r="W1881">
        <v>0.65</v>
      </c>
      <c r="X1881">
        <v>0.16300000000000001</v>
      </c>
      <c r="Y1881" t="s">
        <v>27</v>
      </c>
      <c r="Z1881" t="s">
        <v>27</v>
      </c>
      <c r="AA1881" t="s">
        <v>27</v>
      </c>
      <c r="AB1881" t="s">
        <v>27</v>
      </c>
      <c r="AC1881" t="s">
        <v>27</v>
      </c>
      <c r="AD1881" t="s">
        <v>27</v>
      </c>
      <c r="AE1881" t="s">
        <v>27</v>
      </c>
      <c r="AF1881" t="s">
        <v>27</v>
      </c>
      <c r="AG1881">
        <v>11.55</v>
      </c>
    </row>
    <row r="1882" spans="1:33" x14ac:dyDescent="0.25">
      <c r="A1882" t="s">
        <v>57</v>
      </c>
      <c r="B1882" s="3">
        <v>45343</v>
      </c>
      <c r="C1882">
        <v>2024052</v>
      </c>
      <c r="D1882">
        <v>4.3899999999999997</v>
      </c>
      <c r="E1882" t="s">
        <v>27</v>
      </c>
      <c r="F1882">
        <v>-0.8</v>
      </c>
      <c r="G1882">
        <v>1.6</v>
      </c>
      <c r="H1882">
        <v>-2.8</v>
      </c>
      <c r="I1882">
        <v>93.2</v>
      </c>
      <c r="J1882">
        <v>85.2</v>
      </c>
      <c r="K1882">
        <v>0.3</v>
      </c>
      <c r="L1882">
        <v>1.4</v>
      </c>
      <c r="M1882">
        <v>4.5</v>
      </c>
      <c r="N1882">
        <v>0.94900000000000007</v>
      </c>
      <c r="O1882">
        <v>-0.6</v>
      </c>
      <c r="P1882">
        <v>-1.1000000000000001</v>
      </c>
      <c r="Q1882">
        <v>2.8</v>
      </c>
      <c r="R1882">
        <v>-4.2</v>
      </c>
      <c r="S1882">
        <v>0.1</v>
      </c>
      <c r="T1882">
        <v>0.7</v>
      </c>
      <c r="U1882" t="s">
        <v>27</v>
      </c>
      <c r="V1882">
        <v>8.6999999999999994E-2</v>
      </c>
      <c r="W1882">
        <v>0.58199999999999996</v>
      </c>
      <c r="X1882">
        <v>0.10100000000000001</v>
      </c>
      <c r="Y1882" t="s">
        <v>27</v>
      </c>
      <c r="Z1882" t="s">
        <v>27</v>
      </c>
      <c r="AA1882" t="s">
        <v>27</v>
      </c>
      <c r="AB1882" t="s">
        <v>27</v>
      </c>
      <c r="AC1882" t="s">
        <v>27</v>
      </c>
      <c r="AD1882" t="s">
        <v>27</v>
      </c>
      <c r="AE1882" t="s">
        <v>27</v>
      </c>
      <c r="AF1882" t="s">
        <v>27</v>
      </c>
      <c r="AG1882">
        <v>11.76</v>
      </c>
    </row>
    <row r="1883" spans="1:33" x14ac:dyDescent="0.25">
      <c r="A1883" t="s">
        <v>57</v>
      </c>
      <c r="B1883" s="3">
        <v>45344</v>
      </c>
      <c r="C1883">
        <v>2024053</v>
      </c>
      <c r="D1883">
        <v>5.78</v>
      </c>
      <c r="E1883" t="s">
        <v>27</v>
      </c>
      <c r="F1883">
        <v>-0.3</v>
      </c>
      <c r="G1883">
        <v>3.1</v>
      </c>
      <c r="H1883">
        <v>-4.5</v>
      </c>
      <c r="I1883">
        <v>90.1</v>
      </c>
      <c r="J1883">
        <v>59.6</v>
      </c>
      <c r="K1883">
        <v>0.2</v>
      </c>
      <c r="L1883">
        <v>2</v>
      </c>
      <c r="M1883">
        <v>0.7</v>
      </c>
      <c r="N1883">
        <v>0.93200000000000016</v>
      </c>
      <c r="O1883">
        <v>-0.5</v>
      </c>
      <c r="P1883">
        <v>-0.6</v>
      </c>
      <c r="Q1883">
        <v>4.9000000000000004</v>
      </c>
      <c r="R1883">
        <v>-6.4</v>
      </c>
      <c r="S1883">
        <v>0.1</v>
      </c>
      <c r="T1883">
        <v>0.7</v>
      </c>
      <c r="U1883" t="s">
        <v>27</v>
      </c>
      <c r="V1883">
        <v>8.7999999999999995E-2</v>
      </c>
      <c r="W1883">
        <v>0.45500000000000002</v>
      </c>
      <c r="X1883">
        <v>0.308</v>
      </c>
      <c r="Y1883" t="s">
        <v>27</v>
      </c>
      <c r="Z1883" t="s">
        <v>27</v>
      </c>
      <c r="AA1883" t="s">
        <v>27</v>
      </c>
      <c r="AB1883" t="s">
        <v>27</v>
      </c>
      <c r="AC1883" t="s">
        <v>27</v>
      </c>
      <c r="AD1883" t="s">
        <v>27</v>
      </c>
      <c r="AE1883" t="s">
        <v>27</v>
      </c>
      <c r="AF1883" t="s">
        <v>27</v>
      </c>
      <c r="AG1883">
        <v>11.98</v>
      </c>
    </row>
    <row r="1884" spans="1:33" x14ac:dyDescent="0.25">
      <c r="A1884" t="s">
        <v>57</v>
      </c>
      <c r="B1884" s="3">
        <v>45345</v>
      </c>
      <c r="C1884">
        <v>2024054</v>
      </c>
      <c r="D1884">
        <v>11.93</v>
      </c>
      <c r="E1884" t="s">
        <v>27</v>
      </c>
      <c r="F1884">
        <v>-2.4</v>
      </c>
      <c r="G1884">
        <v>4.9000000000000004</v>
      </c>
      <c r="H1884">
        <v>-10.9</v>
      </c>
      <c r="I1884">
        <v>77.3</v>
      </c>
      <c r="J1884">
        <v>46.5</v>
      </c>
      <c r="K1884">
        <v>0.9</v>
      </c>
      <c r="L1884">
        <v>3.5</v>
      </c>
      <c r="M1884">
        <v>0.4</v>
      </c>
      <c r="N1884">
        <v>0.96100000000000008</v>
      </c>
      <c r="O1884">
        <v>-0.4</v>
      </c>
      <c r="P1884">
        <v>-2.8</v>
      </c>
      <c r="Q1884">
        <v>8.5</v>
      </c>
      <c r="R1884">
        <v>-12.4</v>
      </c>
      <c r="S1884">
        <v>0.1</v>
      </c>
      <c r="T1884">
        <v>0.6</v>
      </c>
      <c r="U1884" t="s">
        <v>27</v>
      </c>
      <c r="V1884">
        <v>8.7999999999999995E-2</v>
      </c>
      <c r="W1884">
        <v>0.40400000000000003</v>
      </c>
      <c r="X1884">
        <v>0.46500000000000002</v>
      </c>
      <c r="Y1884" t="s">
        <v>27</v>
      </c>
      <c r="Z1884" t="s">
        <v>27</v>
      </c>
      <c r="AA1884" t="s">
        <v>27</v>
      </c>
      <c r="AB1884" t="s">
        <v>27</v>
      </c>
      <c r="AC1884" t="s">
        <v>27</v>
      </c>
      <c r="AD1884" t="s">
        <v>27</v>
      </c>
      <c r="AE1884" t="s">
        <v>27</v>
      </c>
      <c r="AF1884" t="s">
        <v>27</v>
      </c>
      <c r="AG1884">
        <v>12.21</v>
      </c>
    </row>
    <row r="1885" spans="1:33" x14ac:dyDescent="0.25">
      <c r="A1885" t="s">
        <v>57</v>
      </c>
      <c r="B1885" s="3">
        <v>45346</v>
      </c>
      <c r="C1885">
        <v>2024055</v>
      </c>
      <c r="D1885">
        <v>6.3</v>
      </c>
      <c r="E1885" t="s">
        <v>27</v>
      </c>
      <c r="F1885">
        <v>-0.7</v>
      </c>
      <c r="G1885">
        <v>1.5</v>
      </c>
      <c r="H1885">
        <v>-2.2999999999999998</v>
      </c>
      <c r="I1885">
        <v>81.2</v>
      </c>
      <c r="J1885">
        <v>68.8</v>
      </c>
      <c r="K1885">
        <v>1.9</v>
      </c>
      <c r="L1885">
        <v>4.7</v>
      </c>
      <c r="M1885">
        <v>0.8</v>
      </c>
      <c r="N1885">
        <v>0.9700000000000002</v>
      </c>
      <c r="O1885">
        <v>-0.3</v>
      </c>
      <c r="P1885">
        <v>-0.6</v>
      </c>
      <c r="Q1885">
        <v>4.2</v>
      </c>
      <c r="R1885">
        <v>-2.9</v>
      </c>
      <c r="S1885">
        <v>0.2</v>
      </c>
      <c r="T1885">
        <v>0.7</v>
      </c>
      <c r="U1885" t="s">
        <v>27</v>
      </c>
      <c r="V1885">
        <v>8.7999999999999995E-2</v>
      </c>
      <c r="W1885">
        <v>0.46899999999999997</v>
      </c>
      <c r="X1885">
        <v>0.21299999999999999</v>
      </c>
      <c r="Y1885" t="s">
        <v>27</v>
      </c>
      <c r="Z1885" t="s">
        <v>27</v>
      </c>
      <c r="AA1885" t="s">
        <v>27</v>
      </c>
      <c r="AB1885" t="s">
        <v>27</v>
      </c>
      <c r="AC1885" t="s">
        <v>27</v>
      </c>
      <c r="AD1885" t="s">
        <v>27</v>
      </c>
      <c r="AE1885" t="s">
        <v>27</v>
      </c>
      <c r="AF1885" t="s">
        <v>27</v>
      </c>
      <c r="AG1885">
        <v>12.42</v>
      </c>
    </row>
    <row r="1886" spans="1:33" x14ac:dyDescent="0.25">
      <c r="A1886" t="s">
        <v>57</v>
      </c>
      <c r="B1886" s="3">
        <v>45347</v>
      </c>
      <c r="C1886">
        <v>2024056</v>
      </c>
      <c r="D1886">
        <v>6.01</v>
      </c>
      <c r="E1886" t="s">
        <v>27</v>
      </c>
      <c r="F1886">
        <v>-0.2</v>
      </c>
      <c r="G1886">
        <v>4.3</v>
      </c>
      <c r="H1886">
        <v>-6.5</v>
      </c>
      <c r="I1886">
        <v>66</v>
      </c>
      <c r="J1886">
        <v>48</v>
      </c>
      <c r="K1886">
        <v>2.2000000000000002</v>
      </c>
      <c r="L1886">
        <v>5.4</v>
      </c>
      <c r="M1886">
        <v>0.8</v>
      </c>
      <c r="N1886">
        <v>0.95600000000000018</v>
      </c>
      <c r="O1886">
        <v>-0.3</v>
      </c>
      <c r="P1886">
        <v>-0.5</v>
      </c>
      <c r="Q1886">
        <v>6.4</v>
      </c>
      <c r="R1886">
        <v>-7.7</v>
      </c>
      <c r="S1886">
        <v>0.2</v>
      </c>
      <c r="T1886">
        <v>0.7</v>
      </c>
      <c r="U1886" t="s">
        <v>27</v>
      </c>
      <c r="V1886">
        <v>8.7999999999999995E-2</v>
      </c>
      <c r="W1886">
        <v>0.39800000000000002</v>
      </c>
      <c r="X1886">
        <v>0.43099999999999999</v>
      </c>
      <c r="Y1886" t="s">
        <v>27</v>
      </c>
      <c r="Z1886" t="s">
        <v>27</v>
      </c>
      <c r="AA1886" t="s">
        <v>27</v>
      </c>
      <c r="AB1886" t="s">
        <v>27</v>
      </c>
      <c r="AC1886" t="s">
        <v>27</v>
      </c>
      <c r="AD1886" t="s">
        <v>27</v>
      </c>
      <c r="AE1886" t="s">
        <v>27</v>
      </c>
      <c r="AF1886" t="s">
        <v>27</v>
      </c>
      <c r="AG1886">
        <v>12.65</v>
      </c>
    </row>
    <row r="1887" spans="1:33" x14ac:dyDescent="0.25">
      <c r="A1887" t="s">
        <v>57</v>
      </c>
      <c r="B1887" s="3">
        <v>45348</v>
      </c>
      <c r="C1887">
        <v>2024057</v>
      </c>
      <c r="D1887">
        <v>3.94</v>
      </c>
      <c r="E1887" t="s">
        <v>27</v>
      </c>
      <c r="F1887">
        <v>-8.1999999999999993</v>
      </c>
      <c r="G1887">
        <v>-3.8</v>
      </c>
      <c r="H1887">
        <v>-12.5</v>
      </c>
      <c r="I1887">
        <v>74.2</v>
      </c>
      <c r="J1887">
        <v>54.4</v>
      </c>
      <c r="K1887">
        <v>1.4</v>
      </c>
      <c r="L1887">
        <v>3.4</v>
      </c>
      <c r="M1887">
        <v>4.9000000000000004</v>
      </c>
      <c r="N1887">
        <v>0.99500000000000011</v>
      </c>
      <c r="O1887">
        <v>-0.3</v>
      </c>
      <c r="P1887">
        <v>-8.1999999999999993</v>
      </c>
      <c r="Q1887">
        <v>1.4</v>
      </c>
      <c r="R1887">
        <v>-13.3</v>
      </c>
      <c r="S1887">
        <v>0.1</v>
      </c>
      <c r="T1887">
        <v>0.6</v>
      </c>
      <c r="U1887" t="s">
        <v>27</v>
      </c>
      <c r="V1887">
        <v>8.8999999999999996E-2</v>
      </c>
      <c r="W1887">
        <v>0.251</v>
      </c>
      <c r="X1887">
        <v>0.21</v>
      </c>
      <c r="Y1887" t="s">
        <v>27</v>
      </c>
      <c r="Z1887" t="s">
        <v>27</v>
      </c>
      <c r="AA1887" t="s">
        <v>27</v>
      </c>
      <c r="AB1887" t="s">
        <v>27</v>
      </c>
      <c r="AC1887" t="s">
        <v>27</v>
      </c>
      <c r="AD1887" t="s">
        <v>27</v>
      </c>
      <c r="AE1887" t="s">
        <v>27</v>
      </c>
      <c r="AF1887" t="s">
        <v>27</v>
      </c>
      <c r="AG1887">
        <v>12.88</v>
      </c>
    </row>
    <row r="1888" spans="1:33" x14ac:dyDescent="0.25">
      <c r="A1888" t="s">
        <v>57</v>
      </c>
      <c r="B1888" s="3">
        <v>45349</v>
      </c>
      <c r="C1888">
        <v>2024058</v>
      </c>
      <c r="D1888">
        <v>2.89</v>
      </c>
      <c r="E1888" t="s">
        <v>27</v>
      </c>
      <c r="F1888">
        <v>-12.6</v>
      </c>
      <c r="G1888">
        <v>-7.9</v>
      </c>
      <c r="H1888">
        <v>-20.100000000000001</v>
      </c>
      <c r="I1888">
        <v>77.599999999999994</v>
      </c>
      <c r="J1888">
        <v>58.9</v>
      </c>
      <c r="K1888">
        <v>0.8</v>
      </c>
      <c r="L1888">
        <v>2.2999999999999998</v>
      </c>
      <c r="M1888">
        <v>2.4</v>
      </c>
      <c r="N1888">
        <v>1.046</v>
      </c>
      <c r="O1888">
        <v>-0.3</v>
      </c>
      <c r="P1888">
        <v>-12.6</v>
      </c>
      <c r="Q1888">
        <v>-5.6</v>
      </c>
      <c r="R1888">
        <v>-22</v>
      </c>
      <c r="S1888">
        <v>0.1</v>
      </c>
      <c r="T1888">
        <v>0.6</v>
      </c>
      <c r="U1888" t="s">
        <v>27</v>
      </c>
      <c r="V1888">
        <v>8.8999999999999996E-2</v>
      </c>
      <c r="W1888">
        <v>0.19800000000000001</v>
      </c>
      <c r="X1888">
        <v>0.13800000000000001</v>
      </c>
      <c r="Y1888" t="s">
        <v>27</v>
      </c>
      <c r="Z1888" t="s">
        <v>27</v>
      </c>
      <c r="AA1888" t="s">
        <v>27</v>
      </c>
      <c r="AB1888" t="s">
        <v>27</v>
      </c>
      <c r="AC1888" t="s">
        <v>27</v>
      </c>
      <c r="AD1888" t="s">
        <v>27</v>
      </c>
      <c r="AE1888" t="s">
        <v>27</v>
      </c>
      <c r="AF1888" t="s">
        <v>27</v>
      </c>
      <c r="AG1888">
        <v>13.12</v>
      </c>
    </row>
    <row r="1889" spans="1:33" x14ac:dyDescent="0.25">
      <c r="A1889" t="s">
        <v>57</v>
      </c>
      <c r="B1889" s="3">
        <v>45350</v>
      </c>
      <c r="C1889">
        <v>2024059</v>
      </c>
      <c r="D1889">
        <v>1.48</v>
      </c>
      <c r="E1889" t="s">
        <v>27</v>
      </c>
      <c r="F1889">
        <v>-2.8</v>
      </c>
      <c r="G1889">
        <v>0.7</v>
      </c>
      <c r="H1889">
        <v>-9</v>
      </c>
      <c r="I1889">
        <v>90.2</v>
      </c>
      <c r="J1889">
        <v>85.2</v>
      </c>
      <c r="K1889">
        <v>1.5</v>
      </c>
      <c r="L1889">
        <v>4.3</v>
      </c>
      <c r="M1889">
        <v>1</v>
      </c>
      <c r="N1889">
        <v>1.0130000000000001</v>
      </c>
      <c r="O1889">
        <v>-0.3</v>
      </c>
      <c r="P1889">
        <v>-3</v>
      </c>
      <c r="Q1889">
        <v>2.5</v>
      </c>
      <c r="R1889">
        <v>-9.6999999999999993</v>
      </c>
      <c r="S1889">
        <v>0.1</v>
      </c>
      <c r="T1889">
        <v>0.7</v>
      </c>
      <c r="U1889" t="s">
        <v>27</v>
      </c>
      <c r="V1889">
        <v>8.8999999999999996E-2</v>
      </c>
      <c r="W1889">
        <v>0.54700000000000004</v>
      </c>
      <c r="X1889">
        <v>9.5000000000000001E-2</v>
      </c>
      <c r="Y1889" t="s">
        <v>27</v>
      </c>
      <c r="Z1889" t="s">
        <v>27</v>
      </c>
      <c r="AA1889" t="s">
        <v>27</v>
      </c>
      <c r="AB1889" t="s">
        <v>27</v>
      </c>
      <c r="AC1889" t="s">
        <v>27</v>
      </c>
      <c r="AD1889" t="s">
        <v>27</v>
      </c>
      <c r="AE1889" t="s">
        <v>27</v>
      </c>
      <c r="AF1889" t="s">
        <v>27</v>
      </c>
      <c r="AG1889">
        <v>13.35</v>
      </c>
    </row>
    <row r="1890" spans="1:33" x14ac:dyDescent="0.25">
      <c r="A1890" t="s">
        <v>57</v>
      </c>
      <c r="B1890" s="3">
        <v>45351</v>
      </c>
      <c r="C1890">
        <v>2024060</v>
      </c>
      <c r="D1890">
        <v>0.83</v>
      </c>
      <c r="E1890" t="s">
        <v>27</v>
      </c>
      <c r="F1890">
        <v>-5.0999999999999996</v>
      </c>
      <c r="G1890">
        <v>0.7</v>
      </c>
      <c r="H1890">
        <v>-13.4</v>
      </c>
      <c r="I1890">
        <v>86.3</v>
      </c>
      <c r="J1890">
        <v>64.099999999999994</v>
      </c>
      <c r="K1890">
        <v>0.9</v>
      </c>
      <c r="L1890">
        <v>4</v>
      </c>
      <c r="M1890">
        <v>13</v>
      </c>
      <c r="N1890">
        <v>1.08</v>
      </c>
      <c r="O1890">
        <v>-0.4</v>
      </c>
      <c r="P1890">
        <v>-5.5</v>
      </c>
      <c r="Q1890">
        <v>-0.1</v>
      </c>
      <c r="R1890">
        <v>-15.4</v>
      </c>
      <c r="S1890">
        <v>0.1</v>
      </c>
      <c r="T1890">
        <v>0.6</v>
      </c>
      <c r="U1890" t="s">
        <v>27</v>
      </c>
      <c r="V1890">
        <v>8.7999999999999995E-2</v>
      </c>
      <c r="W1890">
        <v>0.41</v>
      </c>
      <c r="X1890">
        <v>0.23</v>
      </c>
      <c r="Y1890" t="s">
        <v>27</v>
      </c>
      <c r="Z1890" t="s">
        <v>27</v>
      </c>
      <c r="AA1890" t="s">
        <v>27</v>
      </c>
      <c r="AB1890" t="s">
        <v>27</v>
      </c>
      <c r="AC1890" t="s">
        <v>27</v>
      </c>
      <c r="AD1890" t="s">
        <v>27</v>
      </c>
      <c r="AE1890" t="s">
        <v>27</v>
      </c>
      <c r="AF1890" t="s">
        <v>27</v>
      </c>
      <c r="AG1890">
        <v>13.59</v>
      </c>
    </row>
    <row r="1891" spans="1:33" x14ac:dyDescent="0.25">
      <c r="A1891" t="s">
        <v>57</v>
      </c>
      <c r="B1891" s="3">
        <v>45352</v>
      </c>
      <c r="C1891">
        <v>2024061</v>
      </c>
      <c r="D1891">
        <v>3.34</v>
      </c>
      <c r="E1891" t="s">
        <v>27</v>
      </c>
      <c r="F1891">
        <v>-6.1</v>
      </c>
      <c r="G1891">
        <v>-1.3</v>
      </c>
      <c r="H1891">
        <v>-13.3</v>
      </c>
      <c r="I1891">
        <v>82.5</v>
      </c>
      <c r="J1891">
        <v>60.6</v>
      </c>
      <c r="K1891">
        <v>1.1000000000000001</v>
      </c>
      <c r="L1891">
        <v>2.9</v>
      </c>
      <c r="M1891">
        <v>0</v>
      </c>
      <c r="N1891">
        <v>1.0580000000000001</v>
      </c>
      <c r="O1891">
        <v>-0.4</v>
      </c>
      <c r="P1891">
        <v>-6.3</v>
      </c>
      <c r="Q1891">
        <v>4</v>
      </c>
      <c r="R1891">
        <v>-15.4</v>
      </c>
      <c r="S1891">
        <v>0.1</v>
      </c>
      <c r="T1891">
        <v>0.6</v>
      </c>
      <c r="U1891" t="s">
        <v>27</v>
      </c>
      <c r="V1891">
        <v>8.7999999999999995E-2</v>
      </c>
      <c r="W1891">
        <v>0.33700000000000002</v>
      </c>
      <c r="X1891">
        <v>0.219</v>
      </c>
      <c r="Y1891" t="s">
        <v>27</v>
      </c>
      <c r="Z1891" t="s">
        <v>27</v>
      </c>
      <c r="AA1891" t="s">
        <v>27</v>
      </c>
      <c r="AB1891" t="s">
        <v>27</v>
      </c>
      <c r="AC1891" t="s">
        <v>27</v>
      </c>
      <c r="AD1891" t="s">
        <v>27</v>
      </c>
      <c r="AE1891" t="s">
        <v>27</v>
      </c>
      <c r="AF1891" t="s">
        <v>27</v>
      </c>
      <c r="AG1891">
        <v>13.82</v>
      </c>
    </row>
    <row r="1892" spans="1:33" x14ac:dyDescent="0.25">
      <c r="A1892" t="s">
        <v>57</v>
      </c>
      <c r="B1892" s="3">
        <v>45353</v>
      </c>
      <c r="C1892">
        <v>2024062</v>
      </c>
      <c r="D1892">
        <v>0.73</v>
      </c>
      <c r="E1892" t="s">
        <v>27</v>
      </c>
      <c r="F1892">
        <v>-6.5</v>
      </c>
      <c r="G1892">
        <v>-3.1</v>
      </c>
      <c r="H1892">
        <v>-12.9</v>
      </c>
      <c r="I1892">
        <v>86.8</v>
      </c>
      <c r="J1892">
        <v>71.8</v>
      </c>
      <c r="K1892">
        <v>0.8</v>
      </c>
      <c r="L1892">
        <v>2.6</v>
      </c>
      <c r="M1892">
        <v>5.8</v>
      </c>
      <c r="N1892">
        <v>1.139</v>
      </c>
      <c r="O1892">
        <v>-0.4</v>
      </c>
      <c r="P1892">
        <v>-6.8</v>
      </c>
      <c r="Q1892">
        <v>-1.5</v>
      </c>
      <c r="R1892">
        <v>-14.7</v>
      </c>
      <c r="S1892">
        <v>0.1</v>
      </c>
      <c r="T1892">
        <v>0.6</v>
      </c>
      <c r="U1892" t="s">
        <v>27</v>
      </c>
      <c r="V1892">
        <v>8.7999999999999995E-2</v>
      </c>
      <c r="W1892">
        <v>0.34799999999999998</v>
      </c>
      <c r="X1892">
        <v>0.13700000000000001</v>
      </c>
      <c r="Y1892" t="s">
        <v>27</v>
      </c>
      <c r="Z1892" t="s">
        <v>27</v>
      </c>
      <c r="AA1892" t="s">
        <v>27</v>
      </c>
      <c r="AB1892" t="s">
        <v>27</v>
      </c>
      <c r="AC1892" t="s">
        <v>27</v>
      </c>
      <c r="AD1892" t="s">
        <v>27</v>
      </c>
      <c r="AE1892" t="s">
        <v>27</v>
      </c>
      <c r="AF1892" t="s">
        <v>27</v>
      </c>
      <c r="AG1892">
        <v>14.07</v>
      </c>
    </row>
    <row r="1893" spans="1:33" x14ac:dyDescent="0.25">
      <c r="A1893" t="s">
        <v>57</v>
      </c>
      <c r="B1893" s="3">
        <v>45354</v>
      </c>
      <c r="C1893">
        <v>2024063</v>
      </c>
      <c r="D1893">
        <v>1.79</v>
      </c>
      <c r="E1893" t="s">
        <v>27</v>
      </c>
      <c r="F1893">
        <v>-8.6999999999999993</v>
      </c>
      <c r="G1893">
        <v>-1.2</v>
      </c>
      <c r="H1893">
        <v>-16.899999999999999</v>
      </c>
      <c r="I1893">
        <v>83.3</v>
      </c>
      <c r="J1893">
        <v>61.2</v>
      </c>
      <c r="K1893">
        <v>0.4</v>
      </c>
      <c r="L1893">
        <v>2.2999999999999998</v>
      </c>
      <c r="M1893">
        <v>0.8</v>
      </c>
      <c r="N1893">
        <v>1.135</v>
      </c>
      <c r="O1893">
        <v>-0.4</v>
      </c>
      <c r="P1893">
        <v>-8.5</v>
      </c>
      <c r="Q1893">
        <v>4.2</v>
      </c>
      <c r="R1893">
        <v>-18.7</v>
      </c>
      <c r="S1893">
        <v>0.1</v>
      </c>
      <c r="T1893">
        <v>0.6</v>
      </c>
      <c r="U1893" t="s">
        <v>27</v>
      </c>
      <c r="V1893">
        <v>8.7999999999999995E-2</v>
      </c>
      <c r="W1893">
        <v>0.34200000000000003</v>
      </c>
      <c r="X1893">
        <v>0.217</v>
      </c>
      <c r="Y1893" t="s">
        <v>27</v>
      </c>
      <c r="Z1893" t="s">
        <v>27</v>
      </c>
      <c r="AA1893" t="s">
        <v>27</v>
      </c>
      <c r="AB1893" t="s">
        <v>27</v>
      </c>
      <c r="AC1893" t="s">
        <v>27</v>
      </c>
      <c r="AD1893" t="s">
        <v>27</v>
      </c>
      <c r="AE1893" t="s">
        <v>27</v>
      </c>
      <c r="AF1893" t="s">
        <v>27</v>
      </c>
      <c r="AG1893">
        <v>14.31</v>
      </c>
    </row>
    <row r="1894" spans="1:33" x14ac:dyDescent="0.25">
      <c r="A1894" t="s">
        <v>57</v>
      </c>
      <c r="B1894" s="3">
        <v>45355</v>
      </c>
      <c r="C1894">
        <v>2024064</v>
      </c>
      <c r="D1894">
        <v>0.86</v>
      </c>
      <c r="E1894" t="s">
        <v>27</v>
      </c>
      <c r="F1894">
        <v>-8.5</v>
      </c>
      <c r="G1894">
        <v>-4.8</v>
      </c>
      <c r="H1894">
        <v>-14.5</v>
      </c>
      <c r="I1894">
        <v>83.2</v>
      </c>
      <c r="J1894">
        <v>66.3</v>
      </c>
      <c r="K1894">
        <v>0.6</v>
      </c>
      <c r="L1894">
        <v>3.2</v>
      </c>
      <c r="M1894">
        <v>3.7</v>
      </c>
      <c r="N1894">
        <v>1.1020000000000001</v>
      </c>
      <c r="O1894">
        <v>-0.4</v>
      </c>
      <c r="P1894">
        <v>-8.5</v>
      </c>
      <c r="Q1894">
        <v>-1.2</v>
      </c>
      <c r="R1894">
        <v>-15.7</v>
      </c>
      <c r="S1894">
        <v>0.1</v>
      </c>
      <c r="T1894">
        <v>0.6</v>
      </c>
      <c r="U1894" t="s">
        <v>27</v>
      </c>
      <c r="V1894">
        <v>8.7999999999999995E-2</v>
      </c>
      <c r="W1894">
        <v>0.28299999999999997</v>
      </c>
      <c r="X1894">
        <v>0.14399999999999999</v>
      </c>
      <c r="Y1894" t="s">
        <v>27</v>
      </c>
      <c r="Z1894" t="s">
        <v>27</v>
      </c>
      <c r="AA1894" t="s">
        <v>27</v>
      </c>
      <c r="AB1894" t="s">
        <v>27</v>
      </c>
      <c r="AC1894" t="s">
        <v>27</v>
      </c>
      <c r="AD1894" t="s">
        <v>27</v>
      </c>
      <c r="AE1894" t="s">
        <v>27</v>
      </c>
      <c r="AF1894" t="s">
        <v>27</v>
      </c>
      <c r="AG1894">
        <v>14.55</v>
      </c>
    </row>
    <row r="1895" spans="1:33" x14ac:dyDescent="0.25">
      <c r="A1895" t="s">
        <v>57</v>
      </c>
      <c r="B1895" s="3">
        <v>45356</v>
      </c>
      <c r="C1895">
        <v>2024065</v>
      </c>
      <c r="D1895">
        <v>2.59</v>
      </c>
      <c r="E1895" t="s">
        <v>27</v>
      </c>
      <c r="F1895">
        <v>-11.6</v>
      </c>
      <c r="G1895">
        <v>-5.2</v>
      </c>
      <c r="H1895">
        <v>-20.3</v>
      </c>
      <c r="I1895">
        <v>77.8</v>
      </c>
      <c r="J1895">
        <v>60.6</v>
      </c>
      <c r="K1895">
        <v>0.6</v>
      </c>
      <c r="L1895">
        <v>2.4</v>
      </c>
      <c r="M1895">
        <v>0</v>
      </c>
      <c r="N1895">
        <v>1.117</v>
      </c>
      <c r="O1895">
        <v>-0.4</v>
      </c>
      <c r="P1895">
        <v>-11.5</v>
      </c>
      <c r="Q1895">
        <v>-0.8</v>
      </c>
      <c r="R1895">
        <v>-22.3</v>
      </c>
      <c r="S1895">
        <v>0.1</v>
      </c>
      <c r="T1895">
        <v>0.6</v>
      </c>
      <c r="U1895" t="s">
        <v>27</v>
      </c>
      <c r="V1895">
        <v>8.6999999999999994E-2</v>
      </c>
      <c r="W1895">
        <v>0.25</v>
      </c>
      <c r="X1895">
        <v>0.16300000000000001</v>
      </c>
      <c r="Y1895" t="s">
        <v>27</v>
      </c>
      <c r="Z1895" t="s">
        <v>27</v>
      </c>
      <c r="AA1895" t="s">
        <v>27</v>
      </c>
      <c r="AB1895" t="s">
        <v>27</v>
      </c>
      <c r="AC1895" t="s">
        <v>27</v>
      </c>
      <c r="AD1895" t="s">
        <v>27</v>
      </c>
      <c r="AE1895" t="s">
        <v>27</v>
      </c>
      <c r="AF1895" t="s">
        <v>27</v>
      </c>
      <c r="AG1895">
        <v>14.8</v>
      </c>
    </row>
    <row r="1896" spans="1:33" x14ac:dyDescent="0.25">
      <c r="A1896" t="s">
        <v>57</v>
      </c>
      <c r="B1896" s="3">
        <v>45357</v>
      </c>
      <c r="C1896">
        <v>2024066</v>
      </c>
      <c r="D1896">
        <v>9.23</v>
      </c>
      <c r="E1896" t="s">
        <v>27</v>
      </c>
      <c r="F1896">
        <v>-13.3</v>
      </c>
      <c r="G1896">
        <v>-2.4</v>
      </c>
      <c r="H1896">
        <v>-21.9</v>
      </c>
      <c r="I1896">
        <v>71.599999999999994</v>
      </c>
      <c r="J1896">
        <v>33.799999999999997</v>
      </c>
      <c r="K1896">
        <v>0.5</v>
      </c>
      <c r="L1896">
        <v>2.2000000000000002</v>
      </c>
      <c r="M1896">
        <v>2.2999999999999998</v>
      </c>
      <c r="N1896">
        <v>1.0870000000000002</v>
      </c>
      <c r="O1896">
        <v>-0.4</v>
      </c>
      <c r="P1896">
        <v>-13.5</v>
      </c>
      <c r="Q1896">
        <v>3.3</v>
      </c>
      <c r="R1896">
        <v>-23.9</v>
      </c>
      <c r="S1896">
        <v>0.1</v>
      </c>
      <c r="T1896">
        <v>0.6</v>
      </c>
      <c r="U1896" t="s">
        <v>27</v>
      </c>
      <c r="V1896">
        <v>8.6999999999999994E-2</v>
      </c>
      <c r="W1896">
        <v>0.17299999999999999</v>
      </c>
      <c r="X1896">
        <v>0.33900000000000002</v>
      </c>
      <c r="Y1896" t="s">
        <v>27</v>
      </c>
      <c r="Z1896" t="s">
        <v>27</v>
      </c>
      <c r="AA1896" t="s">
        <v>27</v>
      </c>
      <c r="AB1896" t="s">
        <v>27</v>
      </c>
      <c r="AC1896" t="s">
        <v>27</v>
      </c>
      <c r="AD1896" t="s">
        <v>27</v>
      </c>
      <c r="AE1896" t="s">
        <v>27</v>
      </c>
      <c r="AF1896" t="s">
        <v>27</v>
      </c>
      <c r="AG1896">
        <v>15.04</v>
      </c>
    </row>
    <row r="1897" spans="1:33" x14ac:dyDescent="0.25">
      <c r="A1897" t="s">
        <v>57</v>
      </c>
      <c r="B1897" s="3">
        <v>45358</v>
      </c>
      <c r="C1897">
        <v>2024067</v>
      </c>
      <c r="D1897">
        <v>12.13</v>
      </c>
      <c r="E1897" t="s">
        <v>27</v>
      </c>
      <c r="F1897">
        <v>-10.1</v>
      </c>
      <c r="G1897">
        <v>1.2</v>
      </c>
      <c r="H1897">
        <v>-20.7</v>
      </c>
      <c r="I1897">
        <v>71.8</v>
      </c>
      <c r="J1897">
        <v>28.5</v>
      </c>
      <c r="K1897">
        <v>0.5</v>
      </c>
      <c r="L1897">
        <v>2</v>
      </c>
      <c r="M1897">
        <v>0</v>
      </c>
      <c r="N1897">
        <v>1.0920000000000001</v>
      </c>
      <c r="O1897">
        <v>-0.5</v>
      </c>
      <c r="P1897">
        <v>-10.199999999999999</v>
      </c>
      <c r="Q1897">
        <v>6.1</v>
      </c>
      <c r="R1897">
        <v>-22.4</v>
      </c>
      <c r="S1897">
        <v>0.1</v>
      </c>
      <c r="T1897">
        <v>0.6</v>
      </c>
      <c r="U1897" t="s">
        <v>27</v>
      </c>
      <c r="V1897">
        <v>8.6999999999999994E-2</v>
      </c>
      <c r="W1897">
        <v>0.19</v>
      </c>
      <c r="X1897">
        <v>0.47699999999999998</v>
      </c>
      <c r="Y1897" t="s">
        <v>27</v>
      </c>
      <c r="Z1897" t="s">
        <v>27</v>
      </c>
      <c r="AA1897" t="s">
        <v>27</v>
      </c>
      <c r="AB1897" t="s">
        <v>27</v>
      </c>
      <c r="AC1897" t="s">
        <v>27</v>
      </c>
      <c r="AD1897" t="s">
        <v>27</v>
      </c>
      <c r="AE1897" t="s">
        <v>27</v>
      </c>
      <c r="AF1897" t="s">
        <v>27</v>
      </c>
      <c r="AG1897">
        <v>15.29</v>
      </c>
    </row>
    <row r="1898" spans="1:33" x14ac:dyDescent="0.25">
      <c r="A1898" t="s">
        <v>57</v>
      </c>
      <c r="B1898" s="3">
        <v>45359</v>
      </c>
      <c r="C1898">
        <v>2024068</v>
      </c>
      <c r="D1898">
        <v>8.68</v>
      </c>
      <c r="E1898" t="s">
        <v>27</v>
      </c>
      <c r="F1898">
        <v>-3.9</v>
      </c>
      <c r="G1898">
        <v>2.5</v>
      </c>
      <c r="H1898">
        <v>-9.6</v>
      </c>
      <c r="I1898">
        <v>78.2</v>
      </c>
      <c r="J1898">
        <v>59.4</v>
      </c>
      <c r="K1898">
        <v>1</v>
      </c>
      <c r="L1898">
        <v>2.8</v>
      </c>
      <c r="M1898">
        <v>0</v>
      </c>
      <c r="N1898">
        <v>1.0660000000000001</v>
      </c>
      <c r="O1898">
        <v>-0.5</v>
      </c>
      <c r="P1898">
        <v>-3.5</v>
      </c>
      <c r="Q1898">
        <v>5.8</v>
      </c>
      <c r="R1898">
        <v>-11.5</v>
      </c>
      <c r="S1898">
        <v>0.1</v>
      </c>
      <c r="T1898">
        <v>0.6</v>
      </c>
      <c r="U1898" t="s">
        <v>27</v>
      </c>
      <c r="V1898">
        <v>8.5999999999999993E-2</v>
      </c>
      <c r="W1898">
        <v>0.433</v>
      </c>
      <c r="X1898">
        <v>0.29599999999999999</v>
      </c>
      <c r="Y1898" t="s">
        <v>27</v>
      </c>
      <c r="Z1898" t="s">
        <v>27</v>
      </c>
      <c r="AA1898" t="s">
        <v>27</v>
      </c>
      <c r="AB1898" t="s">
        <v>27</v>
      </c>
      <c r="AC1898" t="s">
        <v>27</v>
      </c>
      <c r="AD1898" t="s">
        <v>27</v>
      </c>
      <c r="AE1898" t="s">
        <v>27</v>
      </c>
      <c r="AF1898" t="s">
        <v>27</v>
      </c>
      <c r="AG1898">
        <v>15.55</v>
      </c>
    </row>
    <row r="1899" spans="1:33" x14ac:dyDescent="0.25">
      <c r="A1899" t="s">
        <v>57</v>
      </c>
      <c r="B1899" s="3">
        <v>45360</v>
      </c>
      <c r="C1899">
        <v>2024069</v>
      </c>
      <c r="D1899">
        <v>8.1</v>
      </c>
      <c r="E1899" t="s">
        <v>27</v>
      </c>
      <c r="F1899">
        <v>-2.2000000000000002</v>
      </c>
      <c r="G1899">
        <v>3.7</v>
      </c>
      <c r="H1899">
        <v>-7.3</v>
      </c>
      <c r="I1899">
        <v>71.599999999999994</v>
      </c>
      <c r="J1899">
        <v>45.7</v>
      </c>
      <c r="K1899">
        <v>1.3</v>
      </c>
      <c r="L1899">
        <v>3.7</v>
      </c>
      <c r="M1899">
        <v>0</v>
      </c>
      <c r="N1899">
        <v>1.0760000000000001</v>
      </c>
      <c r="O1899">
        <v>-0.5</v>
      </c>
      <c r="P1899">
        <v>-2.6</v>
      </c>
      <c r="Q1899">
        <v>7.4</v>
      </c>
      <c r="R1899">
        <v>-8.6</v>
      </c>
      <c r="S1899">
        <v>0.1</v>
      </c>
      <c r="T1899">
        <v>0.6</v>
      </c>
      <c r="U1899" t="s">
        <v>27</v>
      </c>
      <c r="V1899">
        <v>8.5999999999999993E-2</v>
      </c>
      <c r="W1899">
        <v>0.36399999999999999</v>
      </c>
      <c r="X1899">
        <v>0.432</v>
      </c>
      <c r="Y1899" t="s">
        <v>27</v>
      </c>
      <c r="Z1899" t="s">
        <v>27</v>
      </c>
      <c r="AA1899" t="s">
        <v>27</v>
      </c>
      <c r="AB1899" t="s">
        <v>27</v>
      </c>
      <c r="AC1899" t="s">
        <v>27</v>
      </c>
      <c r="AD1899" t="s">
        <v>27</v>
      </c>
      <c r="AE1899" t="s">
        <v>27</v>
      </c>
      <c r="AF1899" t="s">
        <v>27</v>
      </c>
      <c r="AG1899">
        <v>15.8</v>
      </c>
    </row>
    <row r="1900" spans="1:33" x14ac:dyDescent="0.25">
      <c r="A1900" t="s">
        <v>57</v>
      </c>
      <c r="B1900" s="3">
        <v>45361</v>
      </c>
      <c r="C1900">
        <v>2024070</v>
      </c>
      <c r="D1900">
        <v>7.26</v>
      </c>
      <c r="E1900" t="s">
        <v>27</v>
      </c>
      <c r="F1900">
        <v>-1.8</v>
      </c>
      <c r="G1900">
        <v>3.7</v>
      </c>
      <c r="H1900">
        <v>-6.6</v>
      </c>
      <c r="I1900">
        <v>79.7</v>
      </c>
      <c r="J1900">
        <v>54.4</v>
      </c>
      <c r="K1900">
        <v>1.2</v>
      </c>
      <c r="L1900">
        <v>4.0999999999999996</v>
      </c>
      <c r="M1900">
        <v>0</v>
      </c>
      <c r="N1900">
        <v>1.0610000000000002</v>
      </c>
      <c r="O1900">
        <v>-0.5</v>
      </c>
      <c r="P1900">
        <v>-2.4</v>
      </c>
      <c r="Q1900">
        <v>5.7</v>
      </c>
      <c r="R1900">
        <v>-8.1999999999999993</v>
      </c>
      <c r="S1900">
        <v>0.1</v>
      </c>
      <c r="T1900">
        <v>0.6</v>
      </c>
      <c r="U1900" t="s">
        <v>27</v>
      </c>
      <c r="V1900">
        <v>8.5000000000000006E-2</v>
      </c>
      <c r="W1900">
        <v>0.432</v>
      </c>
      <c r="X1900">
        <v>0.36199999999999999</v>
      </c>
      <c r="Y1900" t="s">
        <v>27</v>
      </c>
      <c r="Z1900" t="s">
        <v>27</v>
      </c>
      <c r="AA1900" t="s">
        <v>27</v>
      </c>
      <c r="AB1900" t="s">
        <v>27</v>
      </c>
      <c r="AC1900" t="s">
        <v>27</v>
      </c>
      <c r="AD1900" t="s">
        <v>27</v>
      </c>
      <c r="AE1900" t="s">
        <v>27</v>
      </c>
      <c r="AF1900" t="s">
        <v>27</v>
      </c>
      <c r="AG1900">
        <v>16.05</v>
      </c>
    </row>
    <row r="1901" spans="1:33" x14ac:dyDescent="0.25">
      <c r="A1901" t="s">
        <v>57</v>
      </c>
      <c r="B1901" s="3">
        <v>45362</v>
      </c>
      <c r="C1901">
        <v>2024071</v>
      </c>
      <c r="D1901">
        <v>7.76</v>
      </c>
      <c r="E1901" t="s">
        <v>27</v>
      </c>
      <c r="F1901">
        <v>-2.8</v>
      </c>
      <c r="G1901">
        <v>1.8</v>
      </c>
      <c r="H1901">
        <v>-8.6</v>
      </c>
      <c r="I1901">
        <v>77.599999999999994</v>
      </c>
      <c r="J1901">
        <v>45.1</v>
      </c>
      <c r="K1901">
        <v>1.1000000000000001</v>
      </c>
      <c r="L1901">
        <v>3.1</v>
      </c>
      <c r="M1901">
        <v>0</v>
      </c>
      <c r="N1901">
        <v>1.0620000000000001</v>
      </c>
      <c r="O1901">
        <v>-0.5</v>
      </c>
      <c r="P1901">
        <v>-3.3</v>
      </c>
      <c r="Q1901">
        <v>3.8</v>
      </c>
      <c r="R1901">
        <v>-9.6999999999999993</v>
      </c>
      <c r="S1901">
        <v>0.1</v>
      </c>
      <c r="T1901">
        <v>0.6</v>
      </c>
      <c r="U1901" t="s">
        <v>27</v>
      </c>
      <c r="V1901">
        <v>8.5000000000000006E-2</v>
      </c>
      <c r="W1901">
        <v>0.313</v>
      </c>
      <c r="X1901">
        <v>0.38100000000000001</v>
      </c>
      <c r="Y1901" t="s">
        <v>27</v>
      </c>
      <c r="Z1901" t="s">
        <v>27</v>
      </c>
      <c r="AA1901" t="s">
        <v>27</v>
      </c>
      <c r="AB1901" t="s">
        <v>27</v>
      </c>
      <c r="AC1901" t="s">
        <v>27</v>
      </c>
      <c r="AD1901" t="s">
        <v>27</v>
      </c>
      <c r="AE1901" t="s">
        <v>27</v>
      </c>
      <c r="AF1901" t="s">
        <v>27</v>
      </c>
      <c r="AG1901">
        <v>16.309999999999999</v>
      </c>
    </row>
    <row r="1902" spans="1:33" x14ac:dyDescent="0.25">
      <c r="A1902" t="s">
        <v>57</v>
      </c>
      <c r="B1902" s="3">
        <v>45363</v>
      </c>
      <c r="C1902">
        <v>2024072</v>
      </c>
      <c r="D1902">
        <v>8</v>
      </c>
      <c r="E1902" t="s">
        <v>27</v>
      </c>
      <c r="F1902">
        <v>-2.1</v>
      </c>
      <c r="G1902">
        <v>5.0999999999999996</v>
      </c>
      <c r="H1902">
        <v>-8.6</v>
      </c>
      <c r="I1902">
        <v>81.5</v>
      </c>
      <c r="J1902">
        <v>51.7</v>
      </c>
      <c r="K1902">
        <v>1.2</v>
      </c>
      <c r="L1902">
        <v>3.3</v>
      </c>
      <c r="M1902">
        <v>3.4</v>
      </c>
      <c r="N1902">
        <v>1.0690000000000002</v>
      </c>
      <c r="O1902">
        <v>-0.5</v>
      </c>
      <c r="P1902">
        <v>-2.2999999999999998</v>
      </c>
      <c r="Q1902">
        <v>10.6</v>
      </c>
      <c r="R1902">
        <v>-10.199999999999999</v>
      </c>
      <c r="S1902">
        <v>0.1</v>
      </c>
      <c r="T1902">
        <v>0.6</v>
      </c>
      <c r="U1902" t="s">
        <v>27</v>
      </c>
      <c r="V1902">
        <v>8.5000000000000006E-2</v>
      </c>
      <c r="W1902">
        <v>0.45300000000000001</v>
      </c>
      <c r="X1902">
        <v>0.42299999999999999</v>
      </c>
      <c r="Y1902" t="s">
        <v>27</v>
      </c>
      <c r="Z1902" t="s">
        <v>27</v>
      </c>
      <c r="AA1902" t="s">
        <v>27</v>
      </c>
      <c r="AB1902" t="s">
        <v>27</v>
      </c>
      <c r="AC1902" t="s">
        <v>27</v>
      </c>
      <c r="AD1902" t="s">
        <v>27</v>
      </c>
      <c r="AE1902" t="s">
        <v>27</v>
      </c>
      <c r="AF1902" t="s">
        <v>27</v>
      </c>
      <c r="AG1902">
        <v>16.559999999999999</v>
      </c>
    </row>
    <row r="1903" spans="1:33" x14ac:dyDescent="0.25">
      <c r="A1903" t="s">
        <v>57</v>
      </c>
      <c r="B1903" s="3">
        <v>45364</v>
      </c>
      <c r="C1903">
        <v>2024073</v>
      </c>
      <c r="D1903">
        <v>10.94</v>
      </c>
      <c r="E1903" t="s">
        <v>27</v>
      </c>
      <c r="F1903">
        <v>-4.5</v>
      </c>
      <c r="G1903">
        <v>4.0999999999999996</v>
      </c>
      <c r="H1903">
        <v>-12.2</v>
      </c>
      <c r="I1903">
        <v>72.900000000000006</v>
      </c>
      <c r="J1903">
        <v>40.799999999999997</v>
      </c>
      <c r="K1903">
        <v>0.5</v>
      </c>
      <c r="L1903">
        <v>2.2000000000000002</v>
      </c>
      <c r="M1903">
        <v>0</v>
      </c>
      <c r="N1903">
        <v>1.0610000000000002</v>
      </c>
      <c r="O1903">
        <v>-0.4</v>
      </c>
      <c r="P1903">
        <v>-4.9000000000000004</v>
      </c>
      <c r="Q1903">
        <v>9.3000000000000007</v>
      </c>
      <c r="R1903">
        <v>-14.1</v>
      </c>
      <c r="S1903">
        <v>0.1</v>
      </c>
      <c r="T1903">
        <v>0.6</v>
      </c>
      <c r="U1903" t="s">
        <v>27</v>
      </c>
      <c r="V1903">
        <v>8.5000000000000006E-2</v>
      </c>
      <c r="W1903">
        <v>0.33400000000000002</v>
      </c>
      <c r="X1903">
        <v>0.48499999999999999</v>
      </c>
      <c r="Y1903" t="s">
        <v>27</v>
      </c>
      <c r="Z1903" t="s">
        <v>27</v>
      </c>
      <c r="AA1903" t="s">
        <v>27</v>
      </c>
      <c r="AB1903" t="s">
        <v>27</v>
      </c>
      <c r="AC1903" t="s">
        <v>27</v>
      </c>
      <c r="AD1903" t="s">
        <v>27</v>
      </c>
      <c r="AE1903" t="s">
        <v>27</v>
      </c>
      <c r="AF1903" t="s">
        <v>27</v>
      </c>
      <c r="AG1903">
        <v>16.82</v>
      </c>
    </row>
    <row r="1904" spans="1:33" x14ac:dyDescent="0.25">
      <c r="A1904" t="s">
        <v>57</v>
      </c>
      <c r="B1904" s="3">
        <v>45365</v>
      </c>
      <c r="C1904">
        <v>2024074</v>
      </c>
      <c r="D1904">
        <v>16.27</v>
      </c>
      <c r="E1904" t="s">
        <v>27</v>
      </c>
      <c r="F1904">
        <v>-1.6</v>
      </c>
      <c r="G1904">
        <v>9.4</v>
      </c>
      <c r="H1904">
        <v>-11.8</v>
      </c>
      <c r="I1904">
        <v>68.5</v>
      </c>
      <c r="J1904">
        <v>33.4</v>
      </c>
      <c r="K1904">
        <v>0.4</v>
      </c>
      <c r="L1904">
        <v>2.1</v>
      </c>
      <c r="M1904">
        <v>0</v>
      </c>
      <c r="N1904">
        <v>1.038</v>
      </c>
      <c r="O1904">
        <v>-0.4</v>
      </c>
      <c r="P1904">
        <v>-1.5</v>
      </c>
      <c r="Q1904">
        <v>15</v>
      </c>
      <c r="R1904">
        <v>-13.2</v>
      </c>
      <c r="S1904">
        <v>0.1</v>
      </c>
      <c r="T1904">
        <v>0.6</v>
      </c>
      <c r="U1904" t="s">
        <v>27</v>
      </c>
      <c r="V1904">
        <v>8.5000000000000006E-2</v>
      </c>
      <c r="W1904">
        <v>0.39400000000000002</v>
      </c>
      <c r="X1904">
        <v>0.78600000000000003</v>
      </c>
      <c r="Y1904" t="s">
        <v>27</v>
      </c>
      <c r="Z1904" t="s">
        <v>27</v>
      </c>
      <c r="AA1904" t="s">
        <v>27</v>
      </c>
      <c r="AB1904" t="s">
        <v>27</v>
      </c>
      <c r="AC1904" t="s">
        <v>27</v>
      </c>
      <c r="AD1904" t="s">
        <v>27</v>
      </c>
      <c r="AE1904" t="s">
        <v>27</v>
      </c>
      <c r="AF1904" t="s">
        <v>27</v>
      </c>
      <c r="AG1904">
        <v>17.079999999999998</v>
      </c>
    </row>
    <row r="1905" spans="1:33" x14ac:dyDescent="0.25">
      <c r="A1905" t="s">
        <v>57</v>
      </c>
      <c r="B1905" s="3">
        <v>45366</v>
      </c>
      <c r="C1905">
        <v>2024075</v>
      </c>
      <c r="D1905">
        <v>17.54</v>
      </c>
      <c r="E1905" t="s">
        <v>27</v>
      </c>
      <c r="F1905">
        <v>2.8</v>
      </c>
      <c r="G1905">
        <v>12.9</v>
      </c>
      <c r="H1905">
        <v>-5.7</v>
      </c>
      <c r="I1905">
        <v>66.3</v>
      </c>
      <c r="J1905">
        <v>34.1</v>
      </c>
      <c r="K1905">
        <v>0.6</v>
      </c>
      <c r="L1905">
        <v>2.8</v>
      </c>
      <c r="M1905">
        <v>0</v>
      </c>
      <c r="N1905">
        <v>0.9910000000000001</v>
      </c>
      <c r="O1905">
        <v>-0.4</v>
      </c>
      <c r="P1905">
        <v>2.5</v>
      </c>
      <c r="Q1905">
        <v>16.3</v>
      </c>
      <c r="R1905">
        <v>-7.2</v>
      </c>
      <c r="S1905">
        <v>0.1</v>
      </c>
      <c r="T1905">
        <v>0.6</v>
      </c>
      <c r="U1905" t="s">
        <v>27</v>
      </c>
      <c r="V1905">
        <v>8.5000000000000006E-2</v>
      </c>
      <c r="W1905">
        <v>0.50600000000000001</v>
      </c>
      <c r="X1905">
        <v>0.97799999999999998</v>
      </c>
      <c r="Y1905" t="s">
        <v>27</v>
      </c>
      <c r="Z1905" t="s">
        <v>27</v>
      </c>
      <c r="AA1905" t="s">
        <v>27</v>
      </c>
      <c r="AB1905" t="s">
        <v>27</v>
      </c>
      <c r="AC1905" t="s">
        <v>27</v>
      </c>
      <c r="AD1905" t="s">
        <v>27</v>
      </c>
      <c r="AE1905" t="s">
        <v>27</v>
      </c>
      <c r="AF1905" t="s">
        <v>27</v>
      </c>
      <c r="AG1905">
        <v>17.34</v>
      </c>
    </row>
    <row r="1906" spans="1:33" x14ac:dyDescent="0.25">
      <c r="A1906" t="s">
        <v>57</v>
      </c>
      <c r="B1906" s="3">
        <v>45367</v>
      </c>
      <c r="C1906">
        <v>2024076</v>
      </c>
      <c r="D1906">
        <v>19.149999999999999</v>
      </c>
      <c r="E1906" t="s">
        <v>27</v>
      </c>
      <c r="F1906">
        <v>5.8</v>
      </c>
      <c r="G1906">
        <v>16.600000000000001</v>
      </c>
      <c r="H1906">
        <v>-2.4</v>
      </c>
      <c r="I1906">
        <v>55.4</v>
      </c>
      <c r="J1906">
        <v>17.600000000000001</v>
      </c>
      <c r="K1906">
        <v>0.8</v>
      </c>
      <c r="L1906">
        <v>2.1</v>
      </c>
      <c r="M1906">
        <v>0</v>
      </c>
      <c r="N1906">
        <v>0.94700000000000006</v>
      </c>
      <c r="O1906">
        <v>-0.4</v>
      </c>
      <c r="P1906">
        <v>5.7</v>
      </c>
      <c r="Q1906">
        <v>22.8</v>
      </c>
      <c r="R1906">
        <v>-3.9</v>
      </c>
      <c r="S1906">
        <v>0.1</v>
      </c>
      <c r="T1906">
        <v>0.6</v>
      </c>
      <c r="U1906" t="s">
        <v>27</v>
      </c>
      <c r="V1906">
        <v>8.5000000000000006E-2</v>
      </c>
      <c r="W1906">
        <v>0.33300000000000002</v>
      </c>
      <c r="X1906">
        <v>1.5589999999999999</v>
      </c>
      <c r="Y1906" t="s">
        <v>27</v>
      </c>
      <c r="Z1906" t="s">
        <v>27</v>
      </c>
      <c r="AA1906" t="s">
        <v>27</v>
      </c>
      <c r="AB1906" t="s">
        <v>27</v>
      </c>
      <c r="AC1906" t="s">
        <v>27</v>
      </c>
      <c r="AD1906" t="s">
        <v>27</v>
      </c>
      <c r="AE1906" t="s">
        <v>27</v>
      </c>
      <c r="AF1906" t="s">
        <v>27</v>
      </c>
      <c r="AG1906">
        <v>17.600000000000001</v>
      </c>
    </row>
    <row r="1907" spans="1:33" x14ac:dyDescent="0.25">
      <c r="A1907" t="s">
        <v>57</v>
      </c>
      <c r="B1907" s="3">
        <v>45368</v>
      </c>
      <c r="C1907">
        <v>2024077</v>
      </c>
      <c r="D1907">
        <v>19.63</v>
      </c>
      <c r="E1907" t="s">
        <v>27</v>
      </c>
      <c r="F1907">
        <v>4.8</v>
      </c>
      <c r="G1907">
        <v>17</v>
      </c>
      <c r="H1907">
        <v>-3.4</v>
      </c>
      <c r="I1907">
        <v>64.599999999999994</v>
      </c>
      <c r="J1907">
        <v>22.6</v>
      </c>
      <c r="K1907">
        <v>0.6</v>
      </c>
      <c r="L1907">
        <v>2.7</v>
      </c>
      <c r="M1907">
        <v>0</v>
      </c>
      <c r="N1907">
        <v>0.90700000000000003</v>
      </c>
      <c r="O1907">
        <v>-0.3</v>
      </c>
      <c r="P1907">
        <v>4.7</v>
      </c>
      <c r="Q1907">
        <v>21.8</v>
      </c>
      <c r="R1907">
        <v>-4.7</v>
      </c>
      <c r="S1907">
        <v>0.1</v>
      </c>
      <c r="T1907">
        <v>0.6</v>
      </c>
      <c r="U1907" t="s">
        <v>27</v>
      </c>
      <c r="V1907">
        <v>8.6999999999999994E-2</v>
      </c>
      <c r="W1907">
        <v>0.437</v>
      </c>
      <c r="X1907">
        <v>1.4970000000000001</v>
      </c>
      <c r="Y1907" t="s">
        <v>27</v>
      </c>
      <c r="Z1907" t="s">
        <v>27</v>
      </c>
      <c r="AA1907" t="s">
        <v>27</v>
      </c>
      <c r="AB1907" t="s">
        <v>27</v>
      </c>
      <c r="AC1907" t="s">
        <v>27</v>
      </c>
      <c r="AD1907" t="s">
        <v>27</v>
      </c>
      <c r="AE1907" t="s">
        <v>27</v>
      </c>
      <c r="AF1907" t="s">
        <v>27</v>
      </c>
      <c r="AG1907">
        <v>17.850000000000001</v>
      </c>
    </row>
    <row r="1908" spans="1:33" x14ac:dyDescent="0.25">
      <c r="A1908" t="s">
        <v>57</v>
      </c>
      <c r="B1908" s="3">
        <v>45369</v>
      </c>
      <c r="C1908">
        <v>2024078</v>
      </c>
      <c r="D1908">
        <v>19.77</v>
      </c>
      <c r="E1908" t="s">
        <v>27</v>
      </c>
      <c r="F1908">
        <v>4.5</v>
      </c>
      <c r="G1908">
        <v>16.5</v>
      </c>
      <c r="H1908">
        <v>-3.5</v>
      </c>
      <c r="I1908">
        <v>66.099999999999994</v>
      </c>
      <c r="J1908">
        <v>21.7</v>
      </c>
      <c r="K1908">
        <v>0.5</v>
      </c>
      <c r="L1908">
        <v>2.2000000000000002</v>
      </c>
      <c r="M1908">
        <v>0</v>
      </c>
      <c r="N1908">
        <v>0.88000000000000012</v>
      </c>
      <c r="O1908">
        <v>-0.2</v>
      </c>
      <c r="P1908">
        <v>4.4000000000000004</v>
      </c>
      <c r="Q1908">
        <v>21.3</v>
      </c>
      <c r="R1908">
        <v>-5.0999999999999996</v>
      </c>
      <c r="S1908">
        <v>0.1</v>
      </c>
      <c r="T1908">
        <v>0.6</v>
      </c>
      <c r="U1908" t="s">
        <v>27</v>
      </c>
      <c r="V1908">
        <v>0.104</v>
      </c>
      <c r="W1908">
        <v>0.40600000000000003</v>
      </c>
      <c r="X1908">
        <v>1.4650000000000001</v>
      </c>
      <c r="Y1908" t="s">
        <v>27</v>
      </c>
      <c r="Z1908" t="s">
        <v>27</v>
      </c>
      <c r="AA1908" t="s">
        <v>27</v>
      </c>
      <c r="AB1908" t="s">
        <v>27</v>
      </c>
      <c r="AC1908" t="s">
        <v>27</v>
      </c>
      <c r="AD1908" t="s">
        <v>27</v>
      </c>
      <c r="AE1908" t="s">
        <v>27</v>
      </c>
      <c r="AF1908" t="s">
        <v>27</v>
      </c>
      <c r="AG1908">
        <v>18.12</v>
      </c>
    </row>
    <row r="1909" spans="1:33" x14ac:dyDescent="0.25">
      <c r="A1909" t="s">
        <v>57</v>
      </c>
      <c r="B1909" s="3">
        <v>45370</v>
      </c>
      <c r="C1909">
        <v>2024079</v>
      </c>
      <c r="D1909">
        <v>19.71</v>
      </c>
      <c r="E1909" t="s">
        <v>27</v>
      </c>
      <c r="F1909">
        <v>3.7</v>
      </c>
      <c r="G1909">
        <v>14.4</v>
      </c>
      <c r="H1909">
        <v>-4.5999999999999996</v>
      </c>
      <c r="I1909">
        <v>64.599999999999994</v>
      </c>
      <c r="J1909">
        <v>21.2</v>
      </c>
      <c r="K1909">
        <v>0.6</v>
      </c>
      <c r="L1909">
        <v>2.7</v>
      </c>
      <c r="M1909">
        <v>0</v>
      </c>
      <c r="N1909">
        <v>0.84600000000000009</v>
      </c>
      <c r="O1909">
        <v>0</v>
      </c>
      <c r="P1909">
        <v>3.4</v>
      </c>
      <c r="Q1909">
        <v>19.600000000000001</v>
      </c>
      <c r="R1909">
        <v>-6.2</v>
      </c>
      <c r="S1909">
        <v>0.1</v>
      </c>
      <c r="T1909">
        <v>0.6</v>
      </c>
      <c r="U1909" t="s">
        <v>27</v>
      </c>
      <c r="V1909">
        <v>0.124</v>
      </c>
      <c r="W1909">
        <v>0.34699999999999998</v>
      </c>
      <c r="X1909">
        <v>1.29</v>
      </c>
      <c r="Y1909" t="s">
        <v>27</v>
      </c>
      <c r="Z1909" t="s">
        <v>27</v>
      </c>
      <c r="AA1909" t="s">
        <v>27</v>
      </c>
      <c r="AB1909" t="s">
        <v>27</v>
      </c>
      <c r="AC1909" t="s">
        <v>27</v>
      </c>
      <c r="AD1909" t="s">
        <v>27</v>
      </c>
      <c r="AE1909" t="s">
        <v>27</v>
      </c>
      <c r="AF1909" t="s">
        <v>27</v>
      </c>
      <c r="AG1909">
        <v>18.38</v>
      </c>
    </row>
    <row r="1910" spans="1:33" x14ac:dyDescent="0.25">
      <c r="A1910" t="s">
        <v>57</v>
      </c>
      <c r="B1910" s="3">
        <v>45371</v>
      </c>
      <c r="C1910">
        <v>2024080</v>
      </c>
      <c r="D1910">
        <v>15.16</v>
      </c>
      <c r="E1910" t="s">
        <v>27</v>
      </c>
      <c r="F1910">
        <v>4.0999999999999996</v>
      </c>
      <c r="G1910">
        <v>10.4</v>
      </c>
      <c r="H1910">
        <v>-1.8</v>
      </c>
      <c r="I1910">
        <v>59</v>
      </c>
      <c r="J1910">
        <v>29.7</v>
      </c>
      <c r="K1910">
        <v>0.7</v>
      </c>
      <c r="L1910">
        <v>2.6</v>
      </c>
      <c r="M1910">
        <v>0</v>
      </c>
      <c r="N1910">
        <v>0.82700000000000018</v>
      </c>
      <c r="O1910">
        <v>0.1</v>
      </c>
      <c r="P1910">
        <v>4.0999999999999996</v>
      </c>
      <c r="Q1910">
        <v>14.3</v>
      </c>
      <c r="R1910">
        <v>-3.9</v>
      </c>
      <c r="S1910">
        <v>0.1</v>
      </c>
      <c r="T1910">
        <v>0.6</v>
      </c>
      <c r="U1910" t="s">
        <v>27</v>
      </c>
      <c r="V1910">
        <v>0.13</v>
      </c>
      <c r="W1910">
        <v>0.374</v>
      </c>
      <c r="X1910">
        <v>0.88500000000000001</v>
      </c>
      <c r="Y1910" t="s">
        <v>27</v>
      </c>
      <c r="Z1910" t="s">
        <v>27</v>
      </c>
      <c r="AA1910" t="s">
        <v>27</v>
      </c>
      <c r="AB1910" t="s">
        <v>27</v>
      </c>
      <c r="AC1910" t="s">
        <v>27</v>
      </c>
      <c r="AD1910" t="s">
        <v>27</v>
      </c>
      <c r="AE1910" t="s">
        <v>27</v>
      </c>
      <c r="AF1910" t="s">
        <v>27</v>
      </c>
      <c r="AG1910">
        <v>18.649999999999999</v>
      </c>
    </row>
    <row r="1911" spans="1:33" x14ac:dyDescent="0.25">
      <c r="A1911" t="s">
        <v>57</v>
      </c>
      <c r="B1911" s="3">
        <v>45372</v>
      </c>
      <c r="C1911">
        <v>2024081</v>
      </c>
      <c r="D1911">
        <v>9.4600000000000009</v>
      </c>
      <c r="E1911" t="s">
        <v>27</v>
      </c>
      <c r="F1911">
        <v>1.2</v>
      </c>
      <c r="G1911">
        <v>5.0999999999999996</v>
      </c>
      <c r="H1911">
        <v>-0.7</v>
      </c>
      <c r="I1911">
        <v>75.2</v>
      </c>
      <c r="J1911">
        <v>52.1</v>
      </c>
      <c r="K1911">
        <v>0.9</v>
      </c>
      <c r="L1911">
        <v>3</v>
      </c>
      <c r="M1911">
        <v>1.7</v>
      </c>
      <c r="N1911">
        <v>0.81900000000000017</v>
      </c>
      <c r="O1911">
        <v>0.1</v>
      </c>
      <c r="P1911">
        <v>1.2</v>
      </c>
      <c r="Q1911">
        <v>8.9</v>
      </c>
      <c r="R1911">
        <v>-1.6</v>
      </c>
      <c r="S1911">
        <v>0.1</v>
      </c>
      <c r="T1911">
        <v>0.6</v>
      </c>
      <c r="U1911" t="s">
        <v>27</v>
      </c>
      <c r="V1911">
        <v>0.13200000000000001</v>
      </c>
      <c r="W1911">
        <v>0.45800000000000002</v>
      </c>
      <c r="X1911">
        <v>0.42099999999999999</v>
      </c>
      <c r="Y1911" t="s">
        <v>27</v>
      </c>
      <c r="Z1911" t="s">
        <v>27</v>
      </c>
      <c r="AA1911" t="s">
        <v>27</v>
      </c>
      <c r="AB1911" t="s">
        <v>27</v>
      </c>
      <c r="AC1911" t="s">
        <v>27</v>
      </c>
      <c r="AD1911" t="s">
        <v>27</v>
      </c>
      <c r="AE1911" t="s">
        <v>27</v>
      </c>
      <c r="AF1911" t="s">
        <v>27</v>
      </c>
      <c r="AG1911">
        <v>18.91</v>
      </c>
    </row>
    <row r="1912" spans="1:33" x14ac:dyDescent="0.25">
      <c r="A1912" t="s">
        <v>57</v>
      </c>
      <c r="B1912" s="3">
        <v>45373</v>
      </c>
      <c r="C1912">
        <v>2024082</v>
      </c>
      <c r="D1912">
        <v>7.05</v>
      </c>
      <c r="E1912" t="s">
        <v>27</v>
      </c>
      <c r="F1912">
        <v>0.5</v>
      </c>
      <c r="G1912">
        <v>4.0999999999999996</v>
      </c>
      <c r="H1912">
        <v>-3.7</v>
      </c>
      <c r="I1912">
        <v>86.1</v>
      </c>
      <c r="J1912">
        <v>57.8</v>
      </c>
      <c r="K1912">
        <v>0.2</v>
      </c>
      <c r="L1912">
        <v>1.6</v>
      </c>
      <c r="M1912">
        <v>3.7</v>
      </c>
      <c r="N1912">
        <v>0.82100000000000017</v>
      </c>
      <c r="O1912">
        <v>0.1</v>
      </c>
      <c r="P1912">
        <v>0.1</v>
      </c>
      <c r="Q1912">
        <v>6.1</v>
      </c>
      <c r="R1912">
        <v>-5.2</v>
      </c>
      <c r="S1912">
        <v>0.1</v>
      </c>
      <c r="T1912">
        <v>0.6</v>
      </c>
      <c r="U1912" t="s">
        <v>27</v>
      </c>
      <c r="V1912">
        <v>0.13</v>
      </c>
      <c r="W1912">
        <v>0.47299999999999998</v>
      </c>
      <c r="X1912">
        <v>0.34499999999999997</v>
      </c>
      <c r="Y1912" t="s">
        <v>27</v>
      </c>
      <c r="Z1912" t="s">
        <v>27</v>
      </c>
      <c r="AA1912" t="s">
        <v>27</v>
      </c>
      <c r="AB1912" t="s">
        <v>27</v>
      </c>
      <c r="AC1912" t="s">
        <v>27</v>
      </c>
      <c r="AD1912" t="s">
        <v>27</v>
      </c>
      <c r="AE1912" t="s">
        <v>27</v>
      </c>
      <c r="AF1912" t="s">
        <v>27</v>
      </c>
      <c r="AG1912">
        <v>19.170000000000002</v>
      </c>
    </row>
    <row r="1913" spans="1:33" x14ac:dyDescent="0.25">
      <c r="A1913" t="s">
        <v>57</v>
      </c>
      <c r="B1913" s="3">
        <v>45374</v>
      </c>
      <c r="C1913">
        <v>2024083</v>
      </c>
      <c r="D1913">
        <v>4.8600000000000003</v>
      </c>
      <c r="E1913" t="s">
        <v>27</v>
      </c>
      <c r="F1913">
        <v>-0.4</v>
      </c>
      <c r="G1913">
        <v>1.5</v>
      </c>
      <c r="H1913">
        <v>-2.6</v>
      </c>
      <c r="I1913">
        <v>90.8</v>
      </c>
      <c r="J1913">
        <v>75.599999999999994</v>
      </c>
      <c r="K1913">
        <v>0.7</v>
      </c>
      <c r="L1913">
        <v>2.5</v>
      </c>
      <c r="M1913">
        <v>4.0999999999999996</v>
      </c>
      <c r="N1913">
        <v>0.81500000000000017</v>
      </c>
      <c r="O1913">
        <v>0.1</v>
      </c>
      <c r="P1913">
        <v>-0.6</v>
      </c>
      <c r="Q1913">
        <v>3.6</v>
      </c>
      <c r="R1913">
        <v>-4.0999999999999996</v>
      </c>
      <c r="S1913">
        <v>0.1</v>
      </c>
      <c r="T1913">
        <v>0.6</v>
      </c>
      <c r="U1913" t="s">
        <v>27</v>
      </c>
      <c r="V1913">
        <v>0.128</v>
      </c>
      <c r="W1913">
        <v>0.51600000000000001</v>
      </c>
      <c r="X1913">
        <v>0.16700000000000001</v>
      </c>
      <c r="Y1913" t="s">
        <v>27</v>
      </c>
      <c r="Z1913" t="s">
        <v>27</v>
      </c>
      <c r="AA1913" t="s">
        <v>27</v>
      </c>
      <c r="AB1913" t="s">
        <v>27</v>
      </c>
      <c r="AC1913" t="s">
        <v>27</v>
      </c>
      <c r="AD1913" t="s">
        <v>27</v>
      </c>
      <c r="AE1913" t="s">
        <v>27</v>
      </c>
      <c r="AF1913" t="s">
        <v>27</v>
      </c>
      <c r="AG1913">
        <v>19.43</v>
      </c>
    </row>
    <row r="1914" spans="1:33" x14ac:dyDescent="0.25">
      <c r="A1914" t="s">
        <v>57</v>
      </c>
      <c r="B1914" s="3">
        <v>45375</v>
      </c>
      <c r="C1914">
        <v>2024084</v>
      </c>
      <c r="D1914">
        <v>19.36</v>
      </c>
      <c r="E1914" t="s">
        <v>27</v>
      </c>
      <c r="F1914">
        <v>-1.9</v>
      </c>
      <c r="G1914">
        <v>5.8</v>
      </c>
      <c r="H1914">
        <v>-7.7</v>
      </c>
      <c r="I1914">
        <v>56.2</v>
      </c>
      <c r="J1914">
        <v>18.100000000000001</v>
      </c>
      <c r="K1914">
        <v>0.8</v>
      </c>
      <c r="L1914">
        <v>2.6</v>
      </c>
      <c r="M1914">
        <v>0</v>
      </c>
      <c r="N1914">
        <v>0.81900000000000017</v>
      </c>
      <c r="O1914">
        <v>0</v>
      </c>
      <c r="P1914">
        <v>-1.8</v>
      </c>
      <c r="Q1914">
        <v>10.8</v>
      </c>
      <c r="R1914">
        <v>-9.8000000000000007</v>
      </c>
      <c r="S1914">
        <v>0.1</v>
      </c>
      <c r="T1914">
        <v>0.6</v>
      </c>
      <c r="U1914" t="s">
        <v>27</v>
      </c>
      <c r="V1914">
        <v>0.127</v>
      </c>
      <c r="W1914">
        <v>0.16700000000000001</v>
      </c>
      <c r="X1914">
        <v>0.75600000000000001</v>
      </c>
      <c r="Y1914" t="s">
        <v>27</v>
      </c>
      <c r="Z1914" t="s">
        <v>27</v>
      </c>
      <c r="AA1914" t="s">
        <v>27</v>
      </c>
      <c r="AB1914" t="s">
        <v>27</v>
      </c>
      <c r="AC1914" t="s">
        <v>27</v>
      </c>
      <c r="AD1914" t="s">
        <v>27</v>
      </c>
      <c r="AE1914" t="s">
        <v>27</v>
      </c>
      <c r="AF1914" t="s">
        <v>27</v>
      </c>
      <c r="AG1914">
        <v>19.7</v>
      </c>
    </row>
    <row r="1915" spans="1:33" x14ac:dyDescent="0.25">
      <c r="A1915" t="s">
        <v>57</v>
      </c>
      <c r="B1915" s="3">
        <v>45376</v>
      </c>
      <c r="C1915">
        <v>2024085</v>
      </c>
      <c r="D1915">
        <v>10.99</v>
      </c>
      <c r="E1915" t="s">
        <v>27</v>
      </c>
      <c r="F1915">
        <v>-1.8</v>
      </c>
      <c r="G1915">
        <v>5.0999999999999996</v>
      </c>
      <c r="H1915">
        <v>-8.6999999999999993</v>
      </c>
      <c r="I1915">
        <v>71.599999999999994</v>
      </c>
      <c r="J1915">
        <v>46.7</v>
      </c>
      <c r="K1915">
        <v>0.6</v>
      </c>
      <c r="L1915">
        <v>3.7</v>
      </c>
      <c r="M1915">
        <v>0</v>
      </c>
      <c r="N1915">
        <v>0.80300000000000016</v>
      </c>
      <c r="O1915">
        <v>0.1</v>
      </c>
      <c r="P1915">
        <v>-2.2000000000000002</v>
      </c>
      <c r="Q1915">
        <v>11.3</v>
      </c>
      <c r="R1915">
        <v>-10.7</v>
      </c>
      <c r="S1915">
        <v>0.1</v>
      </c>
      <c r="T1915">
        <v>0.6</v>
      </c>
      <c r="U1915" t="s">
        <v>27</v>
      </c>
      <c r="V1915">
        <v>0.126</v>
      </c>
      <c r="W1915">
        <v>0.41</v>
      </c>
      <c r="X1915">
        <v>0.46800000000000003</v>
      </c>
      <c r="Y1915" t="s">
        <v>27</v>
      </c>
      <c r="Z1915" t="s">
        <v>27</v>
      </c>
      <c r="AA1915" t="s">
        <v>27</v>
      </c>
      <c r="AB1915" t="s">
        <v>27</v>
      </c>
      <c r="AC1915" t="s">
        <v>27</v>
      </c>
      <c r="AD1915" t="s">
        <v>27</v>
      </c>
      <c r="AE1915" t="s">
        <v>27</v>
      </c>
      <c r="AF1915" t="s">
        <v>27</v>
      </c>
      <c r="AG1915">
        <v>19.96</v>
      </c>
    </row>
    <row r="1916" spans="1:33" x14ac:dyDescent="0.25">
      <c r="A1916" t="s">
        <v>57</v>
      </c>
      <c r="B1916" s="3">
        <v>45377</v>
      </c>
      <c r="C1916">
        <v>2024086</v>
      </c>
      <c r="D1916">
        <v>11.55</v>
      </c>
      <c r="E1916" t="s">
        <v>27</v>
      </c>
      <c r="F1916">
        <v>-1.8</v>
      </c>
      <c r="G1916">
        <v>5.0999999999999996</v>
      </c>
      <c r="H1916">
        <v>-7.1</v>
      </c>
      <c r="I1916">
        <v>75.599999999999994</v>
      </c>
      <c r="J1916">
        <v>42.7</v>
      </c>
      <c r="K1916">
        <v>0.8</v>
      </c>
      <c r="L1916">
        <v>3.1</v>
      </c>
      <c r="M1916">
        <v>0</v>
      </c>
      <c r="N1916">
        <v>0.80500000000000016</v>
      </c>
      <c r="O1916">
        <v>0</v>
      </c>
      <c r="P1916">
        <v>-2.1</v>
      </c>
      <c r="Q1916">
        <v>10.1</v>
      </c>
      <c r="R1916">
        <v>-8.6</v>
      </c>
      <c r="S1916">
        <v>0.1</v>
      </c>
      <c r="T1916">
        <v>0.6</v>
      </c>
      <c r="U1916" t="s">
        <v>27</v>
      </c>
      <c r="V1916">
        <v>0.126</v>
      </c>
      <c r="W1916">
        <v>0.375</v>
      </c>
      <c r="X1916">
        <v>0.503</v>
      </c>
      <c r="Y1916" t="s">
        <v>27</v>
      </c>
      <c r="Z1916" t="s">
        <v>27</v>
      </c>
      <c r="AA1916" t="s">
        <v>27</v>
      </c>
      <c r="AB1916" t="s">
        <v>27</v>
      </c>
      <c r="AC1916" t="s">
        <v>27</v>
      </c>
      <c r="AD1916" t="s">
        <v>27</v>
      </c>
      <c r="AE1916" t="s">
        <v>27</v>
      </c>
      <c r="AF1916" t="s">
        <v>27</v>
      </c>
      <c r="AG1916">
        <v>20.22</v>
      </c>
    </row>
    <row r="1917" spans="1:33" x14ac:dyDescent="0.25">
      <c r="A1917" t="s">
        <v>57</v>
      </c>
      <c r="B1917" s="3">
        <v>45378</v>
      </c>
      <c r="C1917">
        <v>2024087</v>
      </c>
      <c r="D1917">
        <v>3.44</v>
      </c>
      <c r="E1917" t="s">
        <v>27</v>
      </c>
      <c r="F1917">
        <v>-2.6</v>
      </c>
      <c r="G1917">
        <v>0.2</v>
      </c>
      <c r="H1917">
        <v>-7.9</v>
      </c>
      <c r="I1917">
        <v>87.2</v>
      </c>
      <c r="J1917">
        <v>54</v>
      </c>
      <c r="K1917">
        <v>0.4</v>
      </c>
      <c r="L1917">
        <v>2.8</v>
      </c>
      <c r="M1917">
        <v>7.6</v>
      </c>
      <c r="N1917">
        <v>0.89900000000000002</v>
      </c>
      <c r="O1917">
        <v>-0.1</v>
      </c>
      <c r="P1917">
        <v>-3.3</v>
      </c>
      <c r="Q1917">
        <v>0.4</v>
      </c>
      <c r="R1917">
        <v>-9.3000000000000007</v>
      </c>
      <c r="S1917">
        <v>0.1</v>
      </c>
      <c r="T1917">
        <v>0.6</v>
      </c>
      <c r="U1917" t="s">
        <v>27</v>
      </c>
      <c r="V1917">
        <v>0.125</v>
      </c>
      <c r="W1917">
        <v>0.33400000000000002</v>
      </c>
      <c r="X1917">
        <v>0.28499999999999998</v>
      </c>
      <c r="Y1917" t="s">
        <v>27</v>
      </c>
      <c r="Z1917" t="s">
        <v>27</v>
      </c>
      <c r="AA1917" t="s">
        <v>27</v>
      </c>
      <c r="AB1917" t="s">
        <v>27</v>
      </c>
      <c r="AC1917" t="s">
        <v>27</v>
      </c>
      <c r="AD1917" t="s">
        <v>27</v>
      </c>
      <c r="AE1917" t="s">
        <v>27</v>
      </c>
      <c r="AF1917" t="s">
        <v>27</v>
      </c>
      <c r="AG1917">
        <v>20.48</v>
      </c>
    </row>
    <row r="1918" spans="1:33" x14ac:dyDescent="0.25">
      <c r="A1918" t="s">
        <v>57</v>
      </c>
      <c r="B1918" s="3">
        <v>45379</v>
      </c>
      <c r="C1918">
        <v>2024088</v>
      </c>
      <c r="D1918">
        <v>7.7</v>
      </c>
      <c r="E1918" t="s">
        <v>27</v>
      </c>
      <c r="F1918">
        <v>-2.8</v>
      </c>
      <c r="G1918">
        <v>3.2</v>
      </c>
      <c r="H1918">
        <v>-9.3000000000000007</v>
      </c>
      <c r="I1918">
        <v>86.4</v>
      </c>
      <c r="J1918">
        <v>66.2</v>
      </c>
      <c r="K1918">
        <v>0.4</v>
      </c>
      <c r="L1918">
        <v>2.6</v>
      </c>
      <c r="M1918">
        <v>3.1</v>
      </c>
      <c r="N1918">
        <v>0.88400000000000012</v>
      </c>
      <c r="O1918">
        <v>-0.2</v>
      </c>
      <c r="P1918">
        <v>-3</v>
      </c>
      <c r="Q1918">
        <v>9</v>
      </c>
      <c r="R1918">
        <v>-11.3</v>
      </c>
      <c r="S1918">
        <v>0.1</v>
      </c>
      <c r="T1918">
        <v>0.6</v>
      </c>
      <c r="U1918" t="s">
        <v>27</v>
      </c>
      <c r="V1918">
        <v>0.125</v>
      </c>
      <c r="W1918">
        <v>0.50800000000000001</v>
      </c>
      <c r="X1918">
        <v>0.25900000000000001</v>
      </c>
      <c r="Y1918" t="s">
        <v>27</v>
      </c>
      <c r="Z1918" t="s">
        <v>27</v>
      </c>
      <c r="AA1918" t="s">
        <v>27</v>
      </c>
      <c r="AB1918" t="s">
        <v>27</v>
      </c>
      <c r="AC1918" t="s">
        <v>27</v>
      </c>
      <c r="AD1918" t="s">
        <v>27</v>
      </c>
      <c r="AE1918" t="s">
        <v>27</v>
      </c>
      <c r="AF1918" t="s">
        <v>27</v>
      </c>
      <c r="AG1918">
        <v>20.74</v>
      </c>
    </row>
    <row r="1919" spans="1:33" x14ac:dyDescent="0.25">
      <c r="A1919" t="s">
        <v>57</v>
      </c>
      <c r="B1919" s="3">
        <v>45380</v>
      </c>
      <c r="C1919">
        <v>2024089</v>
      </c>
      <c r="D1919">
        <v>10.8</v>
      </c>
      <c r="E1919" t="s">
        <v>27</v>
      </c>
      <c r="F1919">
        <v>-2</v>
      </c>
      <c r="G1919">
        <v>4.4000000000000004</v>
      </c>
      <c r="H1919">
        <v>-6.9</v>
      </c>
      <c r="I1919">
        <v>86.2</v>
      </c>
      <c r="J1919">
        <v>55.6</v>
      </c>
      <c r="K1919">
        <v>0.4</v>
      </c>
      <c r="L1919">
        <v>1.9</v>
      </c>
      <c r="M1919">
        <v>5.5</v>
      </c>
      <c r="N1919">
        <v>0.91700000000000004</v>
      </c>
      <c r="O1919">
        <v>-0.2</v>
      </c>
      <c r="P1919">
        <v>-1.8</v>
      </c>
      <c r="Q1919">
        <v>7.6</v>
      </c>
      <c r="R1919">
        <v>-8.5</v>
      </c>
      <c r="S1919">
        <v>0.1</v>
      </c>
      <c r="T1919">
        <v>0.6</v>
      </c>
      <c r="U1919" t="s">
        <v>27</v>
      </c>
      <c r="V1919">
        <v>0.124</v>
      </c>
      <c r="W1919">
        <v>0.46600000000000003</v>
      </c>
      <c r="X1919">
        <v>0.372</v>
      </c>
      <c r="Y1919" t="s">
        <v>27</v>
      </c>
      <c r="Z1919" t="s">
        <v>27</v>
      </c>
      <c r="AA1919" t="s">
        <v>27</v>
      </c>
      <c r="AB1919" t="s">
        <v>27</v>
      </c>
      <c r="AC1919" t="s">
        <v>27</v>
      </c>
      <c r="AD1919" t="s">
        <v>27</v>
      </c>
      <c r="AE1919" t="s">
        <v>27</v>
      </c>
      <c r="AF1919" t="s">
        <v>27</v>
      </c>
      <c r="AG1919">
        <v>21</v>
      </c>
    </row>
    <row r="1920" spans="1:33" x14ac:dyDescent="0.25">
      <c r="A1920" t="s">
        <v>57</v>
      </c>
      <c r="B1920" s="3">
        <v>45381</v>
      </c>
      <c r="C1920">
        <v>2024090</v>
      </c>
      <c r="D1920">
        <v>16.07</v>
      </c>
      <c r="E1920" t="s">
        <v>27</v>
      </c>
      <c r="F1920">
        <v>-3.2</v>
      </c>
      <c r="G1920">
        <v>3.9</v>
      </c>
      <c r="H1920">
        <v>-12.6</v>
      </c>
      <c r="I1920">
        <v>70.3</v>
      </c>
      <c r="J1920">
        <v>30.9</v>
      </c>
      <c r="K1920">
        <v>0.5</v>
      </c>
      <c r="L1920">
        <v>1.9</v>
      </c>
      <c r="M1920">
        <v>0.2</v>
      </c>
      <c r="N1920">
        <v>0.90800000000000014</v>
      </c>
      <c r="O1920">
        <v>-0.2</v>
      </c>
      <c r="P1920">
        <v>-2.9</v>
      </c>
      <c r="Q1920">
        <v>11.2</v>
      </c>
      <c r="R1920">
        <v>-14.4</v>
      </c>
      <c r="S1920">
        <v>0.1</v>
      </c>
      <c r="T1920">
        <v>0.6</v>
      </c>
      <c r="U1920" t="s">
        <v>27</v>
      </c>
      <c r="V1920">
        <v>0.124</v>
      </c>
      <c r="W1920">
        <v>0.25</v>
      </c>
      <c r="X1920">
        <v>0.55900000000000005</v>
      </c>
      <c r="Y1920" t="s">
        <v>27</v>
      </c>
      <c r="Z1920" t="s">
        <v>27</v>
      </c>
      <c r="AA1920" t="s">
        <v>27</v>
      </c>
      <c r="AB1920" t="s">
        <v>27</v>
      </c>
      <c r="AC1920" t="s">
        <v>27</v>
      </c>
      <c r="AD1920" t="s">
        <v>27</v>
      </c>
      <c r="AE1920" t="s">
        <v>27</v>
      </c>
      <c r="AF1920" t="s">
        <v>27</v>
      </c>
      <c r="AG1920">
        <v>21.27</v>
      </c>
    </row>
    <row r="1921" spans="1:33" x14ac:dyDescent="0.25">
      <c r="A1921" t="s">
        <v>57</v>
      </c>
      <c r="B1921" s="3">
        <v>45382</v>
      </c>
      <c r="C1921">
        <v>2024091</v>
      </c>
      <c r="D1921">
        <v>18.32</v>
      </c>
      <c r="E1921" t="s">
        <v>27</v>
      </c>
      <c r="F1921">
        <v>-0.8</v>
      </c>
      <c r="G1921">
        <v>6.6</v>
      </c>
      <c r="H1921">
        <v>-6</v>
      </c>
      <c r="I1921">
        <v>69.099999999999994</v>
      </c>
      <c r="J1921">
        <v>36.1</v>
      </c>
      <c r="K1921">
        <v>0.7</v>
      </c>
      <c r="L1921">
        <v>2.4</v>
      </c>
      <c r="M1921">
        <v>0</v>
      </c>
      <c r="N1921">
        <v>0.88300000000000001</v>
      </c>
      <c r="O1921">
        <v>-0.3</v>
      </c>
      <c r="P1921">
        <v>-0.3</v>
      </c>
      <c r="Q1921">
        <v>12.9</v>
      </c>
      <c r="R1921">
        <v>-7.3</v>
      </c>
      <c r="S1921">
        <v>0.1</v>
      </c>
      <c r="T1921">
        <v>0.6</v>
      </c>
      <c r="U1921" t="s">
        <v>27</v>
      </c>
      <c r="V1921">
        <v>0.123</v>
      </c>
      <c r="W1921">
        <v>0.35099999999999998</v>
      </c>
      <c r="X1921">
        <v>0.621</v>
      </c>
      <c r="Y1921" t="s">
        <v>27</v>
      </c>
      <c r="Z1921" t="s">
        <v>27</v>
      </c>
      <c r="AA1921" t="s">
        <v>27</v>
      </c>
      <c r="AB1921" t="s">
        <v>27</v>
      </c>
      <c r="AC1921" t="s">
        <v>27</v>
      </c>
      <c r="AD1921" t="s">
        <v>27</v>
      </c>
      <c r="AE1921" t="s">
        <v>27</v>
      </c>
      <c r="AF1921" t="s">
        <v>27</v>
      </c>
      <c r="AG1921">
        <v>21.52</v>
      </c>
    </row>
    <row r="1922" spans="1:33" x14ac:dyDescent="0.25">
      <c r="A1922" t="s">
        <v>57</v>
      </c>
      <c r="B1922" s="3">
        <v>45383</v>
      </c>
      <c r="C1922">
        <v>2024092</v>
      </c>
      <c r="D1922">
        <v>21.64</v>
      </c>
      <c r="E1922" t="s">
        <v>27</v>
      </c>
      <c r="F1922">
        <v>3.6</v>
      </c>
      <c r="G1922">
        <v>12.2</v>
      </c>
      <c r="H1922">
        <v>-5.6</v>
      </c>
      <c r="I1922">
        <v>63.7</v>
      </c>
      <c r="J1922">
        <v>26.4</v>
      </c>
      <c r="K1922">
        <v>1</v>
      </c>
      <c r="L1922">
        <v>2.9</v>
      </c>
      <c r="M1922">
        <v>0</v>
      </c>
      <c r="N1922">
        <v>0.83600000000000008</v>
      </c>
      <c r="O1922">
        <v>-0.1</v>
      </c>
      <c r="P1922">
        <v>3.9</v>
      </c>
      <c r="Q1922">
        <v>17.7</v>
      </c>
      <c r="R1922">
        <v>-7</v>
      </c>
      <c r="S1922">
        <v>0.1</v>
      </c>
      <c r="T1922">
        <v>0.6</v>
      </c>
      <c r="U1922" t="s">
        <v>27</v>
      </c>
      <c r="V1922">
        <v>0.123</v>
      </c>
      <c r="W1922">
        <v>0.374</v>
      </c>
      <c r="X1922">
        <v>1.0429999999999999</v>
      </c>
      <c r="Y1922" t="s">
        <v>27</v>
      </c>
      <c r="Z1922" t="s">
        <v>27</v>
      </c>
      <c r="AA1922" t="s">
        <v>27</v>
      </c>
      <c r="AB1922" t="s">
        <v>27</v>
      </c>
      <c r="AC1922" t="s">
        <v>27</v>
      </c>
      <c r="AD1922" t="s">
        <v>27</v>
      </c>
      <c r="AE1922" t="s">
        <v>27</v>
      </c>
      <c r="AF1922" t="s">
        <v>27</v>
      </c>
      <c r="AG1922">
        <v>21.78</v>
      </c>
    </row>
    <row r="1923" spans="1:33" x14ac:dyDescent="0.25">
      <c r="A1923" t="s">
        <v>57</v>
      </c>
      <c r="B1923" s="3">
        <v>45384</v>
      </c>
      <c r="C1923">
        <v>2024093</v>
      </c>
      <c r="D1923">
        <v>15.34</v>
      </c>
      <c r="E1923" t="s">
        <v>27</v>
      </c>
      <c r="F1923">
        <v>7.8</v>
      </c>
      <c r="G1923">
        <v>14.7</v>
      </c>
      <c r="H1923">
        <v>0.7</v>
      </c>
      <c r="I1923">
        <v>60.4</v>
      </c>
      <c r="J1923">
        <v>35.4</v>
      </c>
      <c r="K1923">
        <v>1.4</v>
      </c>
      <c r="L1923">
        <v>3.5</v>
      </c>
      <c r="M1923">
        <v>0</v>
      </c>
      <c r="N1923">
        <v>0.79100000000000015</v>
      </c>
      <c r="O1923">
        <v>0.1</v>
      </c>
      <c r="P1923">
        <v>7.4</v>
      </c>
      <c r="Q1923">
        <v>17.2</v>
      </c>
      <c r="R1923">
        <v>-0.3</v>
      </c>
      <c r="S1923">
        <v>0.1</v>
      </c>
      <c r="T1923">
        <v>0.6</v>
      </c>
      <c r="U1923" t="s">
        <v>27</v>
      </c>
      <c r="V1923">
        <v>0.129</v>
      </c>
      <c r="W1923">
        <v>0.59099999999999997</v>
      </c>
      <c r="X1923">
        <v>1.0780000000000001</v>
      </c>
      <c r="Y1923" t="s">
        <v>27</v>
      </c>
      <c r="Z1923" t="s">
        <v>27</v>
      </c>
      <c r="AA1923" t="s">
        <v>27</v>
      </c>
      <c r="AB1923" t="s">
        <v>27</v>
      </c>
      <c r="AC1923" t="s">
        <v>27</v>
      </c>
      <c r="AD1923" t="s">
        <v>27</v>
      </c>
      <c r="AE1923" t="s">
        <v>27</v>
      </c>
      <c r="AF1923" t="s">
        <v>27</v>
      </c>
      <c r="AG1923">
        <v>22.03</v>
      </c>
    </row>
    <row r="1924" spans="1:33" x14ac:dyDescent="0.25">
      <c r="A1924" t="s">
        <v>57</v>
      </c>
      <c r="B1924" s="3">
        <v>45385</v>
      </c>
      <c r="C1924">
        <v>2024094</v>
      </c>
      <c r="D1924">
        <v>18.84</v>
      </c>
      <c r="E1924" t="s">
        <v>27</v>
      </c>
      <c r="F1924">
        <v>-0.2</v>
      </c>
      <c r="G1924">
        <v>4.7</v>
      </c>
      <c r="H1924">
        <v>-2.8</v>
      </c>
      <c r="I1924">
        <v>51.4</v>
      </c>
      <c r="J1924">
        <v>28.7</v>
      </c>
      <c r="K1924">
        <v>1.4</v>
      </c>
      <c r="L1924">
        <v>3.4</v>
      </c>
      <c r="M1924">
        <v>0</v>
      </c>
      <c r="N1924">
        <v>0.78800000000000003</v>
      </c>
      <c r="O1924">
        <v>0.1</v>
      </c>
      <c r="P1924">
        <v>0.5</v>
      </c>
      <c r="Q1924">
        <v>8.9</v>
      </c>
      <c r="R1924">
        <v>-3.8</v>
      </c>
      <c r="S1924">
        <v>0.1</v>
      </c>
      <c r="T1924">
        <v>0.5</v>
      </c>
      <c r="U1924" t="s">
        <v>27</v>
      </c>
      <c r="V1924">
        <v>0.14499999999999999</v>
      </c>
      <c r="W1924">
        <v>0.24399999999999999</v>
      </c>
      <c r="X1924">
        <v>0.60599999999999998</v>
      </c>
      <c r="Y1924" t="s">
        <v>27</v>
      </c>
      <c r="Z1924" t="s">
        <v>27</v>
      </c>
      <c r="AA1924" t="s">
        <v>27</v>
      </c>
      <c r="AB1924" t="s">
        <v>27</v>
      </c>
      <c r="AC1924" t="s">
        <v>27</v>
      </c>
      <c r="AD1924" t="s">
        <v>27</v>
      </c>
      <c r="AE1924" t="s">
        <v>27</v>
      </c>
      <c r="AF1924" t="s">
        <v>27</v>
      </c>
      <c r="AG1924">
        <v>22.29</v>
      </c>
    </row>
    <row r="1925" spans="1:33" x14ac:dyDescent="0.25">
      <c r="A1925" t="s">
        <v>57</v>
      </c>
      <c r="B1925" s="3">
        <v>45386</v>
      </c>
      <c r="C1925">
        <v>2024095</v>
      </c>
      <c r="D1925">
        <v>8.61</v>
      </c>
      <c r="E1925" t="s">
        <v>27</v>
      </c>
      <c r="F1925">
        <v>-2.2000000000000002</v>
      </c>
      <c r="G1925">
        <v>-0.5</v>
      </c>
      <c r="H1925">
        <v>-4.3</v>
      </c>
      <c r="I1925">
        <v>83.5</v>
      </c>
      <c r="J1925">
        <v>69.8</v>
      </c>
      <c r="K1925">
        <v>1.5</v>
      </c>
      <c r="L1925">
        <v>2.9</v>
      </c>
      <c r="M1925">
        <v>3.1</v>
      </c>
      <c r="N1925">
        <v>0.81400000000000006</v>
      </c>
      <c r="O1925">
        <v>0.1</v>
      </c>
      <c r="P1925">
        <v>-2.1</v>
      </c>
      <c r="Q1925">
        <v>1.8</v>
      </c>
      <c r="R1925">
        <v>-5.6</v>
      </c>
      <c r="S1925">
        <v>0.1</v>
      </c>
      <c r="T1925">
        <v>0.5</v>
      </c>
      <c r="U1925" t="s">
        <v>27</v>
      </c>
      <c r="V1925">
        <v>0.14199999999999999</v>
      </c>
      <c r="W1925">
        <v>0.41199999999999998</v>
      </c>
      <c r="X1925">
        <v>0.17799999999999999</v>
      </c>
      <c r="Y1925" t="s">
        <v>27</v>
      </c>
      <c r="Z1925" t="s">
        <v>27</v>
      </c>
      <c r="AA1925" t="s">
        <v>27</v>
      </c>
      <c r="AB1925" t="s">
        <v>27</v>
      </c>
      <c r="AC1925" t="s">
        <v>27</v>
      </c>
      <c r="AD1925" t="s">
        <v>27</v>
      </c>
      <c r="AE1925" t="s">
        <v>27</v>
      </c>
      <c r="AF1925" t="s">
        <v>27</v>
      </c>
      <c r="AG1925">
        <v>22.55</v>
      </c>
    </row>
    <row r="1926" spans="1:33" x14ac:dyDescent="0.25">
      <c r="A1926" t="s">
        <v>57</v>
      </c>
      <c r="B1926" s="3">
        <v>45387</v>
      </c>
      <c r="C1926">
        <v>2024096</v>
      </c>
      <c r="D1926">
        <v>7.66</v>
      </c>
      <c r="E1926" t="s">
        <v>27</v>
      </c>
      <c r="F1926">
        <v>-1.6</v>
      </c>
      <c r="G1926">
        <v>0.8</v>
      </c>
      <c r="H1926">
        <v>-2.9</v>
      </c>
      <c r="I1926">
        <v>91</v>
      </c>
      <c r="J1926">
        <v>83.3</v>
      </c>
      <c r="K1926">
        <v>1.1000000000000001</v>
      </c>
      <c r="L1926">
        <v>2.2999999999999998</v>
      </c>
      <c r="M1926">
        <v>5</v>
      </c>
      <c r="N1926">
        <v>0.85900000000000021</v>
      </c>
      <c r="O1926">
        <v>0.1</v>
      </c>
      <c r="P1926">
        <v>-1.3</v>
      </c>
      <c r="Q1926">
        <v>4.2</v>
      </c>
      <c r="R1926">
        <v>-3.4</v>
      </c>
      <c r="S1926">
        <v>0.1</v>
      </c>
      <c r="T1926">
        <v>0.5</v>
      </c>
      <c r="U1926" t="s">
        <v>27</v>
      </c>
      <c r="V1926">
        <v>0.13900000000000001</v>
      </c>
      <c r="W1926">
        <v>0.54</v>
      </c>
      <c r="X1926">
        <v>0.108</v>
      </c>
      <c r="Y1926" t="s">
        <v>27</v>
      </c>
      <c r="Z1926" t="s">
        <v>27</v>
      </c>
      <c r="AA1926" t="s">
        <v>27</v>
      </c>
      <c r="AB1926" t="s">
        <v>27</v>
      </c>
      <c r="AC1926" t="s">
        <v>27</v>
      </c>
      <c r="AD1926" t="s">
        <v>27</v>
      </c>
      <c r="AE1926" t="s">
        <v>27</v>
      </c>
      <c r="AF1926" t="s">
        <v>27</v>
      </c>
      <c r="AG1926">
        <v>22.8</v>
      </c>
    </row>
    <row r="1927" spans="1:33" x14ac:dyDescent="0.25">
      <c r="A1927" t="s">
        <v>57</v>
      </c>
      <c r="B1927" s="3">
        <v>45388</v>
      </c>
      <c r="C1927">
        <v>2024097</v>
      </c>
      <c r="D1927">
        <v>15.53</v>
      </c>
      <c r="E1927" t="s">
        <v>27</v>
      </c>
      <c r="F1927">
        <v>-0.9</v>
      </c>
      <c r="G1927">
        <v>3.4</v>
      </c>
      <c r="H1927">
        <v>-3</v>
      </c>
      <c r="I1927">
        <v>77.5</v>
      </c>
      <c r="J1927">
        <v>54.4</v>
      </c>
      <c r="K1927">
        <v>1.2</v>
      </c>
      <c r="L1927">
        <v>3</v>
      </c>
      <c r="M1927">
        <v>1</v>
      </c>
      <c r="N1927">
        <v>0.80900000000000016</v>
      </c>
      <c r="O1927">
        <v>0.1</v>
      </c>
      <c r="P1927">
        <v>0</v>
      </c>
      <c r="Q1927">
        <v>9.6</v>
      </c>
      <c r="R1927">
        <v>-3.8</v>
      </c>
      <c r="S1927">
        <v>0.1</v>
      </c>
      <c r="T1927">
        <v>0.5</v>
      </c>
      <c r="U1927" t="s">
        <v>27</v>
      </c>
      <c r="V1927">
        <v>0.13700000000000001</v>
      </c>
      <c r="W1927">
        <v>0.42499999999999999</v>
      </c>
      <c r="X1927">
        <v>0.35599999999999998</v>
      </c>
      <c r="Y1927" t="s">
        <v>27</v>
      </c>
      <c r="Z1927" t="s">
        <v>27</v>
      </c>
      <c r="AA1927" t="s">
        <v>27</v>
      </c>
      <c r="AB1927" t="s">
        <v>27</v>
      </c>
      <c r="AC1927" t="s">
        <v>27</v>
      </c>
      <c r="AD1927" t="s">
        <v>27</v>
      </c>
      <c r="AE1927" t="s">
        <v>27</v>
      </c>
      <c r="AF1927" t="s">
        <v>27</v>
      </c>
      <c r="AG1927">
        <v>23.06</v>
      </c>
    </row>
    <row r="1928" spans="1:33" x14ac:dyDescent="0.25">
      <c r="A1928" t="s">
        <v>57</v>
      </c>
      <c r="B1928" s="3">
        <v>45389</v>
      </c>
      <c r="C1928">
        <v>2024098</v>
      </c>
      <c r="D1928">
        <v>13.63</v>
      </c>
      <c r="E1928" t="s">
        <v>27</v>
      </c>
      <c r="F1928">
        <v>-0.7</v>
      </c>
      <c r="G1928">
        <v>6</v>
      </c>
      <c r="H1928">
        <v>-6.3</v>
      </c>
      <c r="I1928">
        <v>70.3</v>
      </c>
      <c r="J1928">
        <v>39.1</v>
      </c>
      <c r="K1928">
        <v>1</v>
      </c>
      <c r="L1928">
        <v>3.1</v>
      </c>
      <c r="M1928">
        <v>1.4</v>
      </c>
      <c r="N1928">
        <v>0.79</v>
      </c>
      <c r="O1928">
        <v>0.1</v>
      </c>
      <c r="P1928">
        <v>-0.7</v>
      </c>
      <c r="Q1928">
        <v>9.8000000000000007</v>
      </c>
      <c r="R1928">
        <v>-7.8</v>
      </c>
      <c r="S1928">
        <v>0.1</v>
      </c>
      <c r="T1928">
        <v>0.5</v>
      </c>
      <c r="U1928" t="s">
        <v>27</v>
      </c>
      <c r="V1928">
        <v>0.13600000000000001</v>
      </c>
      <c r="W1928">
        <v>0.36499999999999999</v>
      </c>
      <c r="X1928">
        <v>0.56899999999999995</v>
      </c>
      <c r="Y1928" t="s">
        <v>27</v>
      </c>
      <c r="Z1928" t="s">
        <v>27</v>
      </c>
      <c r="AA1928" t="s">
        <v>27</v>
      </c>
      <c r="AB1928" t="s">
        <v>27</v>
      </c>
      <c r="AC1928" t="s">
        <v>27</v>
      </c>
      <c r="AD1928" t="s">
        <v>27</v>
      </c>
      <c r="AE1928" t="s">
        <v>27</v>
      </c>
      <c r="AF1928" t="s">
        <v>27</v>
      </c>
      <c r="AG1928">
        <v>23.31</v>
      </c>
    </row>
    <row r="1929" spans="1:33" x14ac:dyDescent="0.25">
      <c r="A1929" t="s">
        <v>57</v>
      </c>
      <c r="B1929" s="3">
        <v>45390</v>
      </c>
      <c r="C1929">
        <v>2024099</v>
      </c>
      <c r="D1929">
        <v>8.07</v>
      </c>
      <c r="E1929" t="s">
        <v>27</v>
      </c>
      <c r="F1929">
        <v>-0.8</v>
      </c>
      <c r="G1929">
        <v>2.8</v>
      </c>
      <c r="H1929">
        <v>-6.1</v>
      </c>
      <c r="I1929">
        <v>79.099999999999994</v>
      </c>
      <c r="J1929">
        <v>55.1</v>
      </c>
      <c r="K1929">
        <v>0.7</v>
      </c>
      <c r="L1929">
        <v>2.7</v>
      </c>
      <c r="M1929">
        <v>0</v>
      </c>
      <c r="N1929">
        <v>0.80300000000000016</v>
      </c>
      <c r="O1929">
        <v>0.1</v>
      </c>
      <c r="P1929">
        <v>-1.1000000000000001</v>
      </c>
      <c r="Q1929">
        <v>5.5</v>
      </c>
      <c r="R1929">
        <v>-7.3</v>
      </c>
      <c r="S1929">
        <v>0.1</v>
      </c>
      <c r="T1929">
        <v>0.5</v>
      </c>
      <c r="U1929" t="s">
        <v>27</v>
      </c>
      <c r="V1929">
        <v>0.13400000000000001</v>
      </c>
      <c r="W1929">
        <v>0.41299999999999998</v>
      </c>
      <c r="X1929">
        <v>0.33700000000000002</v>
      </c>
      <c r="Y1929" t="s">
        <v>27</v>
      </c>
      <c r="Z1929" t="s">
        <v>27</v>
      </c>
      <c r="AA1929" t="s">
        <v>27</v>
      </c>
      <c r="AB1929" t="s">
        <v>27</v>
      </c>
      <c r="AC1929" t="s">
        <v>27</v>
      </c>
      <c r="AD1929" t="s">
        <v>27</v>
      </c>
      <c r="AE1929" t="s">
        <v>27</v>
      </c>
      <c r="AF1929" t="s">
        <v>27</v>
      </c>
      <c r="AG1929">
        <v>23.56</v>
      </c>
    </row>
    <row r="1930" spans="1:33" x14ac:dyDescent="0.25">
      <c r="A1930" t="s">
        <v>57</v>
      </c>
      <c r="B1930" s="3">
        <v>45391</v>
      </c>
      <c r="C1930">
        <v>2024100</v>
      </c>
      <c r="D1930">
        <v>19.55</v>
      </c>
      <c r="E1930" t="s">
        <v>27</v>
      </c>
      <c r="F1930">
        <v>0.7</v>
      </c>
      <c r="G1930">
        <v>4.7</v>
      </c>
      <c r="H1930">
        <v>-6</v>
      </c>
      <c r="I1930">
        <v>65.400000000000006</v>
      </c>
      <c r="J1930">
        <v>32</v>
      </c>
      <c r="K1930">
        <v>1.3</v>
      </c>
      <c r="L1930">
        <v>4.7</v>
      </c>
      <c r="M1930">
        <v>1.2</v>
      </c>
      <c r="N1930">
        <v>0.79300000000000015</v>
      </c>
      <c r="O1930">
        <v>0.1</v>
      </c>
      <c r="P1930">
        <v>0.9</v>
      </c>
      <c r="Q1930">
        <v>8.9</v>
      </c>
      <c r="R1930">
        <v>-7.6</v>
      </c>
      <c r="S1930">
        <v>0.1</v>
      </c>
      <c r="T1930">
        <v>0.5</v>
      </c>
      <c r="U1930" t="s">
        <v>27</v>
      </c>
      <c r="V1930">
        <v>0.13300000000000001</v>
      </c>
      <c r="W1930">
        <v>0.27300000000000002</v>
      </c>
      <c r="X1930">
        <v>0.57999999999999996</v>
      </c>
      <c r="Y1930" t="s">
        <v>27</v>
      </c>
      <c r="Z1930" t="s">
        <v>27</v>
      </c>
      <c r="AA1930" t="s">
        <v>27</v>
      </c>
      <c r="AB1930" t="s">
        <v>27</v>
      </c>
      <c r="AC1930" t="s">
        <v>27</v>
      </c>
      <c r="AD1930" t="s">
        <v>27</v>
      </c>
      <c r="AE1930" t="s">
        <v>27</v>
      </c>
      <c r="AF1930" t="s">
        <v>27</v>
      </c>
      <c r="AG1930">
        <v>23.81</v>
      </c>
    </row>
    <row r="1931" spans="1:33" x14ac:dyDescent="0.25">
      <c r="A1931" t="s">
        <v>57</v>
      </c>
      <c r="B1931" s="3">
        <v>45392</v>
      </c>
      <c r="C1931">
        <v>2024101</v>
      </c>
      <c r="D1931">
        <v>21.45</v>
      </c>
      <c r="E1931" t="s">
        <v>27</v>
      </c>
      <c r="F1931">
        <v>0.2</v>
      </c>
      <c r="G1931">
        <v>8.9</v>
      </c>
      <c r="H1931">
        <v>-9.1</v>
      </c>
      <c r="I1931">
        <v>60.6</v>
      </c>
      <c r="J1931">
        <v>19.8</v>
      </c>
      <c r="K1931">
        <v>0.6</v>
      </c>
      <c r="L1931">
        <v>2.4</v>
      </c>
      <c r="M1931">
        <v>0</v>
      </c>
      <c r="N1931">
        <v>0.77</v>
      </c>
      <c r="O1931">
        <v>0.1</v>
      </c>
      <c r="P1931">
        <v>0.7</v>
      </c>
      <c r="Q1931">
        <v>14.7</v>
      </c>
      <c r="R1931">
        <v>-10.7</v>
      </c>
      <c r="S1931">
        <v>0.1</v>
      </c>
      <c r="T1931">
        <v>0.5</v>
      </c>
      <c r="U1931" t="s">
        <v>27</v>
      </c>
      <c r="V1931">
        <v>0.13200000000000001</v>
      </c>
      <c r="W1931">
        <v>0.22600000000000001</v>
      </c>
      <c r="X1931">
        <v>0.91500000000000004</v>
      </c>
      <c r="Y1931" t="s">
        <v>27</v>
      </c>
      <c r="Z1931" t="s">
        <v>27</v>
      </c>
      <c r="AA1931" t="s">
        <v>27</v>
      </c>
      <c r="AB1931" t="s">
        <v>27</v>
      </c>
      <c r="AC1931" t="s">
        <v>27</v>
      </c>
      <c r="AD1931" t="s">
        <v>27</v>
      </c>
      <c r="AE1931" t="s">
        <v>27</v>
      </c>
      <c r="AF1931" t="s">
        <v>27</v>
      </c>
      <c r="AG1931">
        <v>24.05</v>
      </c>
    </row>
    <row r="1932" spans="1:33" x14ac:dyDescent="0.25">
      <c r="A1932" t="s">
        <v>57</v>
      </c>
      <c r="B1932" s="3">
        <v>45393</v>
      </c>
      <c r="C1932">
        <v>2024102</v>
      </c>
      <c r="D1932">
        <v>11.85</v>
      </c>
      <c r="E1932" t="s">
        <v>27</v>
      </c>
      <c r="F1932">
        <v>2</v>
      </c>
      <c r="G1932">
        <v>7.9</v>
      </c>
      <c r="H1932">
        <v>-2.7</v>
      </c>
      <c r="I1932">
        <v>67.2</v>
      </c>
      <c r="J1932">
        <v>36.200000000000003</v>
      </c>
      <c r="K1932">
        <v>0.8</v>
      </c>
      <c r="L1932">
        <v>3.1</v>
      </c>
      <c r="M1932">
        <v>0</v>
      </c>
      <c r="N1932">
        <v>0.75700000000000012</v>
      </c>
      <c r="O1932">
        <v>0.1</v>
      </c>
      <c r="P1932">
        <v>1.9</v>
      </c>
      <c r="Q1932">
        <v>11.3</v>
      </c>
      <c r="R1932">
        <v>-4.3</v>
      </c>
      <c r="S1932">
        <v>0.1</v>
      </c>
      <c r="T1932">
        <v>0.5</v>
      </c>
      <c r="U1932" t="s">
        <v>27</v>
      </c>
      <c r="V1932">
        <v>0.13200000000000001</v>
      </c>
      <c r="W1932">
        <v>0.38400000000000001</v>
      </c>
      <c r="X1932">
        <v>0.67700000000000005</v>
      </c>
      <c r="Y1932" t="s">
        <v>27</v>
      </c>
      <c r="Z1932" t="s">
        <v>27</v>
      </c>
      <c r="AA1932" t="s">
        <v>27</v>
      </c>
      <c r="AB1932" t="s">
        <v>27</v>
      </c>
      <c r="AC1932" t="s">
        <v>27</v>
      </c>
      <c r="AD1932" t="s">
        <v>27</v>
      </c>
      <c r="AE1932" t="s">
        <v>27</v>
      </c>
      <c r="AF1932" t="s">
        <v>27</v>
      </c>
      <c r="AG1932">
        <v>24.3</v>
      </c>
    </row>
    <row r="1933" spans="1:33" x14ac:dyDescent="0.25">
      <c r="A1933" t="s">
        <v>57</v>
      </c>
      <c r="B1933" s="3">
        <v>45394</v>
      </c>
      <c r="C1933">
        <v>2024103</v>
      </c>
      <c r="D1933">
        <v>18.55</v>
      </c>
      <c r="E1933" t="s">
        <v>27</v>
      </c>
      <c r="F1933">
        <v>2.6</v>
      </c>
      <c r="G1933">
        <v>9.8000000000000007</v>
      </c>
      <c r="H1933">
        <v>-3.1</v>
      </c>
      <c r="I1933">
        <v>70.599999999999994</v>
      </c>
      <c r="J1933">
        <v>33.200000000000003</v>
      </c>
      <c r="K1933">
        <v>0.6</v>
      </c>
      <c r="L1933">
        <v>2.2999999999999998</v>
      </c>
      <c r="M1933">
        <v>0</v>
      </c>
      <c r="N1933">
        <v>0.73200000000000021</v>
      </c>
      <c r="O1933">
        <v>0.1</v>
      </c>
      <c r="P1933">
        <v>2.9</v>
      </c>
      <c r="Q1933">
        <v>14.9</v>
      </c>
      <c r="R1933">
        <v>-4.9000000000000004</v>
      </c>
      <c r="S1933">
        <v>0.1</v>
      </c>
      <c r="T1933">
        <v>0.5</v>
      </c>
      <c r="U1933" t="s">
        <v>27</v>
      </c>
      <c r="V1933">
        <v>0.13400000000000001</v>
      </c>
      <c r="W1933">
        <v>0.40200000000000002</v>
      </c>
      <c r="X1933">
        <v>0.80900000000000005</v>
      </c>
      <c r="Y1933" t="s">
        <v>27</v>
      </c>
      <c r="Z1933" t="s">
        <v>27</v>
      </c>
      <c r="AA1933" t="s">
        <v>27</v>
      </c>
      <c r="AB1933" t="s">
        <v>27</v>
      </c>
      <c r="AC1933" t="s">
        <v>27</v>
      </c>
      <c r="AD1933" t="s">
        <v>27</v>
      </c>
      <c r="AE1933" t="s">
        <v>27</v>
      </c>
      <c r="AF1933" t="s">
        <v>27</v>
      </c>
      <c r="AG1933">
        <v>24.53</v>
      </c>
    </row>
    <row r="1934" spans="1:33" x14ac:dyDescent="0.25">
      <c r="A1934" t="s">
        <v>57</v>
      </c>
      <c r="B1934" s="3">
        <v>45395</v>
      </c>
      <c r="C1934">
        <v>2024104</v>
      </c>
      <c r="D1934">
        <v>25.6</v>
      </c>
      <c r="E1934" t="s">
        <v>27</v>
      </c>
      <c r="F1934">
        <v>3.8</v>
      </c>
      <c r="G1934">
        <v>14.3</v>
      </c>
      <c r="H1934">
        <v>-5.7</v>
      </c>
      <c r="I1934">
        <v>59.4</v>
      </c>
      <c r="J1934">
        <v>12.2</v>
      </c>
      <c r="K1934">
        <v>0.6</v>
      </c>
      <c r="L1934">
        <v>2.8</v>
      </c>
      <c r="M1934">
        <v>0</v>
      </c>
      <c r="N1934">
        <v>0.68600000000000017</v>
      </c>
      <c r="O1934">
        <v>0.1</v>
      </c>
      <c r="P1934">
        <v>4.2</v>
      </c>
      <c r="Q1934">
        <v>19.399999999999999</v>
      </c>
      <c r="R1934">
        <v>-7.2</v>
      </c>
      <c r="S1934">
        <v>0.1</v>
      </c>
      <c r="T1934">
        <v>0.5</v>
      </c>
      <c r="U1934" t="s">
        <v>27</v>
      </c>
      <c r="V1934">
        <v>0.14199999999999999</v>
      </c>
      <c r="W1934">
        <v>0.19900000000000001</v>
      </c>
      <c r="X1934">
        <v>1.4319999999999999</v>
      </c>
      <c r="Y1934" t="s">
        <v>27</v>
      </c>
      <c r="Z1934" t="s">
        <v>27</v>
      </c>
      <c r="AA1934" t="s">
        <v>27</v>
      </c>
      <c r="AB1934" t="s">
        <v>27</v>
      </c>
      <c r="AC1934" t="s">
        <v>27</v>
      </c>
      <c r="AD1934" t="s">
        <v>27</v>
      </c>
      <c r="AE1934" t="s">
        <v>27</v>
      </c>
      <c r="AF1934" t="s">
        <v>27</v>
      </c>
      <c r="AG1934">
        <v>24.78</v>
      </c>
    </row>
    <row r="1935" spans="1:33" x14ac:dyDescent="0.25">
      <c r="A1935" t="s">
        <v>57</v>
      </c>
      <c r="B1935" s="3">
        <v>45396</v>
      </c>
      <c r="C1935">
        <v>2024105</v>
      </c>
      <c r="D1935">
        <v>25.06</v>
      </c>
      <c r="E1935" t="s">
        <v>27</v>
      </c>
      <c r="F1935">
        <v>6.4</v>
      </c>
      <c r="G1935">
        <v>15.2</v>
      </c>
      <c r="H1935">
        <v>-3.8</v>
      </c>
      <c r="I1935">
        <v>41.5</v>
      </c>
      <c r="J1935">
        <v>12.6</v>
      </c>
      <c r="K1935">
        <v>1.1000000000000001</v>
      </c>
      <c r="L1935">
        <v>3.6</v>
      </c>
      <c r="M1935">
        <v>0</v>
      </c>
      <c r="N1935">
        <v>0.64800000000000013</v>
      </c>
      <c r="O1935">
        <v>0.1</v>
      </c>
      <c r="P1935">
        <v>6.7</v>
      </c>
      <c r="Q1935">
        <v>21.4</v>
      </c>
      <c r="R1935">
        <v>-5.2</v>
      </c>
      <c r="S1935">
        <v>0.1</v>
      </c>
      <c r="T1935">
        <v>0.5</v>
      </c>
      <c r="U1935" t="s">
        <v>27</v>
      </c>
      <c r="V1935">
        <v>0.156</v>
      </c>
      <c r="W1935">
        <v>0.217</v>
      </c>
      <c r="X1935">
        <v>1.5049999999999999</v>
      </c>
      <c r="Y1935" t="s">
        <v>27</v>
      </c>
      <c r="Z1935" t="s">
        <v>27</v>
      </c>
      <c r="AA1935" t="s">
        <v>27</v>
      </c>
      <c r="AB1935" t="s">
        <v>27</v>
      </c>
      <c r="AC1935" t="s">
        <v>27</v>
      </c>
      <c r="AD1935" t="s">
        <v>27</v>
      </c>
      <c r="AE1935" t="s">
        <v>27</v>
      </c>
      <c r="AF1935" t="s">
        <v>27</v>
      </c>
      <c r="AG1935">
        <v>25.02</v>
      </c>
    </row>
    <row r="1936" spans="1:33" x14ac:dyDescent="0.25">
      <c r="A1936" t="s">
        <v>57</v>
      </c>
      <c r="B1936" s="3">
        <v>45397</v>
      </c>
      <c r="C1936">
        <v>2024106</v>
      </c>
      <c r="D1936">
        <v>24.84</v>
      </c>
      <c r="E1936" t="s">
        <v>27</v>
      </c>
      <c r="F1936">
        <v>2.9</v>
      </c>
      <c r="G1936">
        <v>8.6999999999999993</v>
      </c>
      <c r="H1936">
        <v>-3.8</v>
      </c>
      <c r="I1936">
        <v>46.7</v>
      </c>
      <c r="J1936">
        <v>24</v>
      </c>
      <c r="K1936">
        <v>1.9</v>
      </c>
      <c r="L1936">
        <v>4.3</v>
      </c>
      <c r="M1936">
        <v>0</v>
      </c>
      <c r="N1936">
        <v>0.6160000000000001</v>
      </c>
      <c r="O1936">
        <v>0.1</v>
      </c>
      <c r="P1936">
        <v>3.4</v>
      </c>
      <c r="Q1936">
        <v>13.4</v>
      </c>
      <c r="R1936">
        <v>-4.2</v>
      </c>
      <c r="S1936">
        <v>0.1</v>
      </c>
      <c r="T1936">
        <v>0.5</v>
      </c>
      <c r="U1936" t="s">
        <v>27</v>
      </c>
      <c r="V1936">
        <v>0.16200000000000001</v>
      </c>
      <c r="W1936">
        <v>0.26900000000000002</v>
      </c>
      <c r="X1936">
        <v>0.85199999999999998</v>
      </c>
      <c r="Y1936" t="s">
        <v>27</v>
      </c>
      <c r="Z1936" t="s">
        <v>27</v>
      </c>
      <c r="AA1936" t="s">
        <v>27</v>
      </c>
      <c r="AB1936" t="s">
        <v>27</v>
      </c>
      <c r="AC1936" t="s">
        <v>27</v>
      </c>
      <c r="AD1936" t="s">
        <v>27</v>
      </c>
      <c r="AE1936" t="s">
        <v>27</v>
      </c>
      <c r="AF1936" t="s">
        <v>27</v>
      </c>
      <c r="AG1936">
        <v>25.26</v>
      </c>
    </row>
    <row r="1937" spans="1:33" x14ac:dyDescent="0.25">
      <c r="A1937" t="s">
        <v>57</v>
      </c>
      <c r="B1937" s="3">
        <v>45398</v>
      </c>
      <c r="C1937">
        <v>2024107</v>
      </c>
      <c r="D1937">
        <v>14.54</v>
      </c>
      <c r="E1937" t="s">
        <v>27</v>
      </c>
      <c r="F1937">
        <v>-3.3</v>
      </c>
      <c r="G1937">
        <v>2.1</v>
      </c>
      <c r="H1937">
        <v>-6.3</v>
      </c>
      <c r="I1937">
        <v>76.8</v>
      </c>
      <c r="J1937">
        <v>39.200000000000003</v>
      </c>
      <c r="K1937">
        <v>1.3</v>
      </c>
      <c r="L1937">
        <v>3.1</v>
      </c>
      <c r="M1937">
        <v>7</v>
      </c>
      <c r="N1937">
        <v>0.70800000000000018</v>
      </c>
      <c r="O1937">
        <v>0</v>
      </c>
      <c r="P1937">
        <v>-2.8</v>
      </c>
      <c r="Q1937">
        <v>8.3000000000000007</v>
      </c>
      <c r="R1937">
        <v>-7.7</v>
      </c>
      <c r="S1937">
        <v>0.1</v>
      </c>
      <c r="T1937">
        <v>0.4</v>
      </c>
      <c r="U1937" t="s">
        <v>27</v>
      </c>
      <c r="V1937">
        <v>0.157</v>
      </c>
      <c r="W1937">
        <v>0.27900000000000003</v>
      </c>
      <c r="X1937">
        <v>0.433</v>
      </c>
      <c r="Y1937" t="s">
        <v>27</v>
      </c>
      <c r="Z1937" t="s">
        <v>27</v>
      </c>
      <c r="AA1937" t="s">
        <v>27</v>
      </c>
      <c r="AB1937" t="s">
        <v>27</v>
      </c>
      <c r="AC1937" t="s">
        <v>27</v>
      </c>
      <c r="AD1937" t="s">
        <v>27</v>
      </c>
      <c r="AE1937" t="s">
        <v>27</v>
      </c>
      <c r="AF1937" t="s">
        <v>27</v>
      </c>
      <c r="AG1937">
        <v>25.49</v>
      </c>
    </row>
    <row r="1938" spans="1:33" x14ac:dyDescent="0.25">
      <c r="A1938" t="s">
        <v>57</v>
      </c>
      <c r="B1938" s="3">
        <v>45399</v>
      </c>
      <c r="C1938">
        <v>2024108</v>
      </c>
      <c r="D1938">
        <v>18.63</v>
      </c>
      <c r="E1938" t="s">
        <v>27</v>
      </c>
      <c r="F1938">
        <v>-3.2</v>
      </c>
      <c r="G1938">
        <v>3.5</v>
      </c>
      <c r="H1938">
        <v>-9.3000000000000007</v>
      </c>
      <c r="I1938">
        <v>68.2</v>
      </c>
      <c r="J1938">
        <v>34.700000000000003</v>
      </c>
      <c r="K1938">
        <v>0.7</v>
      </c>
      <c r="L1938">
        <v>2.7</v>
      </c>
      <c r="M1938">
        <v>3.7</v>
      </c>
      <c r="N1938">
        <v>0.65800000000000014</v>
      </c>
      <c r="O1938">
        <v>0.1</v>
      </c>
      <c r="P1938">
        <v>-2.7</v>
      </c>
      <c r="Q1938">
        <v>11.4</v>
      </c>
      <c r="R1938">
        <v>-11.3</v>
      </c>
      <c r="S1938">
        <v>0.1</v>
      </c>
      <c r="T1938">
        <v>0.5</v>
      </c>
      <c r="U1938" t="s">
        <v>27</v>
      </c>
      <c r="V1938">
        <v>0.152</v>
      </c>
      <c r="W1938">
        <v>0.27200000000000002</v>
      </c>
      <c r="X1938">
        <v>0.51200000000000001</v>
      </c>
      <c r="Y1938" t="s">
        <v>27</v>
      </c>
      <c r="Z1938" t="s">
        <v>27</v>
      </c>
      <c r="AA1938" t="s">
        <v>27</v>
      </c>
      <c r="AB1938" t="s">
        <v>27</v>
      </c>
      <c r="AC1938" t="s">
        <v>27</v>
      </c>
      <c r="AD1938" t="s">
        <v>27</v>
      </c>
      <c r="AE1938" t="s">
        <v>27</v>
      </c>
      <c r="AF1938" t="s">
        <v>27</v>
      </c>
      <c r="AG1938">
        <v>25.73</v>
      </c>
    </row>
    <row r="1939" spans="1:33" x14ac:dyDescent="0.25">
      <c r="A1939" t="s">
        <v>57</v>
      </c>
      <c r="B1939" s="3">
        <v>45400</v>
      </c>
      <c r="C1939">
        <v>2024109</v>
      </c>
      <c r="D1939">
        <v>23.84</v>
      </c>
      <c r="E1939" t="s">
        <v>27</v>
      </c>
      <c r="F1939">
        <v>-2.6</v>
      </c>
      <c r="G1939">
        <v>4.9000000000000004</v>
      </c>
      <c r="H1939">
        <v>-11.2</v>
      </c>
      <c r="I1939">
        <v>51.8</v>
      </c>
      <c r="J1939">
        <v>17.3</v>
      </c>
      <c r="K1939">
        <v>0.8</v>
      </c>
      <c r="L1939">
        <v>2.6</v>
      </c>
      <c r="M1939">
        <v>0</v>
      </c>
      <c r="N1939">
        <v>0.63700000000000001</v>
      </c>
      <c r="O1939">
        <v>0.1</v>
      </c>
      <c r="P1939">
        <v>-2.1</v>
      </c>
      <c r="Q1939">
        <v>11.6</v>
      </c>
      <c r="R1939">
        <v>-12.7</v>
      </c>
      <c r="S1939">
        <v>0.1</v>
      </c>
      <c r="T1939">
        <v>0.5</v>
      </c>
      <c r="U1939" t="s">
        <v>27</v>
      </c>
      <c r="V1939">
        <v>0.14799999999999999</v>
      </c>
      <c r="W1939">
        <v>0.15</v>
      </c>
      <c r="X1939">
        <v>0.71699999999999997</v>
      </c>
      <c r="Y1939" t="s">
        <v>27</v>
      </c>
      <c r="Z1939" t="s">
        <v>27</v>
      </c>
      <c r="AA1939" t="s">
        <v>27</v>
      </c>
      <c r="AB1939" t="s">
        <v>27</v>
      </c>
      <c r="AC1939" t="s">
        <v>27</v>
      </c>
      <c r="AD1939" t="s">
        <v>27</v>
      </c>
      <c r="AE1939" t="s">
        <v>27</v>
      </c>
      <c r="AF1939" t="s">
        <v>27</v>
      </c>
      <c r="AG1939">
        <v>25.96</v>
      </c>
    </row>
    <row r="1940" spans="1:33" x14ac:dyDescent="0.25">
      <c r="A1940" t="s">
        <v>57</v>
      </c>
      <c r="B1940" s="3">
        <v>45401</v>
      </c>
      <c r="C1940">
        <v>2024110</v>
      </c>
      <c r="D1940">
        <v>23.63</v>
      </c>
      <c r="E1940" t="s">
        <v>27</v>
      </c>
      <c r="F1940">
        <v>-1</v>
      </c>
      <c r="G1940">
        <v>7.4</v>
      </c>
      <c r="H1940">
        <v>-10.4</v>
      </c>
      <c r="I1940">
        <v>50</v>
      </c>
      <c r="J1940">
        <v>21.2</v>
      </c>
      <c r="K1940">
        <v>0.5</v>
      </c>
      <c r="L1940">
        <v>2.4</v>
      </c>
      <c r="M1940">
        <v>0</v>
      </c>
      <c r="N1940">
        <v>0.61899999999999999</v>
      </c>
      <c r="O1940">
        <v>0.1</v>
      </c>
      <c r="P1940">
        <v>-0.3</v>
      </c>
      <c r="Q1940">
        <v>14.1</v>
      </c>
      <c r="R1940">
        <v>-12.1</v>
      </c>
      <c r="S1940">
        <v>0.1</v>
      </c>
      <c r="T1940">
        <v>0.5</v>
      </c>
      <c r="U1940" t="s">
        <v>27</v>
      </c>
      <c r="V1940">
        <v>0.14499999999999999</v>
      </c>
      <c r="W1940">
        <v>0.218</v>
      </c>
      <c r="X1940">
        <v>0.81</v>
      </c>
      <c r="Y1940" t="s">
        <v>27</v>
      </c>
      <c r="Z1940" t="s">
        <v>27</v>
      </c>
      <c r="AA1940" t="s">
        <v>27</v>
      </c>
      <c r="AB1940" t="s">
        <v>27</v>
      </c>
      <c r="AC1940" t="s">
        <v>27</v>
      </c>
      <c r="AD1940" t="s">
        <v>27</v>
      </c>
      <c r="AE1940" t="s">
        <v>27</v>
      </c>
      <c r="AF1940" t="s">
        <v>27</v>
      </c>
      <c r="AG1940">
        <v>26.18</v>
      </c>
    </row>
    <row r="1941" spans="1:33" x14ac:dyDescent="0.25">
      <c r="A1941" t="s">
        <v>57</v>
      </c>
      <c r="B1941" s="3">
        <v>45402</v>
      </c>
      <c r="C1941">
        <v>2024111</v>
      </c>
      <c r="D1941">
        <v>26.12</v>
      </c>
      <c r="E1941" t="s">
        <v>27</v>
      </c>
      <c r="F1941">
        <v>2.7</v>
      </c>
      <c r="G1941">
        <v>10.9</v>
      </c>
      <c r="H1941">
        <v>-5.9</v>
      </c>
      <c r="I1941">
        <v>45.9</v>
      </c>
      <c r="J1941">
        <v>21.2</v>
      </c>
      <c r="K1941">
        <v>1.1000000000000001</v>
      </c>
      <c r="L1941">
        <v>3.6</v>
      </c>
      <c r="M1941">
        <v>3.1</v>
      </c>
      <c r="N1941">
        <v>0.65100000000000002</v>
      </c>
      <c r="O1941">
        <v>0.1</v>
      </c>
      <c r="P1941">
        <v>3.3</v>
      </c>
      <c r="Q1941">
        <v>14.9</v>
      </c>
      <c r="R1941">
        <v>-7.8</v>
      </c>
      <c r="S1941">
        <v>0.1</v>
      </c>
      <c r="T1941">
        <v>0.5</v>
      </c>
      <c r="U1941" t="s">
        <v>27</v>
      </c>
      <c r="V1941">
        <v>0.14299999999999999</v>
      </c>
      <c r="W1941">
        <v>0.27700000000000002</v>
      </c>
      <c r="X1941">
        <v>1.03</v>
      </c>
      <c r="Y1941" t="s">
        <v>27</v>
      </c>
      <c r="Z1941" t="s">
        <v>27</v>
      </c>
      <c r="AA1941" t="s">
        <v>27</v>
      </c>
      <c r="AB1941" t="s">
        <v>27</v>
      </c>
      <c r="AC1941" t="s">
        <v>27</v>
      </c>
      <c r="AD1941" t="s">
        <v>27</v>
      </c>
      <c r="AE1941" t="s">
        <v>27</v>
      </c>
      <c r="AF1941" t="s">
        <v>27</v>
      </c>
      <c r="AG1941">
        <v>26.41</v>
      </c>
    </row>
    <row r="1942" spans="1:33" x14ac:dyDescent="0.25">
      <c r="A1942" t="s">
        <v>57</v>
      </c>
      <c r="B1942" s="3">
        <v>45403</v>
      </c>
      <c r="C1942">
        <v>2024112</v>
      </c>
      <c r="D1942">
        <v>19.43</v>
      </c>
      <c r="E1942" t="s">
        <v>27</v>
      </c>
      <c r="F1942">
        <v>-0.7</v>
      </c>
      <c r="G1942">
        <v>4.5999999999999996</v>
      </c>
      <c r="H1942">
        <v>-4.3</v>
      </c>
      <c r="I1942">
        <v>65.7</v>
      </c>
      <c r="J1942">
        <v>36.1</v>
      </c>
      <c r="K1942">
        <v>0.1</v>
      </c>
      <c r="L1942">
        <v>2.7</v>
      </c>
      <c r="M1942">
        <v>3.9</v>
      </c>
      <c r="N1942">
        <v>0.5970000000000002</v>
      </c>
      <c r="O1942">
        <v>0.1</v>
      </c>
      <c r="P1942">
        <v>-0.1</v>
      </c>
      <c r="Q1942">
        <v>9.1</v>
      </c>
      <c r="R1942">
        <v>-5.4</v>
      </c>
      <c r="S1942">
        <v>0.1</v>
      </c>
      <c r="T1942">
        <v>0.5</v>
      </c>
      <c r="U1942" t="s">
        <v>27</v>
      </c>
      <c r="V1942">
        <v>0.14399999999999999</v>
      </c>
      <c r="W1942">
        <v>0.30599999999999999</v>
      </c>
      <c r="X1942">
        <v>0.54200000000000004</v>
      </c>
      <c r="Y1942" t="s">
        <v>27</v>
      </c>
      <c r="Z1942" t="s">
        <v>27</v>
      </c>
      <c r="AA1942" t="s">
        <v>27</v>
      </c>
      <c r="AB1942" t="s">
        <v>27</v>
      </c>
      <c r="AC1942" t="s">
        <v>27</v>
      </c>
      <c r="AD1942" t="s">
        <v>27</v>
      </c>
      <c r="AE1942" t="s">
        <v>27</v>
      </c>
      <c r="AF1942" t="s">
        <v>27</v>
      </c>
      <c r="AG1942">
        <v>26.63</v>
      </c>
    </row>
    <row r="1943" spans="1:33" x14ac:dyDescent="0.25">
      <c r="A1943" t="s">
        <v>57</v>
      </c>
      <c r="B1943" s="3">
        <v>45404</v>
      </c>
      <c r="C1943">
        <v>2024113</v>
      </c>
      <c r="D1943">
        <v>26.25</v>
      </c>
      <c r="E1943" t="s">
        <v>27</v>
      </c>
      <c r="F1943">
        <v>0.5</v>
      </c>
      <c r="G1943">
        <v>7.8</v>
      </c>
      <c r="H1943">
        <v>-6.7</v>
      </c>
      <c r="I1943">
        <v>59.3</v>
      </c>
      <c r="J1943">
        <v>25.8</v>
      </c>
      <c r="K1943">
        <v>0.7</v>
      </c>
      <c r="L1943">
        <v>2.8</v>
      </c>
      <c r="M1943">
        <v>0.2</v>
      </c>
      <c r="N1943">
        <v>0.58200000000000007</v>
      </c>
      <c r="O1943">
        <v>0.1</v>
      </c>
      <c r="P1943">
        <v>1.3</v>
      </c>
      <c r="Q1943">
        <v>13.3</v>
      </c>
      <c r="R1943">
        <v>-8.1999999999999993</v>
      </c>
      <c r="S1943">
        <v>0.1</v>
      </c>
      <c r="T1943">
        <v>0.5</v>
      </c>
      <c r="U1943" t="s">
        <v>27</v>
      </c>
      <c r="V1943">
        <v>0.14299999999999999</v>
      </c>
      <c r="W1943">
        <v>0.27300000000000002</v>
      </c>
      <c r="X1943">
        <v>0.78500000000000003</v>
      </c>
      <c r="Y1943" t="s">
        <v>27</v>
      </c>
      <c r="Z1943" t="s">
        <v>27</v>
      </c>
      <c r="AA1943" t="s">
        <v>27</v>
      </c>
      <c r="AB1943" t="s">
        <v>27</v>
      </c>
      <c r="AC1943" t="s">
        <v>27</v>
      </c>
      <c r="AD1943" t="s">
        <v>27</v>
      </c>
      <c r="AE1943" t="s">
        <v>27</v>
      </c>
      <c r="AF1943" t="s">
        <v>27</v>
      </c>
      <c r="AG1943">
        <v>26.85</v>
      </c>
    </row>
    <row r="1944" spans="1:33" x14ac:dyDescent="0.25">
      <c r="A1944" t="s">
        <v>57</v>
      </c>
      <c r="B1944" s="3">
        <v>45405</v>
      </c>
      <c r="C1944">
        <v>2024114</v>
      </c>
      <c r="D1944">
        <v>25.2</v>
      </c>
      <c r="E1944" t="s">
        <v>27</v>
      </c>
      <c r="F1944">
        <v>3</v>
      </c>
      <c r="G1944">
        <v>12</v>
      </c>
      <c r="H1944">
        <v>-5.8</v>
      </c>
      <c r="I1944">
        <v>52.7</v>
      </c>
      <c r="J1944">
        <v>20.399999999999999</v>
      </c>
      <c r="K1944">
        <v>0.9</v>
      </c>
      <c r="L1944">
        <v>2.8</v>
      </c>
      <c r="M1944">
        <v>0</v>
      </c>
      <c r="N1944">
        <v>0.54200000000000004</v>
      </c>
      <c r="O1944">
        <v>0.1</v>
      </c>
      <c r="P1944">
        <v>3.2</v>
      </c>
      <c r="Q1944">
        <v>16</v>
      </c>
      <c r="R1944">
        <v>-7.4</v>
      </c>
      <c r="S1944">
        <v>0.1</v>
      </c>
      <c r="T1944">
        <v>0.4</v>
      </c>
      <c r="U1944" t="s">
        <v>27</v>
      </c>
      <c r="V1944">
        <v>0.14599999999999999</v>
      </c>
      <c r="W1944">
        <v>0.28499999999999998</v>
      </c>
      <c r="X1944">
        <v>1.1120000000000001</v>
      </c>
      <c r="Y1944" t="s">
        <v>27</v>
      </c>
      <c r="Z1944" t="s">
        <v>27</v>
      </c>
      <c r="AA1944" t="s">
        <v>27</v>
      </c>
      <c r="AB1944" t="s">
        <v>27</v>
      </c>
      <c r="AC1944" t="s">
        <v>27</v>
      </c>
      <c r="AD1944" t="s">
        <v>27</v>
      </c>
      <c r="AE1944" t="s">
        <v>27</v>
      </c>
      <c r="AF1944" t="s">
        <v>27</v>
      </c>
      <c r="AG1944">
        <v>27.07</v>
      </c>
    </row>
    <row r="1945" spans="1:33" x14ac:dyDescent="0.25">
      <c r="A1945" t="s">
        <v>57</v>
      </c>
      <c r="B1945" s="3">
        <v>45406</v>
      </c>
      <c r="C1945">
        <v>2024115</v>
      </c>
      <c r="D1945">
        <v>14.34</v>
      </c>
      <c r="E1945" t="s">
        <v>27</v>
      </c>
      <c r="F1945">
        <v>2.7</v>
      </c>
      <c r="G1945">
        <v>8.5</v>
      </c>
      <c r="H1945">
        <v>-2.2000000000000002</v>
      </c>
      <c r="I1945">
        <v>72.8</v>
      </c>
      <c r="J1945">
        <v>42.5</v>
      </c>
      <c r="K1945">
        <v>0.7</v>
      </c>
      <c r="L1945">
        <v>2.9</v>
      </c>
      <c r="M1945">
        <v>0.1</v>
      </c>
      <c r="N1945">
        <v>0.52500000000000013</v>
      </c>
      <c r="O1945">
        <v>0.1</v>
      </c>
      <c r="P1945">
        <v>2.8</v>
      </c>
      <c r="Q1945">
        <v>11.6</v>
      </c>
      <c r="R1945">
        <v>-3.7</v>
      </c>
      <c r="S1945">
        <v>0.1</v>
      </c>
      <c r="T1945">
        <v>0.5</v>
      </c>
      <c r="U1945" t="s">
        <v>27</v>
      </c>
      <c r="V1945">
        <v>0.154</v>
      </c>
      <c r="W1945">
        <v>0.47</v>
      </c>
      <c r="X1945">
        <v>0.63600000000000001</v>
      </c>
      <c r="Y1945" t="s">
        <v>27</v>
      </c>
      <c r="Z1945" t="s">
        <v>27</v>
      </c>
      <c r="AA1945" t="s">
        <v>27</v>
      </c>
      <c r="AB1945" t="s">
        <v>27</v>
      </c>
      <c r="AC1945" t="s">
        <v>27</v>
      </c>
      <c r="AD1945" t="s">
        <v>27</v>
      </c>
      <c r="AE1945" t="s">
        <v>27</v>
      </c>
      <c r="AF1945" t="s">
        <v>27</v>
      </c>
      <c r="AG1945">
        <v>27.29</v>
      </c>
    </row>
    <row r="1946" spans="1:33" x14ac:dyDescent="0.25">
      <c r="A1946" t="s">
        <v>57</v>
      </c>
      <c r="B1946" s="3">
        <v>45407</v>
      </c>
      <c r="C1946">
        <v>2024116</v>
      </c>
      <c r="D1946">
        <v>8.7899999999999991</v>
      </c>
      <c r="E1946" t="s">
        <v>27</v>
      </c>
      <c r="F1946">
        <v>1.4</v>
      </c>
      <c r="G1946">
        <v>4.4000000000000004</v>
      </c>
      <c r="H1946">
        <v>-2.2999999999999998</v>
      </c>
      <c r="I1946">
        <v>91.2</v>
      </c>
      <c r="J1946">
        <v>66.8</v>
      </c>
      <c r="K1946">
        <v>0.3</v>
      </c>
      <c r="L1946">
        <v>1.8</v>
      </c>
      <c r="M1946">
        <v>16.100000000000001</v>
      </c>
      <c r="N1946">
        <v>0.52100000000000013</v>
      </c>
      <c r="O1946">
        <v>0.1</v>
      </c>
      <c r="P1946">
        <v>1</v>
      </c>
      <c r="Q1946">
        <v>5.5</v>
      </c>
      <c r="R1946">
        <v>-3.7</v>
      </c>
      <c r="S1946">
        <v>0.1</v>
      </c>
      <c r="T1946">
        <v>0.4</v>
      </c>
      <c r="U1946" t="s">
        <v>27</v>
      </c>
      <c r="V1946">
        <v>0.159</v>
      </c>
      <c r="W1946">
        <v>0.55800000000000005</v>
      </c>
      <c r="X1946">
        <v>0.27700000000000002</v>
      </c>
      <c r="Y1946" t="s">
        <v>27</v>
      </c>
      <c r="Z1946" t="s">
        <v>27</v>
      </c>
      <c r="AA1946" t="s">
        <v>27</v>
      </c>
      <c r="AB1946" t="s">
        <v>27</v>
      </c>
      <c r="AC1946" t="s">
        <v>27</v>
      </c>
      <c r="AD1946" t="s">
        <v>27</v>
      </c>
      <c r="AE1946" t="s">
        <v>27</v>
      </c>
      <c r="AF1946" t="s">
        <v>27</v>
      </c>
      <c r="AG1946">
        <v>27.5</v>
      </c>
    </row>
    <row r="1947" spans="1:33" x14ac:dyDescent="0.25">
      <c r="A1947" t="s">
        <v>57</v>
      </c>
      <c r="B1947" s="3">
        <v>45408</v>
      </c>
      <c r="C1947">
        <v>2024117</v>
      </c>
      <c r="D1947">
        <v>13.59</v>
      </c>
      <c r="E1947" t="s">
        <v>27</v>
      </c>
      <c r="F1947">
        <v>2.6</v>
      </c>
      <c r="G1947">
        <v>7.6</v>
      </c>
      <c r="H1947">
        <v>-1.3</v>
      </c>
      <c r="I1947">
        <v>89.2</v>
      </c>
      <c r="J1947">
        <v>63.2</v>
      </c>
      <c r="K1947">
        <v>0.4</v>
      </c>
      <c r="L1947">
        <v>2.2999999999999998</v>
      </c>
      <c r="M1947">
        <v>6.4</v>
      </c>
      <c r="N1947">
        <v>0.50500000000000012</v>
      </c>
      <c r="O1947">
        <v>0.1</v>
      </c>
      <c r="P1947">
        <v>2.5</v>
      </c>
      <c r="Q1947">
        <v>9.5</v>
      </c>
      <c r="R1947">
        <v>-2.5</v>
      </c>
      <c r="S1947">
        <v>0.1</v>
      </c>
      <c r="T1947">
        <v>0.4</v>
      </c>
      <c r="U1947" t="s">
        <v>27</v>
      </c>
      <c r="V1947">
        <v>0.16900000000000001</v>
      </c>
      <c r="W1947">
        <v>0.66</v>
      </c>
      <c r="X1947">
        <v>0.38400000000000001</v>
      </c>
      <c r="Y1947" t="s">
        <v>27</v>
      </c>
      <c r="Z1947" t="s">
        <v>27</v>
      </c>
      <c r="AA1947" t="s">
        <v>27</v>
      </c>
      <c r="AB1947" t="s">
        <v>27</v>
      </c>
      <c r="AC1947" t="s">
        <v>27</v>
      </c>
      <c r="AD1947" t="s">
        <v>27</v>
      </c>
      <c r="AE1947" t="s">
        <v>27</v>
      </c>
      <c r="AF1947" t="s">
        <v>27</v>
      </c>
      <c r="AG1947">
        <v>27.71</v>
      </c>
    </row>
    <row r="1948" spans="1:33" x14ac:dyDescent="0.25">
      <c r="A1948" t="s">
        <v>57</v>
      </c>
      <c r="B1948" s="3">
        <v>45409</v>
      </c>
      <c r="C1948">
        <v>2024118</v>
      </c>
      <c r="D1948">
        <v>11.6</v>
      </c>
      <c r="E1948" t="s">
        <v>27</v>
      </c>
      <c r="F1948">
        <v>2.1</v>
      </c>
      <c r="G1948">
        <v>7.4</v>
      </c>
      <c r="H1948">
        <v>-0.7</v>
      </c>
      <c r="I1948">
        <v>90.6</v>
      </c>
      <c r="J1948">
        <v>57.8</v>
      </c>
      <c r="K1948">
        <v>0.5</v>
      </c>
      <c r="L1948">
        <v>3.5</v>
      </c>
      <c r="M1948">
        <v>4.5999999999999996</v>
      </c>
      <c r="N1948">
        <v>0.504</v>
      </c>
      <c r="O1948">
        <v>0.1</v>
      </c>
      <c r="P1948">
        <v>1.9</v>
      </c>
      <c r="Q1948">
        <v>10</v>
      </c>
      <c r="R1948">
        <v>-1.6</v>
      </c>
      <c r="S1948">
        <v>0.1</v>
      </c>
      <c r="T1948">
        <v>0.4</v>
      </c>
      <c r="U1948" t="s">
        <v>27</v>
      </c>
      <c r="V1948">
        <v>0.16800000000000001</v>
      </c>
      <c r="W1948">
        <v>0.59399999999999997</v>
      </c>
      <c r="X1948">
        <v>0.434</v>
      </c>
      <c r="Y1948" t="s">
        <v>27</v>
      </c>
      <c r="Z1948" t="s">
        <v>27</v>
      </c>
      <c r="AA1948" t="s">
        <v>27</v>
      </c>
      <c r="AB1948" t="s">
        <v>27</v>
      </c>
      <c r="AC1948" t="s">
        <v>27</v>
      </c>
      <c r="AD1948" t="s">
        <v>27</v>
      </c>
      <c r="AE1948" t="s">
        <v>27</v>
      </c>
      <c r="AF1948" t="s">
        <v>27</v>
      </c>
      <c r="AG1948">
        <v>27.92</v>
      </c>
    </row>
    <row r="1949" spans="1:33" x14ac:dyDescent="0.25">
      <c r="A1949" t="s">
        <v>57</v>
      </c>
      <c r="B1949" s="3">
        <v>45410</v>
      </c>
      <c r="C1949">
        <v>2024119</v>
      </c>
      <c r="D1949">
        <v>9.4499999999999993</v>
      </c>
      <c r="E1949" t="s">
        <v>27</v>
      </c>
      <c r="F1949">
        <v>0.6</v>
      </c>
      <c r="G1949">
        <v>5</v>
      </c>
      <c r="H1949">
        <v>-3.2</v>
      </c>
      <c r="I1949">
        <v>87.3</v>
      </c>
      <c r="J1949">
        <v>51.4</v>
      </c>
      <c r="K1949">
        <v>0.4</v>
      </c>
      <c r="L1949">
        <v>2.6</v>
      </c>
      <c r="M1949">
        <v>5.3</v>
      </c>
      <c r="N1949">
        <v>0.53800000000000003</v>
      </c>
      <c r="O1949">
        <v>0.1</v>
      </c>
      <c r="P1949">
        <v>0.1</v>
      </c>
      <c r="Q1949">
        <v>6.4</v>
      </c>
      <c r="R1949">
        <v>-4.5</v>
      </c>
      <c r="S1949">
        <v>0.1</v>
      </c>
      <c r="T1949">
        <v>0.4</v>
      </c>
      <c r="U1949" t="s">
        <v>27</v>
      </c>
      <c r="V1949">
        <v>0.16500000000000001</v>
      </c>
      <c r="W1949">
        <v>0.44900000000000001</v>
      </c>
      <c r="X1949">
        <v>0.42499999999999999</v>
      </c>
      <c r="Y1949" t="s">
        <v>27</v>
      </c>
      <c r="Z1949" t="s">
        <v>27</v>
      </c>
      <c r="AA1949" t="s">
        <v>27</v>
      </c>
      <c r="AB1949" t="s">
        <v>27</v>
      </c>
      <c r="AC1949" t="s">
        <v>27</v>
      </c>
      <c r="AD1949" t="s">
        <v>27</v>
      </c>
      <c r="AE1949" t="s">
        <v>27</v>
      </c>
      <c r="AF1949" t="s">
        <v>27</v>
      </c>
      <c r="AG1949">
        <v>28.12</v>
      </c>
    </row>
    <row r="1950" spans="1:33" x14ac:dyDescent="0.25">
      <c r="A1950" t="s">
        <v>57</v>
      </c>
      <c r="B1950" s="3">
        <v>45411</v>
      </c>
      <c r="C1950">
        <v>2024120</v>
      </c>
      <c r="D1950">
        <v>18.11</v>
      </c>
      <c r="E1950" t="s">
        <v>27</v>
      </c>
      <c r="F1950">
        <v>-2.1</v>
      </c>
      <c r="G1950">
        <v>3</v>
      </c>
      <c r="H1950">
        <v>-6.5</v>
      </c>
      <c r="I1950">
        <v>75.7</v>
      </c>
      <c r="J1950">
        <v>41.9</v>
      </c>
      <c r="K1950">
        <v>1</v>
      </c>
      <c r="L1950">
        <v>3.1</v>
      </c>
      <c r="M1950">
        <v>1.7</v>
      </c>
      <c r="N1950">
        <v>0.50700000000000012</v>
      </c>
      <c r="O1950">
        <v>0.1</v>
      </c>
      <c r="P1950">
        <v>-1.6</v>
      </c>
      <c r="Q1950">
        <v>8.1999999999999993</v>
      </c>
      <c r="R1950">
        <v>-8.1</v>
      </c>
      <c r="S1950">
        <v>0.1</v>
      </c>
      <c r="T1950">
        <v>0.4</v>
      </c>
      <c r="U1950" t="s">
        <v>27</v>
      </c>
      <c r="V1950">
        <v>0.158</v>
      </c>
      <c r="W1950">
        <v>0.318</v>
      </c>
      <c r="X1950">
        <v>0.441</v>
      </c>
      <c r="Y1950" t="s">
        <v>27</v>
      </c>
      <c r="Z1950" t="s">
        <v>27</v>
      </c>
      <c r="AA1950" t="s">
        <v>27</v>
      </c>
      <c r="AB1950" t="s">
        <v>27</v>
      </c>
      <c r="AC1950" t="s">
        <v>27</v>
      </c>
      <c r="AD1950" t="s">
        <v>27</v>
      </c>
      <c r="AE1950" t="s">
        <v>27</v>
      </c>
      <c r="AF1950" t="s">
        <v>27</v>
      </c>
      <c r="AG1950">
        <v>28.32</v>
      </c>
    </row>
    <row r="1951" spans="1:33" x14ac:dyDescent="0.25">
      <c r="A1951" t="s">
        <v>57</v>
      </c>
      <c r="B1951" s="3">
        <v>45412</v>
      </c>
      <c r="C1951">
        <v>2024121</v>
      </c>
      <c r="D1951">
        <v>17.21</v>
      </c>
      <c r="E1951" t="s">
        <v>27</v>
      </c>
      <c r="F1951">
        <v>-2.2000000000000002</v>
      </c>
      <c r="G1951">
        <v>5.2</v>
      </c>
      <c r="H1951">
        <v>-9.6</v>
      </c>
      <c r="I1951">
        <v>68.2</v>
      </c>
      <c r="J1951">
        <v>29.2</v>
      </c>
      <c r="K1951">
        <v>0.6</v>
      </c>
      <c r="L1951">
        <v>2.6</v>
      </c>
      <c r="M1951">
        <v>0</v>
      </c>
      <c r="N1951">
        <v>0.50100000000000011</v>
      </c>
      <c r="O1951">
        <v>0.1</v>
      </c>
      <c r="P1951">
        <v>-2.2000000000000002</v>
      </c>
      <c r="Q1951">
        <v>10.1</v>
      </c>
      <c r="R1951">
        <v>-11.2</v>
      </c>
      <c r="S1951">
        <v>0.1</v>
      </c>
      <c r="T1951">
        <v>0.4</v>
      </c>
      <c r="U1951" t="s">
        <v>27</v>
      </c>
      <c r="V1951">
        <v>0.154</v>
      </c>
      <c r="W1951">
        <v>0.25800000000000001</v>
      </c>
      <c r="X1951">
        <v>0.626</v>
      </c>
      <c r="Y1951" t="s">
        <v>27</v>
      </c>
      <c r="Z1951" t="s">
        <v>27</v>
      </c>
      <c r="AA1951" t="s">
        <v>27</v>
      </c>
      <c r="AB1951" t="s">
        <v>27</v>
      </c>
      <c r="AC1951" t="s">
        <v>27</v>
      </c>
      <c r="AD1951" t="s">
        <v>27</v>
      </c>
      <c r="AE1951" t="s">
        <v>27</v>
      </c>
      <c r="AF1951" t="s">
        <v>27</v>
      </c>
      <c r="AG1951">
        <v>28.52</v>
      </c>
    </row>
    <row r="1952" spans="1:33" x14ac:dyDescent="0.25">
      <c r="A1952" t="s">
        <v>57</v>
      </c>
      <c r="B1952" s="3">
        <v>45413</v>
      </c>
      <c r="C1952">
        <v>2024122</v>
      </c>
      <c r="D1952">
        <v>21.83</v>
      </c>
      <c r="E1952" t="s">
        <v>27</v>
      </c>
      <c r="F1952">
        <v>0.3</v>
      </c>
      <c r="G1952">
        <v>7.7</v>
      </c>
      <c r="H1952">
        <v>-7.1</v>
      </c>
      <c r="I1952">
        <v>62.2</v>
      </c>
      <c r="J1952">
        <v>27.6</v>
      </c>
      <c r="K1952">
        <v>1</v>
      </c>
      <c r="L1952">
        <v>3.1</v>
      </c>
      <c r="M1952">
        <v>0</v>
      </c>
      <c r="N1952">
        <v>0.47100000000000009</v>
      </c>
      <c r="O1952">
        <v>0.1</v>
      </c>
      <c r="P1952">
        <v>0.6</v>
      </c>
      <c r="Q1952">
        <v>11.4</v>
      </c>
      <c r="R1952">
        <v>-8.6</v>
      </c>
      <c r="S1952">
        <v>0.1</v>
      </c>
      <c r="T1952">
        <v>0.4</v>
      </c>
      <c r="U1952" t="s">
        <v>27</v>
      </c>
      <c r="V1952">
        <v>0.151</v>
      </c>
      <c r="W1952">
        <v>0.28899999999999998</v>
      </c>
      <c r="X1952">
        <v>0.75800000000000001</v>
      </c>
      <c r="Y1952" t="s">
        <v>27</v>
      </c>
      <c r="Z1952" t="s">
        <v>27</v>
      </c>
      <c r="AA1952" t="s">
        <v>27</v>
      </c>
      <c r="AB1952" t="s">
        <v>27</v>
      </c>
      <c r="AC1952" t="s">
        <v>27</v>
      </c>
      <c r="AD1952" t="s">
        <v>27</v>
      </c>
      <c r="AE1952" t="s">
        <v>27</v>
      </c>
      <c r="AF1952" t="s">
        <v>27</v>
      </c>
      <c r="AG1952">
        <v>28.7</v>
      </c>
    </row>
    <row r="1953" spans="1:33" x14ac:dyDescent="0.25">
      <c r="A1953" t="s">
        <v>57</v>
      </c>
      <c r="B1953" s="3">
        <v>45414</v>
      </c>
      <c r="C1953">
        <v>2024123</v>
      </c>
      <c r="D1953">
        <v>15.64</v>
      </c>
      <c r="E1953" t="s">
        <v>27</v>
      </c>
      <c r="F1953">
        <v>1.4</v>
      </c>
      <c r="G1953">
        <v>9.9</v>
      </c>
      <c r="H1953">
        <v>-5.2</v>
      </c>
      <c r="I1953">
        <v>71.7</v>
      </c>
      <c r="J1953">
        <v>29.8</v>
      </c>
      <c r="K1953">
        <v>0.6</v>
      </c>
      <c r="L1953">
        <v>2.2000000000000002</v>
      </c>
      <c r="M1953">
        <v>0</v>
      </c>
      <c r="N1953">
        <v>0.45800000000000018</v>
      </c>
      <c r="O1953">
        <v>0.1</v>
      </c>
      <c r="P1953">
        <v>1.2</v>
      </c>
      <c r="Q1953">
        <v>14.8</v>
      </c>
      <c r="R1953">
        <v>-6.6</v>
      </c>
      <c r="S1953">
        <v>0.1</v>
      </c>
      <c r="T1953">
        <v>0.4</v>
      </c>
      <c r="U1953" t="s">
        <v>27</v>
      </c>
      <c r="V1953">
        <v>0.15</v>
      </c>
      <c r="W1953">
        <v>0.36299999999999999</v>
      </c>
      <c r="X1953">
        <v>0.85499999999999998</v>
      </c>
      <c r="Y1953" t="s">
        <v>27</v>
      </c>
      <c r="Z1953" t="s">
        <v>27</v>
      </c>
      <c r="AA1953" t="s">
        <v>27</v>
      </c>
      <c r="AB1953" t="s">
        <v>27</v>
      </c>
      <c r="AC1953" t="s">
        <v>27</v>
      </c>
      <c r="AD1953" t="s">
        <v>27</v>
      </c>
      <c r="AE1953" t="s">
        <v>27</v>
      </c>
      <c r="AF1953" t="s">
        <v>27</v>
      </c>
      <c r="AG1953">
        <v>28.89</v>
      </c>
    </row>
    <row r="1954" spans="1:33" x14ac:dyDescent="0.25">
      <c r="A1954" t="s">
        <v>57</v>
      </c>
      <c r="B1954" s="3">
        <v>45415</v>
      </c>
      <c r="C1954">
        <v>2024124</v>
      </c>
      <c r="D1954">
        <v>22.89</v>
      </c>
      <c r="E1954" t="s">
        <v>27</v>
      </c>
      <c r="F1954">
        <v>3.9</v>
      </c>
      <c r="G1954">
        <v>11.1</v>
      </c>
      <c r="H1954">
        <v>-4.8</v>
      </c>
      <c r="I1954">
        <v>64.3</v>
      </c>
      <c r="J1954">
        <v>32.799999999999997</v>
      </c>
      <c r="K1954">
        <v>0.9</v>
      </c>
      <c r="L1954">
        <v>2.9</v>
      </c>
      <c r="M1954">
        <v>0</v>
      </c>
      <c r="N1954">
        <v>0.41400000000000015</v>
      </c>
      <c r="O1954">
        <v>0.1</v>
      </c>
      <c r="P1954">
        <v>3.9</v>
      </c>
      <c r="Q1954">
        <v>18.100000000000001</v>
      </c>
      <c r="R1954">
        <v>-6.2</v>
      </c>
      <c r="S1954">
        <v>0.1</v>
      </c>
      <c r="T1954">
        <v>0.4</v>
      </c>
      <c r="U1954" t="s">
        <v>27</v>
      </c>
      <c r="V1954">
        <v>0.154</v>
      </c>
      <c r="W1954">
        <v>0.432</v>
      </c>
      <c r="X1954">
        <v>0.88500000000000001</v>
      </c>
      <c r="Y1954" t="s">
        <v>27</v>
      </c>
      <c r="Z1954" t="s">
        <v>27</v>
      </c>
      <c r="AA1954" t="s">
        <v>27</v>
      </c>
      <c r="AB1954" t="s">
        <v>27</v>
      </c>
      <c r="AC1954" t="s">
        <v>27</v>
      </c>
      <c r="AD1954" t="s">
        <v>27</v>
      </c>
      <c r="AE1954" t="s">
        <v>27</v>
      </c>
      <c r="AF1954" t="s">
        <v>27</v>
      </c>
      <c r="AG1954">
        <v>29.07</v>
      </c>
    </row>
    <row r="1955" spans="1:33" x14ac:dyDescent="0.25">
      <c r="A1955" t="s">
        <v>57</v>
      </c>
      <c r="B1955" s="3">
        <v>45416</v>
      </c>
      <c r="C1955">
        <v>2024125</v>
      </c>
      <c r="D1955">
        <v>14.3</v>
      </c>
      <c r="E1955" t="s">
        <v>27</v>
      </c>
      <c r="F1955">
        <v>6</v>
      </c>
      <c r="G1955">
        <v>10.5</v>
      </c>
      <c r="H1955">
        <v>0.2</v>
      </c>
      <c r="I1955">
        <v>52.3</v>
      </c>
      <c r="J1955">
        <v>33.299999999999997</v>
      </c>
      <c r="K1955">
        <v>0.8</v>
      </c>
      <c r="L1955">
        <v>2.2999999999999998</v>
      </c>
      <c r="M1955">
        <v>0</v>
      </c>
      <c r="N1955">
        <v>0.39800000000000013</v>
      </c>
      <c r="O1955">
        <v>0.1</v>
      </c>
      <c r="P1955">
        <v>5.9</v>
      </c>
      <c r="Q1955">
        <v>12.2</v>
      </c>
      <c r="R1955">
        <v>-0.9</v>
      </c>
      <c r="S1955">
        <v>0.1</v>
      </c>
      <c r="T1955">
        <v>0.4</v>
      </c>
      <c r="U1955" t="s">
        <v>27</v>
      </c>
      <c r="V1955">
        <v>0.16300000000000001</v>
      </c>
      <c r="W1955">
        <v>0.42399999999999999</v>
      </c>
      <c r="X1955">
        <v>0.84899999999999998</v>
      </c>
      <c r="Y1955" t="s">
        <v>27</v>
      </c>
      <c r="Z1955" t="s">
        <v>27</v>
      </c>
      <c r="AA1955" t="s">
        <v>27</v>
      </c>
      <c r="AB1955" t="s">
        <v>27</v>
      </c>
      <c r="AC1955" t="s">
        <v>27</v>
      </c>
      <c r="AD1955" t="s">
        <v>27</v>
      </c>
      <c r="AE1955" t="s">
        <v>27</v>
      </c>
      <c r="AF1955" t="s">
        <v>27</v>
      </c>
      <c r="AG1955">
        <v>29.25</v>
      </c>
    </row>
    <row r="1956" spans="1:33" x14ac:dyDescent="0.25">
      <c r="A1956" t="s">
        <v>57</v>
      </c>
      <c r="B1956" s="3">
        <v>45417</v>
      </c>
      <c r="C1956">
        <v>2024126</v>
      </c>
      <c r="D1956">
        <v>17.510000000000002</v>
      </c>
      <c r="E1956" t="s">
        <v>27</v>
      </c>
      <c r="F1956">
        <v>5.5</v>
      </c>
      <c r="G1956">
        <v>12.6</v>
      </c>
      <c r="H1956">
        <v>0</v>
      </c>
      <c r="I1956">
        <v>66.599999999999994</v>
      </c>
      <c r="J1956">
        <v>34.700000000000003</v>
      </c>
      <c r="K1956">
        <v>1.1000000000000001</v>
      </c>
      <c r="L1956">
        <v>4.0999999999999996</v>
      </c>
      <c r="M1956">
        <v>0</v>
      </c>
      <c r="N1956">
        <v>0.36000000000000032</v>
      </c>
      <c r="O1956">
        <v>0.1</v>
      </c>
      <c r="P1956">
        <v>5.6</v>
      </c>
      <c r="Q1956">
        <v>19.2</v>
      </c>
      <c r="R1956">
        <v>-1.1000000000000001</v>
      </c>
      <c r="S1956">
        <v>0.1</v>
      </c>
      <c r="T1956">
        <v>0.4</v>
      </c>
      <c r="U1956" t="s">
        <v>27</v>
      </c>
      <c r="V1956">
        <v>0.17799999999999999</v>
      </c>
      <c r="W1956">
        <v>0.50700000000000001</v>
      </c>
      <c r="X1956">
        <v>0.95399999999999996</v>
      </c>
      <c r="Y1956" t="s">
        <v>27</v>
      </c>
      <c r="Z1956" t="s">
        <v>27</v>
      </c>
      <c r="AA1956" t="s">
        <v>27</v>
      </c>
      <c r="AB1956" t="s">
        <v>27</v>
      </c>
      <c r="AC1956" t="s">
        <v>27</v>
      </c>
      <c r="AD1956" t="s">
        <v>27</v>
      </c>
      <c r="AE1956" t="s">
        <v>27</v>
      </c>
      <c r="AF1956" t="s">
        <v>27</v>
      </c>
      <c r="AG1956">
        <v>29.43</v>
      </c>
    </row>
    <row r="1957" spans="1:33" x14ac:dyDescent="0.25">
      <c r="A1957" t="s">
        <v>57</v>
      </c>
      <c r="B1957" s="3">
        <v>45418</v>
      </c>
      <c r="C1957">
        <v>2024127</v>
      </c>
      <c r="D1957">
        <v>17.34</v>
      </c>
      <c r="E1957" t="s">
        <v>27</v>
      </c>
      <c r="F1957">
        <v>2</v>
      </c>
      <c r="G1957">
        <v>7.8</v>
      </c>
      <c r="H1957">
        <v>-3.2</v>
      </c>
      <c r="I1957">
        <v>68.2</v>
      </c>
      <c r="J1957">
        <v>37.1</v>
      </c>
      <c r="K1957">
        <v>1.4</v>
      </c>
      <c r="L1957">
        <v>3.8</v>
      </c>
      <c r="M1957">
        <v>0</v>
      </c>
      <c r="N1957">
        <v>0.35000000000000009</v>
      </c>
      <c r="O1957">
        <v>0.1</v>
      </c>
      <c r="P1957">
        <v>2.2000000000000002</v>
      </c>
      <c r="Q1957">
        <v>11.7</v>
      </c>
      <c r="R1957">
        <v>-4.8</v>
      </c>
      <c r="S1957">
        <v>0.1</v>
      </c>
      <c r="T1957">
        <v>0.4</v>
      </c>
      <c r="U1957" t="s">
        <v>27</v>
      </c>
      <c r="V1957">
        <v>0.17699999999999999</v>
      </c>
      <c r="W1957">
        <v>0.39300000000000002</v>
      </c>
      <c r="X1957">
        <v>0.66600000000000004</v>
      </c>
      <c r="Y1957" t="s">
        <v>27</v>
      </c>
      <c r="Z1957" t="s">
        <v>27</v>
      </c>
      <c r="AA1957" t="s">
        <v>27</v>
      </c>
      <c r="AB1957" t="s">
        <v>27</v>
      </c>
      <c r="AC1957" t="s">
        <v>27</v>
      </c>
      <c r="AD1957" t="s">
        <v>27</v>
      </c>
      <c r="AE1957" t="s">
        <v>27</v>
      </c>
      <c r="AF1957" t="s">
        <v>27</v>
      </c>
      <c r="AG1957">
        <v>29.61</v>
      </c>
    </row>
    <row r="1958" spans="1:33" x14ac:dyDescent="0.25">
      <c r="A1958" t="s">
        <v>57</v>
      </c>
      <c r="B1958" s="3">
        <v>45419</v>
      </c>
      <c r="C1958">
        <v>2024128</v>
      </c>
      <c r="D1958">
        <v>14.38</v>
      </c>
      <c r="E1958" t="s">
        <v>27</v>
      </c>
      <c r="F1958">
        <v>1.2</v>
      </c>
      <c r="G1958">
        <v>6.6</v>
      </c>
      <c r="H1958">
        <v>-2.5</v>
      </c>
      <c r="I1958">
        <v>69.7</v>
      </c>
      <c r="J1958">
        <v>42.4</v>
      </c>
      <c r="K1958">
        <v>1.5</v>
      </c>
      <c r="L1958">
        <v>3.4</v>
      </c>
      <c r="M1958">
        <v>0</v>
      </c>
      <c r="N1958">
        <v>0.32800000000000029</v>
      </c>
      <c r="O1958">
        <v>0.1</v>
      </c>
      <c r="P1958">
        <v>1.3</v>
      </c>
      <c r="Q1958">
        <v>9.1999999999999993</v>
      </c>
      <c r="R1958">
        <v>-4</v>
      </c>
      <c r="S1958">
        <v>0.1</v>
      </c>
      <c r="T1958">
        <v>0.4</v>
      </c>
      <c r="U1958" t="s">
        <v>27</v>
      </c>
      <c r="V1958">
        <v>0.16800000000000001</v>
      </c>
      <c r="W1958">
        <v>0.41299999999999998</v>
      </c>
      <c r="X1958">
        <v>0.56100000000000005</v>
      </c>
      <c r="Y1958" t="s">
        <v>27</v>
      </c>
      <c r="Z1958" t="s">
        <v>27</v>
      </c>
      <c r="AA1958" t="s">
        <v>27</v>
      </c>
      <c r="AB1958" t="s">
        <v>27</v>
      </c>
      <c r="AC1958" t="s">
        <v>27</v>
      </c>
      <c r="AD1958" t="s">
        <v>27</v>
      </c>
      <c r="AE1958" t="s">
        <v>27</v>
      </c>
      <c r="AF1958" t="s">
        <v>27</v>
      </c>
      <c r="AG1958">
        <v>29.77</v>
      </c>
    </row>
    <row r="1959" spans="1:33" x14ac:dyDescent="0.25">
      <c r="A1959" t="s">
        <v>57</v>
      </c>
      <c r="B1959" s="3">
        <v>45420</v>
      </c>
      <c r="C1959">
        <v>2024129</v>
      </c>
      <c r="D1959">
        <v>30.33</v>
      </c>
      <c r="E1959" t="s">
        <v>27</v>
      </c>
      <c r="F1959">
        <v>4.4000000000000004</v>
      </c>
      <c r="G1959">
        <v>13.2</v>
      </c>
      <c r="H1959">
        <v>-2.4</v>
      </c>
      <c r="I1959">
        <v>52.5</v>
      </c>
      <c r="J1959">
        <v>22.1</v>
      </c>
      <c r="K1959">
        <v>1</v>
      </c>
      <c r="L1959">
        <v>2.9</v>
      </c>
      <c r="M1959">
        <v>0</v>
      </c>
      <c r="N1959">
        <v>0.29200000000000026</v>
      </c>
      <c r="O1959">
        <v>0.1</v>
      </c>
      <c r="P1959">
        <v>5</v>
      </c>
      <c r="Q1959">
        <v>17.399999999999999</v>
      </c>
      <c r="R1959">
        <v>-3.9</v>
      </c>
      <c r="S1959">
        <v>0.1</v>
      </c>
      <c r="T1959">
        <v>0.4</v>
      </c>
      <c r="U1959" t="s">
        <v>27</v>
      </c>
      <c r="V1959">
        <v>0.17</v>
      </c>
      <c r="W1959">
        <v>0.33600000000000002</v>
      </c>
      <c r="X1959">
        <v>1.1839999999999999</v>
      </c>
      <c r="Y1959" t="s">
        <v>27</v>
      </c>
      <c r="Z1959" t="s">
        <v>27</v>
      </c>
      <c r="AA1959" t="s">
        <v>27</v>
      </c>
      <c r="AB1959" t="s">
        <v>27</v>
      </c>
      <c r="AC1959" t="s">
        <v>27</v>
      </c>
      <c r="AD1959" t="s">
        <v>27</v>
      </c>
      <c r="AE1959" t="s">
        <v>27</v>
      </c>
      <c r="AF1959" t="s">
        <v>27</v>
      </c>
      <c r="AG1959">
        <v>29.94</v>
      </c>
    </row>
    <row r="1960" spans="1:33" x14ac:dyDescent="0.25">
      <c r="A1960" t="s">
        <v>57</v>
      </c>
      <c r="B1960" s="3">
        <v>45421</v>
      </c>
      <c r="C1960">
        <v>2024130</v>
      </c>
      <c r="D1960">
        <v>31.81</v>
      </c>
      <c r="E1960" t="s">
        <v>27</v>
      </c>
      <c r="F1960">
        <v>8.8000000000000007</v>
      </c>
      <c r="G1960">
        <v>17.5</v>
      </c>
      <c r="H1960">
        <v>-1.4</v>
      </c>
      <c r="I1960">
        <v>46.6</v>
      </c>
      <c r="J1960">
        <v>21.2</v>
      </c>
      <c r="K1960">
        <v>1.1000000000000001</v>
      </c>
      <c r="L1960">
        <v>2.7</v>
      </c>
      <c r="M1960">
        <v>0</v>
      </c>
      <c r="N1960">
        <v>0.23200000000000021</v>
      </c>
      <c r="O1960">
        <v>0.1</v>
      </c>
      <c r="P1960">
        <v>9</v>
      </c>
      <c r="Q1960">
        <v>21.4</v>
      </c>
      <c r="R1960">
        <v>-3.2</v>
      </c>
      <c r="S1960">
        <v>0.1</v>
      </c>
      <c r="T1960">
        <v>0.4</v>
      </c>
      <c r="U1960" t="s">
        <v>27</v>
      </c>
      <c r="V1960">
        <v>0.19900000000000001</v>
      </c>
      <c r="W1960">
        <v>0.42499999999999999</v>
      </c>
      <c r="X1960">
        <v>1.58</v>
      </c>
      <c r="Y1960" t="s">
        <v>27</v>
      </c>
      <c r="Z1960" t="s">
        <v>27</v>
      </c>
      <c r="AA1960" t="s">
        <v>27</v>
      </c>
      <c r="AB1960" t="s">
        <v>27</v>
      </c>
      <c r="AC1960" t="s">
        <v>27</v>
      </c>
      <c r="AD1960" t="s">
        <v>27</v>
      </c>
      <c r="AE1960" t="s">
        <v>27</v>
      </c>
      <c r="AF1960" t="s">
        <v>27</v>
      </c>
      <c r="AG1960">
        <v>30.1</v>
      </c>
    </row>
    <row r="1961" spans="1:33" x14ac:dyDescent="0.25">
      <c r="A1961" t="s">
        <v>57</v>
      </c>
      <c r="B1961" s="3">
        <v>45422</v>
      </c>
      <c r="C1961">
        <v>2024131</v>
      </c>
      <c r="D1961">
        <v>33.21</v>
      </c>
      <c r="E1961" t="s">
        <v>27</v>
      </c>
      <c r="F1961">
        <v>10.3</v>
      </c>
      <c r="G1961">
        <v>22.1</v>
      </c>
      <c r="H1961">
        <v>-1.7</v>
      </c>
      <c r="I1961">
        <v>52.6</v>
      </c>
      <c r="J1961">
        <v>13.4</v>
      </c>
      <c r="K1961">
        <v>0.6</v>
      </c>
      <c r="L1961">
        <v>2.6</v>
      </c>
      <c r="M1961">
        <v>0</v>
      </c>
      <c r="N1961">
        <v>0.16100000000000003</v>
      </c>
      <c r="O1961">
        <v>0</v>
      </c>
      <c r="P1961">
        <v>10.7</v>
      </c>
      <c r="Q1961">
        <v>26.6</v>
      </c>
      <c r="R1961">
        <v>-3.3</v>
      </c>
      <c r="S1961">
        <v>0</v>
      </c>
      <c r="T1961">
        <v>0.3</v>
      </c>
      <c r="U1961" t="s">
        <v>27</v>
      </c>
      <c r="V1961">
        <v>0.215</v>
      </c>
      <c r="W1961">
        <v>0.35599999999999998</v>
      </c>
      <c r="X1961">
        <v>2.3010000000000002</v>
      </c>
      <c r="Y1961" t="s">
        <v>27</v>
      </c>
      <c r="Z1961" t="s">
        <v>27</v>
      </c>
      <c r="AA1961" t="s">
        <v>27</v>
      </c>
      <c r="AB1961" t="s">
        <v>27</v>
      </c>
      <c r="AC1961" t="s">
        <v>27</v>
      </c>
      <c r="AD1961" t="s">
        <v>27</v>
      </c>
      <c r="AE1961" t="s">
        <v>27</v>
      </c>
      <c r="AF1961" t="s">
        <v>27</v>
      </c>
      <c r="AG1961">
        <v>30.26</v>
      </c>
    </row>
    <row r="1962" spans="1:33" x14ac:dyDescent="0.25">
      <c r="A1962" t="s">
        <v>57</v>
      </c>
      <c r="B1962" s="3">
        <v>45423</v>
      </c>
      <c r="C1962">
        <v>2024132</v>
      </c>
      <c r="D1962">
        <v>32.57</v>
      </c>
      <c r="E1962" t="s">
        <v>27</v>
      </c>
      <c r="F1962">
        <v>12</v>
      </c>
      <c r="G1962">
        <v>21.4</v>
      </c>
      <c r="H1962">
        <v>-0.3</v>
      </c>
      <c r="I1962">
        <v>44.7</v>
      </c>
      <c r="J1962">
        <v>18.399999999999999</v>
      </c>
      <c r="K1962">
        <v>1.2</v>
      </c>
      <c r="L1962">
        <v>3.6</v>
      </c>
      <c r="M1962">
        <v>0</v>
      </c>
      <c r="N1962">
        <v>8.0999999999999961E-2</v>
      </c>
      <c r="O1962">
        <v>0.1</v>
      </c>
      <c r="P1962">
        <v>12.2</v>
      </c>
      <c r="Q1962">
        <v>24.9</v>
      </c>
      <c r="R1962">
        <v>-1.8</v>
      </c>
      <c r="S1962">
        <v>0.1</v>
      </c>
      <c r="T1962">
        <v>0.4</v>
      </c>
      <c r="U1962" t="s">
        <v>27</v>
      </c>
      <c r="V1962">
        <v>0.20499999999999999</v>
      </c>
      <c r="W1962">
        <v>0.46800000000000003</v>
      </c>
      <c r="X1962">
        <v>2.0750000000000002</v>
      </c>
      <c r="Y1962" t="s">
        <v>27</v>
      </c>
      <c r="Z1962" t="s">
        <v>27</v>
      </c>
      <c r="AA1962" t="s">
        <v>27</v>
      </c>
      <c r="AB1962" t="s">
        <v>27</v>
      </c>
      <c r="AC1962" t="s">
        <v>27</v>
      </c>
      <c r="AD1962" t="s">
        <v>27</v>
      </c>
      <c r="AE1962" t="s">
        <v>27</v>
      </c>
      <c r="AF1962" t="s">
        <v>27</v>
      </c>
      <c r="AG1962">
        <v>30.41</v>
      </c>
    </row>
    <row r="1963" spans="1:33" x14ac:dyDescent="0.25">
      <c r="A1963" t="s">
        <v>57</v>
      </c>
      <c r="B1963" s="3">
        <v>45424</v>
      </c>
      <c r="C1963">
        <v>2024133</v>
      </c>
      <c r="D1963">
        <v>31.25</v>
      </c>
      <c r="E1963" t="s">
        <v>27</v>
      </c>
      <c r="F1963">
        <v>12.8</v>
      </c>
      <c r="G1963">
        <v>20.399999999999999</v>
      </c>
      <c r="H1963">
        <v>2</v>
      </c>
      <c r="I1963">
        <v>40.6</v>
      </c>
      <c r="J1963">
        <v>21.8</v>
      </c>
      <c r="K1963">
        <v>1.4</v>
      </c>
      <c r="L1963">
        <v>3.5</v>
      </c>
      <c r="M1963">
        <v>0</v>
      </c>
      <c r="N1963">
        <v>0</v>
      </c>
      <c r="O1963" t="s">
        <v>27</v>
      </c>
      <c r="P1963">
        <v>12.8</v>
      </c>
      <c r="Q1963">
        <v>23.7</v>
      </c>
      <c r="R1963">
        <v>0.8</v>
      </c>
      <c r="S1963">
        <v>1.7</v>
      </c>
      <c r="T1963">
        <v>1</v>
      </c>
      <c r="U1963" t="s">
        <v>27</v>
      </c>
      <c r="V1963">
        <v>0.192</v>
      </c>
      <c r="W1963">
        <v>0.52200000000000002</v>
      </c>
      <c r="X1963">
        <v>1.8720000000000001</v>
      </c>
      <c r="Y1963" t="s">
        <v>27</v>
      </c>
      <c r="Z1963" t="s">
        <v>27</v>
      </c>
      <c r="AA1963" t="s">
        <v>27</v>
      </c>
      <c r="AB1963" t="s">
        <v>27</v>
      </c>
      <c r="AC1963" t="s">
        <v>27</v>
      </c>
      <c r="AD1963" t="s">
        <v>27</v>
      </c>
      <c r="AE1963" t="s">
        <v>27</v>
      </c>
      <c r="AF1963" t="s">
        <v>27</v>
      </c>
      <c r="AG1963">
        <v>30.57</v>
      </c>
    </row>
    <row r="1964" spans="1:33" x14ac:dyDescent="0.25">
      <c r="A1964" t="s">
        <v>57</v>
      </c>
      <c r="B1964" s="3">
        <v>45425</v>
      </c>
      <c r="C1964">
        <v>2024134</v>
      </c>
      <c r="D1964">
        <v>21.18</v>
      </c>
      <c r="E1964" t="s">
        <v>27</v>
      </c>
      <c r="F1964">
        <v>7.1</v>
      </c>
      <c r="G1964">
        <v>11.6</v>
      </c>
      <c r="H1964">
        <v>0.9</v>
      </c>
      <c r="I1964">
        <v>70.2</v>
      </c>
      <c r="J1964">
        <v>44.1</v>
      </c>
      <c r="K1964">
        <v>1.3</v>
      </c>
      <c r="L1964">
        <v>3.4</v>
      </c>
      <c r="M1964">
        <v>2.2999999999999998</v>
      </c>
      <c r="N1964">
        <v>0</v>
      </c>
      <c r="O1964" t="s">
        <v>27</v>
      </c>
      <c r="P1964">
        <v>7</v>
      </c>
      <c r="Q1964">
        <v>14.1</v>
      </c>
      <c r="R1964">
        <v>-0.3</v>
      </c>
      <c r="S1964">
        <v>7.4</v>
      </c>
      <c r="T1964">
        <v>3.5</v>
      </c>
      <c r="U1964" t="s">
        <v>27</v>
      </c>
      <c r="V1964">
        <v>0.17199999999999999</v>
      </c>
      <c r="W1964">
        <v>0.60299999999999998</v>
      </c>
      <c r="X1964">
        <v>0.76400000000000001</v>
      </c>
      <c r="Y1964" t="s">
        <v>27</v>
      </c>
      <c r="Z1964" t="s">
        <v>27</v>
      </c>
      <c r="AA1964" t="s">
        <v>27</v>
      </c>
      <c r="AB1964" t="s">
        <v>27</v>
      </c>
      <c r="AC1964" t="s">
        <v>27</v>
      </c>
      <c r="AD1964" t="s">
        <v>27</v>
      </c>
      <c r="AE1964" t="s">
        <v>27</v>
      </c>
      <c r="AF1964" t="s">
        <v>27</v>
      </c>
      <c r="AG1964">
        <v>30.71</v>
      </c>
    </row>
    <row r="1965" spans="1:33" x14ac:dyDescent="0.25">
      <c r="A1965" t="s">
        <v>57</v>
      </c>
      <c r="B1965" s="3">
        <v>45426</v>
      </c>
      <c r="C1965">
        <v>2024135</v>
      </c>
      <c r="D1965">
        <v>28.49</v>
      </c>
      <c r="E1965" t="s">
        <v>27</v>
      </c>
      <c r="F1965">
        <v>6.7</v>
      </c>
      <c r="G1965">
        <v>15.4</v>
      </c>
      <c r="H1965">
        <v>-0.5</v>
      </c>
      <c r="I1965">
        <v>71.400000000000006</v>
      </c>
      <c r="J1965">
        <v>36.9</v>
      </c>
      <c r="K1965">
        <v>0.7</v>
      </c>
      <c r="L1965">
        <v>2.5</v>
      </c>
      <c r="M1965">
        <v>0</v>
      </c>
      <c r="N1965">
        <v>0</v>
      </c>
      <c r="O1965" t="s">
        <v>27</v>
      </c>
      <c r="P1965">
        <v>7.2</v>
      </c>
      <c r="Q1965">
        <v>19.7</v>
      </c>
      <c r="R1965">
        <v>-1.6</v>
      </c>
      <c r="S1965">
        <v>9.8000000000000007</v>
      </c>
      <c r="T1965">
        <v>5.4</v>
      </c>
      <c r="U1965" t="s">
        <v>27</v>
      </c>
      <c r="V1965">
        <v>0.16</v>
      </c>
      <c r="W1965">
        <v>0.64300000000000002</v>
      </c>
      <c r="X1965">
        <v>1.1000000000000001</v>
      </c>
      <c r="Y1965" t="s">
        <v>27</v>
      </c>
      <c r="Z1965" t="s">
        <v>27</v>
      </c>
      <c r="AA1965" t="s">
        <v>27</v>
      </c>
      <c r="AB1965" t="s">
        <v>27</v>
      </c>
      <c r="AC1965" t="s">
        <v>27</v>
      </c>
      <c r="AD1965" t="s">
        <v>27</v>
      </c>
      <c r="AE1965" t="s">
        <v>27</v>
      </c>
      <c r="AF1965" t="s">
        <v>27</v>
      </c>
      <c r="AG1965">
        <v>30.86</v>
      </c>
    </row>
    <row r="1966" spans="1:33" x14ac:dyDescent="0.25">
      <c r="A1966" t="s">
        <v>57</v>
      </c>
      <c r="B1966" s="3">
        <v>45427</v>
      </c>
      <c r="C1966">
        <v>2024136</v>
      </c>
      <c r="D1966">
        <v>23.38</v>
      </c>
      <c r="E1966" t="s">
        <v>27</v>
      </c>
      <c r="F1966">
        <v>8.3000000000000007</v>
      </c>
      <c r="G1966">
        <v>14.9</v>
      </c>
      <c r="H1966">
        <v>-1.2</v>
      </c>
      <c r="I1966">
        <v>67.900000000000006</v>
      </c>
      <c r="J1966">
        <v>45.8</v>
      </c>
      <c r="K1966">
        <v>1.5</v>
      </c>
      <c r="L1966">
        <v>4</v>
      </c>
      <c r="M1966">
        <v>0</v>
      </c>
      <c r="N1966">
        <v>0</v>
      </c>
      <c r="O1966" t="s">
        <v>27</v>
      </c>
      <c r="P1966">
        <v>8.5</v>
      </c>
      <c r="Q1966">
        <v>16.7</v>
      </c>
      <c r="R1966">
        <v>-2.2000000000000002</v>
      </c>
      <c r="S1966">
        <v>9.6</v>
      </c>
      <c r="T1966">
        <v>6.1</v>
      </c>
      <c r="U1966" t="s">
        <v>27</v>
      </c>
      <c r="V1966">
        <v>0.152</v>
      </c>
      <c r="W1966">
        <v>0.77600000000000002</v>
      </c>
      <c r="X1966">
        <v>0.91800000000000004</v>
      </c>
      <c r="Y1966" t="s">
        <v>27</v>
      </c>
      <c r="Z1966" t="s">
        <v>27</v>
      </c>
      <c r="AA1966" t="s">
        <v>27</v>
      </c>
      <c r="AB1966" t="s">
        <v>27</v>
      </c>
      <c r="AC1966" t="s">
        <v>27</v>
      </c>
      <c r="AD1966" t="s">
        <v>27</v>
      </c>
      <c r="AE1966" t="s">
        <v>27</v>
      </c>
      <c r="AF1966" t="s">
        <v>27</v>
      </c>
      <c r="AG1966">
        <v>31</v>
      </c>
    </row>
    <row r="1967" spans="1:33" x14ac:dyDescent="0.25">
      <c r="A1967" t="s">
        <v>57</v>
      </c>
      <c r="B1967" s="3">
        <v>45428</v>
      </c>
      <c r="C1967">
        <v>2024137</v>
      </c>
      <c r="D1967">
        <v>25.51</v>
      </c>
      <c r="E1967" t="s">
        <v>27</v>
      </c>
      <c r="F1967">
        <v>7.8</v>
      </c>
      <c r="G1967">
        <v>12.4</v>
      </c>
      <c r="H1967">
        <v>1.3</v>
      </c>
      <c r="I1967">
        <v>54.4</v>
      </c>
      <c r="J1967">
        <v>36.5</v>
      </c>
      <c r="K1967">
        <v>2.2000000000000002</v>
      </c>
      <c r="L1967">
        <v>5.9</v>
      </c>
      <c r="M1967">
        <v>0</v>
      </c>
      <c r="N1967">
        <v>0</v>
      </c>
      <c r="O1967" t="s">
        <v>27</v>
      </c>
      <c r="P1967">
        <v>7.8</v>
      </c>
      <c r="Q1967">
        <v>15</v>
      </c>
      <c r="R1967">
        <v>0.7</v>
      </c>
      <c r="S1967">
        <v>9.9</v>
      </c>
      <c r="T1967">
        <v>6.9</v>
      </c>
      <c r="U1967" t="s">
        <v>27</v>
      </c>
      <c r="V1967">
        <v>0.14499999999999999</v>
      </c>
      <c r="W1967">
        <v>0.52500000000000002</v>
      </c>
      <c r="X1967">
        <v>0.91300000000000003</v>
      </c>
      <c r="Y1967" t="s">
        <v>27</v>
      </c>
      <c r="Z1967" t="s">
        <v>27</v>
      </c>
      <c r="AA1967" t="s">
        <v>27</v>
      </c>
      <c r="AB1967" t="s">
        <v>27</v>
      </c>
      <c r="AC1967" t="s">
        <v>27</v>
      </c>
      <c r="AD1967" t="s">
        <v>27</v>
      </c>
      <c r="AE1967" t="s">
        <v>27</v>
      </c>
      <c r="AF1967" t="s">
        <v>27</v>
      </c>
      <c r="AG1967">
        <v>31.14</v>
      </c>
    </row>
    <row r="1968" spans="1:33" x14ac:dyDescent="0.25">
      <c r="A1968" t="s">
        <v>57</v>
      </c>
      <c r="B1968" s="3">
        <v>45429</v>
      </c>
      <c r="C1968">
        <v>2024138</v>
      </c>
      <c r="D1968">
        <v>9.51</v>
      </c>
      <c r="E1968" t="s">
        <v>27</v>
      </c>
      <c r="F1968">
        <v>0.3</v>
      </c>
      <c r="G1968">
        <v>4.8</v>
      </c>
      <c r="H1968">
        <v>-2</v>
      </c>
      <c r="I1968">
        <v>84.6</v>
      </c>
      <c r="J1968">
        <v>63.5</v>
      </c>
      <c r="K1968">
        <v>1.4</v>
      </c>
      <c r="L1968">
        <v>3.6</v>
      </c>
      <c r="M1968">
        <v>12.5</v>
      </c>
      <c r="N1968">
        <v>0</v>
      </c>
      <c r="O1968" t="s">
        <v>27</v>
      </c>
      <c r="P1968">
        <v>0.6</v>
      </c>
      <c r="Q1968">
        <v>11.1</v>
      </c>
      <c r="R1968">
        <v>-2.2999999999999998</v>
      </c>
      <c r="S1968">
        <v>1.1000000000000001</v>
      </c>
      <c r="T1968">
        <v>4.3</v>
      </c>
      <c r="U1968" t="s">
        <v>27</v>
      </c>
      <c r="V1968">
        <v>0.14399999999999999</v>
      </c>
      <c r="W1968">
        <v>0.54700000000000004</v>
      </c>
      <c r="X1968">
        <v>0.314</v>
      </c>
      <c r="Y1968" t="s">
        <v>27</v>
      </c>
      <c r="Z1968" t="s">
        <v>27</v>
      </c>
      <c r="AA1968" t="s">
        <v>27</v>
      </c>
      <c r="AB1968" t="s">
        <v>27</v>
      </c>
      <c r="AC1968" t="s">
        <v>27</v>
      </c>
      <c r="AD1968" t="s">
        <v>27</v>
      </c>
      <c r="AE1968" t="s">
        <v>27</v>
      </c>
      <c r="AF1968" t="s">
        <v>27</v>
      </c>
      <c r="AG1968">
        <v>31.27</v>
      </c>
    </row>
    <row r="1969" spans="1:33" x14ac:dyDescent="0.25">
      <c r="A1969" t="s">
        <v>57</v>
      </c>
      <c r="B1969" s="3">
        <v>45430</v>
      </c>
      <c r="C1969">
        <v>2024139</v>
      </c>
      <c r="D1969">
        <v>14.47</v>
      </c>
      <c r="E1969" t="s">
        <v>27</v>
      </c>
      <c r="F1969">
        <v>1.1000000000000001</v>
      </c>
      <c r="G1969">
        <v>7.2</v>
      </c>
      <c r="H1969">
        <v>-2.8</v>
      </c>
      <c r="I1969">
        <v>83.3</v>
      </c>
      <c r="J1969">
        <v>53</v>
      </c>
      <c r="K1969">
        <v>0.7</v>
      </c>
      <c r="L1969">
        <v>2.5</v>
      </c>
      <c r="M1969">
        <v>3</v>
      </c>
      <c r="N1969">
        <v>0</v>
      </c>
      <c r="O1969" t="s">
        <v>27</v>
      </c>
      <c r="P1969">
        <v>1.5</v>
      </c>
      <c r="Q1969">
        <v>11.8</v>
      </c>
      <c r="R1969">
        <v>-4.2</v>
      </c>
      <c r="S1969">
        <v>0.7</v>
      </c>
      <c r="T1969">
        <v>2.6</v>
      </c>
      <c r="U1969" t="s">
        <v>27</v>
      </c>
      <c r="V1969">
        <v>0.157</v>
      </c>
      <c r="W1969">
        <v>0.53800000000000003</v>
      </c>
      <c r="X1969">
        <v>0.47699999999999998</v>
      </c>
      <c r="Y1969" t="s">
        <v>27</v>
      </c>
      <c r="Z1969" t="s">
        <v>27</v>
      </c>
      <c r="AA1969" t="s">
        <v>27</v>
      </c>
      <c r="AB1969" t="s">
        <v>27</v>
      </c>
      <c r="AC1969" t="s">
        <v>27</v>
      </c>
      <c r="AD1969" t="s">
        <v>27</v>
      </c>
      <c r="AE1969" t="s">
        <v>27</v>
      </c>
      <c r="AF1969" t="s">
        <v>27</v>
      </c>
      <c r="AG1969">
        <v>31.4</v>
      </c>
    </row>
    <row r="1970" spans="1:33" x14ac:dyDescent="0.25">
      <c r="A1970" t="s">
        <v>57</v>
      </c>
      <c r="B1970" s="3">
        <v>45431</v>
      </c>
      <c r="C1970">
        <v>2024140</v>
      </c>
      <c r="D1970">
        <v>12.85</v>
      </c>
      <c r="E1970" t="s">
        <v>27</v>
      </c>
      <c r="F1970">
        <v>1.8</v>
      </c>
      <c r="G1970">
        <v>7</v>
      </c>
      <c r="H1970">
        <v>-1.8</v>
      </c>
      <c r="I1970">
        <v>84.7</v>
      </c>
      <c r="J1970">
        <v>52.5</v>
      </c>
      <c r="K1970">
        <v>0.7</v>
      </c>
      <c r="L1970">
        <v>2.7</v>
      </c>
      <c r="M1970">
        <v>3.8</v>
      </c>
      <c r="N1970">
        <v>0</v>
      </c>
      <c r="O1970" t="s">
        <v>27</v>
      </c>
      <c r="P1970">
        <v>1.7</v>
      </c>
      <c r="Q1970">
        <v>9.5</v>
      </c>
      <c r="R1970">
        <v>-3.1</v>
      </c>
      <c r="S1970">
        <v>2.9</v>
      </c>
      <c r="T1970">
        <v>2.6</v>
      </c>
      <c r="U1970" t="s">
        <v>27</v>
      </c>
      <c r="V1970">
        <v>0.161</v>
      </c>
      <c r="W1970">
        <v>0.52700000000000002</v>
      </c>
      <c r="X1970">
        <v>0.47699999999999998</v>
      </c>
      <c r="Y1970" t="s">
        <v>27</v>
      </c>
      <c r="Z1970" t="s">
        <v>27</v>
      </c>
      <c r="AA1970" t="s">
        <v>27</v>
      </c>
      <c r="AB1970" t="s">
        <v>27</v>
      </c>
      <c r="AC1970" t="s">
        <v>27</v>
      </c>
      <c r="AD1970" t="s">
        <v>27</v>
      </c>
      <c r="AE1970" t="s">
        <v>27</v>
      </c>
      <c r="AF1970" t="s">
        <v>27</v>
      </c>
      <c r="AG1970">
        <v>31.52</v>
      </c>
    </row>
    <row r="1971" spans="1:33" x14ac:dyDescent="0.25">
      <c r="A1971" t="s">
        <v>57</v>
      </c>
      <c r="B1971" s="3">
        <v>45432</v>
      </c>
      <c r="C1971">
        <v>2024141</v>
      </c>
      <c r="D1971">
        <v>19.989999999999998</v>
      </c>
      <c r="E1971" t="s">
        <v>27</v>
      </c>
      <c r="F1971">
        <v>3.9</v>
      </c>
      <c r="G1971">
        <v>11.7</v>
      </c>
      <c r="H1971">
        <v>-2.8</v>
      </c>
      <c r="I1971">
        <v>68.5</v>
      </c>
      <c r="J1971">
        <v>30.6</v>
      </c>
      <c r="K1971">
        <v>0.9</v>
      </c>
      <c r="L1971">
        <v>3.8</v>
      </c>
      <c r="M1971">
        <v>0</v>
      </c>
      <c r="N1971">
        <v>0</v>
      </c>
      <c r="O1971" t="s">
        <v>27</v>
      </c>
      <c r="P1971">
        <v>3.8</v>
      </c>
      <c r="Q1971">
        <v>15.5</v>
      </c>
      <c r="R1971">
        <v>-4.2</v>
      </c>
      <c r="S1971">
        <v>5.0999999999999996</v>
      </c>
      <c r="T1971">
        <v>3.5</v>
      </c>
      <c r="U1971" t="s">
        <v>27</v>
      </c>
      <c r="V1971">
        <v>0.158</v>
      </c>
      <c r="W1971">
        <v>0.41899999999999998</v>
      </c>
      <c r="X1971">
        <v>0.95</v>
      </c>
      <c r="Y1971" t="s">
        <v>27</v>
      </c>
      <c r="Z1971" t="s">
        <v>27</v>
      </c>
      <c r="AA1971" t="s">
        <v>27</v>
      </c>
      <c r="AB1971" t="s">
        <v>27</v>
      </c>
      <c r="AC1971" t="s">
        <v>27</v>
      </c>
      <c r="AD1971" t="s">
        <v>27</v>
      </c>
      <c r="AE1971" t="s">
        <v>27</v>
      </c>
      <c r="AF1971" t="s">
        <v>27</v>
      </c>
      <c r="AG1971">
        <v>31.65</v>
      </c>
    </row>
    <row r="1972" spans="1:33" x14ac:dyDescent="0.25">
      <c r="A1972" t="s">
        <v>57</v>
      </c>
      <c r="B1972" s="3">
        <v>45433</v>
      </c>
      <c r="C1972">
        <v>2024142</v>
      </c>
      <c r="D1972">
        <v>9.3699999999999992</v>
      </c>
      <c r="E1972" t="s">
        <v>27</v>
      </c>
      <c r="F1972">
        <v>2.5</v>
      </c>
      <c r="G1972">
        <v>4.8</v>
      </c>
      <c r="H1972">
        <v>-1.7</v>
      </c>
      <c r="I1972">
        <v>91.3</v>
      </c>
      <c r="J1972">
        <v>68.2</v>
      </c>
      <c r="K1972">
        <v>0.8</v>
      </c>
      <c r="L1972">
        <v>2.4</v>
      </c>
      <c r="M1972">
        <v>8.6</v>
      </c>
      <c r="N1972">
        <v>0</v>
      </c>
      <c r="O1972" t="s">
        <v>27</v>
      </c>
      <c r="P1972">
        <v>2</v>
      </c>
      <c r="Q1972">
        <v>4.9000000000000004</v>
      </c>
      <c r="R1972">
        <v>-2.9</v>
      </c>
      <c r="S1972">
        <v>5.2</v>
      </c>
      <c r="T1972">
        <v>3.9</v>
      </c>
      <c r="U1972" t="s">
        <v>27</v>
      </c>
      <c r="V1972">
        <v>0.156</v>
      </c>
      <c r="W1972">
        <v>0.58699999999999997</v>
      </c>
      <c r="X1972">
        <v>0.27400000000000002</v>
      </c>
      <c r="Y1972" t="s">
        <v>27</v>
      </c>
      <c r="Z1972" t="s">
        <v>27</v>
      </c>
      <c r="AA1972" t="s">
        <v>27</v>
      </c>
      <c r="AB1972" t="s">
        <v>27</v>
      </c>
      <c r="AC1972" t="s">
        <v>27</v>
      </c>
      <c r="AD1972" t="s">
        <v>27</v>
      </c>
      <c r="AE1972" t="s">
        <v>27</v>
      </c>
      <c r="AF1972" t="s">
        <v>27</v>
      </c>
      <c r="AG1972">
        <v>31.76</v>
      </c>
    </row>
    <row r="1973" spans="1:33" x14ac:dyDescent="0.25">
      <c r="A1973" t="s">
        <v>57</v>
      </c>
      <c r="B1973" s="3">
        <v>45434</v>
      </c>
      <c r="C1973">
        <v>2024143</v>
      </c>
      <c r="D1973">
        <v>6.56</v>
      </c>
      <c r="E1973" t="s">
        <v>27</v>
      </c>
      <c r="F1973">
        <v>2.2000000000000002</v>
      </c>
      <c r="G1973">
        <v>6.1</v>
      </c>
      <c r="H1973">
        <v>-0.4</v>
      </c>
      <c r="I1973">
        <v>95.5</v>
      </c>
      <c r="J1973">
        <v>92.8</v>
      </c>
      <c r="K1973">
        <v>0.5</v>
      </c>
      <c r="L1973">
        <v>2.2999999999999998</v>
      </c>
      <c r="M1973">
        <v>26.8</v>
      </c>
      <c r="N1973">
        <v>0</v>
      </c>
      <c r="O1973" t="s">
        <v>27</v>
      </c>
      <c r="P1973">
        <v>1.7</v>
      </c>
      <c r="Q1973">
        <v>6.5</v>
      </c>
      <c r="R1973">
        <v>-1.4</v>
      </c>
      <c r="S1973">
        <v>2.2999999999999998</v>
      </c>
      <c r="T1973">
        <v>3.3</v>
      </c>
      <c r="U1973" t="s">
        <v>27</v>
      </c>
      <c r="V1973">
        <v>0.19900000000000001</v>
      </c>
      <c r="W1973">
        <v>0.872</v>
      </c>
      <c r="X1973">
        <v>6.8000000000000005E-2</v>
      </c>
      <c r="Y1973" t="s">
        <v>27</v>
      </c>
      <c r="Z1973" t="s">
        <v>27</v>
      </c>
      <c r="AA1973" t="s">
        <v>27</v>
      </c>
      <c r="AB1973" t="s">
        <v>27</v>
      </c>
      <c r="AC1973" t="s">
        <v>27</v>
      </c>
      <c r="AD1973" t="s">
        <v>27</v>
      </c>
      <c r="AE1973" t="s">
        <v>27</v>
      </c>
      <c r="AF1973" t="s">
        <v>27</v>
      </c>
      <c r="AG1973">
        <v>31.88</v>
      </c>
    </row>
    <row r="1974" spans="1:33" x14ac:dyDescent="0.25">
      <c r="A1974" t="s">
        <v>57</v>
      </c>
      <c r="B1974" s="3">
        <v>45435</v>
      </c>
      <c r="C1974">
        <v>2024144</v>
      </c>
      <c r="D1974">
        <v>18.829999999999998</v>
      </c>
      <c r="E1974" t="s">
        <v>27</v>
      </c>
      <c r="F1974">
        <v>5.5</v>
      </c>
      <c r="G1974">
        <v>12.2</v>
      </c>
      <c r="H1974">
        <v>-0.5</v>
      </c>
      <c r="I1974">
        <v>80.5</v>
      </c>
      <c r="J1974">
        <v>52.7</v>
      </c>
      <c r="K1974">
        <v>0.8</v>
      </c>
      <c r="L1974">
        <v>3.7</v>
      </c>
      <c r="M1974">
        <v>2.2000000000000002</v>
      </c>
      <c r="N1974">
        <v>0</v>
      </c>
      <c r="O1974" t="s">
        <v>27</v>
      </c>
      <c r="P1974">
        <v>5.2</v>
      </c>
      <c r="Q1974">
        <v>14.6</v>
      </c>
      <c r="R1974">
        <v>-1.2</v>
      </c>
      <c r="S1974">
        <v>8.1999999999999993</v>
      </c>
      <c r="T1974">
        <v>4.5999999999999996</v>
      </c>
      <c r="U1974" t="s">
        <v>27</v>
      </c>
      <c r="V1974">
        <v>0.193</v>
      </c>
      <c r="W1974">
        <v>0.748</v>
      </c>
      <c r="X1974">
        <v>0.67100000000000004</v>
      </c>
      <c r="Y1974" t="s">
        <v>27</v>
      </c>
      <c r="Z1974" t="s">
        <v>27</v>
      </c>
      <c r="AA1974" t="s">
        <v>27</v>
      </c>
      <c r="AB1974" t="s">
        <v>27</v>
      </c>
      <c r="AC1974" t="s">
        <v>27</v>
      </c>
      <c r="AD1974" t="s">
        <v>27</v>
      </c>
      <c r="AE1974" t="s">
        <v>27</v>
      </c>
      <c r="AF1974" t="s">
        <v>27</v>
      </c>
      <c r="AG1974">
        <v>31.99</v>
      </c>
    </row>
    <row r="1975" spans="1:33" x14ac:dyDescent="0.25">
      <c r="A1975" t="s">
        <v>57</v>
      </c>
      <c r="B1975" s="3">
        <v>45436</v>
      </c>
      <c r="C1975">
        <v>2024145</v>
      </c>
      <c r="D1975">
        <v>20.45</v>
      </c>
      <c r="E1975" t="s">
        <v>27</v>
      </c>
      <c r="F1975">
        <v>5.2</v>
      </c>
      <c r="G1975">
        <v>11.1</v>
      </c>
      <c r="H1975">
        <v>-1.2</v>
      </c>
      <c r="I1975">
        <v>75.3</v>
      </c>
      <c r="J1975">
        <v>45.2</v>
      </c>
      <c r="K1975">
        <v>0.9</v>
      </c>
      <c r="L1975">
        <v>2.7</v>
      </c>
      <c r="M1975">
        <v>0.5</v>
      </c>
      <c r="N1975">
        <v>0</v>
      </c>
      <c r="O1975" t="s">
        <v>27</v>
      </c>
      <c r="P1975">
        <v>5.4</v>
      </c>
      <c r="Q1975">
        <v>14.7</v>
      </c>
      <c r="R1975">
        <v>-2.4</v>
      </c>
      <c r="S1975">
        <v>8.1999999999999993</v>
      </c>
      <c r="T1975">
        <v>5.7</v>
      </c>
      <c r="U1975" t="s">
        <v>27</v>
      </c>
      <c r="V1975">
        <v>0.17199999999999999</v>
      </c>
      <c r="W1975">
        <v>0.59599999999999997</v>
      </c>
      <c r="X1975">
        <v>0.72299999999999998</v>
      </c>
      <c r="Y1975" t="s">
        <v>27</v>
      </c>
      <c r="Z1975" t="s">
        <v>27</v>
      </c>
      <c r="AA1975" t="s">
        <v>27</v>
      </c>
      <c r="AB1975" t="s">
        <v>27</v>
      </c>
      <c r="AC1975" t="s">
        <v>27</v>
      </c>
      <c r="AD1975" t="s">
        <v>27</v>
      </c>
      <c r="AE1975" t="s">
        <v>27</v>
      </c>
      <c r="AF1975" t="s">
        <v>27</v>
      </c>
      <c r="AG1975">
        <v>32.090000000000003</v>
      </c>
    </row>
    <row r="1976" spans="1:33" x14ac:dyDescent="0.25">
      <c r="A1976" t="s">
        <v>57</v>
      </c>
      <c r="B1976" s="3">
        <v>45437</v>
      </c>
      <c r="C1976">
        <v>2024146</v>
      </c>
      <c r="D1976">
        <v>17.98</v>
      </c>
      <c r="E1976" t="s">
        <v>27</v>
      </c>
      <c r="F1976">
        <v>3.1</v>
      </c>
      <c r="G1976">
        <v>8.5</v>
      </c>
      <c r="H1976">
        <v>-1.7</v>
      </c>
      <c r="I1976">
        <v>75.5</v>
      </c>
      <c r="J1976">
        <v>52</v>
      </c>
      <c r="K1976">
        <v>1.2</v>
      </c>
      <c r="L1976">
        <v>3.6</v>
      </c>
      <c r="M1976">
        <v>1.2</v>
      </c>
      <c r="N1976">
        <v>0</v>
      </c>
      <c r="O1976" t="s">
        <v>27</v>
      </c>
      <c r="P1976">
        <v>2.8</v>
      </c>
      <c r="Q1976">
        <v>10.5</v>
      </c>
      <c r="R1976">
        <v>-3.1</v>
      </c>
      <c r="S1976">
        <v>6.5</v>
      </c>
      <c r="T1976">
        <v>5.8</v>
      </c>
      <c r="U1976" t="s">
        <v>27</v>
      </c>
      <c r="V1976">
        <v>0.16200000000000001</v>
      </c>
      <c r="W1976">
        <v>0.57699999999999996</v>
      </c>
      <c r="X1976">
        <v>0.53300000000000003</v>
      </c>
      <c r="Y1976" t="s">
        <v>27</v>
      </c>
      <c r="Z1976" t="s">
        <v>27</v>
      </c>
      <c r="AA1976" t="s">
        <v>27</v>
      </c>
      <c r="AB1976" t="s">
        <v>27</v>
      </c>
      <c r="AC1976" t="s">
        <v>27</v>
      </c>
      <c r="AD1976" t="s">
        <v>27</v>
      </c>
      <c r="AE1976" t="s">
        <v>27</v>
      </c>
      <c r="AF1976" t="s">
        <v>27</v>
      </c>
      <c r="AG1976">
        <v>32.200000000000003</v>
      </c>
    </row>
    <row r="1977" spans="1:33" x14ac:dyDescent="0.25">
      <c r="A1977" t="s">
        <v>57</v>
      </c>
      <c r="B1977" s="3">
        <v>45438</v>
      </c>
      <c r="C1977">
        <v>2024147</v>
      </c>
      <c r="D1977">
        <v>13.31</v>
      </c>
      <c r="E1977" t="s">
        <v>27</v>
      </c>
      <c r="F1977">
        <v>2.4</v>
      </c>
      <c r="G1977">
        <v>8.4</v>
      </c>
      <c r="H1977">
        <v>-2.6</v>
      </c>
      <c r="I1977">
        <v>81.400000000000006</v>
      </c>
      <c r="J1977">
        <v>58.2</v>
      </c>
      <c r="K1977">
        <v>0.8</v>
      </c>
      <c r="L1977">
        <v>2.8</v>
      </c>
      <c r="M1977">
        <v>0.9</v>
      </c>
      <c r="N1977">
        <v>0</v>
      </c>
      <c r="O1977" t="s">
        <v>27</v>
      </c>
      <c r="P1977">
        <v>2.1</v>
      </c>
      <c r="Q1977">
        <v>9</v>
      </c>
      <c r="R1977">
        <v>-4.0999999999999996</v>
      </c>
      <c r="S1977">
        <v>5</v>
      </c>
      <c r="T1977">
        <v>4.8</v>
      </c>
      <c r="U1977" t="s">
        <v>27</v>
      </c>
      <c r="V1977">
        <v>0.156</v>
      </c>
      <c r="W1977">
        <v>0.64</v>
      </c>
      <c r="X1977">
        <v>0.46</v>
      </c>
      <c r="Y1977" t="s">
        <v>27</v>
      </c>
      <c r="Z1977" t="s">
        <v>27</v>
      </c>
      <c r="AA1977" t="s">
        <v>27</v>
      </c>
      <c r="AB1977" t="s">
        <v>27</v>
      </c>
      <c r="AC1977" t="s">
        <v>27</v>
      </c>
      <c r="AD1977" t="s">
        <v>27</v>
      </c>
      <c r="AE1977" t="s">
        <v>27</v>
      </c>
      <c r="AF1977" t="s">
        <v>27</v>
      </c>
      <c r="AG1977">
        <v>32.29</v>
      </c>
    </row>
    <row r="1978" spans="1:33" x14ac:dyDescent="0.25">
      <c r="A1978" t="s">
        <v>57</v>
      </c>
      <c r="B1978" s="3">
        <v>45439</v>
      </c>
      <c r="C1978">
        <v>2024148</v>
      </c>
      <c r="D1978">
        <v>19.59</v>
      </c>
      <c r="E1978" t="s">
        <v>27</v>
      </c>
      <c r="F1978">
        <v>6.6</v>
      </c>
      <c r="G1978">
        <v>14.1</v>
      </c>
      <c r="H1978">
        <v>-1.4</v>
      </c>
      <c r="I1978">
        <v>75.599999999999994</v>
      </c>
      <c r="J1978">
        <v>43.1</v>
      </c>
      <c r="K1978">
        <v>0.7</v>
      </c>
      <c r="L1978">
        <v>2.6</v>
      </c>
      <c r="M1978">
        <v>0.1</v>
      </c>
      <c r="N1978">
        <v>0</v>
      </c>
      <c r="O1978" t="s">
        <v>27</v>
      </c>
      <c r="P1978">
        <v>6.7</v>
      </c>
      <c r="Q1978">
        <v>16.7</v>
      </c>
      <c r="R1978">
        <v>-2.5</v>
      </c>
      <c r="S1978">
        <v>9.1</v>
      </c>
      <c r="T1978">
        <v>5.8</v>
      </c>
      <c r="U1978" t="s">
        <v>27</v>
      </c>
      <c r="V1978">
        <v>0.151</v>
      </c>
      <c r="W1978">
        <v>0.69299999999999995</v>
      </c>
      <c r="X1978">
        <v>0.91500000000000004</v>
      </c>
      <c r="Y1978" t="s">
        <v>27</v>
      </c>
      <c r="Z1978" t="s">
        <v>27</v>
      </c>
      <c r="AA1978" t="s">
        <v>27</v>
      </c>
      <c r="AB1978" t="s">
        <v>27</v>
      </c>
      <c r="AC1978" t="s">
        <v>27</v>
      </c>
      <c r="AD1978" t="s">
        <v>27</v>
      </c>
      <c r="AE1978" t="s">
        <v>27</v>
      </c>
      <c r="AF1978" t="s">
        <v>27</v>
      </c>
      <c r="AG1978">
        <v>32.39</v>
      </c>
    </row>
    <row r="1979" spans="1:33" x14ac:dyDescent="0.25">
      <c r="A1979" t="s">
        <v>57</v>
      </c>
      <c r="B1979" s="3">
        <v>45440</v>
      </c>
      <c r="C1979">
        <v>2024149</v>
      </c>
      <c r="D1979">
        <v>10.27</v>
      </c>
      <c r="E1979" t="s">
        <v>27</v>
      </c>
      <c r="F1979">
        <v>5.7</v>
      </c>
      <c r="G1979">
        <v>13.1</v>
      </c>
      <c r="H1979">
        <v>-0.3</v>
      </c>
      <c r="I1979">
        <v>83.8</v>
      </c>
      <c r="J1979">
        <v>53.1</v>
      </c>
      <c r="K1979">
        <v>0.8</v>
      </c>
      <c r="L1979">
        <v>3.2</v>
      </c>
      <c r="M1979">
        <v>9.5</v>
      </c>
      <c r="N1979">
        <v>0</v>
      </c>
      <c r="O1979" t="s">
        <v>27</v>
      </c>
      <c r="P1979">
        <v>5.0999999999999996</v>
      </c>
      <c r="Q1979">
        <v>14.5</v>
      </c>
      <c r="R1979">
        <v>-1.7</v>
      </c>
      <c r="S1979">
        <v>7.4</v>
      </c>
      <c r="T1979">
        <v>6.6</v>
      </c>
      <c r="U1979" t="s">
        <v>27</v>
      </c>
      <c r="V1979">
        <v>0.151</v>
      </c>
      <c r="W1979">
        <v>0.80200000000000005</v>
      </c>
      <c r="X1979">
        <v>0.70799999999999996</v>
      </c>
      <c r="Y1979" t="s">
        <v>27</v>
      </c>
      <c r="Z1979" t="s">
        <v>27</v>
      </c>
      <c r="AA1979" t="s">
        <v>27</v>
      </c>
      <c r="AB1979" t="s">
        <v>27</v>
      </c>
      <c r="AC1979" t="s">
        <v>27</v>
      </c>
      <c r="AD1979" t="s">
        <v>27</v>
      </c>
      <c r="AE1979" t="s">
        <v>27</v>
      </c>
      <c r="AF1979" t="s">
        <v>27</v>
      </c>
      <c r="AG1979">
        <v>32.479999999999997</v>
      </c>
    </row>
    <row r="1980" spans="1:33" x14ac:dyDescent="0.25">
      <c r="A1980" t="s">
        <v>57</v>
      </c>
      <c r="B1980" s="3">
        <v>45441</v>
      </c>
      <c r="C1980">
        <v>2024150</v>
      </c>
      <c r="D1980">
        <v>21.69</v>
      </c>
      <c r="E1980" t="s">
        <v>27</v>
      </c>
      <c r="F1980">
        <v>2</v>
      </c>
      <c r="G1980">
        <v>7.9</v>
      </c>
      <c r="H1980">
        <v>-1.2</v>
      </c>
      <c r="I1980">
        <v>71.3</v>
      </c>
      <c r="J1980">
        <v>41.5</v>
      </c>
      <c r="K1980">
        <v>1.5</v>
      </c>
      <c r="L1980">
        <v>3.8</v>
      </c>
      <c r="M1980">
        <v>0</v>
      </c>
      <c r="N1980">
        <v>0</v>
      </c>
      <c r="O1980" t="s">
        <v>27</v>
      </c>
      <c r="P1980">
        <v>2.1</v>
      </c>
      <c r="Q1980">
        <v>11.1</v>
      </c>
      <c r="R1980">
        <v>-2.4</v>
      </c>
      <c r="S1980">
        <v>7</v>
      </c>
      <c r="T1980">
        <v>5.9</v>
      </c>
      <c r="U1980" t="s">
        <v>27</v>
      </c>
      <c r="V1980">
        <v>0.157</v>
      </c>
      <c r="W1980">
        <v>0.443</v>
      </c>
      <c r="X1980">
        <v>0.624</v>
      </c>
      <c r="Y1980" t="s">
        <v>27</v>
      </c>
      <c r="Z1980" t="s">
        <v>27</v>
      </c>
      <c r="AA1980" t="s">
        <v>27</v>
      </c>
      <c r="AB1980" t="s">
        <v>27</v>
      </c>
      <c r="AC1980" t="s">
        <v>27</v>
      </c>
      <c r="AD1980" t="s">
        <v>27</v>
      </c>
      <c r="AE1980" t="s">
        <v>27</v>
      </c>
      <c r="AF1980" t="s">
        <v>27</v>
      </c>
      <c r="AG1980">
        <v>32.56</v>
      </c>
    </row>
    <row r="1981" spans="1:33" x14ac:dyDescent="0.25">
      <c r="A1981" t="s">
        <v>57</v>
      </c>
      <c r="B1981" s="3">
        <v>45442</v>
      </c>
      <c r="C1981">
        <v>2024151</v>
      </c>
      <c r="D1981">
        <v>17.73</v>
      </c>
      <c r="E1981" t="s">
        <v>27</v>
      </c>
      <c r="F1981">
        <v>2.8</v>
      </c>
      <c r="G1981">
        <v>8.6</v>
      </c>
      <c r="H1981">
        <v>-2.4</v>
      </c>
      <c r="I1981">
        <v>72</v>
      </c>
      <c r="J1981">
        <v>42.2</v>
      </c>
      <c r="K1981">
        <v>0.7</v>
      </c>
      <c r="L1981">
        <v>2.7</v>
      </c>
      <c r="M1981">
        <v>0.8</v>
      </c>
      <c r="N1981">
        <v>0</v>
      </c>
      <c r="O1981" t="s">
        <v>27</v>
      </c>
      <c r="P1981">
        <v>2.9</v>
      </c>
      <c r="Q1981">
        <v>12</v>
      </c>
      <c r="R1981">
        <v>-3.7</v>
      </c>
      <c r="S1981">
        <v>6.3</v>
      </c>
      <c r="T1981">
        <v>5.7</v>
      </c>
      <c r="U1981" t="s">
        <v>27</v>
      </c>
      <c r="V1981">
        <v>0.152</v>
      </c>
      <c r="W1981">
        <v>0.47099999999999997</v>
      </c>
      <c r="X1981">
        <v>0.64500000000000002</v>
      </c>
      <c r="Y1981" t="s">
        <v>27</v>
      </c>
      <c r="Z1981" t="s">
        <v>27</v>
      </c>
      <c r="AA1981" t="s">
        <v>27</v>
      </c>
      <c r="AB1981" t="s">
        <v>27</v>
      </c>
      <c r="AC1981" t="s">
        <v>27</v>
      </c>
      <c r="AD1981" t="s">
        <v>27</v>
      </c>
      <c r="AE1981" t="s">
        <v>27</v>
      </c>
      <c r="AF1981" t="s">
        <v>27</v>
      </c>
      <c r="AG1981">
        <v>32.64</v>
      </c>
    </row>
    <row r="1982" spans="1:33" x14ac:dyDescent="0.25">
      <c r="A1982" t="s">
        <v>57</v>
      </c>
      <c r="B1982" s="3">
        <v>45443</v>
      </c>
      <c r="C1982">
        <v>2024152</v>
      </c>
      <c r="D1982">
        <v>27.93</v>
      </c>
      <c r="E1982" t="s">
        <v>27</v>
      </c>
      <c r="F1982">
        <v>6.3</v>
      </c>
      <c r="G1982">
        <v>15.4</v>
      </c>
      <c r="H1982">
        <v>-3</v>
      </c>
      <c r="I1982">
        <v>61.2</v>
      </c>
      <c r="J1982">
        <v>26.4</v>
      </c>
      <c r="K1982">
        <v>0.6</v>
      </c>
      <c r="L1982">
        <v>3</v>
      </c>
      <c r="M1982">
        <v>0</v>
      </c>
      <c r="N1982">
        <v>0</v>
      </c>
      <c r="O1982" t="s">
        <v>27</v>
      </c>
      <c r="P1982">
        <v>6.7</v>
      </c>
      <c r="Q1982">
        <v>19.100000000000001</v>
      </c>
      <c r="R1982">
        <v>-4.0999999999999996</v>
      </c>
      <c r="S1982">
        <v>9.5</v>
      </c>
      <c r="T1982">
        <v>6.4</v>
      </c>
      <c r="U1982" t="s">
        <v>27</v>
      </c>
      <c r="V1982">
        <v>0.14699999999999999</v>
      </c>
      <c r="W1982">
        <v>0.46</v>
      </c>
      <c r="X1982">
        <v>1.282</v>
      </c>
      <c r="Y1982" t="s">
        <v>27</v>
      </c>
      <c r="Z1982" t="s">
        <v>27</v>
      </c>
      <c r="AA1982" t="s">
        <v>27</v>
      </c>
      <c r="AB1982" t="s">
        <v>27</v>
      </c>
      <c r="AC1982" t="s">
        <v>27</v>
      </c>
      <c r="AD1982" t="s">
        <v>27</v>
      </c>
      <c r="AE1982" t="s">
        <v>27</v>
      </c>
      <c r="AF1982" t="s">
        <v>27</v>
      </c>
      <c r="AG1982">
        <v>32.71</v>
      </c>
    </row>
    <row r="1983" spans="1:33" x14ac:dyDescent="0.25">
      <c r="A1983" t="s">
        <v>57</v>
      </c>
      <c r="B1983" s="3">
        <v>45444</v>
      </c>
      <c r="C1983">
        <v>2024153</v>
      </c>
      <c r="D1983">
        <v>17.84</v>
      </c>
      <c r="E1983" t="s">
        <v>27</v>
      </c>
      <c r="F1983">
        <v>7</v>
      </c>
      <c r="G1983">
        <v>12.6</v>
      </c>
      <c r="H1983">
        <v>2.4</v>
      </c>
      <c r="I1983">
        <v>76.900000000000006</v>
      </c>
      <c r="J1983">
        <v>49.9</v>
      </c>
      <c r="K1983">
        <v>0.8</v>
      </c>
      <c r="L1983">
        <v>3</v>
      </c>
      <c r="M1983">
        <v>1.5</v>
      </c>
      <c r="N1983">
        <v>0</v>
      </c>
      <c r="O1983" t="s">
        <v>27</v>
      </c>
      <c r="P1983">
        <v>6.9</v>
      </c>
      <c r="Q1983">
        <v>16.7</v>
      </c>
      <c r="R1983">
        <v>1.4</v>
      </c>
      <c r="S1983">
        <v>10.4</v>
      </c>
      <c r="T1983">
        <v>7.8</v>
      </c>
      <c r="U1983" t="s">
        <v>27</v>
      </c>
      <c r="V1983">
        <v>0.14399999999999999</v>
      </c>
      <c r="W1983">
        <v>0.72599999999999998</v>
      </c>
      <c r="X1983">
        <v>0.72899999999999998</v>
      </c>
      <c r="Y1983" t="s">
        <v>27</v>
      </c>
      <c r="Z1983" t="s">
        <v>27</v>
      </c>
      <c r="AA1983" t="s">
        <v>27</v>
      </c>
      <c r="AB1983" t="s">
        <v>27</v>
      </c>
      <c r="AC1983" t="s">
        <v>27</v>
      </c>
      <c r="AD1983" t="s">
        <v>27</v>
      </c>
      <c r="AE1983" t="s">
        <v>27</v>
      </c>
      <c r="AF1983" t="s">
        <v>27</v>
      </c>
      <c r="AG1983">
        <v>32.78</v>
      </c>
    </row>
    <row r="1984" spans="1:33" x14ac:dyDescent="0.25">
      <c r="A1984" t="s">
        <v>57</v>
      </c>
      <c r="B1984" s="3">
        <v>45445</v>
      </c>
      <c r="C1984">
        <v>2024154</v>
      </c>
      <c r="D1984">
        <v>9.14</v>
      </c>
      <c r="E1984" t="s">
        <v>27</v>
      </c>
      <c r="F1984">
        <v>6</v>
      </c>
      <c r="G1984">
        <v>11</v>
      </c>
      <c r="H1984">
        <v>0.8</v>
      </c>
      <c r="I1984">
        <v>87.3</v>
      </c>
      <c r="J1984">
        <v>59.1</v>
      </c>
      <c r="K1984">
        <v>0.8</v>
      </c>
      <c r="L1984">
        <v>2.8</v>
      </c>
      <c r="M1984">
        <v>13.9</v>
      </c>
      <c r="N1984">
        <v>0</v>
      </c>
      <c r="O1984" t="s">
        <v>27</v>
      </c>
      <c r="P1984">
        <v>5.6</v>
      </c>
      <c r="Q1984">
        <v>12.6</v>
      </c>
      <c r="R1984">
        <v>-0.3</v>
      </c>
      <c r="S1984">
        <v>7.7</v>
      </c>
      <c r="T1984">
        <v>7.2</v>
      </c>
      <c r="U1984" t="s">
        <v>27</v>
      </c>
      <c r="V1984">
        <v>0.14599999999999999</v>
      </c>
      <c r="W1984">
        <v>0.77800000000000002</v>
      </c>
      <c r="X1984">
        <v>0.53800000000000003</v>
      </c>
      <c r="Y1984" t="s">
        <v>27</v>
      </c>
      <c r="Z1984" t="s">
        <v>27</v>
      </c>
      <c r="AA1984" t="s">
        <v>27</v>
      </c>
      <c r="AB1984" t="s">
        <v>27</v>
      </c>
      <c r="AC1984" t="s">
        <v>27</v>
      </c>
      <c r="AD1984" t="s">
        <v>27</v>
      </c>
      <c r="AE1984" t="s">
        <v>27</v>
      </c>
      <c r="AF1984" t="s">
        <v>27</v>
      </c>
      <c r="AG1984">
        <v>32.86</v>
      </c>
    </row>
    <row r="1985" spans="1:33" x14ac:dyDescent="0.25">
      <c r="A1985" t="s">
        <v>57</v>
      </c>
      <c r="B1985" s="3">
        <v>45446</v>
      </c>
      <c r="C1985">
        <v>2024155</v>
      </c>
      <c r="D1985">
        <v>19.62</v>
      </c>
      <c r="E1985" t="s">
        <v>27</v>
      </c>
      <c r="F1985">
        <v>4.5</v>
      </c>
      <c r="G1985">
        <v>8.6999999999999993</v>
      </c>
      <c r="H1985">
        <v>-1.2</v>
      </c>
      <c r="I1985">
        <v>79.5</v>
      </c>
      <c r="J1985">
        <v>47.2</v>
      </c>
      <c r="K1985">
        <v>1.3</v>
      </c>
      <c r="L1985">
        <v>4.8</v>
      </c>
      <c r="M1985">
        <v>4.9000000000000004</v>
      </c>
      <c r="N1985">
        <v>0</v>
      </c>
      <c r="O1985" t="s">
        <v>27</v>
      </c>
      <c r="P1985">
        <v>4.3</v>
      </c>
      <c r="Q1985">
        <v>10.8</v>
      </c>
      <c r="R1985">
        <v>-2.2000000000000002</v>
      </c>
      <c r="S1985">
        <v>8.8000000000000007</v>
      </c>
      <c r="T1985">
        <v>7.3</v>
      </c>
      <c r="U1985" t="s">
        <v>27</v>
      </c>
      <c r="V1985">
        <v>0.16800000000000001</v>
      </c>
      <c r="W1985">
        <v>0.52900000000000003</v>
      </c>
      <c r="X1985">
        <v>0.59199999999999997</v>
      </c>
      <c r="Y1985" t="s">
        <v>27</v>
      </c>
      <c r="Z1985" t="s">
        <v>27</v>
      </c>
      <c r="AA1985" t="s">
        <v>27</v>
      </c>
      <c r="AB1985" t="s">
        <v>27</v>
      </c>
      <c r="AC1985" t="s">
        <v>27</v>
      </c>
      <c r="AD1985" t="s">
        <v>27</v>
      </c>
      <c r="AE1985" t="s">
        <v>27</v>
      </c>
      <c r="AF1985" t="s">
        <v>27</v>
      </c>
      <c r="AG1985">
        <v>32.909999999999997</v>
      </c>
    </row>
    <row r="1986" spans="1:33" x14ac:dyDescent="0.25">
      <c r="A1986" t="s">
        <v>57</v>
      </c>
      <c r="B1986" s="3">
        <v>45447</v>
      </c>
      <c r="C1986">
        <v>2024156</v>
      </c>
      <c r="D1986">
        <v>15.13</v>
      </c>
      <c r="E1986" t="s">
        <v>27</v>
      </c>
      <c r="F1986">
        <v>3.7</v>
      </c>
      <c r="G1986">
        <v>11.9</v>
      </c>
      <c r="H1986">
        <v>-1.3</v>
      </c>
      <c r="I1986">
        <v>78.3</v>
      </c>
      <c r="J1986">
        <v>51.2</v>
      </c>
      <c r="K1986">
        <v>1.2</v>
      </c>
      <c r="L1986">
        <v>4.5</v>
      </c>
      <c r="M1986">
        <v>4.8</v>
      </c>
      <c r="N1986">
        <v>0</v>
      </c>
      <c r="O1986" t="s">
        <v>27</v>
      </c>
      <c r="P1986">
        <v>3.3</v>
      </c>
      <c r="Q1986">
        <v>15.6</v>
      </c>
      <c r="R1986">
        <v>-2.5</v>
      </c>
      <c r="S1986">
        <v>7.2</v>
      </c>
      <c r="T1986">
        <v>6.8</v>
      </c>
      <c r="U1986" t="s">
        <v>27</v>
      </c>
      <c r="V1986">
        <v>0.16200000000000001</v>
      </c>
      <c r="W1986">
        <v>0.71199999999999997</v>
      </c>
      <c r="X1986">
        <v>0.67900000000000005</v>
      </c>
      <c r="Y1986" t="s">
        <v>27</v>
      </c>
      <c r="Z1986" t="s">
        <v>27</v>
      </c>
      <c r="AA1986" t="s">
        <v>27</v>
      </c>
      <c r="AB1986" t="s">
        <v>27</v>
      </c>
      <c r="AC1986" t="s">
        <v>27</v>
      </c>
      <c r="AD1986" t="s">
        <v>27</v>
      </c>
      <c r="AE1986" t="s">
        <v>27</v>
      </c>
      <c r="AF1986" t="s">
        <v>27</v>
      </c>
      <c r="AG1986">
        <v>32.97</v>
      </c>
    </row>
    <row r="1987" spans="1:33" x14ac:dyDescent="0.25">
      <c r="A1987" t="s">
        <v>57</v>
      </c>
      <c r="B1987" s="3">
        <v>45448</v>
      </c>
      <c r="C1987">
        <v>2024157</v>
      </c>
      <c r="D1987">
        <v>30.85</v>
      </c>
      <c r="E1987" t="s">
        <v>27</v>
      </c>
      <c r="F1987">
        <v>5.5</v>
      </c>
      <c r="G1987">
        <v>13.5</v>
      </c>
      <c r="H1987">
        <v>-2.1</v>
      </c>
      <c r="I1987">
        <v>60.9</v>
      </c>
      <c r="J1987">
        <v>28.8</v>
      </c>
      <c r="K1987">
        <v>1.2</v>
      </c>
      <c r="L1987">
        <v>3.3</v>
      </c>
      <c r="M1987">
        <v>0</v>
      </c>
      <c r="N1987">
        <v>0</v>
      </c>
      <c r="O1987" t="s">
        <v>27</v>
      </c>
      <c r="P1987">
        <v>6.2</v>
      </c>
      <c r="Q1987">
        <v>17.2</v>
      </c>
      <c r="R1987">
        <v>-3.5</v>
      </c>
      <c r="S1987">
        <v>10.3</v>
      </c>
      <c r="T1987">
        <v>7.3</v>
      </c>
      <c r="U1987" t="s">
        <v>27</v>
      </c>
      <c r="V1987">
        <v>0.157</v>
      </c>
      <c r="W1987">
        <v>0.44400000000000001</v>
      </c>
      <c r="X1987">
        <v>1.0980000000000001</v>
      </c>
      <c r="Y1987" t="s">
        <v>27</v>
      </c>
      <c r="Z1987" t="s">
        <v>27</v>
      </c>
      <c r="AA1987" t="s">
        <v>27</v>
      </c>
      <c r="AB1987" t="s">
        <v>27</v>
      </c>
      <c r="AC1987" t="s">
        <v>27</v>
      </c>
      <c r="AD1987" t="s">
        <v>27</v>
      </c>
      <c r="AE1987" t="s">
        <v>27</v>
      </c>
      <c r="AF1987" t="s">
        <v>27</v>
      </c>
      <c r="AG1987">
        <v>33.03</v>
      </c>
    </row>
    <row r="1988" spans="1:33" x14ac:dyDescent="0.25">
      <c r="A1988" t="s">
        <v>57</v>
      </c>
      <c r="B1988" s="3">
        <v>45449</v>
      </c>
      <c r="C1988">
        <v>2024158</v>
      </c>
      <c r="D1988">
        <v>24.86</v>
      </c>
      <c r="E1988" t="s">
        <v>27</v>
      </c>
      <c r="F1988">
        <v>8.5</v>
      </c>
      <c r="G1988">
        <v>16.2</v>
      </c>
      <c r="H1988">
        <v>-1.8</v>
      </c>
      <c r="I1988">
        <v>51.1</v>
      </c>
      <c r="J1988">
        <v>19.7</v>
      </c>
      <c r="K1988">
        <v>0.8</v>
      </c>
      <c r="L1988">
        <v>2.4</v>
      </c>
      <c r="M1988">
        <v>0</v>
      </c>
      <c r="N1988">
        <v>0</v>
      </c>
      <c r="O1988" t="s">
        <v>27</v>
      </c>
      <c r="P1988">
        <v>8.6</v>
      </c>
      <c r="Q1988">
        <v>20.6</v>
      </c>
      <c r="R1988">
        <v>-2.9</v>
      </c>
      <c r="S1988">
        <v>9.6999999999999993</v>
      </c>
      <c r="T1988">
        <v>8.1</v>
      </c>
      <c r="U1988" t="s">
        <v>27</v>
      </c>
      <c r="V1988">
        <v>0.151</v>
      </c>
      <c r="W1988">
        <v>0.36199999999999999</v>
      </c>
      <c r="X1988">
        <v>1.476</v>
      </c>
      <c r="Y1988" t="s">
        <v>27</v>
      </c>
      <c r="Z1988" t="s">
        <v>27</v>
      </c>
      <c r="AA1988" t="s">
        <v>27</v>
      </c>
      <c r="AB1988" t="s">
        <v>27</v>
      </c>
      <c r="AC1988" t="s">
        <v>27</v>
      </c>
      <c r="AD1988" t="s">
        <v>27</v>
      </c>
      <c r="AE1988" t="s">
        <v>27</v>
      </c>
      <c r="AF1988" t="s">
        <v>27</v>
      </c>
      <c r="AG1988">
        <v>33.08</v>
      </c>
    </row>
    <row r="1989" spans="1:33" x14ac:dyDescent="0.25">
      <c r="A1989" t="s">
        <v>57</v>
      </c>
      <c r="B1989" s="3">
        <v>45450</v>
      </c>
      <c r="C1989">
        <v>2024159</v>
      </c>
      <c r="D1989">
        <v>33.979999999999997</v>
      </c>
      <c r="E1989" t="s">
        <v>27</v>
      </c>
      <c r="F1989">
        <v>8.1</v>
      </c>
      <c r="G1989">
        <v>17.5</v>
      </c>
      <c r="H1989">
        <v>-1.4</v>
      </c>
      <c r="I1989">
        <v>53.8</v>
      </c>
      <c r="J1989">
        <v>19.5</v>
      </c>
      <c r="K1989">
        <v>0.8</v>
      </c>
      <c r="L1989">
        <v>2.6</v>
      </c>
      <c r="M1989">
        <v>0</v>
      </c>
      <c r="N1989">
        <v>0</v>
      </c>
      <c r="O1989" t="s">
        <v>27</v>
      </c>
      <c r="P1989">
        <v>8.8000000000000007</v>
      </c>
      <c r="Q1989">
        <v>22.3</v>
      </c>
      <c r="R1989">
        <v>-2.7</v>
      </c>
      <c r="S1989">
        <v>12.4</v>
      </c>
      <c r="T1989">
        <v>8.9</v>
      </c>
      <c r="U1989" t="s">
        <v>27</v>
      </c>
      <c r="V1989">
        <v>0.14499999999999999</v>
      </c>
      <c r="W1989">
        <v>0.39</v>
      </c>
      <c r="X1989">
        <v>1.61</v>
      </c>
      <c r="Y1989" t="s">
        <v>27</v>
      </c>
      <c r="Z1989" t="s">
        <v>27</v>
      </c>
      <c r="AA1989" t="s">
        <v>27</v>
      </c>
      <c r="AB1989" t="s">
        <v>27</v>
      </c>
      <c r="AC1989" t="s">
        <v>27</v>
      </c>
      <c r="AD1989" t="s">
        <v>27</v>
      </c>
      <c r="AE1989" t="s">
        <v>27</v>
      </c>
      <c r="AF1989" t="s">
        <v>27</v>
      </c>
      <c r="AG1989">
        <v>33.130000000000003</v>
      </c>
    </row>
    <row r="1990" spans="1:33" x14ac:dyDescent="0.25">
      <c r="A1990" t="s">
        <v>57</v>
      </c>
      <c r="B1990" s="3">
        <v>45451</v>
      </c>
      <c r="C1990">
        <v>2024160</v>
      </c>
      <c r="D1990">
        <v>31.66</v>
      </c>
      <c r="E1990" t="s">
        <v>27</v>
      </c>
      <c r="F1990">
        <v>10</v>
      </c>
      <c r="G1990">
        <v>20.399999999999999</v>
      </c>
      <c r="H1990">
        <v>-1.6</v>
      </c>
      <c r="I1990">
        <v>51.9</v>
      </c>
      <c r="J1990">
        <v>20.399999999999999</v>
      </c>
      <c r="K1990">
        <v>0.6</v>
      </c>
      <c r="L1990">
        <v>2.2000000000000002</v>
      </c>
      <c r="M1990">
        <v>0</v>
      </c>
      <c r="N1990">
        <v>0</v>
      </c>
      <c r="O1990" t="s">
        <v>27</v>
      </c>
      <c r="P1990">
        <v>10.8</v>
      </c>
      <c r="Q1990">
        <v>25.5</v>
      </c>
      <c r="R1990">
        <v>-3</v>
      </c>
      <c r="S1990">
        <v>13.9</v>
      </c>
      <c r="T1990">
        <v>9.8000000000000007</v>
      </c>
      <c r="U1990" t="s">
        <v>27</v>
      </c>
      <c r="V1990">
        <v>0.13900000000000001</v>
      </c>
      <c r="W1990">
        <v>0.48899999999999999</v>
      </c>
      <c r="X1990">
        <v>1.9079999999999999</v>
      </c>
      <c r="Y1990" t="s">
        <v>27</v>
      </c>
      <c r="Z1990" t="s">
        <v>27</v>
      </c>
      <c r="AA1990" t="s">
        <v>27</v>
      </c>
      <c r="AB1990" t="s">
        <v>27</v>
      </c>
      <c r="AC1990" t="s">
        <v>27</v>
      </c>
      <c r="AD1990" t="s">
        <v>27</v>
      </c>
      <c r="AE1990" t="s">
        <v>27</v>
      </c>
      <c r="AF1990" t="s">
        <v>27</v>
      </c>
      <c r="AG1990">
        <v>33.159999999999997</v>
      </c>
    </row>
    <row r="1991" spans="1:33" x14ac:dyDescent="0.25">
      <c r="A1991" t="s">
        <v>57</v>
      </c>
      <c r="B1991" s="3">
        <v>45452</v>
      </c>
      <c r="C1991">
        <v>2024161</v>
      </c>
      <c r="D1991">
        <v>17.760000000000002</v>
      </c>
      <c r="E1991" t="s">
        <v>27</v>
      </c>
      <c r="F1991">
        <v>11</v>
      </c>
      <c r="G1991">
        <v>21</v>
      </c>
      <c r="H1991">
        <v>3.1</v>
      </c>
      <c r="I1991">
        <v>66</v>
      </c>
      <c r="J1991">
        <v>20.7</v>
      </c>
      <c r="K1991">
        <v>0.4</v>
      </c>
      <c r="L1991">
        <v>2.7</v>
      </c>
      <c r="M1991">
        <v>0.3</v>
      </c>
      <c r="N1991">
        <v>0</v>
      </c>
      <c r="O1991" t="s">
        <v>27</v>
      </c>
      <c r="P1991">
        <v>10.9</v>
      </c>
      <c r="Q1991">
        <v>25.3</v>
      </c>
      <c r="R1991">
        <v>1.9</v>
      </c>
      <c r="S1991">
        <v>12.3</v>
      </c>
      <c r="T1991">
        <v>10.199999999999999</v>
      </c>
      <c r="U1991" t="s">
        <v>27</v>
      </c>
      <c r="V1991">
        <v>0.13400000000000001</v>
      </c>
      <c r="W1991">
        <v>0.51500000000000001</v>
      </c>
      <c r="X1991">
        <v>1.9730000000000001</v>
      </c>
      <c r="Y1991" t="s">
        <v>27</v>
      </c>
      <c r="Z1991" t="s">
        <v>27</v>
      </c>
      <c r="AA1991" t="s">
        <v>27</v>
      </c>
      <c r="AB1991" t="s">
        <v>27</v>
      </c>
      <c r="AC1991" t="s">
        <v>27</v>
      </c>
      <c r="AD1991" t="s">
        <v>27</v>
      </c>
      <c r="AE1991" t="s">
        <v>27</v>
      </c>
      <c r="AF1991" t="s">
        <v>27</v>
      </c>
      <c r="AG1991">
        <v>33.200000000000003</v>
      </c>
    </row>
    <row r="1992" spans="1:33" x14ac:dyDescent="0.25">
      <c r="A1992" t="s">
        <v>57</v>
      </c>
      <c r="B1992" s="3">
        <v>45453</v>
      </c>
      <c r="C1992">
        <v>2024162</v>
      </c>
      <c r="D1992">
        <v>30.54</v>
      </c>
      <c r="E1992" t="s">
        <v>27</v>
      </c>
      <c r="F1992">
        <v>11.2</v>
      </c>
      <c r="G1992">
        <v>19.8</v>
      </c>
      <c r="H1992">
        <v>2.9</v>
      </c>
      <c r="I1992">
        <v>62</v>
      </c>
      <c r="J1992">
        <v>30.4</v>
      </c>
      <c r="K1992">
        <v>1.1000000000000001</v>
      </c>
      <c r="L1992">
        <v>3.4</v>
      </c>
      <c r="M1992">
        <v>0</v>
      </c>
      <c r="N1992">
        <v>0</v>
      </c>
      <c r="O1992" t="s">
        <v>27</v>
      </c>
      <c r="P1992">
        <v>11.7</v>
      </c>
      <c r="Q1992">
        <v>23.7</v>
      </c>
      <c r="R1992">
        <v>1.6</v>
      </c>
      <c r="S1992">
        <v>15.2</v>
      </c>
      <c r="T1992">
        <v>10.5</v>
      </c>
      <c r="U1992" t="s">
        <v>27</v>
      </c>
      <c r="V1992">
        <v>0.13</v>
      </c>
      <c r="W1992">
        <v>0.70099999999999996</v>
      </c>
      <c r="X1992">
        <v>1.605</v>
      </c>
      <c r="Y1992" t="s">
        <v>27</v>
      </c>
      <c r="Z1992" t="s">
        <v>27</v>
      </c>
      <c r="AA1992" t="s">
        <v>27</v>
      </c>
      <c r="AB1992" t="s">
        <v>27</v>
      </c>
      <c r="AC1992" t="s">
        <v>27</v>
      </c>
      <c r="AD1992" t="s">
        <v>27</v>
      </c>
      <c r="AE1992" t="s">
        <v>27</v>
      </c>
      <c r="AF1992" t="s">
        <v>27</v>
      </c>
      <c r="AG1992">
        <v>33.229999999999997</v>
      </c>
    </row>
    <row r="1993" spans="1:33" x14ac:dyDescent="0.25">
      <c r="A1993" t="s">
        <v>57</v>
      </c>
      <c r="B1993" s="3">
        <v>45454</v>
      </c>
      <c r="C1993">
        <v>2024163</v>
      </c>
      <c r="D1993">
        <v>29.64</v>
      </c>
      <c r="E1993" t="s">
        <v>27</v>
      </c>
      <c r="F1993">
        <v>9.1999999999999993</v>
      </c>
      <c r="G1993">
        <v>16.899999999999999</v>
      </c>
      <c r="H1993">
        <v>0.9</v>
      </c>
      <c r="I1993">
        <v>56.8</v>
      </c>
      <c r="J1993">
        <v>22.2</v>
      </c>
      <c r="K1993">
        <v>1.6</v>
      </c>
      <c r="L1993">
        <v>4.8</v>
      </c>
      <c r="M1993">
        <v>0.1</v>
      </c>
      <c r="N1993">
        <v>0</v>
      </c>
      <c r="O1993" t="s">
        <v>27</v>
      </c>
      <c r="P1993">
        <v>9.4</v>
      </c>
      <c r="Q1993">
        <v>21</v>
      </c>
      <c r="R1993">
        <v>-0.3</v>
      </c>
      <c r="S1993">
        <v>14.6</v>
      </c>
      <c r="T1993">
        <v>11</v>
      </c>
      <c r="U1993" t="s">
        <v>27</v>
      </c>
      <c r="V1993">
        <v>0.125</v>
      </c>
      <c r="W1993">
        <v>0.42799999999999999</v>
      </c>
      <c r="X1993">
        <v>1.5</v>
      </c>
      <c r="Y1993" t="s">
        <v>27</v>
      </c>
      <c r="Z1993" t="s">
        <v>27</v>
      </c>
      <c r="AA1993" t="s">
        <v>27</v>
      </c>
      <c r="AB1993" t="s">
        <v>27</v>
      </c>
      <c r="AC1993" t="s">
        <v>27</v>
      </c>
      <c r="AD1993" t="s">
        <v>27</v>
      </c>
      <c r="AE1993" t="s">
        <v>27</v>
      </c>
      <c r="AF1993" t="s">
        <v>27</v>
      </c>
      <c r="AG1993">
        <v>33.26</v>
      </c>
    </row>
    <row r="1994" spans="1:33" x14ac:dyDescent="0.25">
      <c r="A1994" t="s">
        <v>57</v>
      </c>
      <c r="B1994" s="3">
        <v>45455</v>
      </c>
      <c r="C1994">
        <v>2024164</v>
      </c>
      <c r="D1994">
        <v>27.37</v>
      </c>
      <c r="E1994" t="s">
        <v>27</v>
      </c>
      <c r="F1994">
        <v>6.9</v>
      </c>
      <c r="G1994">
        <v>15.5</v>
      </c>
      <c r="H1994">
        <v>-2.2999999999999998</v>
      </c>
      <c r="I1994">
        <v>59.8</v>
      </c>
      <c r="J1994">
        <v>26.9</v>
      </c>
      <c r="K1994">
        <v>0.9</v>
      </c>
      <c r="L1994">
        <v>2.7</v>
      </c>
      <c r="M1994">
        <v>0</v>
      </c>
      <c r="N1994">
        <v>0</v>
      </c>
      <c r="O1994" t="s">
        <v>27</v>
      </c>
      <c r="P1994">
        <v>7.5</v>
      </c>
      <c r="Q1994">
        <v>20.399999999999999</v>
      </c>
      <c r="R1994">
        <v>-3.6</v>
      </c>
      <c r="S1994">
        <v>13.7</v>
      </c>
      <c r="T1994">
        <v>10.6</v>
      </c>
      <c r="U1994" t="s">
        <v>27</v>
      </c>
      <c r="V1994">
        <v>0.121</v>
      </c>
      <c r="W1994">
        <v>0.47399999999999998</v>
      </c>
      <c r="X1994">
        <v>1.288</v>
      </c>
      <c r="Y1994" t="s">
        <v>27</v>
      </c>
      <c r="Z1994" t="s">
        <v>27</v>
      </c>
      <c r="AA1994" t="s">
        <v>27</v>
      </c>
      <c r="AB1994" t="s">
        <v>27</v>
      </c>
      <c r="AC1994" t="s">
        <v>27</v>
      </c>
      <c r="AD1994" t="s">
        <v>27</v>
      </c>
      <c r="AE1994" t="s">
        <v>27</v>
      </c>
      <c r="AF1994" t="s">
        <v>27</v>
      </c>
      <c r="AG1994">
        <v>33.29</v>
      </c>
    </row>
    <row r="1995" spans="1:33" x14ac:dyDescent="0.25">
      <c r="A1995" t="s">
        <v>57</v>
      </c>
      <c r="B1995" s="3">
        <v>45456</v>
      </c>
      <c r="C1995">
        <v>2024165</v>
      </c>
      <c r="D1995">
        <v>28.98</v>
      </c>
      <c r="E1995" t="s">
        <v>27</v>
      </c>
      <c r="F1995">
        <v>10.1</v>
      </c>
      <c r="G1995">
        <v>19.399999999999999</v>
      </c>
      <c r="H1995">
        <v>-1.8</v>
      </c>
      <c r="I1995">
        <v>52.2</v>
      </c>
      <c r="J1995">
        <v>18.2</v>
      </c>
      <c r="K1995">
        <v>0.8</v>
      </c>
      <c r="L1995">
        <v>3.2</v>
      </c>
      <c r="M1995">
        <v>0</v>
      </c>
      <c r="N1995">
        <v>0</v>
      </c>
      <c r="O1995" t="s">
        <v>27</v>
      </c>
      <c r="P1995">
        <v>10.6</v>
      </c>
      <c r="Q1995">
        <v>22.9</v>
      </c>
      <c r="R1995">
        <v>-3</v>
      </c>
      <c r="S1995">
        <v>15.7</v>
      </c>
      <c r="T1995">
        <v>11</v>
      </c>
      <c r="U1995" t="s">
        <v>27</v>
      </c>
      <c r="V1995">
        <v>0.11700000000000001</v>
      </c>
      <c r="W1995">
        <v>0.40899999999999997</v>
      </c>
      <c r="X1995">
        <v>1.8380000000000001</v>
      </c>
      <c r="Y1995" t="s">
        <v>27</v>
      </c>
      <c r="Z1995" t="s">
        <v>27</v>
      </c>
      <c r="AA1995" t="s">
        <v>27</v>
      </c>
      <c r="AB1995" t="s">
        <v>27</v>
      </c>
      <c r="AC1995" t="s">
        <v>27</v>
      </c>
      <c r="AD1995" t="s">
        <v>27</v>
      </c>
      <c r="AE1995" t="s">
        <v>27</v>
      </c>
      <c r="AF1995" t="s">
        <v>27</v>
      </c>
      <c r="AG1995">
        <v>33.31</v>
      </c>
    </row>
    <row r="1996" spans="1:33" x14ac:dyDescent="0.25">
      <c r="A1996" t="s">
        <v>57</v>
      </c>
      <c r="B1996" s="3">
        <v>45457</v>
      </c>
      <c r="C1996">
        <v>2024166</v>
      </c>
      <c r="D1996">
        <v>22.74</v>
      </c>
      <c r="E1996" t="s">
        <v>27</v>
      </c>
      <c r="F1996">
        <v>7.4</v>
      </c>
      <c r="G1996">
        <v>13.9</v>
      </c>
      <c r="H1996">
        <v>0.9</v>
      </c>
      <c r="I1996">
        <v>54.8</v>
      </c>
      <c r="J1996">
        <v>28.7</v>
      </c>
      <c r="K1996">
        <v>1.1000000000000001</v>
      </c>
      <c r="L1996">
        <v>3.3</v>
      </c>
      <c r="M1996">
        <v>0</v>
      </c>
      <c r="N1996">
        <v>0</v>
      </c>
      <c r="O1996" t="s">
        <v>27</v>
      </c>
      <c r="P1996">
        <v>7.8</v>
      </c>
      <c r="Q1996">
        <v>16</v>
      </c>
      <c r="R1996">
        <v>-0.5</v>
      </c>
      <c r="S1996">
        <v>13.8</v>
      </c>
      <c r="T1996">
        <v>10.9</v>
      </c>
      <c r="U1996" t="s">
        <v>27</v>
      </c>
      <c r="V1996">
        <v>0.114</v>
      </c>
      <c r="W1996">
        <v>0.45500000000000002</v>
      </c>
      <c r="X1996">
        <v>1.1299999999999999</v>
      </c>
      <c r="Y1996" t="s">
        <v>27</v>
      </c>
      <c r="Z1996" t="s">
        <v>27</v>
      </c>
      <c r="AA1996" t="s">
        <v>27</v>
      </c>
      <c r="AB1996" t="s">
        <v>27</v>
      </c>
      <c r="AC1996" t="s">
        <v>27</v>
      </c>
      <c r="AD1996" t="s">
        <v>27</v>
      </c>
      <c r="AE1996" t="s">
        <v>27</v>
      </c>
      <c r="AF1996" t="s">
        <v>27</v>
      </c>
      <c r="AG1996">
        <v>33.32</v>
      </c>
    </row>
    <row r="1997" spans="1:33" x14ac:dyDescent="0.25">
      <c r="A1997" t="s">
        <v>57</v>
      </c>
      <c r="B1997" s="3">
        <v>45458</v>
      </c>
      <c r="C1997">
        <v>2024167</v>
      </c>
      <c r="D1997">
        <v>11.81</v>
      </c>
      <c r="E1997" t="s">
        <v>27</v>
      </c>
      <c r="F1997">
        <v>2.9</v>
      </c>
      <c r="G1997">
        <v>6.9</v>
      </c>
      <c r="H1997">
        <v>0.3</v>
      </c>
      <c r="I1997">
        <v>77.5</v>
      </c>
      <c r="J1997">
        <v>52.5</v>
      </c>
      <c r="K1997">
        <v>1.3</v>
      </c>
      <c r="L1997">
        <v>3.9</v>
      </c>
      <c r="M1997">
        <v>5.9</v>
      </c>
      <c r="N1997">
        <v>0</v>
      </c>
      <c r="O1997" t="s">
        <v>27</v>
      </c>
      <c r="P1997">
        <v>2.6</v>
      </c>
      <c r="Q1997">
        <v>7.7</v>
      </c>
      <c r="R1997">
        <v>-0.3</v>
      </c>
      <c r="S1997">
        <v>7</v>
      </c>
      <c r="T1997">
        <v>9.1999999999999993</v>
      </c>
      <c r="U1997" t="s">
        <v>27</v>
      </c>
      <c r="V1997">
        <v>0.11700000000000001</v>
      </c>
      <c r="W1997">
        <v>0.52200000000000002</v>
      </c>
      <c r="X1997">
        <v>0.47199999999999998</v>
      </c>
      <c r="Y1997" t="s">
        <v>27</v>
      </c>
      <c r="Z1997" t="s">
        <v>27</v>
      </c>
      <c r="AA1997" t="s">
        <v>27</v>
      </c>
      <c r="AB1997" t="s">
        <v>27</v>
      </c>
      <c r="AC1997" t="s">
        <v>27</v>
      </c>
      <c r="AD1997" t="s">
        <v>27</v>
      </c>
      <c r="AE1997" t="s">
        <v>27</v>
      </c>
      <c r="AF1997" t="s">
        <v>27</v>
      </c>
      <c r="AG1997">
        <v>33.33</v>
      </c>
    </row>
    <row r="1998" spans="1:33" x14ac:dyDescent="0.25">
      <c r="A1998" t="s">
        <v>57</v>
      </c>
      <c r="B1998" s="3">
        <v>45459</v>
      </c>
      <c r="C1998">
        <v>2024168</v>
      </c>
      <c r="D1998">
        <v>7.78</v>
      </c>
      <c r="E1998" t="s">
        <v>27</v>
      </c>
      <c r="F1998">
        <v>1.5</v>
      </c>
      <c r="G1998">
        <v>4.0999999999999996</v>
      </c>
      <c r="H1998">
        <v>-0.2</v>
      </c>
      <c r="I1998">
        <v>92.7</v>
      </c>
      <c r="J1998">
        <v>84.2</v>
      </c>
      <c r="K1998">
        <v>0.7</v>
      </c>
      <c r="L1998">
        <v>2.2000000000000002</v>
      </c>
      <c r="M1998">
        <v>10.5</v>
      </c>
      <c r="N1998">
        <v>0</v>
      </c>
      <c r="O1998" t="s">
        <v>27</v>
      </c>
      <c r="P1998">
        <v>1.2</v>
      </c>
      <c r="Q1998">
        <v>4.0999999999999996</v>
      </c>
      <c r="R1998">
        <v>-0.9</v>
      </c>
      <c r="S1998">
        <v>3.1</v>
      </c>
      <c r="T1998">
        <v>6.7</v>
      </c>
      <c r="U1998" t="s">
        <v>27</v>
      </c>
      <c r="V1998">
        <v>0.13800000000000001</v>
      </c>
      <c r="W1998">
        <v>0.68899999999999995</v>
      </c>
      <c r="X1998">
        <v>0.129</v>
      </c>
      <c r="Y1998" t="s">
        <v>27</v>
      </c>
      <c r="Z1998" t="s">
        <v>27</v>
      </c>
      <c r="AA1998" t="s">
        <v>27</v>
      </c>
      <c r="AB1998" t="s">
        <v>27</v>
      </c>
      <c r="AC1998" t="s">
        <v>27</v>
      </c>
      <c r="AD1998" t="s">
        <v>27</v>
      </c>
      <c r="AE1998" t="s">
        <v>27</v>
      </c>
      <c r="AF1998" t="s">
        <v>27</v>
      </c>
      <c r="AG1998">
        <v>33.340000000000003</v>
      </c>
    </row>
    <row r="1999" spans="1:33" x14ac:dyDescent="0.25">
      <c r="A1999" t="s">
        <v>57</v>
      </c>
      <c r="B1999" s="3">
        <v>45460</v>
      </c>
      <c r="C1999">
        <v>2024169</v>
      </c>
      <c r="D1999">
        <v>12.52</v>
      </c>
      <c r="E1999" t="s">
        <v>27</v>
      </c>
      <c r="F1999">
        <v>3.5</v>
      </c>
      <c r="G1999">
        <v>9.6</v>
      </c>
      <c r="H1999">
        <v>0.3</v>
      </c>
      <c r="I1999">
        <v>91.4</v>
      </c>
      <c r="J1999">
        <v>65.900000000000006</v>
      </c>
      <c r="K1999">
        <v>0.7</v>
      </c>
      <c r="L1999">
        <v>3</v>
      </c>
      <c r="M1999">
        <v>10.1</v>
      </c>
      <c r="N1999">
        <v>0</v>
      </c>
      <c r="O1999" t="s">
        <v>27</v>
      </c>
      <c r="P1999">
        <v>3.3</v>
      </c>
      <c r="Q1999">
        <v>11.2</v>
      </c>
      <c r="R1999">
        <v>-0.7</v>
      </c>
      <c r="S1999">
        <v>8.3000000000000007</v>
      </c>
      <c r="T1999">
        <v>7</v>
      </c>
      <c r="U1999" t="s">
        <v>27</v>
      </c>
      <c r="V1999">
        <v>0.153</v>
      </c>
      <c r="W1999">
        <v>0.78500000000000003</v>
      </c>
      <c r="X1999">
        <v>0.40600000000000003</v>
      </c>
      <c r="Y1999" t="s">
        <v>27</v>
      </c>
      <c r="Z1999" t="s">
        <v>27</v>
      </c>
      <c r="AA1999" t="s">
        <v>27</v>
      </c>
      <c r="AB1999" t="s">
        <v>27</v>
      </c>
      <c r="AC1999" t="s">
        <v>27</v>
      </c>
      <c r="AD1999" t="s">
        <v>27</v>
      </c>
      <c r="AE1999" t="s">
        <v>27</v>
      </c>
      <c r="AF1999" t="s">
        <v>27</v>
      </c>
      <c r="AG1999">
        <v>33.35</v>
      </c>
    </row>
    <row r="2000" spans="1:33" x14ac:dyDescent="0.25">
      <c r="A2000" t="s">
        <v>57</v>
      </c>
      <c r="B2000" s="3">
        <v>45461</v>
      </c>
      <c r="C2000">
        <v>2024170</v>
      </c>
      <c r="D2000">
        <v>18.100000000000001</v>
      </c>
      <c r="E2000" t="s">
        <v>27</v>
      </c>
      <c r="F2000">
        <v>5.0999999999999996</v>
      </c>
      <c r="G2000">
        <v>11.9</v>
      </c>
      <c r="H2000">
        <v>-0.9</v>
      </c>
      <c r="I2000">
        <v>79.400000000000006</v>
      </c>
      <c r="J2000">
        <v>38.700000000000003</v>
      </c>
      <c r="K2000">
        <v>0.7</v>
      </c>
      <c r="L2000">
        <v>2.4</v>
      </c>
      <c r="M2000">
        <v>0.3</v>
      </c>
      <c r="N2000">
        <v>0</v>
      </c>
      <c r="O2000" t="s">
        <v>27</v>
      </c>
      <c r="P2000">
        <v>5.0999999999999996</v>
      </c>
      <c r="Q2000">
        <v>14.9</v>
      </c>
      <c r="R2000">
        <v>-2.1</v>
      </c>
      <c r="S2000">
        <v>9.6</v>
      </c>
      <c r="T2000">
        <v>8</v>
      </c>
      <c r="U2000" t="s">
        <v>27</v>
      </c>
      <c r="V2000">
        <v>0.14399999999999999</v>
      </c>
      <c r="W2000">
        <v>0.53800000000000003</v>
      </c>
      <c r="X2000">
        <v>0.85199999999999998</v>
      </c>
      <c r="Y2000" t="s">
        <v>27</v>
      </c>
      <c r="Z2000" t="s">
        <v>27</v>
      </c>
      <c r="AA2000" t="s">
        <v>27</v>
      </c>
      <c r="AB2000" t="s">
        <v>27</v>
      </c>
      <c r="AC2000" t="s">
        <v>27</v>
      </c>
      <c r="AD2000" t="s">
        <v>27</v>
      </c>
      <c r="AE2000" t="s">
        <v>27</v>
      </c>
      <c r="AF2000" t="s">
        <v>27</v>
      </c>
      <c r="AG2000">
        <v>33.35</v>
      </c>
    </row>
    <row r="2001" spans="1:33" x14ac:dyDescent="0.25">
      <c r="A2001" t="s">
        <v>57</v>
      </c>
      <c r="B2001" s="3">
        <v>45462</v>
      </c>
      <c r="C2001">
        <v>2024171</v>
      </c>
      <c r="D2001">
        <v>17.510000000000002</v>
      </c>
      <c r="E2001" t="s">
        <v>27</v>
      </c>
      <c r="F2001">
        <v>6.4</v>
      </c>
      <c r="G2001">
        <v>15.4</v>
      </c>
      <c r="H2001">
        <v>-1.8</v>
      </c>
      <c r="I2001">
        <v>74.7</v>
      </c>
      <c r="J2001">
        <v>32.799999999999997</v>
      </c>
      <c r="K2001">
        <v>0.4</v>
      </c>
      <c r="L2001">
        <v>1.8</v>
      </c>
      <c r="M2001">
        <v>0.8</v>
      </c>
      <c r="N2001">
        <v>0</v>
      </c>
      <c r="O2001" t="s">
        <v>27</v>
      </c>
      <c r="P2001">
        <v>6.3</v>
      </c>
      <c r="Q2001">
        <v>17.7</v>
      </c>
      <c r="R2001">
        <v>-3</v>
      </c>
      <c r="S2001">
        <v>8.3000000000000007</v>
      </c>
      <c r="T2001">
        <v>7.9</v>
      </c>
      <c r="U2001" t="s">
        <v>27</v>
      </c>
      <c r="V2001">
        <v>0.13700000000000001</v>
      </c>
      <c r="W2001">
        <v>0.57299999999999995</v>
      </c>
      <c r="X2001">
        <v>1.1739999999999999</v>
      </c>
      <c r="Y2001" t="s">
        <v>27</v>
      </c>
      <c r="Z2001" t="s">
        <v>27</v>
      </c>
      <c r="AA2001" t="s">
        <v>27</v>
      </c>
      <c r="AB2001" t="s">
        <v>27</v>
      </c>
      <c r="AC2001" t="s">
        <v>27</v>
      </c>
      <c r="AD2001" t="s">
        <v>27</v>
      </c>
      <c r="AE2001" t="s">
        <v>27</v>
      </c>
      <c r="AF2001" t="s">
        <v>27</v>
      </c>
      <c r="AG2001">
        <v>33.340000000000003</v>
      </c>
    </row>
    <row r="2002" spans="1:33" x14ac:dyDescent="0.25">
      <c r="A2002" t="s">
        <v>57</v>
      </c>
      <c r="B2002" s="3">
        <v>45463</v>
      </c>
      <c r="C2002">
        <v>2024172</v>
      </c>
      <c r="D2002">
        <v>20.16</v>
      </c>
      <c r="E2002" t="s">
        <v>27</v>
      </c>
      <c r="F2002">
        <v>8.3000000000000007</v>
      </c>
      <c r="G2002">
        <v>18.2</v>
      </c>
      <c r="H2002">
        <v>-0.4</v>
      </c>
      <c r="I2002">
        <v>72.099999999999994</v>
      </c>
      <c r="J2002">
        <v>30</v>
      </c>
      <c r="K2002">
        <v>0.3</v>
      </c>
      <c r="L2002">
        <v>2.1</v>
      </c>
      <c r="M2002">
        <v>0.4</v>
      </c>
      <c r="N2002">
        <v>0</v>
      </c>
      <c r="O2002" t="s">
        <v>27</v>
      </c>
      <c r="P2002">
        <v>8.1999999999999993</v>
      </c>
      <c r="Q2002">
        <v>21.8</v>
      </c>
      <c r="R2002">
        <v>-1.7</v>
      </c>
      <c r="S2002">
        <v>9.6999999999999993</v>
      </c>
      <c r="T2002">
        <v>8.3000000000000007</v>
      </c>
      <c r="U2002" t="s">
        <v>27</v>
      </c>
      <c r="V2002">
        <v>0.13300000000000001</v>
      </c>
      <c r="W2002">
        <v>0.628</v>
      </c>
      <c r="X2002">
        <v>1.4650000000000001</v>
      </c>
      <c r="Y2002" t="s">
        <v>27</v>
      </c>
      <c r="Z2002" t="s">
        <v>27</v>
      </c>
      <c r="AA2002" t="s">
        <v>27</v>
      </c>
      <c r="AB2002" t="s">
        <v>27</v>
      </c>
      <c r="AC2002" t="s">
        <v>27</v>
      </c>
      <c r="AD2002" t="s">
        <v>27</v>
      </c>
      <c r="AE2002" t="s">
        <v>27</v>
      </c>
      <c r="AF2002" t="s">
        <v>27</v>
      </c>
      <c r="AG2002">
        <v>33.33</v>
      </c>
    </row>
    <row r="2003" spans="1:33" x14ac:dyDescent="0.25">
      <c r="A2003" t="s">
        <v>57</v>
      </c>
      <c r="B2003" s="3">
        <v>45464</v>
      </c>
      <c r="C2003">
        <v>2024173</v>
      </c>
      <c r="D2003">
        <v>32.950000000000003</v>
      </c>
      <c r="E2003" t="s">
        <v>27</v>
      </c>
      <c r="F2003">
        <v>12.2</v>
      </c>
      <c r="G2003">
        <v>21.8</v>
      </c>
      <c r="H2003">
        <v>0.3</v>
      </c>
      <c r="I2003">
        <v>56.8</v>
      </c>
      <c r="J2003">
        <v>19.100000000000001</v>
      </c>
      <c r="K2003">
        <v>0.6</v>
      </c>
      <c r="L2003">
        <v>3</v>
      </c>
      <c r="M2003">
        <v>0</v>
      </c>
      <c r="N2003">
        <v>0</v>
      </c>
      <c r="O2003" t="s">
        <v>27</v>
      </c>
      <c r="P2003">
        <v>12.6</v>
      </c>
      <c r="Q2003">
        <v>26.2</v>
      </c>
      <c r="R2003">
        <v>-0.9</v>
      </c>
      <c r="S2003">
        <v>14</v>
      </c>
      <c r="T2003">
        <v>9.8000000000000007</v>
      </c>
      <c r="U2003" t="s">
        <v>27</v>
      </c>
      <c r="V2003">
        <v>0.127</v>
      </c>
      <c r="W2003">
        <v>0.498</v>
      </c>
      <c r="X2003">
        <v>2.109</v>
      </c>
      <c r="Y2003" t="s">
        <v>27</v>
      </c>
      <c r="Z2003" t="s">
        <v>27</v>
      </c>
      <c r="AA2003" t="s">
        <v>27</v>
      </c>
      <c r="AB2003" t="s">
        <v>27</v>
      </c>
      <c r="AC2003" t="s">
        <v>27</v>
      </c>
      <c r="AD2003" t="s">
        <v>27</v>
      </c>
      <c r="AE2003" t="s">
        <v>27</v>
      </c>
      <c r="AF2003" t="s">
        <v>27</v>
      </c>
      <c r="AG2003">
        <v>33.32</v>
      </c>
    </row>
    <row r="2004" spans="1:33" x14ac:dyDescent="0.25">
      <c r="A2004" t="s">
        <v>57</v>
      </c>
      <c r="B2004" s="3">
        <v>45465</v>
      </c>
      <c r="C2004">
        <v>2024174</v>
      </c>
      <c r="D2004">
        <v>18.440000000000001</v>
      </c>
      <c r="E2004" t="s">
        <v>27</v>
      </c>
      <c r="F2004">
        <v>13.1</v>
      </c>
      <c r="G2004">
        <v>21.9</v>
      </c>
      <c r="H2004">
        <v>4.7</v>
      </c>
      <c r="I2004">
        <v>60.2</v>
      </c>
      <c r="J2004">
        <v>24.4</v>
      </c>
      <c r="K2004">
        <v>0.5</v>
      </c>
      <c r="L2004">
        <v>2.6</v>
      </c>
      <c r="M2004">
        <v>0</v>
      </c>
      <c r="N2004">
        <v>0</v>
      </c>
      <c r="O2004" t="s">
        <v>27</v>
      </c>
      <c r="P2004">
        <v>13.1</v>
      </c>
      <c r="Q2004">
        <v>25.4</v>
      </c>
      <c r="R2004">
        <v>3.3</v>
      </c>
      <c r="S2004">
        <v>13.9</v>
      </c>
      <c r="T2004">
        <v>11</v>
      </c>
      <c r="U2004" t="s">
        <v>27</v>
      </c>
      <c r="V2004">
        <v>0.122</v>
      </c>
      <c r="W2004">
        <v>0.64300000000000002</v>
      </c>
      <c r="X2004">
        <v>1.992</v>
      </c>
      <c r="Y2004" t="s">
        <v>27</v>
      </c>
      <c r="Z2004" t="s">
        <v>27</v>
      </c>
      <c r="AA2004" t="s">
        <v>27</v>
      </c>
      <c r="AB2004" t="s">
        <v>27</v>
      </c>
      <c r="AC2004" t="s">
        <v>27</v>
      </c>
      <c r="AD2004" t="s">
        <v>27</v>
      </c>
      <c r="AE2004" t="s">
        <v>27</v>
      </c>
      <c r="AF2004" t="s">
        <v>27</v>
      </c>
      <c r="AG2004">
        <v>33.299999999999997</v>
      </c>
    </row>
    <row r="2005" spans="1:33" x14ac:dyDescent="0.25">
      <c r="A2005" t="s">
        <v>57</v>
      </c>
      <c r="B2005" s="3">
        <v>45466</v>
      </c>
      <c r="C2005">
        <v>2024175</v>
      </c>
      <c r="D2005">
        <v>28.36</v>
      </c>
      <c r="E2005" t="s">
        <v>27</v>
      </c>
      <c r="F2005">
        <v>9.8000000000000007</v>
      </c>
      <c r="G2005">
        <v>15.1</v>
      </c>
      <c r="H2005">
        <v>2.8</v>
      </c>
      <c r="I2005">
        <v>60.4</v>
      </c>
      <c r="J2005">
        <v>36.700000000000003</v>
      </c>
      <c r="K2005">
        <v>1.3</v>
      </c>
      <c r="L2005">
        <v>3.8</v>
      </c>
      <c r="M2005">
        <v>0</v>
      </c>
      <c r="N2005">
        <v>0</v>
      </c>
      <c r="O2005" t="s">
        <v>27</v>
      </c>
      <c r="P2005">
        <v>10.1</v>
      </c>
      <c r="Q2005">
        <v>20.3</v>
      </c>
      <c r="R2005">
        <v>1.2</v>
      </c>
      <c r="S2005">
        <v>13.9</v>
      </c>
      <c r="T2005">
        <v>11.2</v>
      </c>
      <c r="U2005" t="s">
        <v>27</v>
      </c>
      <c r="V2005">
        <v>0.11600000000000001</v>
      </c>
      <c r="W2005">
        <v>0.63</v>
      </c>
      <c r="X2005">
        <v>1.087</v>
      </c>
      <c r="Y2005" t="s">
        <v>27</v>
      </c>
      <c r="Z2005" t="s">
        <v>27</v>
      </c>
      <c r="AA2005" t="s">
        <v>27</v>
      </c>
      <c r="AB2005" t="s">
        <v>27</v>
      </c>
      <c r="AC2005" t="s">
        <v>27</v>
      </c>
      <c r="AD2005" t="s">
        <v>27</v>
      </c>
      <c r="AE2005" t="s">
        <v>27</v>
      </c>
      <c r="AF2005" t="s">
        <v>27</v>
      </c>
      <c r="AG2005">
        <v>33.270000000000003</v>
      </c>
    </row>
    <row r="2006" spans="1:33" x14ac:dyDescent="0.25">
      <c r="A2006" t="s">
        <v>57</v>
      </c>
      <c r="B2006" s="3">
        <v>45467</v>
      </c>
      <c r="C2006">
        <v>2024176</v>
      </c>
      <c r="D2006">
        <v>26.65</v>
      </c>
      <c r="E2006" t="s">
        <v>27</v>
      </c>
      <c r="F2006">
        <v>8.3000000000000007</v>
      </c>
      <c r="G2006">
        <v>16.5</v>
      </c>
      <c r="H2006">
        <v>-1.6</v>
      </c>
      <c r="I2006">
        <v>62.6</v>
      </c>
      <c r="J2006">
        <v>33.200000000000003</v>
      </c>
      <c r="K2006">
        <v>0.8</v>
      </c>
      <c r="L2006">
        <v>2.9</v>
      </c>
      <c r="M2006">
        <v>0</v>
      </c>
      <c r="N2006">
        <v>0</v>
      </c>
      <c r="O2006" t="s">
        <v>27</v>
      </c>
      <c r="P2006">
        <v>8.9</v>
      </c>
      <c r="Q2006">
        <v>21</v>
      </c>
      <c r="R2006">
        <v>-2.8</v>
      </c>
      <c r="S2006">
        <v>14.7</v>
      </c>
      <c r="T2006">
        <v>11</v>
      </c>
      <c r="U2006" t="s">
        <v>27</v>
      </c>
      <c r="V2006">
        <v>0.112</v>
      </c>
      <c r="W2006">
        <v>0.623</v>
      </c>
      <c r="X2006">
        <v>1.254</v>
      </c>
      <c r="Y2006" t="s">
        <v>27</v>
      </c>
      <c r="Z2006" t="s">
        <v>27</v>
      </c>
      <c r="AA2006" t="s">
        <v>27</v>
      </c>
      <c r="AB2006" t="s">
        <v>27</v>
      </c>
      <c r="AC2006" t="s">
        <v>27</v>
      </c>
      <c r="AD2006" t="s">
        <v>27</v>
      </c>
      <c r="AE2006" t="s">
        <v>27</v>
      </c>
      <c r="AF2006" t="s">
        <v>27</v>
      </c>
      <c r="AG2006">
        <v>33.25</v>
      </c>
    </row>
    <row r="2007" spans="1:33" x14ac:dyDescent="0.25">
      <c r="A2007" t="s">
        <v>57</v>
      </c>
      <c r="B2007" s="3">
        <v>45468</v>
      </c>
      <c r="C2007">
        <v>2024177</v>
      </c>
      <c r="D2007">
        <v>30.64</v>
      </c>
      <c r="E2007" t="s">
        <v>27</v>
      </c>
      <c r="F2007">
        <v>12.2</v>
      </c>
      <c r="G2007">
        <v>21.7</v>
      </c>
      <c r="H2007">
        <v>1</v>
      </c>
      <c r="I2007">
        <v>60.3</v>
      </c>
      <c r="J2007">
        <v>27.8</v>
      </c>
      <c r="K2007">
        <v>0.7</v>
      </c>
      <c r="L2007">
        <v>2.2999999999999998</v>
      </c>
      <c r="M2007">
        <v>0</v>
      </c>
      <c r="N2007">
        <v>0</v>
      </c>
      <c r="O2007" t="s">
        <v>27</v>
      </c>
      <c r="P2007">
        <v>12.9</v>
      </c>
      <c r="Q2007">
        <v>25.3</v>
      </c>
      <c r="R2007">
        <v>-0.3</v>
      </c>
      <c r="S2007">
        <v>17.100000000000001</v>
      </c>
      <c r="T2007">
        <v>11.9</v>
      </c>
      <c r="U2007" t="s">
        <v>27</v>
      </c>
      <c r="V2007">
        <v>0.107</v>
      </c>
      <c r="W2007">
        <v>0.72</v>
      </c>
      <c r="X2007">
        <v>1.87</v>
      </c>
      <c r="Y2007" t="s">
        <v>27</v>
      </c>
      <c r="Z2007" t="s">
        <v>27</v>
      </c>
      <c r="AA2007" t="s">
        <v>27</v>
      </c>
      <c r="AB2007" t="s">
        <v>27</v>
      </c>
      <c r="AC2007" t="s">
        <v>27</v>
      </c>
      <c r="AD2007" t="s">
        <v>27</v>
      </c>
      <c r="AE2007" t="s">
        <v>27</v>
      </c>
      <c r="AF2007" t="s">
        <v>27</v>
      </c>
      <c r="AG2007">
        <v>33.22</v>
      </c>
    </row>
    <row r="2008" spans="1:33" x14ac:dyDescent="0.25">
      <c r="A2008" t="s">
        <v>57</v>
      </c>
      <c r="B2008" s="3">
        <v>45469</v>
      </c>
      <c r="C2008">
        <v>2024178</v>
      </c>
      <c r="D2008">
        <v>13.1</v>
      </c>
      <c r="E2008" t="s">
        <v>27</v>
      </c>
      <c r="F2008">
        <v>10</v>
      </c>
      <c r="G2008">
        <v>21.7</v>
      </c>
      <c r="H2008">
        <v>3.9</v>
      </c>
      <c r="I2008">
        <v>82.9</v>
      </c>
      <c r="J2008">
        <v>30.2</v>
      </c>
      <c r="K2008">
        <v>0.5</v>
      </c>
      <c r="L2008">
        <v>4</v>
      </c>
      <c r="M2008">
        <v>14.8</v>
      </c>
      <c r="N2008">
        <v>0</v>
      </c>
      <c r="O2008" t="s">
        <v>27</v>
      </c>
      <c r="P2008">
        <v>9.3000000000000007</v>
      </c>
      <c r="Q2008">
        <v>24.9</v>
      </c>
      <c r="R2008">
        <v>2.6</v>
      </c>
      <c r="S2008">
        <v>11.4</v>
      </c>
      <c r="T2008">
        <v>11.3</v>
      </c>
      <c r="U2008" t="s">
        <v>27</v>
      </c>
      <c r="V2008">
        <v>0.13100000000000001</v>
      </c>
      <c r="W2008">
        <v>0.78400000000000003</v>
      </c>
      <c r="X2008">
        <v>1.8120000000000001</v>
      </c>
      <c r="Y2008" t="s">
        <v>27</v>
      </c>
      <c r="Z2008" t="s">
        <v>27</v>
      </c>
      <c r="AA2008" t="s">
        <v>27</v>
      </c>
      <c r="AB2008" t="s">
        <v>27</v>
      </c>
      <c r="AC2008" t="s">
        <v>27</v>
      </c>
      <c r="AD2008" t="s">
        <v>27</v>
      </c>
      <c r="AE2008" t="s">
        <v>27</v>
      </c>
      <c r="AF2008" t="s">
        <v>27</v>
      </c>
      <c r="AG2008">
        <v>33.18</v>
      </c>
    </row>
    <row r="2009" spans="1:33" x14ac:dyDescent="0.25">
      <c r="A2009" t="s">
        <v>57</v>
      </c>
      <c r="B2009" s="3">
        <v>45470</v>
      </c>
      <c r="C2009">
        <v>2024179</v>
      </c>
      <c r="D2009">
        <v>17.53</v>
      </c>
      <c r="E2009" t="s">
        <v>27</v>
      </c>
      <c r="F2009">
        <v>7</v>
      </c>
      <c r="G2009">
        <v>11.9</v>
      </c>
      <c r="H2009">
        <v>2.8</v>
      </c>
      <c r="I2009">
        <v>77.5</v>
      </c>
      <c r="J2009">
        <v>53.3</v>
      </c>
      <c r="K2009">
        <v>1.3</v>
      </c>
      <c r="L2009">
        <v>3.6</v>
      </c>
      <c r="M2009">
        <v>0</v>
      </c>
      <c r="N2009">
        <v>0</v>
      </c>
      <c r="O2009" t="s">
        <v>27</v>
      </c>
      <c r="P2009">
        <v>6.8</v>
      </c>
      <c r="Q2009">
        <v>14.2</v>
      </c>
      <c r="R2009">
        <v>1.8</v>
      </c>
      <c r="S2009">
        <v>11.1</v>
      </c>
      <c r="T2009">
        <v>10.5</v>
      </c>
      <c r="U2009" t="s">
        <v>27</v>
      </c>
      <c r="V2009">
        <v>0.13400000000000001</v>
      </c>
      <c r="W2009">
        <v>0.74299999999999999</v>
      </c>
      <c r="X2009">
        <v>0.65100000000000002</v>
      </c>
      <c r="Y2009" t="s">
        <v>27</v>
      </c>
      <c r="Z2009" t="s">
        <v>27</v>
      </c>
      <c r="AA2009" t="s">
        <v>27</v>
      </c>
      <c r="AB2009" t="s">
        <v>27</v>
      </c>
      <c r="AC2009" t="s">
        <v>27</v>
      </c>
      <c r="AD2009" t="s">
        <v>27</v>
      </c>
      <c r="AE2009" t="s">
        <v>27</v>
      </c>
      <c r="AF2009" t="s">
        <v>27</v>
      </c>
      <c r="AG2009">
        <v>33.14</v>
      </c>
    </row>
    <row r="2010" spans="1:33" x14ac:dyDescent="0.25">
      <c r="A2010" t="s">
        <v>57</v>
      </c>
      <c r="B2010" s="3">
        <v>45471</v>
      </c>
      <c r="C2010">
        <v>2024180</v>
      </c>
      <c r="D2010">
        <v>22.44</v>
      </c>
      <c r="E2010" t="s">
        <v>27</v>
      </c>
      <c r="F2010">
        <v>9.4</v>
      </c>
      <c r="G2010">
        <v>18.100000000000001</v>
      </c>
      <c r="H2010">
        <v>-0.7</v>
      </c>
      <c r="I2010">
        <v>73.099999999999994</v>
      </c>
      <c r="J2010">
        <v>43.5</v>
      </c>
      <c r="K2010">
        <v>0.7</v>
      </c>
      <c r="L2010">
        <v>2.6</v>
      </c>
      <c r="M2010">
        <v>0</v>
      </c>
      <c r="N2010">
        <v>0</v>
      </c>
      <c r="O2010" t="s">
        <v>27</v>
      </c>
      <c r="P2010">
        <v>9.6</v>
      </c>
      <c r="Q2010">
        <v>21.5</v>
      </c>
      <c r="R2010">
        <v>-1.8</v>
      </c>
      <c r="S2010">
        <v>12.1</v>
      </c>
      <c r="T2010">
        <v>10.4</v>
      </c>
      <c r="U2010" t="s">
        <v>27</v>
      </c>
      <c r="V2010">
        <v>0.123</v>
      </c>
      <c r="W2010">
        <v>0.90200000000000002</v>
      </c>
      <c r="X2010">
        <v>1.1719999999999999</v>
      </c>
      <c r="Y2010" t="s">
        <v>27</v>
      </c>
      <c r="Z2010" t="s">
        <v>27</v>
      </c>
      <c r="AA2010" t="s">
        <v>27</v>
      </c>
      <c r="AB2010" t="s">
        <v>27</v>
      </c>
      <c r="AC2010" t="s">
        <v>27</v>
      </c>
      <c r="AD2010" t="s">
        <v>27</v>
      </c>
      <c r="AE2010" t="s">
        <v>27</v>
      </c>
      <c r="AF2010" t="s">
        <v>27</v>
      </c>
      <c r="AG2010">
        <v>33.1</v>
      </c>
    </row>
    <row r="2011" spans="1:33" x14ac:dyDescent="0.25">
      <c r="A2011" t="s">
        <v>57</v>
      </c>
      <c r="B2011" s="3">
        <v>45472</v>
      </c>
      <c r="C2011">
        <v>2024181</v>
      </c>
      <c r="D2011">
        <v>14.09</v>
      </c>
      <c r="E2011" t="s">
        <v>27</v>
      </c>
      <c r="F2011">
        <v>12</v>
      </c>
      <c r="G2011">
        <v>17.8</v>
      </c>
      <c r="H2011">
        <v>4</v>
      </c>
      <c r="I2011">
        <v>72.7</v>
      </c>
      <c r="J2011">
        <v>46.1</v>
      </c>
      <c r="K2011">
        <v>0.3</v>
      </c>
      <c r="L2011">
        <v>1.8</v>
      </c>
      <c r="M2011">
        <v>0</v>
      </c>
      <c r="N2011">
        <v>0</v>
      </c>
      <c r="O2011" t="s">
        <v>27</v>
      </c>
      <c r="P2011">
        <v>12.1</v>
      </c>
      <c r="Q2011">
        <v>22.1</v>
      </c>
      <c r="R2011">
        <v>2.9</v>
      </c>
      <c r="S2011">
        <v>13.1</v>
      </c>
      <c r="T2011">
        <v>11</v>
      </c>
      <c r="U2011" t="s">
        <v>27</v>
      </c>
      <c r="V2011">
        <v>0.11700000000000001</v>
      </c>
      <c r="W2011">
        <v>0.93799999999999994</v>
      </c>
      <c r="X2011">
        <v>1.097</v>
      </c>
      <c r="Y2011" t="s">
        <v>27</v>
      </c>
      <c r="Z2011" t="s">
        <v>27</v>
      </c>
      <c r="AA2011" t="s">
        <v>27</v>
      </c>
      <c r="AB2011" t="s">
        <v>27</v>
      </c>
      <c r="AC2011" t="s">
        <v>27</v>
      </c>
      <c r="AD2011" t="s">
        <v>27</v>
      </c>
      <c r="AE2011" t="s">
        <v>27</v>
      </c>
      <c r="AF2011" t="s">
        <v>27</v>
      </c>
      <c r="AG2011">
        <v>33.049999999999997</v>
      </c>
    </row>
    <row r="2012" spans="1:33" x14ac:dyDescent="0.25">
      <c r="A2012" t="s">
        <v>57</v>
      </c>
      <c r="B2012" s="3">
        <v>45473</v>
      </c>
      <c r="C2012">
        <v>2024182</v>
      </c>
      <c r="D2012">
        <v>13.56</v>
      </c>
      <c r="E2012" t="s">
        <v>27</v>
      </c>
      <c r="F2012">
        <v>9.9</v>
      </c>
      <c r="G2012">
        <v>14.3</v>
      </c>
      <c r="H2012">
        <v>5.6</v>
      </c>
      <c r="I2012">
        <v>85.6</v>
      </c>
      <c r="J2012">
        <v>54.6</v>
      </c>
      <c r="K2012">
        <v>0.6</v>
      </c>
      <c r="L2012">
        <v>2.8</v>
      </c>
      <c r="M2012">
        <v>11.5</v>
      </c>
      <c r="N2012">
        <v>0</v>
      </c>
      <c r="O2012" t="s">
        <v>27</v>
      </c>
      <c r="P2012">
        <v>9.1999999999999993</v>
      </c>
      <c r="Q2012">
        <v>13.3</v>
      </c>
      <c r="R2012">
        <v>4.5</v>
      </c>
      <c r="S2012">
        <v>13</v>
      </c>
      <c r="T2012">
        <v>11.4</v>
      </c>
      <c r="U2012" t="s">
        <v>27</v>
      </c>
      <c r="V2012">
        <v>0.121</v>
      </c>
      <c r="W2012">
        <v>0.88800000000000001</v>
      </c>
      <c r="X2012">
        <v>0.73799999999999999</v>
      </c>
      <c r="Y2012" t="s">
        <v>27</v>
      </c>
      <c r="Z2012" t="s">
        <v>27</v>
      </c>
      <c r="AA2012" t="s">
        <v>27</v>
      </c>
      <c r="AB2012" t="s">
        <v>27</v>
      </c>
      <c r="AC2012" t="s">
        <v>27</v>
      </c>
      <c r="AD2012" t="s">
        <v>27</v>
      </c>
      <c r="AE2012" t="s">
        <v>27</v>
      </c>
      <c r="AF2012" t="s">
        <v>27</v>
      </c>
      <c r="AG2012">
        <v>33</v>
      </c>
    </row>
    <row r="2013" spans="1:33" x14ac:dyDescent="0.25">
      <c r="A2013" t="s">
        <v>57</v>
      </c>
      <c r="B2013" s="3">
        <v>45474</v>
      </c>
      <c r="C2013">
        <v>2024183</v>
      </c>
      <c r="D2013">
        <v>15.48</v>
      </c>
      <c r="E2013" t="s">
        <v>27</v>
      </c>
      <c r="F2013">
        <v>10.1</v>
      </c>
      <c r="G2013">
        <v>16.399999999999999</v>
      </c>
      <c r="H2013">
        <v>4.7</v>
      </c>
      <c r="I2013">
        <v>81.599999999999994</v>
      </c>
      <c r="J2013">
        <v>49.8</v>
      </c>
      <c r="K2013">
        <v>0.7</v>
      </c>
      <c r="L2013">
        <v>3.4</v>
      </c>
      <c r="M2013">
        <v>1.6</v>
      </c>
      <c r="N2013">
        <v>0</v>
      </c>
      <c r="O2013" t="s">
        <v>27</v>
      </c>
      <c r="P2013">
        <v>9.9</v>
      </c>
      <c r="Q2013">
        <v>18.7</v>
      </c>
      <c r="R2013">
        <v>3.5</v>
      </c>
      <c r="S2013">
        <v>13.2</v>
      </c>
      <c r="T2013">
        <v>11.2</v>
      </c>
      <c r="U2013" t="s">
        <v>27</v>
      </c>
      <c r="V2013">
        <v>0.124</v>
      </c>
      <c r="W2013">
        <v>0.92600000000000005</v>
      </c>
      <c r="X2013">
        <v>0.93300000000000005</v>
      </c>
      <c r="Y2013" t="s">
        <v>27</v>
      </c>
      <c r="Z2013" t="s">
        <v>27</v>
      </c>
      <c r="AA2013" t="s">
        <v>27</v>
      </c>
      <c r="AB2013" t="s">
        <v>27</v>
      </c>
      <c r="AC2013" t="s">
        <v>27</v>
      </c>
      <c r="AD2013" t="s">
        <v>27</v>
      </c>
      <c r="AE2013" t="s">
        <v>27</v>
      </c>
      <c r="AF2013" t="s">
        <v>27</v>
      </c>
      <c r="AG2013">
        <v>32.950000000000003</v>
      </c>
    </row>
    <row r="2014" spans="1:33" x14ac:dyDescent="0.25">
      <c r="A2014" t="s">
        <v>57</v>
      </c>
      <c r="B2014" s="3">
        <v>45475</v>
      </c>
      <c r="C2014">
        <v>2024184</v>
      </c>
      <c r="D2014">
        <v>18.14</v>
      </c>
      <c r="E2014" t="s">
        <v>27</v>
      </c>
      <c r="F2014">
        <v>10.3</v>
      </c>
      <c r="G2014">
        <v>16.3</v>
      </c>
      <c r="H2014">
        <v>6</v>
      </c>
      <c r="I2014">
        <v>77.900000000000006</v>
      </c>
      <c r="J2014">
        <v>45</v>
      </c>
      <c r="K2014">
        <v>0.8</v>
      </c>
      <c r="L2014">
        <v>2.7</v>
      </c>
      <c r="M2014">
        <v>2.2999999999999998</v>
      </c>
      <c r="N2014">
        <v>0</v>
      </c>
      <c r="O2014" t="s">
        <v>27</v>
      </c>
      <c r="P2014">
        <v>10.3</v>
      </c>
      <c r="Q2014">
        <v>19.8</v>
      </c>
      <c r="R2014">
        <v>5.0999999999999996</v>
      </c>
      <c r="S2014">
        <v>13.6</v>
      </c>
      <c r="T2014">
        <v>11.7</v>
      </c>
      <c r="U2014" t="s">
        <v>27</v>
      </c>
      <c r="V2014">
        <v>0.12</v>
      </c>
      <c r="W2014">
        <v>0.83299999999999996</v>
      </c>
      <c r="X2014">
        <v>1.018</v>
      </c>
      <c r="Y2014" t="s">
        <v>27</v>
      </c>
      <c r="Z2014" t="s">
        <v>27</v>
      </c>
      <c r="AA2014" t="s">
        <v>27</v>
      </c>
      <c r="AB2014" t="s">
        <v>27</v>
      </c>
      <c r="AC2014" t="s">
        <v>27</v>
      </c>
      <c r="AD2014" t="s">
        <v>27</v>
      </c>
      <c r="AE2014" t="s">
        <v>27</v>
      </c>
      <c r="AF2014" t="s">
        <v>27</v>
      </c>
      <c r="AG2014">
        <v>32.9</v>
      </c>
    </row>
    <row r="2015" spans="1:33" x14ac:dyDescent="0.25">
      <c r="A2015" t="s">
        <v>57</v>
      </c>
      <c r="B2015" s="3">
        <v>45476</v>
      </c>
      <c r="C2015">
        <v>2024185</v>
      </c>
      <c r="D2015">
        <v>28.04</v>
      </c>
      <c r="E2015" t="s">
        <v>27</v>
      </c>
      <c r="F2015">
        <v>10.8</v>
      </c>
      <c r="G2015">
        <v>17.600000000000001</v>
      </c>
      <c r="H2015">
        <v>3.9</v>
      </c>
      <c r="I2015">
        <v>66.599999999999994</v>
      </c>
      <c r="J2015">
        <v>34.299999999999997</v>
      </c>
      <c r="K2015">
        <v>0.9</v>
      </c>
      <c r="L2015">
        <v>2.5</v>
      </c>
      <c r="M2015">
        <v>0</v>
      </c>
      <c r="N2015">
        <v>0</v>
      </c>
      <c r="O2015" t="s">
        <v>27</v>
      </c>
      <c r="P2015">
        <v>10.9</v>
      </c>
      <c r="Q2015">
        <v>21.8</v>
      </c>
      <c r="R2015">
        <v>2.6</v>
      </c>
      <c r="S2015">
        <v>14</v>
      </c>
      <c r="T2015">
        <v>11.8</v>
      </c>
      <c r="U2015" t="s">
        <v>27</v>
      </c>
      <c r="V2015">
        <v>0.115</v>
      </c>
      <c r="W2015">
        <v>0.69</v>
      </c>
      <c r="X2015">
        <v>1.3220000000000001</v>
      </c>
      <c r="Y2015" t="s">
        <v>27</v>
      </c>
      <c r="Z2015" t="s">
        <v>27</v>
      </c>
      <c r="AA2015" t="s">
        <v>27</v>
      </c>
      <c r="AB2015" t="s">
        <v>27</v>
      </c>
      <c r="AC2015" t="s">
        <v>27</v>
      </c>
      <c r="AD2015" t="s">
        <v>27</v>
      </c>
      <c r="AE2015" t="s">
        <v>27</v>
      </c>
      <c r="AF2015" t="s">
        <v>27</v>
      </c>
      <c r="AG2015">
        <v>32.840000000000003</v>
      </c>
    </row>
    <row r="2016" spans="1:33" x14ac:dyDescent="0.25">
      <c r="A2016" t="s">
        <v>57</v>
      </c>
      <c r="B2016" s="3">
        <v>45477</v>
      </c>
      <c r="C2016">
        <v>2024186</v>
      </c>
      <c r="D2016">
        <v>31.84</v>
      </c>
      <c r="E2016" t="s">
        <v>27</v>
      </c>
      <c r="F2016">
        <v>13.2</v>
      </c>
      <c r="G2016">
        <v>22.8</v>
      </c>
      <c r="H2016">
        <v>2.2999999999999998</v>
      </c>
      <c r="I2016">
        <v>61.8</v>
      </c>
      <c r="J2016">
        <v>23.8</v>
      </c>
      <c r="K2016">
        <v>0.6</v>
      </c>
      <c r="L2016">
        <v>3</v>
      </c>
      <c r="M2016">
        <v>0</v>
      </c>
      <c r="N2016">
        <v>0</v>
      </c>
      <c r="O2016" t="s">
        <v>27</v>
      </c>
      <c r="P2016">
        <v>13.7</v>
      </c>
      <c r="Q2016">
        <v>27</v>
      </c>
      <c r="R2016">
        <v>1.1000000000000001</v>
      </c>
      <c r="S2016">
        <v>16</v>
      </c>
      <c r="T2016">
        <v>12.4</v>
      </c>
      <c r="U2016" t="s">
        <v>27</v>
      </c>
      <c r="V2016">
        <v>0.109</v>
      </c>
      <c r="W2016">
        <v>0.66</v>
      </c>
      <c r="X2016">
        <v>2.113</v>
      </c>
      <c r="Y2016" t="s">
        <v>27</v>
      </c>
      <c r="Z2016" t="s">
        <v>27</v>
      </c>
      <c r="AA2016" t="s">
        <v>27</v>
      </c>
      <c r="AB2016" t="s">
        <v>27</v>
      </c>
      <c r="AC2016" t="s">
        <v>27</v>
      </c>
      <c r="AD2016" t="s">
        <v>27</v>
      </c>
      <c r="AE2016" t="s">
        <v>27</v>
      </c>
      <c r="AF2016" t="s">
        <v>27</v>
      </c>
      <c r="AG2016">
        <v>32.78</v>
      </c>
    </row>
    <row r="2017" spans="1:33" x14ac:dyDescent="0.25">
      <c r="A2017" t="s">
        <v>57</v>
      </c>
      <c r="B2017" s="3">
        <v>45478</v>
      </c>
      <c r="C2017">
        <v>2024187</v>
      </c>
      <c r="D2017">
        <v>33.9</v>
      </c>
      <c r="E2017" t="s">
        <v>27</v>
      </c>
      <c r="F2017">
        <v>15.8</v>
      </c>
      <c r="G2017">
        <v>24.7</v>
      </c>
      <c r="H2017">
        <v>4</v>
      </c>
      <c r="I2017">
        <v>53.6</v>
      </c>
      <c r="J2017">
        <v>25.2</v>
      </c>
      <c r="K2017">
        <v>0.7</v>
      </c>
      <c r="L2017">
        <v>3</v>
      </c>
      <c r="M2017">
        <v>0</v>
      </c>
      <c r="N2017">
        <v>0</v>
      </c>
      <c r="O2017" t="s">
        <v>27</v>
      </c>
      <c r="P2017">
        <v>16.3</v>
      </c>
      <c r="Q2017">
        <v>29.1</v>
      </c>
      <c r="R2017">
        <v>2.8</v>
      </c>
      <c r="S2017">
        <v>19.2</v>
      </c>
      <c r="T2017">
        <v>13.7</v>
      </c>
      <c r="U2017" t="s">
        <v>27</v>
      </c>
      <c r="V2017">
        <v>0.104</v>
      </c>
      <c r="W2017">
        <v>0.78600000000000003</v>
      </c>
      <c r="X2017">
        <v>2.3330000000000002</v>
      </c>
      <c r="Y2017" t="s">
        <v>27</v>
      </c>
      <c r="Z2017" t="s">
        <v>27</v>
      </c>
      <c r="AA2017" t="s">
        <v>27</v>
      </c>
      <c r="AB2017" t="s">
        <v>27</v>
      </c>
      <c r="AC2017" t="s">
        <v>27</v>
      </c>
      <c r="AD2017" t="s">
        <v>27</v>
      </c>
      <c r="AE2017" t="s">
        <v>27</v>
      </c>
      <c r="AF2017" t="s">
        <v>27</v>
      </c>
      <c r="AG2017">
        <v>32.71</v>
      </c>
    </row>
    <row r="2018" spans="1:33" x14ac:dyDescent="0.25">
      <c r="A2018" t="s">
        <v>57</v>
      </c>
      <c r="B2018" s="3">
        <v>45479</v>
      </c>
      <c r="C2018">
        <v>2024188</v>
      </c>
      <c r="D2018">
        <v>33.61</v>
      </c>
      <c r="E2018" t="s">
        <v>27</v>
      </c>
      <c r="F2018">
        <v>15.1</v>
      </c>
      <c r="G2018">
        <v>23.9</v>
      </c>
      <c r="H2018">
        <v>5.2</v>
      </c>
      <c r="I2018">
        <v>55</v>
      </c>
      <c r="J2018">
        <v>24.7</v>
      </c>
      <c r="K2018">
        <v>0.7</v>
      </c>
      <c r="L2018">
        <v>3.2</v>
      </c>
      <c r="M2018">
        <v>0</v>
      </c>
      <c r="N2018">
        <v>0</v>
      </c>
      <c r="O2018" t="s">
        <v>27</v>
      </c>
      <c r="P2018">
        <v>15.8</v>
      </c>
      <c r="Q2018">
        <v>28.5</v>
      </c>
      <c r="R2018">
        <v>3.8</v>
      </c>
      <c r="S2018">
        <v>20.8</v>
      </c>
      <c r="T2018">
        <v>14.8</v>
      </c>
      <c r="U2018" t="s">
        <v>27</v>
      </c>
      <c r="V2018">
        <v>9.8000000000000004E-2</v>
      </c>
      <c r="W2018">
        <v>0.73099999999999998</v>
      </c>
      <c r="X2018">
        <v>2.2290000000000001</v>
      </c>
      <c r="Y2018" t="s">
        <v>27</v>
      </c>
      <c r="Z2018" t="s">
        <v>27</v>
      </c>
      <c r="AA2018" t="s">
        <v>27</v>
      </c>
      <c r="AB2018" t="s">
        <v>27</v>
      </c>
      <c r="AC2018" t="s">
        <v>27</v>
      </c>
      <c r="AD2018" t="s">
        <v>27</v>
      </c>
      <c r="AE2018" t="s">
        <v>27</v>
      </c>
      <c r="AF2018" t="s">
        <v>27</v>
      </c>
      <c r="AG2018">
        <v>32.64</v>
      </c>
    </row>
    <row r="2019" spans="1:33" x14ac:dyDescent="0.25">
      <c r="A2019" t="s">
        <v>57</v>
      </c>
      <c r="B2019" s="3">
        <v>45480</v>
      </c>
      <c r="C2019">
        <v>2024189</v>
      </c>
      <c r="D2019">
        <v>34.28</v>
      </c>
      <c r="E2019" t="s">
        <v>27</v>
      </c>
      <c r="F2019">
        <v>17.899999999999999</v>
      </c>
      <c r="G2019">
        <v>28.8</v>
      </c>
      <c r="H2019">
        <v>5</v>
      </c>
      <c r="I2019">
        <v>49.8</v>
      </c>
      <c r="J2019">
        <v>19.3</v>
      </c>
      <c r="K2019">
        <v>0.6</v>
      </c>
      <c r="L2019">
        <v>2.2000000000000002</v>
      </c>
      <c r="M2019">
        <v>0</v>
      </c>
      <c r="N2019">
        <v>0</v>
      </c>
      <c r="O2019" t="s">
        <v>27</v>
      </c>
      <c r="P2019">
        <v>18.5</v>
      </c>
      <c r="Q2019">
        <v>33.9</v>
      </c>
      <c r="R2019">
        <v>3.5</v>
      </c>
      <c r="S2019">
        <v>22.7</v>
      </c>
      <c r="T2019">
        <v>15.4</v>
      </c>
      <c r="U2019" t="s">
        <v>27</v>
      </c>
      <c r="V2019">
        <v>9.1999999999999998E-2</v>
      </c>
      <c r="W2019">
        <v>0.76600000000000001</v>
      </c>
      <c r="X2019">
        <v>3.2029999999999998</v>
      </c>
      <c r="Y2019" t="s">
        <v>27</v>
      </c>
      <c r="Z2019" t="s">
        <v>27</v>
      </c>
      <c r="AA2019" t="s">
        <v>27</v>
      </c>
      <c r="AB2019" t="s">
        <v>27</v>
      </c>
      <c r="AC2019" t="s">
        <v>27</v>
      </c>
      <c r="AD2019" t="s">
        <v>27</v>
      </c>
      <c r="AE2019" t="s">
        <v>27</v>
      </c>
      <c r="AF2019" t="s">
        <v>27</v>
      </c>
      <c r="AG2019">
        <v>32.56</v>
      </c>
    </row>
    <row r="2020" spans="1:33" x14ac:dyDescent="0.25">
      <c r="A2020" t="s">
        <v>57</v>
      </c>
      <c r="B2020" s="3">
        <v>45481</v>
      </c>
      <c r="C2020">
        <v>2024190</v>
      </c>
      <c r="D2020">
        <v>34.36</v>
      </c>
      <c r="E2020" t="s">
        <v>27</v>
      </c>
      <c r="F2020">
        <v>19.399999999999999</v>
      </c>
      <c r="G2020">
        <v>29.8</v>
      </c>
      <c r="H2020">
        <v>5.7</v>
      </c>
      <c r="I2020">
        <v>46.3</v>
      </c>
      <c r="J2020">
        <v>18.7</v>
      </c>
      <c r="K2020">
        <v>0.5</v>
      </c>
      <c r="L2020">
        <v>2.4</v>
      </c>
      <c r="M2020">
        <v>0</v>
      </c>
      <c r="N2020">
        <v>0</v>
      </c>
      <c r="O2020" t="s">
        <v>27</v>
      </c>
      <c r="P2020">
        <v>20.100000000000001</v>
      </c>
      <c r="Q2020">
        <v>35.200000000000003</v>
      </c>
      <c r="R2020">
        <v>4.4000000000000004</v>
      </c>
      <c r="S2020">
        <v>24.7</v>
      </c>
      <c r="T2020">
        <v>16.399999999999999</v>
      </c>
      <c r="U2020" t="s">
        <v>27</v>
      </c>
      <c r="V2020">
        <v>8.6999999999999994E-2</v>
      </c>
      <c r="W2020">
        <v>0.78400000000000003</v>
      </c>
      <c r="X2020">
        <v>3.4089999999999998</v>
      </c>
      <c r="Y2020" t="s">
        <v>27</v>
      </c>
      <c r="Z2020" t="s">
        <v>27</v>
      </c>
      <c r="AA2020" t="s">
        <v>27</v>
      </c>
      <c r="AB2020" t="s">
        <v>27</v>
      </c>
      <c r="AC2020" t="s">
        <v>27</v>
      </c>
      <c r="AD2020" t="s">
        <v>27</v>
      </c>
      <c r="AE2020" t="s">
        <v>27</v>
      </c>
      <c r="AF2020" t="s">
        <v>27</v>
      </c>
      <c r="AG2020">
        <v>32.479999999999997</v>
      </c>
    </row>
    <row r="2021" spans="1:33" x14ac:dyDescent="0.25">
      <c r="A2021" t="s">
        <v>57</v>
      </c>
      <c r="B2021" s="3">
        <v>45482</v>
      </c>
      <c r="C2021">
        <v>2024191</v>
      </c>
      <c r="D2021">
        <v>31.03</v>
      </c>
      <c r="E2021" t="s">
        <v>27</v>
      </c>
      <c r="F2021">
        <v>20.9</v>
      </c>
      <c r="G2021">
        <v>31.6</v>
      </c>
      <c r="H2021">
        <v>8.3000000000000007</v>
      </c>
      <c r="I2021">
        <v>47.2</v>
      </c>
      <c r="J2021">
        <v>16</v>
      </c>
      <c r="K2021">
        <v>0.5</v>
      </c>
      <c r="L2021">
        <v>2.7</v>
      </c>
      <c r="M2021">
        <v>0</v>
      </c>
      <c r="N2021">
        <v>0</v>
      </c>
      <c r="O2021" t="s">
        <v>27</v>
      </c>
      <c r="P2021">
        <v>21.4</v>
      </c>
      <c r="Q2021">
        <v>36.4</v>
      </c>
      <c r="R2021">
        <v>6.7</v>
      </c>
      <c r="S2021">
        <v>24.6</v>
      </c>
      <c r="T2021">
        <v>16.8</v>
      </c>
      <c r="U2021" t="s">
        <v>27</v>
      </c>
      <c r="V2021" t="s">
        <v>27</v>
      </c>
      <c r="W2021">
        <v>0.74399999999999999</v>
      </c>
      <c r="X2021">
        <v>3.9060000000000001</v>
      </c>
      <c r="Y2021" t="s">
        <v>27</v>
      </c>
      <c r="Z2021" t="s">
        <v>27</v>
      </c>
      <c r="AA2021" t="s">
        <v>27</v>
      </c>
      <c r="AB2021" t="s">
        <v>27</v>
      </c>
      <c r="AC2021" t="s">
        <v>27</v>
      </c>
      <c r="AD2021" t="s">
        <v>27</v>
      </c>
      <c r="AE2021" t="s">
        <v>27</v>
      </c>
      <c r="AF2021" t="s">
        <v>27</v>
      </c>
      <c r="AG2021">
        <v>32.4</v>
      </c>
    </row>
    <row r="2022" spans="1:33" x14ac:dyDescent="0.25">
      <c r="A2022" t="s">
        <v>57</v>
      </c>
      <c r="B2022" s="3">
        <v>45483</v>
      </c>
      <c r="C2022">
        <v>2024192</v>
      </c>
      <c r="D2022">
        <v>33.61</v>
      </c>
      <c r="E2022" t="s">
        <v>27</v>
      </c>
      <c r="F2022">
        <v>20.3</v>
      </c>
      <c r="G2022">
        <v>30.1</v>
      </c>
      <c r="H2022">
        <v>8.8000000000000007</v>
      </c>
      <c r="I2022">
        <v>35.5</v>
      </c>
      <c r="J2022">
        <v>14.2</v>
      </c>
      <c r="K2022">
        <v>0.9</v>
      </c>
      <c r="L2022">
        <v>2.8</v>
      </c>
      <c r="M2022">
        <v>0</v>
      </c>
      <c r="N2022">
        <v>0</v>
      </c>
      <c r="O2022" t="s">
        <v>27</v>
      </c>
      <c r="P2022">
        <v>20.8</v>
      </c>
      <c r="Q2022">
        <v>35.700000000000003</v>
      </c>
      <c r="R2022">
        <v>7.1</v>
      </c>
      <c r="S2022">
        <v>25.7</v>
      </c>
      <c r="T2022">
        <v>17.399999999999999</v>
      </c>
      <c r="U2022" t="s">
        <v>27</v>
      </c>
      <c r="V2022" t="s">
        <v>27</v>
      </c>
      <c r="W2022">
        <v>0.60599999999999998</v>
      </c>
      <c r="X2022">
        <v>3.6619999999999999</v>
      </c>
      <c r="Y2022" t="s">
        <v>27</v>
      </c>
      <c r="Z2022" t="s">
        <v>27</v>
      </c>
      <c r="AA2022" t="s">
        <v>27</v>
      </c>
      <c r="AB2022" t="s">
        <v>27</v>
      </c>
      <c r="AC2022" t="s">
        <v>27</v>
      </c>
      <c r="AD2022" t="s">
        <v>27</v>
      </c>
      <c r="AE2022" t="s">
        <v>27</v>
      </c>
      <c r="AF2022" t="s">
        <v>27</v>
      </c>
      <c r="AG2022">
        <v>32.31</v>
      </c>
    </row>
    <row r="2023" spans="1:33" x14ac:dyDescent="0.25">
      <c r="A2023" t="s">
        <v>57</v>
      </c>
      <c r="B2023" s="3">
        <v>45484</v>
      </c>
      <c r="C2023">
        <v>2024193</v>
      </c>
      <c r="D2023">
        <v>32.22</v>
      </c>
      <c r="E2023" t="s">
        <v>27</v>
      </c>
      <c r="F2023">
        <v>16.5</v>
      </c>
      <c r="G2023">
        <v>25.3</v>
      </c>
      <c r="H2023">
        <v>6.4</v>
      </c>
      <c r="I2023">
        <v>44.1</v>
      </c>
      <c r="J2023">
        <v>23.9</v>
      </c>
      <c r="K2023">
        <v>0.8</v>
      </c>
      <c r="L2023">
        <v>2.6</v>
      </c>
      <c r="M2023">
        <v>0</v>
      </c>
      <c r="N2023">
        <v>0</v>
      </c>
      <c r="O2023" t="s">
        <v>27</v>
      </c>
      <c r="P2023">
        <v>17.3</v>
      </c>
      <c r="Q2023">
        <v>30.1</v>
      </c>
      <c r="R2023">
        <v>4.8</v>
      </c>
      <c r="S2023">
        <v>24.5</v>
      </c>
      <c r="T2023">
        <v>17.100000000000001</v>
      </c>
      <c r="U2023" t="s">
        <v>27</v>
      </c>
      <c r="V2023" t="s">
        <v>27</v>
      </c>
      <c r="W2023">
        <v>0.77200000000000002</v>
      </c>
      <c r="X2023">
        <v>2.4580000000000002</v>
      </c>
      <c r="Y2023" t="s">
        <v>27</v>
      </c>
      <c r="Z2023" t="s">
        <v>27</v>
      </c>
      <c r="AA2023" t="s">
        <v>27</v>
      </c>
      <c r="AB2023" t="s">
        <v>27</v>
      </c>
      <c r="AC2023" t="s">
        <v>27</v>
      </c>
      <c r="AD2023" t="s">
        <v>27</v>
      </c>
      <c r="AE2023" t="s">
        <v>27</v>
      </c>
      <c r="AF2023" t="s">
        <v>27</v>
      </c>
      <c r="AG2023">
        <v>32.22</v>
      </c>
    </row>
    <row r="2024" spans="1:33" x14ac:dyDescent="0.25">
      <c r="A2024" t="s">
        <v>57</v>
      </c>
      <c r="B2024" s="3">
        <v>45485</v>
      </c>
      <c r="C2024">
        <v>2024194</v>
      </c>
      <c r="D2024">
        <v>32.21</v>
      </c>
      <c r="E2024" t="s">
        <v>27</v>
      </c>
      <c r="F2024">
        <v>17.399999999999999</v>
      </c>
      <c r="G2024">
        <v>25.9</v>
      </c>
      <c r="H2024">
        <v>7.4</v>
      </c>
      <c r="I2024">
        <v>47.5</v>
      </c>
      <c r="J2024">
        <v>26.3</v>
      </c>
      <c r="K2024">
        <v>0.7</v>
      </c>
      <c r="L2024">
        <v>2.2999999999999998</v>
      </c>
      <c r="M2024">
        <v>0</v>
      </c>
      <c r="N2024">
        <v>0</v>
      </c>
      <c r="O2024" t="s">
        <v>27</v>
      </c>
      <c r="P2024">
        <v>18.100000000000001</v>
      </c>
      <c r="Q2024">
        <v>31</v>
      </c>
      <c r="R2024">
        <v>6.1</v>
      </c>
      <c r="S2024">
        <v>25.4</v>
      </c>
      <c r="T2024">
        <v>17.2</v>
      </c>
      <c r="U2024" t="s">
        <v>27</v>
      </c>
      <c r="V2024" t="s">
        <v>27</v>
      </c>
      <c r="W2024">
        <v>0.876</v>
      </c>
      <c r="X2024">
        <v>2.4550000000000001</v>
      </c>
      <c r="Y2024" t="s">
        <v>27</v>
      </c>
      <c r="Z2024" t="s">
        <v>27</v>
      </c>
      <c r="AA2024" t="s">
        <v>27</v>
      </c>
      <c r="AB2024" t="s">
        <v>27</v>
      </c>
      <c r="AC2024" t="s">
        <v>27</v>
      </c>
      <c r="AD2024" t="s">
        <v>27</v>
      </c>
      <c r="AE2024" t="s">
        <v>27</v>
      </c>
      <c r="AF2024" t="s">
        <v>27</v>
      </c>
      <c r="AG2024">
        <v>32.119999999999997</v>
      </c>
    </row>
    <row r="2025" spans="1:33" x14ac:dyDescent="0.25">
      <c r="A2025" t="s">
        <v>57</v>
      </c>
      <c r="B2025" s="3">
        <v>45486</v>
      </c>
      <c r="C2025">
        <v>2024195</v>
      </c>
      <c r="D2025">
        <v>32.54</v>
      </c>
      <c r="E2025" t="s">
        <v>27</v>
      </c>
      <c r="F2025">
        <v>18.399999999999999</v>
      </c>
      <c r="G2025">
        <v>28.1</v>
      </c>
      <c r="H2025">
        <v>6.9</v>
      </c>
      <c r="I2025">
        <v>47.5</v>
      </c>
      <c r="J2025">
        <v>17.5</v>
      </c>
      <c r="K2025">
        <v>0.7</v>
      </c>
      <c r="L2025">
        <v>3.5</v>
      </c>
      <c r="M2025">
        <v>0</v>
      </c>
      <c r="N2025">
        <v>0</v>
      </c>
      <c r="O2025" t="s">
        <v>27</v>
      </c>
      <c r="P2025">
        <v>18.899999999999999</v>
      </c>
      <c r="Q2025">
        <v>32.700000000000003</v>
      </c>
      <c r="R2025">
        <v>5.4</v>
      </c>
      <c r="S2025">
        <v>26</v>
      </c>
      <c r="T2025">
        <v>17.5</v>
      </c>
      <c r="U2025" t="s">
        <v>27</v>
      </c>
      <c r="V2025" t="s">
        <v>27</v>
      </c>
      <c r="W2025">
        <v>0.66700000000000004</v>
      </c>
      <c r="X2025">
        <v>3.1440000000000001</v>
      </c>
      <c r="Y2025" t="s">
        <v>27</v>
      </c>
      <c r="Z2025" t="s">
        <v>27</v>
      </c>
      <c r="AA2025" t="s">
        <v>27</v>
      </c>
      <c r="AB2025" t="s">
        <v>27</v>
      </c>
      <c r="AC2025" t="s">
        <v>27</v>
      </c>
      <c r="AD2025" t="s">
        <v>27</v>
      </c>
      <c r="AE2025" t="s">
        <v>27</v>
      </c>
      <c r="AF2025" t="s">
        <v>27</v>
      </c>
      <c r="AG2025">
        <v>32.020000000000003</v>
      </c>
    </row>
    <row r="2026" spans="1:33" x14ac:dyDescent="0.25">
      <c r="A2026" t="s">
        <v>57</v>
      </c>
      <c r="B2026" s="3">
        <v>45487</v>
      </c>
      <c r="C2026">
        <v>2024196</v>
      </c>
      <c r="D2026">
        <v>31.07</v>
      </c>
      <c r="E2026" t="s">
        <v>27</v>
      </c>
      <c r="F2026">
        <v>17.2</v>
      </c>
      <c r="G2026">
        <v>26.9</v>
      </c>
      <c r="H2026">
        <v>4.9000000000000004</v>
      </c>
      <c r="I2026">
        <v>49.5</v>
      </c>
      <c r="J2026">
        <v>24.7</v>
      </c>
      <c r="K2026">
        <v>0.7</v>
      </c>
      <c r="L2026">
        <v>2.6</v>
      </c>
      <c r="M2026">
        <v>0</v>
      </c>
      <c r="N2026">
        <v>0</v>
      </c>
      <c r="O2026" t="s">
        <v>27</v>
      </c>
      <c r="P2026">
        <v>17.8</v>
      </c>
      <c r="Q2026">
        <v>32.1</v>
      </c>
      <c r="R2026">
        <v>3.5</v>
      </c>
      <c r="S2026">
        <v>25.1</v>
      </c>
      <c r="T2026">
        <v>17.5</v>
      </c>
      <c r="U2026" t="s">
        <v>27</v>
      </c>
      <c r="V2026" t="s">
        <v>27</v>
      </c>
      <c r="W2026">
        <v>0.875</v>
      </c>
      <c r="X2026">
        <v>2.6680000000000001</v>
      </c>
      <c r="Y2026" t="s">
        <v>27</v>
      </c>
      <c r="Z2026" t="s">
        <v>27</v>
      </c>
      <c r="AA2026" t="s">
        <v>27</v>
      </c>
      <c r="AB2026" t="s">
        <v>27</v>
      </c>
      <c r="AC2026" t="s">
        <v>27</v>
      </c>
      <c r="AD2026" t="s">
        <v>27</v>
      </c>
      <c r="AE2026" t="s">
        <v>27</v>
      </c>
      <c r="AF2026" t="s">
        <v>27</v>
      </c>
      <c r="AG2026">
        <v>31.92</v>
      </c>
    </row>
    <row r="2027" spans="1:33" x14ac:dyDescent="0.25">
      <c r="A2027" t="s">
        <v>57</v>
      </c>
      <c r="B2027" s="3">
        <v>45488</v>
      </c>
      <c r="C2027">
        <v>2024197</v>
      </c>
      <c r="D2027">
        <v>31.59</v>
      </c>
      <c r="E2027" t="s">
        <v>27</v>
      </c>
      <c r="F2027">
        <v>17.399999999999999</v>
      </c>
      <c r="G2027">
        <v>27.8</v>
      </c>
      <c r="H2027">
        <v>4.9000000000000004</v>
      </c>
      <c r="I2027">
        <v>44.8</v>
      </c>
      <c r="J2027">
        <v>18.600000000000001</v>
      </c>
      <c r="K2027">
        <v>0.6</v>
      </c>
      <c r="L2027">
        <v>2.4</v>
      </c>
      <c r="M2027">
        <v>0</v>
      </c>
      <c r="N2027">
        <v>0</v>
      </c>
      <c r="O2027" t="s">
        <v>27</v>
      </c>
      <c r="P2027">
        <v>18.100000000000001</v>
      </c>
      <c r="Q2027">
        <v>32.5</v>
      </c>
      <c r="R2027">
        <v>3.8</v>
      </c>
      <c r="S2027">
        <v>25.4</v>
      </c>
      <c r="T2027">
        <v>17.5</v>
      </c>
      <c r="U2027" t="s">
        <v>27</v>
      </c>
      <c r="V2027" t="s">
        <v>27</v>
      </c>
      <c r="W2027">
        <v>0.69499999999999995</v>
      </c>
      <c r="X2027">
        <v>3.0419999999999998</v>
      </c>
      <c r="Y2027" t="s">
        <v>27</v>
      </c>
      <c r="Z2027" t="s">
        <v>27</v>
      </c>
      <c r="AA2027" t="s">
        <v>27</v>
      </c>
      <c r="AB2027" t="s">
        <v>27</v>
      </c>
      <c r="AC2027" t="s">
        <v>27</v>
      </c>
      <c r="AD2027" t="s">
        <v>27</v>
      </c>
      <c r="AE2027" t="s">
        <v>27</v>
      </c>
      <c r="AF2027" t="s">
        <v>27</v>
      </c>
      <c r="AG2027">
        <v>31.81</v>
      </c>
    </row>
    <row r="2028" spans="1:33" x14ac:dyDescent="0.25">
      <c r="A2028" t="s">
        <v>57</v>
      </c>
      <c r="B2028" s="3">
        <v>45489</v>
      </c>
      <c r="C2028">
        <v>2024198</v>
      </c>
      <c r="D2028">
        <v>32</v>
      </c>
      <c r="E2028" t="s">
        <v>27</v>
      </c>
      <c r="F2028">
        <v>18.600000000000001</v>
      </c>
      <c r="G2028">
        <v>29.6</v>
      </c>
      <c r="H2028">
        <v>5.3</v>
      </c>
      <c r="I2028">
        <v>44.7</v>
      </c>
      <c r="J2028">
        <v>15.1</v>
      </c>
      <c r="K2028">
        <v>0.6</v>
      </c>
      <c r="L2028">
        <v>2.8</v>
      </c>
      <c r="M2028">
        <v>0</v>
      </c>
      <c r="N2028">
        <v>0</v>
      </c>
      <c r="O2028" t="s">
        <v>27</v>
      </c>
      <c r="P2028">
        <v>19.2</v>
      </c>
      <c r="Q2028">
        <v>34.1</v>
      </c>
      <c r="R2028">
        <v>4.0999999999999996</v>
      </c>
      <c r="S2028">
        <v>26.2</v>
      </c>
      <c r="T2028">
        <v>17.600000000000001</v>
      </c>
      <c r="U2028" t="s">
        <v>27</v>
      </c>
      <c r="V2028" t="s">
        <v>27</v>
      </c>
      <c r="W2028">
        <v>0.626</v>
      </c>
      <c r="X2028">
        <v>3.52</v>
      </c>
      <c r="Y2028" t="s">
        <v>27</v>
      </c>
      <c r="Z2028" t="s">
        <v>27</v>
      </c>
      <c r="AA2028" t="s">
        <v>27</v>
      </c>
      <c r="AB2028" t="s">
        <v>27</v>
      </c>
      <c r="AC2028" t="s">
        <v>27</v>
      </c>
      <c r="AD2028" t="s">
        <v>27</v>
      </c>
      <c r="AE2028" t="s">
        <v>27</v>
      </c>
      <c r="AF2028" t="s">
        <v>27</v>
      </c>
      <c r="AG2028">
        <v>31.7</v>
      </c>
    </row>
    <row r="2029" spans="1:33" x14ac:dyDescent="0.25">
      <c r="A2029" t="s">
        <v>57</v>
      </c>
      <c r="B2029" s="3">
        <v>45490</v>
      </c>
      <c r="C2029">
        <v>2024199</v>
      </c>
      <c r="D2029">
        <v>26.17</v>
      </c>
      <c r="E2029" t="s">
        <v>27</v>
      </c>
      <c r="F2029">
        <v>19.8</v>
      </c>
      <c r="G2029">
        <v>30.5</v>
      </c>
      <c r="H2029">
        <v>9.1999999999999993</v>
      </c>
      <c r="I2029">
        <v>47.2</v>
      </c>
      <c r="J2029">
        <v>19.8</v>
      </c>
      <c r="K2029">
        <v>0.5</v>
      </c>
      <c r="L2029">
        <v>2.8</v>
      </c>
      <c r="M2029">
        <v>0</v>
      </c>
      <c r="N2029">
        <v>0</v>
      </c>
      <c r="O2029" t="s">
        <v>27</v>
      </c>
      <c r="P2029">
        <v>20.2</v>
      </c>
      <c r="Q2029">
        <v>35</v>
      </c>
      <c r="R2029">
        <v>7.5</v>
      </c>
      <c r="S2029">
        <v>25.3</v>
      </c>
      <c r="T2029">
        <v>17.8</v>
      </c>
      <c r="U2029" t="s">
        <v>27</v>
      </c>
      <c r="V2029" t="s">
        <v>27</v>
      </c>
      <c r="W2029">
        <v>0.86399999999999999</v>
      </c>
      <c r="X2029">
        <v>3.5</v>
      </c>
      <c r="Y2029" t="s">
        <v>27</v>
      </c>
      <c r="Z2029" t="s">
        <v>27</v>
      </c>
      <c r="AA2029" t="s">
        <v>27</v>
      </c>
      <c r="AB2029" t="s">
        <v>27</v>
      </c>
      <c r="AC2029" t="s">
        <v>27</v>
      </c>
      <c r="AD2029" t="s">
        <v>27</v>
      </c>
      <c r="AE2029" t="s">
        <v>27</v>
      </c>
      <c r="AF2029" t="s">
        <v>27</v>
      </c>
      <c r="AG2029">
        <v>31.58</v>
      </c>
    </row>
    <row r="2030" spans="1:33" x14ac:dyDescent="0.25">
      <c r="A2030" t="s">
        <v>57</v>
      </c>
      <c r="B2030" s="3">
        <v>45491</v>
      </c>
      <c r="C2030">
        <v>2024200</v>
      </c>
      <c r="D2030">
        <v>28.08</v>
      </c>
      <c r="E2030" t="s">
        <v>27</v>
      </c>
      <c r="F2030">
        <v>19.2</v>
      </c>
      <c r="G2030">
        <v>30.4</v>
      </c>
      <c r="H2030">
        <v>8.1</v>
      </c>
      <c r="I2030">
        <v>50.7</v>
      </c>
      <c r="J2030">
        <v>21.2</v>
      </c>
      <c r="K2030">
        <v>0.4</v>
      </c>
      <c r="L2030">
        <v>2.2000000000000002</v>
      </c>
      <c r="M2030">
        <v>0</v>
      </c>
      <c r="N2030">
        <v>0</v>
      </c>
      <c r="O2030" t="s">
        <v>27</v>
      </c>
      <c r="P2030">
        <v>19.8</v>
      </c>
      <c r="Q2030">
        <v>36.299999999999997</v>
      </c>
      <c r="R2030">
        <v>6.9</v>
      </c>
      <c r="S2030">
        <v>25.5</v>
      </c>
      <c r="T2030">
        <v>18</v>
      </c>
      <c r="U2030" t="s">
        <v>27</v>
      </c>
      <c r="V2030" t="s">
        <v>27</v>
      </c>
      <c r="W2030">
        <v>0.92200000000000004</v>
      </c>
      <c r="X2030">
        <v>3.427</v>
      </c>
      <c r="Y2030" t="s">
        <v>27</v>
      </c>
      <c r="Z2030" t="s">
        <v>27</v>
      </c>
      <c r="AA2030" t="s">
        <v>27</v>
      </c>
      <c r="AB2030" t="s">
        <v>27</v>
      </c>
      <c r="AC2030" t="s">
        <v>27</v>
      </c>
      <c r="AD2030" t="s">
        <v>27</v>
      </c>
      <c r="AE2030" t="s">
        <v>27</v>
      </c>
      <c r="AF2030" t="s">
        <v>27</v>
      </c>
      <c r="AG2030">
        <v>31.46</v>
      </c>
    </row>
    <row r="2031" spans="1:33" x14ac:dyDescent="0.25">
      <c r="A2031" t="s">
        <v>57</v>
      </c>
      <c r="B2031" s="3">
        <v>45492</v>
      </c>
      <c r="C2031">
        <v>2024201</v>
      </c>
      <c r="D2031">
        <v>31.46</v>
      </c>
      <c r="E2031" t="s">
        <v>27</v>
      </c>
      <c r="F2031">
        <v>19.5</v>
      </c>
      <c r="G2031">
        <v>29</v>
      </c>
      <c r="H2031">
        <v>8.5</v>
      </c>
      <c r="I2031">
        <v>48.4</v>
      </c>
      <c r="J2031">
        <v>20.5</v>
      </c>
      <c r="K2031">
        <v>0.7</v>
      </c>
      <c r="L2031">
        <v>2.7</v>
      </c>
      <c r="M2031">
        <v>0</v>
      </c>
      <c r="N2031">
        <v>0</v>
      </c>
      <c r="O2031" t="s">
        <v>27</v>
      </c>
      <c r="P2031">
        <v>20.100000000000001</v>
      </c>
      <c r="Q2031">
        <v>33.4</v>
      </c>
      <c r="R2031">
        <v>7.1</v>
      </c>
      <c r="S2031">
        <v>27</v>
      </c>
      <c r="T2031">
        <v>18.2</v>
      </c>
      <c r="U2031" t="s">
        <v>27</v>
      </c>
      <c r="V2031" t="s">
        <v>27</v>
      </c>
      <c r="W2031">
        <v>0.82</v>
      </c>
      <c r="X2031">
        <v>3.18</v>
      </c>
      <c r="Y2031" t="s">
        <v>27</v>
      </c>
      <c r="Z2031" t="s">
        <v>27</v>
      </c>
      <c r="AA2031" t="s">
        <v>27</v>
      </c>
      <c r="AB2031" t="s">
        <v>27</v>
      </c>
      <c r="AC2031" t="s">
        <v>27</v>
      </c>
      <c r="AD2031" t="s">
        <v>27</v>
      </c>
      <c r="AE2031" t="s">
        <v>27</v>
      </c>
      <c r="AF2031" t="s">
        <v>27</v>
      </c>
      <c r="AG2031">
        <v>31.34</v>
      </c>
    </row>
    <row r="2032" spans="1:33" x14ac:dyDescent="0.25">
      <c r="A2032" t="s">
        <v>57</v>
      </c>
      <c r="B2032" s="3">
        <v>45493</v>
      </c>
      <c r="C2032">
        <v>2024202</v>
      </c>
      <c r="D2032">
        <v>31.74</v>
      </c>
      <c r="E2032" t="s">
        <v>27</v>
      </c>
      <c r="F2032">
        <v>19.899999999999999</v>
      </c>
      <c r="G2032">
        <v>31.2</v>
      </c>
      <c r="H2032">
        <v>8.1</v>
      </c>
      <c r="I2032">
        <v>45.5</v>
      </c>
      <c r="J2032">
        <v>14.9</v>
      </c>
      <c r="K2032">
        <v>0.5</v>
      </c>
      <c r="L2032">
        <v>2.8</v>
      </c>
      <c r="M2032">
        <v>0</v>
      </c>
      <c r="N2032">
        <v>0</v>
      </c>
      <c r="O2032" t="s">
        <v>27</v>
      </c>
      <c r="P2032">
        <v>20.5</v>
      </c>
      <c r="Q2032">
        <v>35.799999999999997</v>
      </c>
      <c r="R2032">
        <v>6.4</v>
      </c>
      <c r="S2032">
        <v>27.1</v>
      </c>
      <c r="T2032">
        <v>18.399999999999999</v>
      </c>
      <c r="U2032" t="s">
        <v>27</v>
      </c>
      <c r="V2032" t="s">
        <v>27</v>
      </c>
      <c r="W2032">
        <v>0.67700000000000005</v>
      </c>
      <c r="X2032">
        <v>3.867</v>
      </c>
      <c r="Y2032" t="s">
        <v>27</v>
      </c>
      <c r="Z2032" t="s">
        <v>27</v>
      </c>
      <c r="AA2032" t="s">
        <v>27</v>
      </c>
      <c r="AB2032" t="s">
        <v>27</v>
      </c>
      <c r="AC2032" t="s">
        <v>27</v>
      </c>
      <c r="AD2032" t="s">
        <v>27</v>
      </c>
      <c r="AE2032" t="s">
        <v>27</v>
      </c>
      <c r="AF2032" t="s">
        <v>27</v>
      </c>
      <c r="AG2032">
        <v>31.21</v>
      </c>
    </row>
    <row r="2033" spans="1:33" x14ac:dyDescent="0.25">
      <c r="A2033" t="s">
        <v>57</v>
      </c>
      <c r="B2033" s="3">
        <v>45494</v>
      </c>
      <c r="C2033">
        <v>2024203</v>
      </c>
      <c r="D2033">
        <v>29.59</v>
      </c>
      <c r="E2033" t="s">
        <v>27</v>
      </c>
      <c r="F2033">
        <v>21.4</v>
      </c>
      <c r="G2033">
        <v>33</v>
      </c>
      <c r="H2033">
        <v>8.1</v>
      </c>
      <c r="I2033">
        <v>46.7</v>
      </c>
      <c r="J2033">
        <v>16.8</v>
      </c>
      <c r="K2033">
        <v>0.5</v>
      </c>
      <c r="L2033">
        <v>2.5</v>
      </c>
      <c r="M2033">
        <v>0</v>
      </c>
      <c r="N2033">
        <v>0</v>
      </c>
      <c r="O2033" t="s">
        <v>27</v>
      </c>
      <c r="P2033">
        <v>22</v>
      </c>
      <c r="Q2033">
        <v>37.799999999999997</v>
      </c>
      <c r="R2033">
        <v>6.5</v>
      </c>
      <c r="S2033">
        <v>28.4</v>
      </c>
      <c r="T2033">
        <v>18.600000000000001</v>
      </c>
      <c r="U2033" t="s">
        <v>27</v>
      </c>
      <c r="V2033" t="s">
        <v>27</v>
      </c>
      <c r="W2033">
        <v>0.84299999999999997</v>
      </c>
      <c r="X2033">
        <v>4.1749999999999998</v>
      </c>
      <c r="Y2033" t="s">
        <v>27</v>
      </c>
      <c r="Z2033" t="s">
        <v>27</v>
      </c>
      <c r="AA2033" t="s">
        <v>27</v>
      </c>
      <c r="AB2033" t="s">
        <v>27</v>
      </c>
      <c r="AC2033" t="s">
        <v>27</v>
      </c>
      <c r="AD2033" t="s">
        <v>27</v>
      </c>
      <c r="AE2033" t="s">
        <v>27</v>
      </c>
      <c r="AF2033" t="s">
        <v>27</v>
      </c>
      <c r="AG2033">
        <v>31.08</v>
      </c>
    </row>
    <row r="2034" spans="1:33" x14ac:dyDescent="0.25">
      <c r="A2034" t="s">
        <v>57</v>
      </c>
      <c r="B2034" s="3">
        <v>45495</v>
      </c>
      <c r="C2034">
        <v>2024204</v>
      </c>
      <c r="D2034">
        <v>21.05</v>
      </c>
      <c r="E2034" t="s">
        <v>27</v>
      </c>
      <c r="F2034">
        <v>20.5</v>
      </c>
      <c r="G2034">
        <v>29.7</v>
      </c>
      <c r="H2034">
        <v>11.2</v>
      </c>
      <c r="I2034">
        <v>50.7</v>
      </c>
      <c r="J2034">
        <v>28.7</v>
      </c>
      <c r="K2034">
        <v>1</v>
      </c>
      <c r="L2034">
        <v>3</v>
      </c>
      <c r="M2034">
        <v>0.2</v>
      </c>
      <c r="N2034">
        <v>0</v>
      </c>
      <c r="O2034" t="s">
        <v>27</v>
      </c>
      <c r="P2034">
        <v>20.6</v>
      </c>
      <c r="Q2034">
        <v>33.9</v>
      </c>
      <c r="R2034">
        <v>9.8000000000000007</v>
      </c>
      <c r="S2034">
        <v>24.7</v>
      </c>
      <c r="T2034">
        <v>18.8</v>
      </c>
      <c r="U2034" t="s">
        <v>27</v>
      </c>
      <c r="V2034" t="s">
        <v>27</v>
      </c>
      <c r="W2034">
        <v>1.198</v>
      </c>
      <c r="X2034">
        <v>2.976</v>
      </c>
      <c r="Y2034" t="s">
        <v>27</v>
      </c>
      <c r="Z2034" t="s">
        <v>27</v>
      </c>
      <c r="AA2034" t="s">
        <v>27</v>
      </c>
      <c r="AB2034" t="s">
        <v>27</v>
      </c>
      <c r="AC2034" t="s">
        <v>27</v>
      </c>
      <c r="AD2034" t="s">
        <v>27</v>
      </c>
      <c r="AE2034" t="s">
        <v>27</v>
      </c>
      <c r="AF2034" t="s">
        <v>27</v>
      </c>
      <c r="AG2034">
        <v>30.95</v>
      </c>
    </row>
    <row r="2035" spans="1:33" x14ac:dyDescent="0.25">
      <c r="A2035" t="s">
        <v>57</v>
      </c>
      <c r="B2035" s="3">
        <v>45496</v>
      </c>
      <c r="C2035">
        <v>2024205</v>
      </c>
      <c r="D2035">
        <v>29.16</v>
      </c>
      <c r="E2035" t="s">
        <v>27</v>
      </c>
      <c r="F2035">
        <v>14.5</v>
      </c>
      <c r="G2035">
        <v>24.3</v>
      </c>
      <c r="H2035">
        <v>4.0999999999999996</v>
      </c>
      <c r="I2035">
        <v>39.6</v>
      </c>
      <c r="J2035">
        <v>15.2</v>
      </c>
      <c r="K2035">
        <v>0.9</v>
      </c>
      <c r="L2035">
        <v>2.6</v>
      </c>
      <c r="M2035">
        <v>0</v>
      </c>
      <c r="N2035">
        <v>0</v>
      </c>
      <c r="O2035" t="s">
        <v>27</v>
      </c>
      <c r="P2035">
        <v>15.4</v>
      </c>
      <c r="Q2035">
        <v>29.5</v>
      </c>
      <c r="R2035">
        <v>3</v>
      </c>
      <c r="S2035">
        <v>23.3</v>
      </c>
      <c r="T2035">
        <v>17.899999999999999</v>
      </c>
      <c r="U2035" t="s">
        <v>27</v>
      </c>
      <c r="V2035" t="s">
        <v>27</v>
      </c>
      <c r="W2035">
        <v>0.46300000000000002</v>
      </c>
      <c r="X2035">
        <v>2.5830000000000002</v>
      </c>
      <c r="Y2035" t="s">
        <v>27</v>
      </c>
      <c r="Z2035" t="s">
        <v>27</v>
      </c>
      <c r="AA2035" t="s">
        <v>27</v>
      </c>
      <c r="AB2035" t="s">
        <v>27</v>
      </c>
      <c r="AC2035" t="s">
        <v>27</v>
      </c>
      <c r="AD2035" t="s">
        <v>27</v>
      </c>
      <c r="AE2035" t="s">
        <v>27</v>
      </c>
      <c r="AF2035" t="s">
        <v>27</v>
      </c>
      <c r="AG2035">
        <v>30.81</v>
      </c>
    </row>
    <row r="2036" spans="1:33" x14ac:dyDescent="0.25">
      <c r="A2036" t="s">
        <v>57</v>
      </c>
      <c r="B2036" s="3">
        <v>45497</v>
      </c>
      <c r="C2036">
        <v>2024206</v>
      </c>
      <c r="D2036">
        <v>26.88</v>
      </c>
      <c r="E2036" t="s">
        <v>27</v>
      </c>
      <c r="F2036">
        <v>14.4</v>
      </c>
      <c r="G2036">
        <v>25.1</v>
      </c>
      <c r="H2036">
        <v>3.9</v>
      </c>
      <c r="I2036">
        <v>51.1</v>
      </c>
      <c r="J2036">
        <v>22</v>
      </c>
      <c r="K2036">
        <v>1</v>
      </c>
      <c r="L2036">
        <v>3.1</v>
      </c>
      <c r="M2036">
        <v>0</v>
      </c>
      <c r="N2036">
        <v>0</v>
      </c>
      <c r="O2036" t="s">
        <v>27</v>
      </c>
      <c r="P2036">
        <v>15.1</v>
      </c>
      <c r="Q2036">
        <v>29.4</v>
      </c>
      <c r="R2036">
        <v>2.4</v>
      </c>
      <c r="S2036">
        <v>23.5</v>
      </c>
      <c r="T2036">
        <v>17.5</v>
      </c>
      <c r="U2036" t="s">
        <v>27</v>
      </c>
      <c r="V2036" t="s">
        <v>27</v>
      </c>
      <c r="W2036">
        <v>0.70099999999999996</v>
      </c>
      <c r="X2036">
        <v>2.4849999999999999</v>
      </c>
      <c r="Y2036" t="s">
        <v>27</v>
      </c>
      <c r="Z2036" t="s">
        <v>27</v>
      </c>
      <c r="AA2036" t="s">
        <v>27</v>
      </c>
      <c r="AB2036" t="s">
        <v>27</v>
      </c>
      <c r="AC2036" t="s">
        <v>27</v>
      </c>
      <c r="AD2036" t="s">
        <v>27</v>
      </c>
      <c r="AE2036" t="s">
        <v>27</v>
      </c>
      <c r="AF2036" t="s">
        <v>27</v>
      </c>
      <c r="AG2036">
        <v>30.67</v>
      </c>
    </row>
    <row r="2037" spans="1:33" x14ac:dyDescent="0.25">
      <c r="A2037" t="s">
        <v>57</v>
      </c>
      <c r="B2037" s="3">
        <v>45498</v>
      </c>
      <c r="C2037">
        <v>2024207</v>
      </c>
      <c r="D2037">
        <v>10.4</v>
      </c>
      <c r="E2037" t="s">
        <v>27</v>
      </c>
      <c r="F2037">
        <v>8.1999999999999993</v>
      </c>
      <c r="G2037">
        <v>13.1</v>
      </c>
      <c r="H2037">
        <v>1.8</v>
      </c>
      <c r="I2037">
        <v>70.8</v>
      </c>
      <c r="J2037">
        <v>44.6</v>
      </c>
      <c r="K2037">
        <v>1.1000000000000001</v>
      </c>
      <c r="L2037">
        <v>3.8</v>
      </c>
      <c r="M2037">
        <v>0.6</v>
      </c>
      <c r="N2037">
        <v>0</v>
      </c>
      <c r="O2037" t="s">
        <v>27</v>
      </c>
      <c r="P2037">
        <v>8.1</v>
      </c>
      <c r="Q2037">
        <v>15.5</v>
      </c>
      <c r="R2037">
        <v>0.6</v>
      </c>
      <c r="S2037">
        <v>13.2</v>
      </c>
      <c r="T2037">
        <v>16.100000000000001</v>
      </c>
      <c r="U2037" t="s">
        <v>27</v>
      </c>
      <c r="V2037" t="s">
        <v>27</v>
      </c>
      <c r="W2037">
        <v>0.67400000000000004</v>
      </c>
      <c r="X2037">
        <v>0.83699999999999997</v>
      </c>
      <c r="Y2037" t="s">
        <v>27</v>
      </c>
      <c r="Z2037" t="s">
        <v>27</v>
      </c>
      <c r="AA2037" t="s">
        <v>27</v>
      </c>
      <c r="AB2037" t="s">
        <v>27</v>
      </c>
      <c r="AC2037" t="s">
        <v>27</v>
      </c>
      <c r="AD2037" t="s">
        <v>27</v>
      </c>
      <c r="AE2037" t="s">
        <v>27</v>
      </c>
      <c r="AF2037" t="s">
        <v>27</v>
      </c>
      <c r="AG2037">
        <v>30.52</v>
      </c>
    </row>
    <row r="2038" spans="1:33" x14ac:dyDescent="0.25">
      <c r="A2038" t="s">
        <v>57</v>
      </c>
      <c r="B2038" s="3">
        <v>45499</v>
      </c>
      <c r="C2038">
        <v>2024208</v>
      </c>
      <c r="D2038">
        <v>25.44</v>
      </c>
      <c r="E2038" t="s">
        <v>27</v>
      </c>
      <c r="F2038">
        <v>10.1</v>
      </c>
      <c r="G2038">
        <v>19.899999999999999</v>
      </c>
      <c r="H2038">
        <v>-1.1000000000000001</v>
      </c>
      <c r="I2038">
        <v>64.900000000000006</v>
      </c>
      <c r="J2038">
        <v>30.2</v>
      </c>
      <c r="K2038">
        <v>0.6</v>
      </c>
      <c r="L2038">
        <v>2.5</v>
      </c>
      <c r="M2038">
        <v>0</v>
      </c>
      <c r="N2038">
        <v>0</v>
      </c>
      <c r="O2038" t="s">
        <v>27</v>
      </c>
      <c r="P2038">
        <v>10.9</v>
      </c>
      <c r="Q2038">
        <v>25.2</v>
      </c>
      <c r="R2038">
        <v>-2.2999999999999998</v>
      </c>
      <c r="S2038">
        <v>18.399999999999999</v>
      </c>
      <c r="T2038">
        <v>15</v>
      </c>
      <c r="U2038" t="s">
        <v>27</v>
      </c>
      <c r="V2038" t="s">
        <v>27</v>
      </c>
      <c r="W2038">
        <v>0.70199999999999996</v>
      </c>
      <c r="X2038">
        <v>1.623</v>
      </c>
      <c r="Y2038" t="s">
        <v>27</v>
      </c>
      <c r="Z2038" t="s">
        <v>27</v>
      </c>
      <c r="AA2038" t="s">
        <v>27</v>
      </c>
      <c r="AB2038" t="s">
        <v>27</v>
      </c>
      <c r="AC2038" t="s">
        <v>27</v>
      </c>
      <c r="AD2038" t="s">
        <v>27</v>
      </c>
      <c r="AE2038" t="s">
        <v>27</v>
      </c>
      <c r="AF2038" t="s">
        <v>27</v>
      </c>
      <c r="AG2038">
        <v>30.38</v>
      </c>
    </row>
    <row r="2039" spans="1:33" x14ac:dyDescent="0.25">
      <c r="A2039" t="s">
        <v>57</v>
      </c>
      <c r="B2039" s="3">
        <v>45500</v>
      </c>
      <c r="C2039">
        <v>2024209</v>
      </c>
      <c r="D2039">
        <v>16.75</v>
      </c>
      <c r="E2039" t="s">
        <v>27</v>
      </c>
      <c r="F2039">
        <v>12.6</v>
      </c>
      <c r="G2039">
        <v>21.2</v>
      </c>
      <c r="H2039">
        <v>3.7</v>
      </c>
      <c r="I2039">
        <v>64.8</v>
      </c>
      <c r="J2039">
        <v>32</v>
      </c>
      <c r="K2039">
        <v>0.3</v>
      </c>
      <c r="L2039">
        <v>1.7</v>
      </c>
      <c r="M2039">
        <v>0</v>
      </c>
      <c r="N2039">
        <v>0</v>
      </c>
      <c r="O2039" t="s">
        <v>27</v>
      </c>
      <c r="P2039">
        <v>13</v>
      </c>
      <c r="Q2039">
        <v>26.1</v>
      </c>
      <c r="R2039">
        <v>2.4</v>
      </c>
      <c r="S2039">
        <v>18.100000000000001</v>
      </c>
      <c r="T2039">
        <v>15.2</v>
      </c>
      <c r="U2039" t="s">
        <v>27</v>
      </c>
      <c r="V2039" t="s">
        <v>27</v>
      </c>
      <c r="W2039">
        <v>0.80700000000000005</v>
      </c>
      <c r="X2039">
        <v>1.7150000000000001</v>
      </c>
      <c r="Y2039" t="s">
        <v>27</v>
      </c>
      <c r="Z2039" t="s">
        <v>27</v>
      </c>
      <c r="AA2039" t="s">
        <v>27</v>
      </c>
      <c r="AB2039" t="s">
        <v>27</v>
      </c>
      <c r="AC2039" t="s">
        <v>27</v>
      </c>
      <c r="AD2039" t="s">
        <v>27</v>
      </c>
      <c r="AE2039" t="s">
        <v>27</v>
      </c>
      <c r="AF2039" t="s">
        <v>27</v>
      </c>
      <c r="AG2039">
        <v>30.22</v>
      </c>
    </row>
    <row r="2040" spans="1:33" x14ac:dyDescent="0.25">
      <c r="A2040" t="s">
        <v>57</v>
      </c>
      <c r="B2040" s="3">
        <v>45501</v>
      </c>
      <c r="C2040">
        <v>2024210</v>
      </c>
      <c r="D2040">
        <v>23.72</v>
      </c>
      <c r="E2040" t="s">
        <v>27</v>
      </c>
      <c r="F2040">
        <v>14.6</v>
      </c>
      <c r="G2040">
        <v>23.5</v>
      </c>
      <c r="H2040">
        <v>7</v>
      </c>
      <c r="I2040">
        <v>60.9</v>
      </c>
      <c r="J2040">
        <v>26.4</v>
      </c>
      <c r="K2040">
        <v>0.5</v>
      </c>
      <c r="L2040">
        <v>2.4</v>
      </c>
      <c r="M2040">
        <v>0</v>
      </c>
      <c r="N2040">
        <v>0</v>
      </c>
      <c r="O2040" t="s">
        <v>27</v>
      </c>
      <c r="P2040">
        <v>15.2</v>
      </c>
      <c r="Q2040">
        <v>28.2</v>
      </c>
      <c r="R2040">
        <v>5.6</v>
      </c>
      <c r="S2040">
        <v>22</v>
      </c>
      <c r="T2040">
        <v>16</v>
      </c>
      <c r="U2040" t="s">
        <v>27</v>
      </c>
      <c r="V2040" t="s">
        <v>27</v>
      </c>
      <c r="W2040">
        <v>0.76500000000000001</v>
      </c>
      <c r="X2040">
        <v>2.133</v>
      </c>
      <c r="Y2040" t="s">
        <v>27</v>
      </c>
      <c r="Z2040" t="s">
        <v>27</v>
      </c>
      <c r="AA2040" t="s">
        <v>27</v>
      </c>
      <c r="AB2040" t="s">
        <v>27</v>
      </c>
      <c r="AC2040" t="s">
        <v>27</v>
      </c>
      <c r="AD2040" t="s">
        <v>27</v>
      </c>
      <c r="AE2040" t="s">
        <v>27</v>
      </c>
      <c r="AF2040" t="s">
        <v>27</v>
      </c>
      <c r="AG2040">
        <v>30.07</v>
      </c>
    </row>
    <row r="2041" spans="1:33" x14ac:dyDescent="0.25">
      <c r="A2041" t="s">
        <v>57</v>
      </c>
      <c r="B2041" s="3">
        <v>45502</v>
      </c>
      <c r="C2041">
        <v>2024211</v>
      </c>
      <c r="D2041">
        <v>6.55</v>
      </c>
      <c r="E2041" t="s">
        <v>27</v>
      </c>
      <c r="F2041">
        <v>10.8</v>
      </c>
      <c r="G2041">
        <v>13.6</v>
      </c>
      <c r="H2041">
        <v>6.2</v>
      </c>
      <c r="I2041">
        <v>91.2</v>
      </c>
      <c r="J2041">
        <v>66.400000000000006</v>
      </c>
      <c r="K2041">
        <v>0.4</v>
      </c>
      <c r="L2041">
        <v>1.8</v>
      </c>
      <c r="M2041">
        <v>12.7</v>
      </c>
      <c r="N2041">
        <v>0</v>
      </c>
      <c r="O2041" t="s">
        <v>27</v>
      </c>
      <c r="P2041">
        <v>10.3</v>
      </c>
      <c r="Q2041">
        <v>22.2</v>
      </c>
      <c r="R2041">
        <v>5</v>
      </c>
      <c r="S2041">
        <v>13.9</v>
      </c>
      <c r="T2041">
        <v>15.1</v>
      </c>
      <c r="U2041" t="s">
        <v>27</v>
      </c>
      <c r="V2041" t="s">
        <v>27</v>
      </c>
      <c r="W2041">
        <v>1.0349999999999999</v>
      </c>
      <c r="X2041">
        <v>0.52400000000000002</v>
      </c>
      <c r="Y2041" t="s">
        <v>27</v>
      </c>
      <c r="Z2041" t="s">
        <v>27</v>
      </c>
      <c r="AA2041" t="s">
        <v>27</v>
      </c>
      <c r="AB2041" t="s">
        <v>27</v>
      </c>
      <c r="AC2041" t="s">
        <v>27</v>
      </c>
      <c r="AD2041" t="s">
        <v>27</v>
      </c>
      <c r="AE2041" t="s">
        <v>27</v>
      </c>
      <c r="AF2041" t="s">
        <v>27</v>
      </c>
      <c r="AG2041">
        <v>29.91</v>
      </c>
    </row>
    <row r="2042" spans="1:33" x14ac:dyDescent="0.25">
      <c r="A2042" t="s">
        <v>57</v>
      </c>
      <c r="B2042" s="3">
        <v>45503</v>
      </c>
      <c r="C2042">
        <v>2024212</v>
      </c>
      <c r="D2042">
        <v>12.86</v>
      </c>
      <c r="E2042" t="s">
        <v>27</v>
      </c>
      <c r="F2042">
        <v>12.4</v>
      </c>
      <c r="G2042">
        <v>18.100000000000001</v>
      </c>
      <c r="H2042">
        <v>8.1</v>
      </c>
      <c r="I2042">
        <v>84</v>
      </c>
      <c r="J2042">
        <v>52.8</v>
      </c>
      <c r="K2042">
        <v>0.6</v>
      </c>
      <c r="L2042">
        <v>2.7</v>
      </c>
      <c r="M2042">
        <v>3.9</v>
      </c>
      <c r="N2042">
        <v>0</v>
      </c>
      <c r="O2042" t="s">
        <v>27</v>
      </c>
      <c r="P2042">
        <v>12.1</v>
      </c>
      <c r="Q2042">
        <v>19.399999999999999</v>
      </c>
      <c r="R2042">
        <v>7.2</v>
      </c>
      <c r="S2042">
        <v>15.5</v>
      </c>
      <c r="T2042">
        <v>15</v>
      </c>
      <c r="U2042" t="s">
        <v>27</v>
      </c>
      <c r="V2042" t="s">
        <v>27</v>
      </c>
      <c r="W2042">
        <v>1.095</v>
      </c>
      <c r="X2042">
        <v>0.97899999999999998</v>
      </c>
      <c r="Y2042" t="s">
        <v>27</v>
      </c>
      <c r="Z2042" t="s">
        <v>27</v>
      </c>
      <c r="AA2042" t="s">
        <v>27</v>
      </c>
      <c r="AB2042" t="s">
        <v>27</v>
      </c>
      <c r="AC2042" t="s">
        <v>27</v>
      </c>
      <c r="AD2042" t="s">
        <v>27</v>
      </c>
      <c r="AE2042" t="s">
        <v>27</v>
      </c>
      <c r="AF2042" t="s">
        <v>27</v>
      </c>
      <c r="AG2042">
        <v>29.74</v>
      </c>
    </row>
    <row r="2043" spans="1:33" x14ac:dyDescent="0.25">
      <c r="A2043" t="s">
        <v>57</v>
      </c>
      <c r="B2043" s="3">
        <v>45504</v>
      </c>
      <c r="C2043">
        <v>2024213</v>
      </c>
      <c r="D2043">
        <v>28.31</v>
      </c>
      <c r="E2043" t="s">
        <v>27</v>
      </c>
      <c r="F2043">
        <v>15.5</v>
      </c>
      <c r="G2043">
        <v>24.9</v>
      </c>
      <c r="H2043">
        <v>7.5</v>
      </c>
      <c r="I2043">
        <v>70</v>
      </c>
      <c r="J2043">
        <v>35.799999999999997</v>
      </c>
      <c r="K2043">
        <v>0.6</v>
      </c>
      <c r="L2043">
        <v>2.6</v>
      </c>
      <c r="M2043">
        <v>0</v>
      </c>
      <c r="N2043">
        <v>0</v>
      </c>
      <c r="O2043" t="s">
        <v>27</v>
      </c>
      <c r="P2043">
        <v>16.2</v>
      </c>
      <c r="Q2043">
        <v>28.4</v>
      </c>
      <c r="R2043">
        <v>6.5</v>
      </c>
      <c r="S2043">
        <v>19.2</v>
      </c>
      <c r="T2043">
        <v>15.8</v>
      </c>
      <c r="U2043" t="s">
        <v>27</v>
      </c>
      <c r="V2043" t="s">
        <v>27</v>
      </c>
      <c r="W2043">
        <v>1.1299999999999999</v>
      </c>
      <c r="X2043">
        <v>2.0259999999999998</v>
      </c>
      <c r="Y2043" t="s">
        <v>27</v>
      </c>
      <c r="Z2043" t="s">
        <v>27</v>
      </c>
      <c r="AA2043" t="s">
        <v>27</v>
      </c>
      <c r="AB2043" t="s">
        <v>27</v>
      </c>
      <c r="AC2043" t="s">
        <v>27</v>
      </c>
      <c r="AD2043" t="s">
        <v>27</v>
      </c>
      <c r="AE2043" t="s">
        <v>27</v>
      </c>
      <c r="AF2043" t="s">
        <v>27</v>
      </c>
      <c r="AG2043">
        <v>29.59</v>
      </c>
    </row>
    <row r="2044" spans="1:33" x14ac:dyDescent="0.25">
      <c r="A2044" t="s">
        <v>57</v>
      </c>
      <c r="B2044" s="3">
        <v>45505</v>
      </c>
      <c r="C2044">
        <v>2024214</v>
      </c>
      <c r="D2044">
        <v>30.21</v>
      </c>
      <c r="E2044" t="s">
        <v>27</v>
      </c>
      <c r="F2044">
        <v>18.3</v>
      </c>
      <c r="G2044">
        <v>29.8</v>
      </c>
      <c r="H2044">
        <v>6.3</v>
      </c>
      <c r="I2044">
        <v>59.5</v>
      </c>
      <c r="J2044">
        <v>20</v>
      </c>
      <c r="K2044">
        <v>0.5</v>
      </c>
      <c r="L2044">
        <v>2.6</v>
      </c>
      <c r="M2044">
        <v>0</v>
      </c>
      <c r="N2044">
        <v>0</v>
      </c>
      <c r="O2044" t="s">
        <v>27</v>
      </c>
      <c r="P2044">
        <v>18.7</v>
      </c>
      <c r="Q2044">
        <v>33.799999999999997</v>
      </c>
      <c r="R2044">
        <v>5.2</v>
      </c>
      <c r="S2044">
        <v>21.1</v>
      </c>
      <c r="T2044">
        <v>16.8</v>
      </c>
      <c r="U2044" t="s">
        <v>27</v>
      </c>
      <c r="V2044" t="s">
        <v>27</v>
      </c>
      <c r="W2044">
        <v>0.84</v>
      </c>
      <c r="X2044">
        <v>3.36</v>
      </c>
      <c r="Y2044" t="s">
        <v>27</v>
      </c>
      <c r="Z2044" t="s">
        <v>27</v>
      </c>
      <c r="AA2044" t="s">
        <v>27</v>
      </c>
      <c r="AB2044" t="s">
        <v>27</v>
      </c>
      <c r="AC2044" t="s">
        <v>27</v>
      </c>
      <c r="AD2044" t="s">
        <v>27</v>
      </c>
      <c r="AE2044" t="s">
        <v>27</v>
      </c>
      <c r="AF2044" t="s">
        <v>27</v>
      </c>
      <c r="AG2044">
        <v>29.42</v>
      </c>
    </row>
    <row r="2045" spans="1:33" x14ac:dyDescent="0.25">
      <c r="A2045" t="s">
        <v>57</v>
      </c>
      <c r="B2045" s="3">
        <v>45506</v>
      </c>
      <c r="C2045">
        <v>2024215</v>
      </c>
      <c r="D2045">
        <v>26.06</v>
      </c>
      <c r="E2045" t="s">
        <v>27</v>
      </c>
      <c r="F2045">
        <v>20.2</v>
      </c>
      <c r="G2045">
        <v>30.7</v>
      </c>
      <c r="H2045">
        <v>9</v>
      </c>
      <c r="I2045">
        <v>51.6</v>
      </c>
      <c r="J2045">
        <v>17.8</v>
      </c>
      <c r="K2045">
        <v>0.5</v>
      </c>
      <c r="L2045">
        <v>2</v>
      </c>
      <c r="M2045">
        <v>0</v>
      </c>
      <c r="N2045">
        <v>0</v>
      </c>
      <c r="O2045" t="s">
        <v>27</v>
      </c>
      <c r="P2045">
        <v>20.3</v>
      </c>
      <c r="Q2045">
        <v>35.4</v>
      </c>
      <c r="R2045">
        <v>7.5</v>
      </c>
      <c r="S2045">
        <v>21.8</v>
      </c>
      <c r="T2045">
        <v>17.399999999999999</v>
      </c>
      <c r="U2045" t="s">
        <v>27</v>
      </c>
      <c r="V2045" t="s">
        <v>27</v>
      </c>
      <c r="W2045">
        <v>0.78400000000000003</v>
      </c>
      <c r="X2045">
        <v>3.62</v>
      </c>
      <c r="Y2045" t="s">
        <v>27</v>
      </c>
      <c r="Z2045" t="s">
        <v>27</v>
      </c>
      <c r="AA2045" t="s">
        <v>27</v>
      </c>
      <c r="AB2045" t="s">
        <v>27</v>
      </c>
      <c r="AC2045" t="s">
        <v>27</v>
      </c>
      <c r="AD2045" t="s">
        <v>27</v>
      </c>
      <c r="AE2045" t="s">
        <v>27</v>
      </c>
      <c r="AF2045" t="s">
        <v>27</v>
      </c>
      <c r="AG2045">
        <v>29.25</v>
      </c>
    </row>
    <row r="2046" spans="1:33" x14ac:dyDescent="0.25">
      <c r="A2046" t="s">
        <v>57</v>
      </c>
      <c r="B2046" s="3">
        <v>45507</v>
      </c>
      <c r="C2046">
        <v>2024216</v>
      </c>
      <c r="D2046">
        <v>29.01</v>
      </c>
      <c r="E2046" t="s">
        <v>27</v>
      </c>
      <c r="F2046">
        <v>19.600000000000001</v>
      </c>
      <c r="G2046">
        <v>29.5</v>
      </c>
      <c r="H2046">
        <v>9.1</v>
      </c>
      <c r="I2046">
        <v>51.2</v>
      </c>
      <c r="J2046">
        <v>19.2</v>
      </c>
      <c r="K2046">
        <v>0.6</v>
      </c>
      <c r="L2046">
        <v>2.9</v>
      </c>
      <c r="M2046">
        <v>0</v>
      </c>
      <c r="N2046">
        <v>0</v>
      </c>
      <c r="O2046" t="s">
        <v>27</v>
      </c>
      <c r="P2046">
        <v>20.100000000000001</v>
      </c>
      <c r="Q2046">
        <v>34</v>
      </c>
      <c r="R2046">
        <v>7.8</v>
      </c>
      <c r="S2046">
        <v>24.3</v>
      </c>
      <c r="T2046">
        <v>18</v>
      </c>
      <c r="U2046" t="s">
        <v>27</v>
      </c>
      <c r="V2046" t="s">
        <v>27</v>
      </c>
      <c r="W2046">
        <v>0.78900000000000003</v>
      </c>
      <c r="X2046">
        <v>3.32</v>
      </c>
      <c r="Y2046" t="s">
        <v>27</v>
      </c>
      <c r="Z2046" t="s">
        <v>27</v>
      </c>
      <c r="AA2046" t="s">
        <v>27</v>
      </c>
      <c r="AB2046" t="s">
        <v>27</v>
      </c>
      <c r="AC2046" t="s">
        <v>27</v>
      </c>
      <c r="AD2046" t="s">
        <v>27</v>
      </c>
      <c r="AE2046" t="s">
        <v>27</v>
      </c>
      <c r="AF2046" t="s">
        <v>27</v>
      </c>
      <c r="AG2046">
        <v>29.08</v>
      </c>
    </row>
    <row r="2047" spans="1:33" x14ac:dyDescent="0.25">
      <c r="A2047" t="s">
        <v>57</v>
      </c>
      <c r="B2047" s="3">
        <v>45508</v>
      </c>
      <c r="C2047">
        <v>2024217</v>
      </c>
      <c r="D2047">
        <v>23.8</v>
      </c>
      <c r="E2047" t="s">
        <v>27</v>
      </c>
      <c r="F2047">
        <v>18.399999999999999</v>
      </c>
      <c r="G2047">
        <v>27.8</v>
      </c>
      <c r="H2047">
        <v>10.5</v>
      </c>
      <c r="I2047">
        <v>55.2</v>
      </c>
      <c r="J2047">
        <v>22.6</v>
      </c>
      <c r="K2047">
        <v>0.6</v>
      </c>
      <c r="L2047">
        <v>3.2</v>
      </c>
      <c r="M2047">
        <v>0</v>
      </c>
      <c r="N2047">
        <v>0</v>
      </c>
      <c r="O2047" t="s">
        <v>27</v>
      </c>
      <c r="P2047">
        <v>18.899999999999999</v>
      </c>
      <c r="Q2047">
        <v>31.3</v>
      </c>
      <c r="R2047">
        <v>9.4</v>
      </c>
      <c r="S2047">
        <v>24.2</v>
      </c>
      <c r="T2047">
        <v>18.3</v>
      </c>
      <c r="U2047" t="s">
        <v>27</v>
      </c>
      <c r="V2047" t="s">
        <v>27</v>
      </c>
      <c r="W2047">
        <v>0.84299999999999997</v>
      </c>
      <c r="X2047">
        <v>2.887</v>
      </c>
      <c r="Y2047" t="s">
        <v>27</v>
      </c>
      <c r="Z2047" t="s">
        <v>27</v>
      </c>
      <c r="AA2047" t="s">
        <v>27</v>
      </c>
      <c r="AB2047" t="s">
        <v>27</v>
      </c>
      <c r="AC2047" t="s">
        <v>27</v>
      </c>
      <c r="AD2047" t="s">
        <v>27</v>
      </c>
      <c r="AE2047" t="s">
        <v>27</v>
      </c>
      <c r="AF2047" t="s">
        <v>27</v>
      </c>
      <c r="AG2047">
        <v>28.91</v>
      </c>
    </row>
    <row r="2048" spans="1:33" x14ac:dyDescent="0.25">
      <c r="A2048" t="s">
        <v>57</v>
      </c>
      <c r="B2048" s="3">
        <v>45509</v>
      </c>
      <c r="C2048">
        <v>2024218</v>
      </c>
      <c r="D2048">
        <v>22.68</v>
      </c>
      <c r="E2048" t="s">
        <v>27</v>
      </c>
      <c r="F2048">
        <v>17.100000000000001</v>
      </c>
      <c r="G2048">
        <v>26.3</v>
      </c>
      <c r="H2048">
        <v>8</v>
      </c>
      <c r="I2048">
        <v>65.099999999999994</v>
      </c>
      <c r="J2048">
        <v>24.1</v>
      </c>
      <c r="K2048">
        <v>0.6</v>
      </c>
      <c r="L2048">
        <v>2.2999999999999998</v>
      </c>
      <c r="M2048">
        <v>9.4</v>
      </c>
      <c r="N2048">
        <v>0</v>
      </c>
      <c r="O2048" t="s">
        <v>27</v>
      </c>
      <c r="P2048">
        <v>17.399999999999999</v>
      </c>
      <c r="Q2048">
        <v>31.7</v>
      </c>
      <c r="R2048">
        <v>6.7</v>
      </c>
      <c r="S2048">
        <v>21.8</v>
      </c>
      <c r="T2048">
        <v>17.8</v>
      </c>
      <c r="U2048" t="s">
        <v>27</v>
      </c>
      <c r="V2048" t="s">
        <v>27</v>
      </c>
      <c r="W2048">
        <v>0.82299999999999995</v>
      </c>
      <c r="X2048">
        <v>2.5920000000000001</v>
      </c>
      <c r="Y2048" t="s">
        <v>27</v>
      </c>
      <c r="Z2048" t="s">
        <v>27</v>
      </c>
      <c r="AA2048" t="s">
        <v>27</v>
      </c>
      <c r="AB2048" t="s">
        <v>27</v>
      </c>
      <c r="AC2048" t="s">
        <v>27</v>
      </c>
      <c r="AD2048" t="s">
        <v>27</v>
      </c>
      <c r="AE2048" t="s">
        <v>27</v>
      </c>
      <c r="AF2048" t="s">
        <v>27</v>
      </c>
      <c r="AG2048">
        <v>28.73</v>
      </c>
    </row>
    <row r="2049" spans="1:33" x14ac:dyDescent="0.25">
      <c r="A2049" t="s">
        <v>57</v>
      </c>
      <c r="B2049" s="3">
        <v>45510</v>
      </c>
      <c r="C2049">
        <v>2024219</v>
      </c>
      <c r="D2049">
        <v>26.42</v>
      </c>
      <c r="E2049" t="s">
        <v>27</v>
      </c>
      <c r="F2049">
        <v>14.6</v>
      </c>
      <c r="G2049">
        <v>22.3</v>
      </c>
      <c r="H2049">
        <v>7.5</v>
      </c>
      <c r="I2049">
        <v>60.7</v>
      </c>
      <c r="J2049">
        <v>34.5</v>
      </c>
      <c r="K2049">
        <v>0.9</v>
      </c>
      <c r="L2049">
        <v>2.8</v>
      </c>
      <c r="M2049">
        <v>0.1</v>
      </c>
      <c r="N2049">
        <v>0</v>
      </c>
      <c r="O2049" t="s">
        <v>27</v>
      </c>
      <c r="P2049">
        <v>14.5</v>
      </c>
      <c r="Q2049">
        <v>26.4</v>
      </c>
      <c r="R2049">
        <v>6.3</v>
      </c>
      <c r="S2049">
        <v>17.8</v>
      </c>
      <c r="T2049">
        <v>16.7</v>
      </c>
      <c r="U2049" t="s">
        <v>27</v>
      </c>
      <c r="V2049" t="s">
        <v>27</v>
      </c>
      <c r="W2049">
        <v>0.92600000000000005</v>
      </c>
      <c r="X2049">
        <v>1.758</v>
      </c>
      <c r="Y2049" t="s">
        <v>27</v>
      </c>
      <c r="Z2049" t="s">
        <v>27</v>
      </c>
      <c r="AA2049" t="s">
        <v>27</v>
      </c>
      <c r="AB2049" t="s">
        <v>27</v>
      </c>
      <c r="AC2049" t="s">
        <v>27</v>
      </c>
      <c r="AD2049" t="s">
        <v>27</v>
      </c>
      <c r="AE2049" t="s">
        <v>27</v>
      </c>
      <c r="AF2049" t="s">
        <v>27</v>
      </c>
      <c r="AG2049">
        <v>28.55</v>
      </c>
    </row>
    <row r="2050" spans="1:33" x14ac:dyDescent="0.25">
      <c r="A2050" t="s">
        <v>57</v>
      </c>
      <c r="B2050" s="3">
        <v>45511</v>
      </c>
      <c r="C2050">
        <v>2024220</v>
      </c>
      <c r="D2050">
        <v>25.86</v>
      </c>
      <c r="E2050" t="s">
        <v>27</v>
      </c>
      <c r="F2050">
        <v>13.1</v>
      </c>
      <c r="G2050">
        <v>21.9</v>
      </c>
      <c r="H2050">
        <v>4.0999999999999996</v>
      </c>
      <c r="I2050">
        <v>63.3</v>
      </c>
      <c r="J2050">
        <v>33.700000000000003</v>
      </c>
      <c r="K2050">
        <v>0.6</v>
      </c>
      <c r="L2050">
        <v>2.5</v>
      </c>
      <c r="M2050">
        <v>0</v>
      </c>
      <c r="N2050">
        <v>0</v>
      </c>
      <c r="O2050" t="s">
        <v>27</v>
      </c>
      <c r="P2050">
        <v>13.6</v>
      </c>
      <c r="Q2050">
        <v>26.5</v>
      </c>
      <c r="R2050">
        <v>2.7</v>
      </c>
      <c r="S2050">
        <v>18.600000000000001</v>
      </c>
      <c r="T2050">
        <v>16.3</v>
      </c>
      <c r="U2050" t="s">
        <v>27</v>
      </c>
      <c r="V2050" t="s">
        <v>27</v>
      </c>
      <c r="W2050">
        <v>0.88400000000000001</v>
      </c>
      <c r="X2050">
        <v>1.7390000000000001</v>
      </c>
      <c r="Y2050" t="s">
        <v>27</v>
      </c>
      <c r="Z2050" t="s">
        <v>27</v>
      </c>
      <c r="AA2050" t="s">
        <v>27</v>
      </c>
      <c r="AB2050" t="s">
        <v>27</v>
      </c>
      <c r="AC2050" t="s">
        <v>27</v>
      </c>
      <c r="AD2050" t="s">
        <v>27</v>
      </c>
      <c r="AE2050" t="s">
        <v>27</v>
      </c>
      <c r="AF2050" t="s">
        <v>27</v>
      </c>
      <c r="AG2050">
        <v>28.36</v>
      </c>
    </row>
    <row r="2051" spans="1:33" x14ac:dyDescent="0.25">
      <c r="A2051" t="s">
        <v>57</v>
      </c>
      <c r="B2051" s="3">
        <v>45512</v>
      </c>
      <c r="C2051">
        <v>2024221</v>
      </c>
      <c r="D2051">
        <v>23.24</v>
      </c>
      <c r="E2051" t="s">
        <v>27</v>
      </c>
      <c r="F2051">
        <v>14.7</v>
      </c>
      <c r="G2051">
        <v>25.7</v>
      </c>
      <c r="H2051">
        <v>3.5</v>
      </c>
      <c r="I2051">
        <v>57.9</v>
      </c>
      <c r="J2051">
        <v>20.2</v>
      </c>
      <c r="K2051">
        <v>0.5</v>
      </c>
      <c r="L2051">
        <v>3.4</v>
      </c>
      <c r="M2051">
        <v>0</v>
      </c>
      <c r="N2051">
        <v>0</v>
      </c>
      <c r="O2051" t="s">
        <v>27</v>
      </c>
      <c r="P2051">
        <v>14.9</v>
      </c>
      <c r="Q2051">
        <v>29.7</v>
      </c>
      <c r="R2051">
        <v>2.2000000000000002</v>
      </c>
      <c r="S2051">
        <v>18.399999999999999</v>
      </c>
      <c r="T2051">
        <v>15.9</v>
      </c>
      <c r="U2051" t="s">
        <v>27</v>
      </c>
      <c r="V2051" t="s">
        <v>27</v>
      </c>
      <c r="W2051">
        <v>0.66600000000000004</v>
      </c>
      <c r="X2051">
        <v>2.6309999999999998</v>
      </c>
      <c r="Y2051" t="s">
        <v>27</v>
      </c>
      <c r="Z2051" t="s">
        <v>27</v>
      </c>
      <c r="AA2051" t="s">
        <v>27</v>
      </c>
      <c r="AB2051" t="s">
        <v>27</v>
      </c>
      <c r="AC2051" t="s">
        <v>27</v>
      </c>
      <c r="AD2051" t="s">
        <v>27</v>
      </c>
      <c r="AE2051" t="s">
        <v>27</v>
      </c>
      <c r="AF2051" t="s">
        <v>27</v>
      </c>
      <c r="AG2051">
        <v>28.17</v>
      </c>
    </row>
    <row r="2052" spans="1:33" x14ac:dyDescent="0.25">
      <c r="A2052" t="s">
        <v>57</v>
      </c>
      <c r="B2052" s="3">
        <v>45513</v>
      </c>
      <c r="C2052">
        <v>2024222</v>
      </c>
      <c r="D2052">
        <v>17.45</v>
      </c>
      <c r="E2052" t="s">
        <v>27</v>
      </c>
      <c r="F2052">
        <v>14.3</v>
      </c>
      <c r="G2052">
        <v>24.1</v>
      </c>
      <c r="H2052">
        <v>6</v>
      </c>
      <c r="I2052">
        <v>64.3</v>
      </c>
      <c r="J2052">
        <v>26.1</v>
      </c>
      <c r="K2052">
        <v>0.4</v>
      </c>
      <c r="L2052">
        <v>2.1</v>
      </c>
      <c r="M2052">
        <v>0</v>
      </c>
      <c r="N2052">
        <v>0</v>
      </c>
      <c r="O2052" t="s">
        <v>27</v>
      </c>
      <c r="P2052">
        <v>14.4</v>
      </c>
      <c r="Q2052">
        <v>29.2</v>
      </c>
      <c r="R2052">
        <v>4.8</v>
      </c>
      <c r="S2052">
        <v>17.2</v>
      </c>
      <c r="T2052">
        <v>15.8</v>
      </c>
      <c r="U2052" t="s">
        <v>27</v>
      </c>
      <c r="V2052" t="s">
        <v>27</v>
      </c>
      <c r="W2052">
        <v>0.78500000000000003</v>
      </c>
      <c r="X2052">
        <v>2.2229999999999999</v>
      </c>
      <c r="Y2052" t="s">
        <v>27</v>
      </c>
      <c r="Z2052" t="s">
        <v>27</v>
      </c>
      <c r="AA2052" t="s">
        <v>27</v>
      </c>
      <c r="AB2052" t="s">
        <v>27</v>
      </c>
      <c r="AC2052" t="s">
        <v>27</v>
      </c>
      <c r="AD2052" t="s">
        <v>27</v>
      </c>
      <c r="AE2052" t="s">
        <v>27</v>
      </c>
      <c r="AF2052" t="s">
        <v>27</v>
      </c>
      <c r="AG2052">
        <v>27.99</v>
      </c>
    </row>
    <row r="2053" spans="1:33" x14ac:dyDescent="0.25">
      <c r="A2053" t="s">
        <v>57</v>
      </c>
      <c r="B2053" s="3">
        <v>45514</v>
      </c>
      <c r="C2053">
        <v>2024223</v>
      </c>
      <c r="D2053">
        <v>18.809999999999999</v>
      </c>
      <c r="E2053" t="s">
        <v>27</v>
      </c>
      <c r="F2053">
        <v>13.5</v>
      </c>
      <c r="G2053">
        <v>23.5</v>
      </c>
      <c r="H2053">
        <v>5</v>
      </c>
      <c r="I2053">
        <v>65.3</v>
      </c>
      <c r="J2053">
        <v>30.2</v>
      </c>
      <c r="K2053">
        <v>0.5</v>
      </c>
      <c r="L2053">
        <v>2.8</v>
      </c>
      <c r="M2053">
        <v>0</v>
      </c>
      <c r="N2053">
        <v>0</v>
      </c>
      <c r="O2053" t="s">
        <v>27</v>
      </c>
      <c r="P2053">
        <v>13.6</v>
      </c>
      <c r="Q2053">
        <v>28.1</v>
      </c>
      <c r="R2053">
        <v>3.9</v>
      </c>
      <c r="S2053">
        <v>17</v>
      </c>
      <c r="T2053">
        <v>15.3</v>
      </c>
      <c r="U2053" t="s">
        <v>27</v>
      </c>
      <c r="V2053" t="s">
        <v>27</v>
      </c>
      <c r="W2053">
        <v>0.874</v>
      </c>
      <c r="X2053">
        <v>2.02</v>
      </c>
      <c r="Y2053" t="s">
        <v>27</v>
      </c>
      <c r="Z2053" t="s">
        <v>27</v>
      </c>
      <c r="AA2053" t="s">
        <v>27</v>
      </c>
      <c r="AB2053" t="s">
        <v>27</v>
      </c>
      <c r="AC2053" t="s">
        <v>27</v>
      </c>
      <c r="AD2053" t="s">
        <v>27</v>
      </c>
      <c r="AE2053" t="s">
        <v>27</v>
      </c>
      <c r="AF2053" t="s">
        <v>27</v>
      </c>
      <c r="AG2053">
        <v>27.79</v>
      </c>
    </row>
    <row r="2054" spans="1:33" x14ac:dyDescent="0.25">
      <c r="A2054" t="s">
        <v>57</v>
      </c>
      <c r="B2054" s="3">
        <v>45515</v>
      </c>
      <c r="C2054">
        <v>2024224</v>
      </c>
      <c r="D2054">
        <v>14.92</v>
      </c>
      <c r="E2054" t="s">
        <v>27</v>
      </c>
      <c r="F2054">
        <v>12.8</v>
      </c>
      <c r="G2054">
        <v>23.9</v>
      </c>
      <c r="H2054">
        <v>4.0999999999999996</v>
      </c>
      <c r="I2054">
        <v>75.7</v>
      </c>
      <c r="J2054">
        <v>33.299999999999997</v>
      </c>
      <c r="K2054">
        <v>0.3</v>
      </c>
      <c r="L2054">
        <v>2</v>
      </c>
      <c r="M2054">
        <v>1.8</v>
      </c>
      <c r="N2054">
        <v>0</v>
      </c>
      <c r="O2054" t="s">
        <v>27</v>
      </c>
      <c r="P2054">
        <v>12.7</v>
      </c>
      <c r="Q2054">
        <v>27.6</v>
      </c>
      <c r="R2054">
        <v>2.8</v>
      </c>
      <c r="S2054">
        <v>14.7</v>
      </c>
      <c r="T2054">
        <v>14.6</v>
      </c>
      <c r="U2054" t="s">
        <v>27</v>
      </c>
      <c r="V2054" t="s">
        <v>27</v>
      </c>
      <c r="W2054">
        <v>0.99</v>
      </c>
      <c r="X2054">
        <v>1.9830000000000001</v>
      </c>
      <c r="Y2054" t="s">
        <v>27</v>
      </c>
      <c r="Z2054" t="s">
        <v>27</v>
      </c>
      <c r="AA2054" t="s">
        <v>27</v>
      </c>
      <c r="AB2054" t="s">
        <v>27</v>
      </c>
      <c r="AC2054" t="s">
        <v>27</v>
      </c>
      <c r="AD2054" t="s">
        <v>27</v>
      </c>
      <c r="AE2054" t="s">
        <v>27</v>
      </c>
      <c r="AF2054" t="s">
        <v>27</v>
      </c>
      <c r="AG2054">
        <v>27.6</v>
      </c>
    </row>
    <row r="2055" spans="1:33" x14ac:dyDescent="0.25">
      <c r="A2055" t="s">
        <v>57</v>
      </c>
      <c r="B2055" s="3">
        <v>45516</v>
      </c>
      <c r="C2055">
        <v>2024225</v>
      </c>
      <c r="D2055">
        <v>16.13</v>
      </c>
      <c r="E2055" t="s">
        <v>27</v>
      </c>
      <c r="F2055">
        <v>13.2</v>
      </c>
      <c r="G2055">
        <v>23.8</v>
      </c>
      <c r="H2055">
        <v>6.8</v>
      </c>
      <c r="I2055">
        <v>79</v>
      </c>
      <c r="J2055">
        <v>35.700000000000003</v>
      </c>
      <c r="K2055">
        <v>0.3</v>
      </c>
      <c r="L2055">
        <v>2.2000000000000002</v>
      </c>
      <c r="M2055">
        <v>1</v>
      </c>
      <c r="N2055">
        <v>0</v>
      </c>
      <c r="O2055" t="s">
        <v>27</v>
      </c>
      <c r="P2055">
        <v>13</v>
      </c>
      <c r="Q2055">
        <v>29.7</v>
      </c>
      <c r="R2055">
        <v>5.7</v>
      </c>
      <c r="S2055">
        <v>15</v>
      </c>
      <c r="T2055">
        <v>14.7</v>
      </c>
      <c r="U2055" t="s">
        <v>27</v>
      </c>
      <c r="V2055" t="s">
        <v>27</v>
      </c>
      <c r="W2055">
        <v>1.05</v>
      </c>
      <c r="X2055">
        <v>1.891</v>
      </c>
      <c r="Y2055" t="s">
        <v>27</v>
      </c>
      <c r="Z2055" t="s">
        <v>27</v>
      </c>
      <c r="AA2055" t="s">
        <v>27</v>
      </c>
      <c r="AB2055" t="s">
        <v>27</v>
      </c>
      <c r="AC2055" t="s">
        <v>27</v>
      </c>
      <c r="AD2055" t="s">
        <v>27</v>
      </c>
      <c r="AE2055" t="s">
        <v>27</v>
      </c>
      <c r="AF2055" t="s">
        <v>27</v>
      </c>
      <c r="AG2055">
        <v>27.4</v>
      </c>
    </row>
    <row r="2056" spans="1:33" x14ac:dyDescent="0.25">
      <c r="A2056" t="s">
        <v>57</v>
      </c>
      <c r="B2056" s="3">
        <v>45517</v>
      </c>
      <c r="C2056">
        <v>2024226</v>
      </c>
      <c r="D2056">
        <v>14.47</v>
      </c>
      <c r="E2056" t="s">
        <v>27</v>
      </c>
      <c r="F2056">
        <v>11.7</v>
      </c>
      <c r="G2056">
        <v>21</v>
      </c>
      <c r="H2056">
        <v>4.5999999999999996</v>
      </c>
      <c r="I2056">
        <v>85</v>
      </c>
      <c r="J2056">
        <v>48.9</v>
      </c>
      <c r="K2056">
        <v>0.2</v>
      </c>
      <c r="L2056">
        <v>1.8</v>
      </c>
      <c r="M2056">
        <v>1.9</v>
      </c>
      <c r="N2056">
        <v>0</v>
      </c>
      <c r="O2056" t="s">
        <v>27</v>
      </c>
      <c r="P2056">
        <v>11</v>
      </c>
      <c r="Q2056">
        <v>26.3</v>
      </c>
      <c r="R2056">
        <v>3.5</v>
      </c>
      <c r="S2056">
        <v>12.5</v>
      </c>
      <c r="T2056">
        <v>13.9</v>
      </c>
      <c r="U2056" t="s">
        <v>27</v>
      </c>
      <c r="V2056" t="s">
        <v>27</v>
      </c>
      <c r="W2056">
        <v>1.2190000000000001</v>
      </c>
      <c r="X2056">
        <v>1.274</v>
      </c>
      <c r="Y2056" t="s">
        <v>27</v>
      </c>
      <c r="Z2056" t="s">
        <v>27</v>
      </c>
      <c r="AA2056" t="s">
        <v>27</v>
      </c>
      <c r="AB2056" t="s">
        <v>27</v>
      </c>
      <c r="AC2056" t="s">
        <v>27</v>
      </c>
      <c r="AD2056" t="s">
        <v>27</v>
      </c>
      <c r="AE2056" t="s">
        <v>27</v>
      </c>
      <c r="AF2056" t="s">
        <v>27</v>
      </c>
      <c r="AG2056">
        <v>27.2</v>
      </c>
    </row>
    <row r="2057" spans="1:33" x14ac:dyDescent="0.25">
      <c r="A2057" t="s">
        <v>57</v>
      </c>
      <c r="B2057" s="3">
        <v>45518</v>
      </c>
      <c r="C2057">
        <v>2024227</v>
      </c>
      <c r="D2057">
        <v>26.85</v>
      </c>
      <c r="E2057" t="s">
        <v>27</v>
      </c>
      <c r="F2057">
        <v>14.2</v>
      </c>
      <c r="G2057">
        <v>24.3</v>
      </c>
      <c r="H2057">
        <v>4.4000000000000004</v>
      </c>
      <c r="I2057">
        <v>68.900000000000006</v>
      </c>
      <c r="J2057">
        <v>33.1</v>
      </c>
      <c r="K2057">
        <v>0.5</v>
      </c>
      <c r="L2057">
        <v>2.4</v>
      </c>
      <c r="M2057">
        <v>0</v>
      </c>
      <c r="N2057">
        <v>0</v>
      </c>
      <c r="O2057" t="s">
        <v>27</v>
      </c>
      <c r="P2057">
        <v>14.5</v>
      </c>
      <c r="Q2057">
        <v>29.2</v>
      </c>
      <c r="R2057">
        <v>3.4</v>
      </c>
      <c r="S2057">
        <v>16.7</v>
      </c>
      <c r="T2057">
        <v>14.4</v>
      </c>
      <c r="U2057" t="s">
        <v>27</v>
      </c>
      <c r="V2057" t="s">
        <v>27</v>
      </c>
      <c r="W2057">
        <v>1.0069999999999999</v>
      </c>
      <c r="X2057">
        <v>2.0350000000000001</v>
      </c>
      <c r="Y2057" t="s">
        <v>27</v>
      </c>
      <c r="Z2057" t="s">
        <v>27</v>
      </c>
      <c r="AA2057" t="s">
        <v>27</v>
      </c>
      <c r="AB2057" t="s">
        <v>27</v>
      </c>
      <c r="AC2057" t="s">
        <v>27</v>
      </c>
      <c r="AD2057" t="s">
        <v>27</v>
      </c>
      <c r="AE2057" t="s">
        <v>27</v>
      </c>
      <c r="AF2057" t="s">
        <v>27</v>
      </c>
      <c r="AG2057">
        <v>26.99</v>
      </c>
    </row>
    <row r="2058" spans="1:33" x14ac:dyDescent="0.25">
      <c r="A2058" t="s">
        <v>57</v>
      </c>
      <c r="B2058" s="3">
        <v>45519</v>
      </c>
      <c r="C2058">
        <v>2024228</v>
      </c>
      <c r="D2058">
        <v>24.07</v>
      </c>
      <c r="E2058" t="s">
        <v>27</v>
      </c>
      <c r="F2058">
        <v>15.8</v>
      </c>
      <c r="G2058">
        <v>25.8</v>
      </c>
      <c r="H2058">
        <v>5.3</v>
      </c>
      <c r="I2058">
        <v>59.7</v>
      </c>
      <c r="J2058">
        <v>24.8</v>
      </c>
      <c r="K2058">
        <v>0.5</v>
      </c>
      <c r="L2058">
        <v>2.7</v>
      </c>
      <c r="M2058">
        <v>0</v>
      </c>
      <c r="N2058">
        <v>0</v>
      </c>
      <c r="O2058" t="s">
        <v>27</v>
      </c>
      <c r="P2058">
        <v>16</v>
      </c>
      <c r="Q2058">
        <v>30.2</v>
      </c>
      <c r="R2058">
        <v>3.9</v>
      </c>
      <c r="S2058">
        <v>18.899999999999999</v>
      </c>
      <c r="T2058">
        <v>15.1</v>
      </c>
      <c r="U2058" t="s">
        <v>27</v>
      </c>
      <c r="V2058" t="s">
        <v>27</v>
      </c>
      <c r="W2058">
        <v>0.82299999999999995</v>
      </c>
      <c r="X2058">
        <v>2.496</v>
      </c>
      <c r="Y2058" t="s">
        <v>27</v>
      </c>
      <c r="Z2058" t="s">
        <v>27</v>
      </c>
      <c r="AA2058" t="s">
        <v>27</v>
      </c>
      <c r="AB2058" t="s">
        <v>27</v>
      </c>
      <c r="AC2058" t="s">
        <v>27</v>
      </c>
      <c r="AD2058" t="s">
        <v>27</v>
      </c>
      <c r="AE2058" t="s">
        <v>27</v>
      </c>
      <c r="AF2058" t="s">
        <v>27</v>
      </c>
      <c r="AG2058">
        <v>26.79</v>
      </c>
    </row>
    <row r="2059" spans="1:33" x14ac:dyDescent="0.25">
      <c r="A2059" t="s">
        <v>57</v>
      </c>
      <c r="B2059" s="3">
        <v>45520</v>
      </c>
      <c r="C2059">
        <v>2024229</v>
      </c>
      <c r="D2059">
        <v>4.34</v>
      </c>
      <c r="E2059" t="s">
        <v>27</v>
      </c>
      <c r="F2059">
        <v>11.2</v>
      </c>
      <c r="G2059">
        <v>13.8</v>
      </c>
      <c r="H2059">
        <v>6.2</v>
      </c>
      <c r="I2059">
        <v>92.7</v>
      </c>
      <c r="J2059">
        <v>75.8</v>
      </c>
      <c r="K2059">
        <v>0.1</v>
      </c>
      <c r="L2059">
        <v>1</v>
      </c>
      <c r="M2059">
        <v>19</v>
      </c>
      <c r="N2059">
        <v>0</v>
      </c>
      <c r="O2059" t="s">
        <v>27</v>
      </c>
      <c r="P2059">
        <v>10.6</v>
      </c>
      <c r="Q2059">
        <v>14</v>
      </c>
      <c r="R2059">
        <v>5</v>
      </c>
      <c r="S2059">
        <v>13.3</v>
      </c>
      <c r="T2059">
        <v>14.7</v>
      </c>
      <c r="U2059" t="s">
        <v>27</v>
      </c>
      <c r="V2059" t="s">
        <v>27</v>
      </c>
      <c r="W2059">
        <v>1.1990000000000001</v>
      </c>
      <c r="X2059">
        <v>0.38300000000000001</v>
      </c>
      <c r="Y2059" t="s">
        <v>27</v>
      </c>
      <c r="Z2059" t="s">
        <v>27</v>
      </c>
      <c r="AA2059" t="s">
        <v>27</v>
      </c>
      <c r="AB2059" t="s">
        <v>27</v>
      </c>
      <c r="AC2059" t="s">
        <v>27</v>
      </c>
      <c r="AD2059" t="s">
        <v>27</v>
      </c>
      <c r="AE2059" t="s">
        <v>27</v>
      </c>
      <c r="AF2059" t="s">
        <v>27</v>
      </c>
      <c r="AG2059">
        <v>26.58</v>
      </c>
    </row>
    <row r="2060" spans="1:33" x14ac:dyDescent="0.25">
      <c r="A2060" t="s">
        <v>57</v>
      </c>
      <c r="B2060" s="3">
        <v>45521</v>
      </c>
      <c r="C2060">
        <v>2024230</v>
      </c>
      <c r="D2060">
        <v>20.85</v>
      </c>
      <c r="E2060" t="s">
        <v>27</v>
      </c>
      <c r="F2060">
        <v>12.7</v>
      </c>
      <c r="G2060">
        <v>20.8</v>
      </c>
      <c r="H2060">
        <v>4.3</v>
      </c>
      <c r="I2060">
        <v>79.599999999999994</v>
      </c>
      <c r="J2060">
        <v>40.6</v>
      </c>
      <c r="K2060">
        <v>0.3</v>
      </c>
      <c r="L2060">
        <v>1.5</v>
      </c>
      <c r="M2060">
        <v>0</v>
      </c>
      <c r="N2060">
        <v>0</v>
      </c>
      <c r="O2060" t="s">
        <v>27</v>
      </c>
      <c r="P2060">
        <v>12.7</v>
      </c>
      <c r="Q2060">
        <v>24.2</v>
      </c>
      <c r="R2060">
        <v>3.1</v>
      </c>
      <c r="S2060">
        <v>14.3</v>
      </c>
      <c r="T2060">
        <v>13.9</v>
      </c>
      <c r="U2060" t="s">
        <v>27</v>
      </c>
      <c r="V2060" t="s">
        <v>27</v>
      </c>
      <c r="W2060">
        <v>0.998</v>
      </c>
      <c r="X2060">
        <v>1.46</v>
      </c>
      <c r="Y2060" t="s">
        <v>27</v>
      </c>
      <c r="Z2060" t="s">
        <v>27</v>
      </c>
      <c r="AA2060" t="s">
        <v>27</v>
      </c>
      <c r="AB2060" t="s">
        <v>27</v>
      </c>
      <c r="AC2060" t="s">
        <v>27</v>
      </c>
      <c r="AD2060" t="s">
        <v>27</v>
      </c>
      <c r="AE2060" t="s">
        <v>27</v>
      </c>
      <c r="AF2060" t="s">
        <v>27</v>
      </c>
      <c r="AG2060">
        <v>26.37</v>
      </c>
    </row>
    <row r="2061" spans="1:33" x14ac:dyDescent="0.25">
      <c r="A2061" t="s">
        <v>57</v>
      </c>
      <c r="B2061" s="3">
        <v>45522</v>
      </c>
      <c r="C2061">
        <v>2024231</v>
      </c>
      <c r="D2061">
        <v>20.27</v>
      </c>
      <c r="E2061" t="s">
        <v>27</v>
      </c>
      <c r="F2061">
        <v>14.2</v>
      </c>
      <c r="G2061">
        <v>22.1</v>
      </c>
      <c r="H2061">
        <v>4.2</v>
      </c>
      <c r="I2061">
        <v>63.7</v>
      </c>
      <c r="J2061">
        <v>22.6</v>
      </c>
      <c r="K2061">
        <v>0.9</v>
      </c>
      <c r="L2061">
        <v>2.9</v>
      </c>
      <c r="M2061">
        <v>0</v>
      </c>
      <c r="N2061">
        <v>0</v>
      </c>
      <c r="O2061" t="s">
        <v>27</v>
      </c>
      <c r="P2061">
        <v>14.1</v>
      </c>
      <c r="Q2061">
        <v>25.4</v>
      </c>
      <c r="R2061">
        <v>2.8</v>
      </c>
      <c r="S2061">
        <v>14.8</v>
      </c>
      <c r="T2061">
        <v>14.4</v>
      </c>
      <c r="U2061" t="s">
        <v>27</v>
      </c>
      <c r="V2061" t="s">
        <v>27</v>
      </c>
      <c r="W2061">
        <v>0.60099999999999998</v>
      </c>
      <c r="X2061">
        <v>2.0579999999999998</v>
      </c>
      <c r="Y2061" t="s">
        <v>27</v>
      </c>
      <c r="Z2061" t="s">
        <v>27</v>
      </c>
      <c r="AA2061" t="s">
        <v>27</v>
      </c>
      <c r="AB2061" t="s">
        <v>27</v>
      </c>
      <c r="AC2061" t="s">
        <v>27</v>
      </c>
      <c r="AD2061" t="s">
        <v>27</v>
      </c>
      <c r="AE2061" t="s">
        <v>27</v>
      </c>
      <c r="AF2061" t="s">
        <v>27</v>
      </c>
      <c r="AG2061">
        <v>26.15</v>
      </c>
    </row>
    <row r="2062" spans="1:33" x14ac:dyDescent="0.25">
      <c r="A2062" t="s">
        <v>57</v>
      </c>
      <c r="B2062" s="3">
        <v>45523</v>
      </c>
      <c r="C2062">
        <v>2024232</v>
      </c>
      <c r="D2062">
        <v>13.95</v>
      </c>
      <c r="E2062" t="s">
        <v>27</v>
      </c>
      <c r="F2062">
        <v>11.3</v>
      </c>
      <c r="G2062">
        <v>19.8</v>
      </c>
      <c r="H2062">
        <v>0.9</v>
      </c>
      <c r="I2062">
        <v>67</v>
      </c>
      <c r="J2062">
        <v>35</v>
      </c>
      <c r="K2062">
        <v>0.4</v>
      </c>
      <c r="L2062">
        <v>2.1</v>
      </c>
      <c r="M2062">
        <v>0</v>
      </c>
      <c r="N2062">
        <v>0</v>
      </c>
      <c r="O2062" t="s">
        <v>27</v>
      </c>
      <c r="P2062">
        <v>11.1</v>
      </c>
      <c r="Q2062">
        <v>23</v>
      </c>
      <c r="R2062">
        <v>-0.3</v>
      </c>
      <c r="S2062">
        <v>12.9</v>
      </c>
      <c r="T2062">
        <v>13.3</v>
      </c>
      <c r="U2062" t="s">
        <v>27</v>
      </c>
      <c r="V2062" t="s">
        <v>27</v>
      </c>
      <c r="W2062">
        <v>0.80600000000000005</v>
      </c>
      <c r="X2062">
        <v>1.4970000000000001</v>
      </c>
      <c r="Y2062" t="s">
        <v>27</v>
      </c>
      <c r="Z2062" t="s">
        <v>27</v>
      </c>
      <c r="AA2062" t="s">
        <v>27</v>
      </c>
      <c r="AB2062" t="s">
        <v>27</v>
      </c>
      <c r="AC2062" t="s">
        <v>27</v>
      </c>
      <c r="AD2062" t="s">
        <v>27</v>
      </c>
      <c r="AE2062" t="s">
        <v>27</v>
      </c>
      <c r="AF2062" t="s">
        <v>27</v>
      </c>
      <c r="AG2062">
        <v>25.94</v>
      </c>
    </row>
    <row r="2063" spans="1:33" x14ac:dyDescent="0.25">
      <c r="A2063" t="s">
        <v>57</v>
      </c>
      <c r="B2063" s="3">
        <v>45524</v>
      </c>
      <c r="C2063">
        <v>2024233</v>
      </c>
      <c r="D2063">
        <v>18.440000000000001</v>
      </c>
      <c r="E2063" t="s">
        <v>27</v>
      </c>
      <c r="F2063">
        <v>10.199999999999999</v>
      </c>
      <c r="G2063">
        <v>19.7</v>
      </c>
      <c r="H2063">
        <v>2.1</v>
      </c>
      <c r="I2063">
        <v>76.2</v>
      </c>
      <c r="J2063">
        <v>36.5</v>
      </c>
      <c r="K2063">
        <v>0.6</v>
      </c>
      <c r="L2063">
        <v>2.2999999999999998</v>
      </c>
      <c r="M2063">
        <v>2.6</v>
      </c>
      <c r="N2063">
        <v>0</v>
      </c>
      <c r="O2063" t="s">
        <v>27</v>
      </c>
      <c r="P2063">
        <v>10.4</v>
      </c>
      <c r="Q2063">
        <v>23.7</v>
      </c>
      <c r="R2063">
        <v>0.9</v>
      </c>
      <c r="S2063">
        <v>14.4</v>
      </c>
      <c r="T2063">
        <v>13.5</v>
      </c>
      <c r="U2063" t="s">
        <v>27</v>
      </c>
      <c r="V2063" t="s">
        <v>27</v>
      </c>
      <c r="W2063">
        <v>0.83499999999999996</v>
      </c>
      <c r="X2063">
        <v>1.4530000000000001</v>
      </c>
      <c r="Y2063" t="s">
        <v>27</v>
      </c>
      <c r="Z2063" t="s">
        <v>27</v>
      </c>
      <c r="AA2063" t="s">
        <v>27</v>
      </c>
      <c r="AB2063" t="s">
        <v>27</v>
      </c>
      <c r="AC2063" t="s">
        <v>27</v>
      </c>
      <c r="AD2063" t="s">
        <v>27</v>
      </c>
      <c r="AE2063" t="s">
        <v>27</v>
      </c>
      <c r="AF2063" t="s">
        <v>27</v>
      </c>
      <c r="AG2063">
        <v>25.72</v>
      </c>
    </row>
    <row r="2064" spans="1:33" x14ac:dyDescent="0.25">
      <c r="A2064" t="s">
        <v>57</v>
      </c>
      <c r="B2064" s="3">
        <v>45525</v>
      </c>
      <c r="C2064">
        <v>2024234</v>
      </c>
      <c r="D2064">
        <v>16.05</v>
      </c>
      <c r="E2064" t="s">
        <v>27</v>
      </c>
      <c r="F2064">
        <v>10.3</v>
      </c>
      <c r="G2064">
        <v>16.399999999999999</v>
      </c>
      <c r="H2064">
        <v>3.6</v>
      </c>
      <c r="I2064">
        <v>79.3</v>
      </c>
      <c r="J2064">
        <v>44.6</v>
      </c>
      <c r="K2064">
        <v>0.4</v>
      </c>
      <c r="L2064">
        <v>2.1</v>
      </c>
      <c r="M2064">
        <v>0.8</v>
      </c>
      <c r="N2064">
        <v>0</v>
      </c>
      <c r="O2064" t="s">
        <v>27</v>
      </c>
      <c r="P2064">
        <v>10.199999999999999</v>
      </c>
      <c r="Q2064">
        <v>19.399999999999999</v>
      </c>
      <c r="R2064">
        <v>2.4</v>
      </c>
      <c r="S2064">
        <v>13.8</v>
      </c>
      <c r="T2064">
        <v>13.5</v>
      </c>
      <c r="U2064" t="s">
        <v>27</v>
      </c>
      <c r="V2064" t="s">
        <v>27</v>
      </c>
      <c r="W2064">
        <v>0.83299999999999996</v>
      </c>
      <c r="X2064">
        <v>1.0349999999999999</v>
      </c>
      <c r="Y2064" t="s">
        <v>27</v>
      </c>
      <c r="Z2064" t="s">
        <v>27</v>
      </c>
      <c r="AA2064" t="s">
        <v>27</v>
      </c>
      <c r="AB2064" t="s">
        <v>27</v>
      </c>
      <c r="AC2064" t="s">
        <v>27</v>
      </c>
      <c r="AD2064" t="s">
        <v>27</v>
      </c>
      <c r="AE2064" t="s">
        <v>27</v>
      </c>
      <c r="AF2064" t="s">
        <v>27</v>
      </c>
      <c r="AG2064">
        <v>25.5</v>
      </c>
    </row>
    <row r="2065" spans="1:33" x14ac:dyDescent="0.25">
      <c r="A2065" t="s">
        <v>57</v>
      </c>
      <c r="B2065" s="3">
        <v>45526</v>
      </c>
      <c r="C2065">
        <v>2024235</v>
      </c>
      <c r="D2065">
        <v>14.9</v>
      </c>
      <c r="E2065" t="s">
        <v>27</v>
      </c>
      <c r="F2065">
        <v>11.4</v>
      </c>
      <c r="G2065">
        <v>18.899999999999999</v>
      </c>
      <c r="H2065">
        <v>4.5999999999999996</v>
      </c>
      <c r="I2065">
        <v>76.599999999999994</v>
      </c>
      <c r="J2065">
        <v>45.7</v>
      </c>
      <c r="K2065">
        <v>0.3</v>
      </c>
      <c r="L2065">
        <v>1.5</v>
      </c>
      <c r="M2065">
        <v>0</v>
      </c>
      <c r="N2065">
        <v>0</v>
      </c>
      <c r="O2065" t="s">
        <v>27</v>
      </c>
      <c r="P2065">
        <v>11.5</v>
      </c>
      <c r="Q2065">
        <v>22</v>
      </c>
      <c r="R2065">
        <v>3.7</v>
      </c>
      <c r="S2065">
        <v>13.7</v>
      </c>
      <c r="T2065">
        <v>13.4</v>
      </c>
      <c r="U2065" t="s">
        <v>27</v>
      </c>
      <c r="V2065" t="s">
        <v>27</v>
      </c>
      <c r="W2065">
        <v>0.995</v>
      </c>
      <c r="X2065">
        <v>1.1819999999999999</v>
      </c>
      <c r="Y2065" t="s">
        <v>27</v>
      </c>
      <c r="Z2065" t="s">
        <v>27</v>
      </c>
      <c r="AA2065" t="s">
        <v>27</v>
      </c>
      <c r="AB2065" t="s">
        <v>27</v>
      </c>
      <c r="AC2065" t="s">
        <v>27</v>
      </c>
      <c r="AD2065" t="s">
        <v>27</v>
      </c>
      <c r="AE2065" t="s">
        <v>27</v>
      </c>
      <c r="AF2065" t="s">
        <v>27</v>
      </c>
      <c r="AG2065">
        <v>25.27</v>
      </c>
    </row>
    <row r="2066" spans="1:33" x14ac:dyDescent="0.25">
      <c r="A2066" t="s">
        <v>57</v>
      </c>
      <c r="B2066" s="3">
        <v>45527</v>
      </c>
      <c r="C2066">
        <v>2024236</v>
      </c>
      <c r="D2066">
        <v>17.23</v>
      </c>
      <c r="E2066" t="s">
        <v>27</v>
      </c>
      <c r="F2066">
        <v>13.2</v>
      </c>
      <c r="G2066">
        <v>23.5</v>
      </c>
      <c r="H2066">
        <v>7.1</v>
      </c>
      <c r="I2066">
        <v>75.3</v>
      </c>
      <c r="J2066">
        <v>33.200000000000003</v>
      </c>
      <c r="K2066">
        <v>0.7</v>
      </c>
      <c r="L2066">
        <v>2.6</v>
      </c>
      <c r="M2066">
        <v>5.7</v>
      </c>
      <c r="N2066">
        <v>0</v>
      </c>
      <c r="O2066" t="s">
        <v>27</v>
      </c>
      <c r="P2066">
        <v>13.1</v>
      </c>
      <c r="Q2066">
        <v>28.9</v>
      </c>
      <c r="R2066">
        <v>5.8</v>
      </c>
      <c r="S2066">
        <v>15.1</v>
      </c>
      <c r="T2066">
        <v>13.8</v>
      </c>
      <c r="U2066" t="s">
        <v>27</v>
      </c>
      <c r="V2066" t="s">
        <v>27</v>
      </c>
      <c r="W2066">
        <v>0.96099999999999997</v>
      </c>
      <c r="X2066">
        <v>1.9339999999999999</v>
      </c>
      <c r="Y2066" t="s">
        <v>27</v>
      </c>
      <c r="Z2066" t="s">
        <v>27</v>
      </c>
      <c r="AA2066" t="s">
        <v>27</v>
      </c>
      <c r="AB2066" t="s">
        <v>27</v>
      </c>
      <c r="AC2066" t="s">
        <v>27</v>
      </c>
      <c r="AD2066" t="s">
        <v>27</v>
      </c>
      <c r="AE2066" t="s">
        <v>27</v>
      </c>
      <c r="AF2066" t="s">
        <v>27</v>
      </c>
      <c r="AG2066">
        <v>25.04</v>
      </c>
    </row>
    <row r="2067" spans="1:33" x14ac:dyDescent="0.25">
      <c r="A2067" t="s">
        <v>57</v>
      </c>
      <c r="B2067" s="3">
        <v>45528</v>
      </c>
      <c r="C2067">
        <v>2024237</v>
      </c>
      <c r="D2067">
        <v>2.13</v>
      </c>
      <c r="E2067" t="s">
        <v>27</v>
      </c>
      <c r="F2067">
        <v>5.8</v>
      </c>
      <c r="G2067">
        <v>7.9</v>
      </c>
      <c r="H2067">
        <v>3.8</v>
      </c>
      <c r="I2067">
        <v>95.5</v>
      </c>
      <c r="J2067">
        <v>90.7</v>
      </c>
      <c r="K2067">
        <v>1.2</v>
      </c>
      <c r="L2067">
        <v>2.9</v>
      </c>
      <c r="M2067">
        <v>20.2</v>
      </c>
      <c r="N2067">
        <v>0</v>
      </c>
      <c r="O2067" t="s">
        <v>27</v>
      </c>
      <c r="P2067">
        <v>5.2</v>
      </c>
      <c r="Q2067">
        <v>7.1</v>
      </c>
      <c r="R2067">
        <v>2.7</v>
      </c>
      <c r="S2067">
        <v>8.3000000000000007</v>
      </c>
      <c r="T2067">
        <v>11.8</v>
      </c>
      <c r="U2067" t="s">
        <v>27</v>
      </c>
      <c r="V2067" t="s">
        <v>27</v>
      </c>
      <c r="W2067">
        <v>0.96299999999999997</v>
      </c>
      <c r="X2067">
        <v>9.9000000000000005E-2</v>
      </c>
      <c r="Y2067" t="s">
        <v>27</v>
      </c>
      <c r="Z2067" t="s">
        <v>27</v>
      </c>
      <c r="AA2067" t="s">
        <v>27</v>
      </c>
      <c r="AB2067" t="s">
        <v>27</v>
      </c>
      <c r="AC2067" t="s">
        <v>27</v>
      </c>
      <c r="AD2067" t="s">
        <v>27</v>
      </c>
      <c r="AE2067" t="s">
        <v>27</v>
      </c>
      <c r="AF2067" t="s">
        <v>27</v>
      </c>
      <c r="AG2067">
        <v>24.82</v>
      </c>
    </row>
    <row r="2068" spans="1:33" x14ac:dyDescent="0.25">
      <c r="A2068" t="s">
        <v>57</v>
      </c>
      <c r="B2068" s="3">
        <v>45529</v>
      </c>
      <c r="C2068">
        <v>2024238</v>
      </c>
      <c r="D2068">
        <v>22.63</v>
      </c>
      <c r="E2068" t="s">
        <v>27</v>
      </c>
      <c r="F2068">
        <v>8.5</v>
      </c>
      <c r="G2068">
        <v>16.5</v>
      </c>
      <c r="H2068">
        <v>0.8</v>
      </c>
      <c r="I2068">
        <v>79.3</v>
      </c>
      <c r="J2068">
        <v>40.9</v>
      </c>
      <c r="K2068">
        <v>0.6</v>
      </c>
      <c r="L2068">
        <v>2.2999999999999998</v>
      </c>
      <c r="M2068">
        <v>0.1</v>
      </c>
      <c r="N2068">
        <v>0</v>
      </c>
      <c r="O2068" t="s">
        <v>27</v>
      </c>
      <c r="P2068">
        <v>8.5</v>
      </c>
      <c r="Q2068">
        <v>19.600000000000001</v>
      </c>
      <c r="R2068">
        <v>-0.4</v>
      </c>
      <c r="S2068">
        <v>11.3</v>
      </c>
      <c r="T2068">
        <v>11.2</v>
      </c>
      <c r="U2068" t="s">
        <v>27</v>
      </c>
      <c r="V2068" t="s">
        <v>27</v>
      </c>
      <c r="W2068">
        <v>0.76900000000000002</v>
      </c>
      <c r="X2068">
        <v>1.111</v>
      </c>
      <c r="Y2068" t="s">
        <v>27</v>
      </c>
      <c r="Z2068" t="s">
        <v>27</v>
      </c>
      <c r="AA2068" t="s">
        <v>27</v>
      </c>
      <c r="AB2068" t="s">
        <v>27</v>
      </c>
      <c r="AC2068" t="s">
        <v>27</v>
      </c>
      <c r="AD2068" t="s">
        <v>27</v>
      </c>
      <c r="AE2068" t="s">
        <v>27</v>
      </c>
      <c r="AF2068" t="s">
        <v>27</v>
      </c>
      <c r="AG2068">
        <v>24.59</v>
      </c>
    </row>
    <row r="2069" spans="1:33" x14ac:dyDescent="0.25">
      <c r="A2069" t="s">
        <v>57</v>
      </c>
      <c r="B2069" s="3">
        <v>45530</v>
      </c>
      <c r="C2069">
        <v>2024239</v>
      </c>
      <c r="D2069">
        <v>17.649999999999999</v>
      </c>
      <c r="E2069" t="s">
        <v>27</v>
      </c>
      <c r="F2069">
        <v>10.6</v>
      </c>
      <c r="G2069">
        <v>17.7</v>
      </c>
      <c r="H2069">
        <v>2.1</v>
      </c>
      <c r="I2069">
        <v>73.3</v>
      </c>
      <c r="J2069">
        <v>49.3</v>
      </c>
      <c r="K2069">
        <v>0.8</v>
      </c>
      <c r="L2069">
        <v>3.3</v>
      </c>
      <c r="M2069">
        <v>0</v>
      </c>
      <c r="N2069">
        <v>0</v>
      </c>
      <c r="O2069" t="s">
        <v>27</v>
      </c>
      <c r="P2069">
        <v>10.5</v>
      </c>
      <c r="Q2069">
        <v>21.6</v>
      </c>
      <c r="R2069">
        <v>1.1000000000000001</v>
      </c>
      <c r="S2069">
        <v>12.3</v>
      </c>
      <c r="T2069">
        <v>11.9</v>
      </c>
      <c r="U2069" t="s">
        <v>27</v>
      </c>
      <c r="V2069" t="s">
        <v>27</v>
      </c>
      <c r="W2069">
        <v>1.0009999999999999</v>
      </c>
      <c r="X2069">
        <v>1.0289999999999999</v>
      </c>
      <c r="Y2069" t="s">
        <v>27</v>
      </c>
      <c r="Z2069" t="s">
        <v>27</v>
      </c>
      <c r="AA2069" t="s">
        <v>27</v>
      </c>
      <c r="AB2069" t="s">
        <v>27</v>
      </c>
      <c r="AC2069" t="s">
        <v>27</v>
      </c>
      <c r="AD2069" t="s">
        <v>27</v>
      </c>
      <c r="AE2069" t="s">
        <v>27</v>
      </c>
      <c r="AF2069" t="s">
        <v>27</v>
      </c>
      <c r="AG2069">
        <v>24.36</v>
      </c>
    </row>
    <row r="2070" spans="1:33" x14ac:dyDescent="0.25">
      <c r="A2070" t="s">
        <v>57</v>
      </c>
      <c r="B2070" s="3">
        <v>45531</v>
      </c>
      <c r="C2070">
        <v>2024240</v>
      </c>
      <c r="D2070">
        <v>13.35</v>
      </c>
      <c r="E2070" t="s">
        <v>27</v>
      </c>
      <c r="F2070">
        <v>5.9</v>
      </c>
      <c r="G2070">
        <v>10.3</v>
      </c>
      <c r="H2070">
        <v>0.9</v>
      </c>
      <c r="I2070">
        <v>82.2</v>
      </c>
      <c r="J2070">
        <v>44.3</v>
      </c>
      <c r="K2070">
        <v>1.2</v>
      </c>
      <c r="L2070">
        <v>3.9</v>
      </c>
      <c r="M2070">
        <v>16.100000000000001</v>
      </c>
      <c r="N2070">
        <v>0</v>
      </c>
      <c r="O2070" t="s">
        <v>27</v>
      </c>
      <c r="P2070">
        <v>5.5</v>
      </c>
      <c r="Q2070">
        <v>11.6</v>
      </c>
      <c r="R2070">
        <v>0</v>
      </c>
      <c r="S2070">
        <v>9.3000000000000007</v>
      </c>
      <c r="T2070">
        <v>11.6</v>
      </c>
      <c r="U2070" t="s">
        <v>27</v>
      </c>
      <c r="V2070" t="s">
        <v>27</v>
      </c>
      <c r="W2070">
        <v>0.55300000000000005</v>
      </c>
      <c r="X2070">
        <v>0.69499999999999995</v>
      </c>
      <c r="Y2070" t="s">
        <v>27</v>
      </c>
      <c r="Z2070" t="s">
        <v>27</v>
      </c>
      <c r="AA2070" t="s">
        <v>27</v>
      </c>
      <c r="AB2070" t="s">
        <v>27</v>
      </c>
      <c r="AC2070" t="s">
        <v>27</v>
      </c>
      <c r="AD2070" t="s">
        <v>27</v>
      </c>
      <c r="AE2070" t="s">
        <v>27</v>
      </c>
      <c r="AF2070" t="s">
        <v>27</v>
      </c>
      <c r="AG2070">
        <v>24.12</v>
      </c>
    </row>
    <row r="2071" spans="1:33" x14ac:dyDescent="0.25">
      <c r="A2071" t="s">
        <v>57</v>
      </c>
      <c r="B2071" s="3">
        <v>45532</v>
      </c>
      <c r="C2071">
        <v>2024241</v>
      </c>
      <c r="D2071">
        <v>17.73</v>
      </c>
      <c r="E2071" t="s">
        <v>27</v>
      </c>
      <c r="F2071">
        <v>6.8</v>
      </c>
      <c r="G2071">
        <v>14.1</v>
      </c>
      <c r="H2071">
        <v>0.6</v>
      </c>
      <c r="I2071">
        <v>75.7</v>
      </c>
      <c r="J2071">
        <v>46.1</v>
      </c>
      <c r="K2071">
        <v>1.1000000000000001</v>
      </c>
      <c r="L2071">
        <v>3.2</v>
      </c>
      <c r="M2071">
        <v>0.1</v>
      </c>
      <c r="N2071">
        <v>0</v>
      </c>
      <c r="O2071" t="s">
        <v>27</v>
      </c>
      <c r="P2071">
        <v>6.7</v>
      </c>
      <c r="Q2071">
        <v>17</v>
      </c>
      <c r="R2071">
        <v>-0.6</v>
      </c>
      <c r="S2071">
        <v>9.4</v>
      </c>
      <c r="T2071">
        <v>10.199999999999999</v>
      </c>
      <c r="U2071" t="s">
        <v>27</v>
      </c>
      <c r="V2071" t="s">
        <v>27</v>
      </c>
      <c r="W2071">
        <v>0.74</v>
      </c>
      <c r="X2071">
        <v>0.86499999999999999</v>
      </c>
      <c r="Y2071" t="s">
        <v>27</v>
      </c>
      <c r="Z2071" t="s">
        <v>27</v>
      </c>
      <c r="AA2071" t="s">
        <v>27</v>
      </c>
      <c r="AB2071" t="s">
        <v>27</v>
      </c>
      <c r="AC2071" t="s">
        <v>27</v>
      </c>
      <c r="AD2071" t="s">
        <v>27</v>
      </c>
      <c r="AE2071" t="s">
        <v>27</v>
      </c>
      <c r="AF2071" t="s">
        <v>27</v>
      </c>
      <c r="AG2071">
        <v>23.89</v>
      </c>
    </row>
    <row r="2072" spans="1:33" x14ac:dyDescent="0.25">
      <c r="A2072" t="s">
        <v>57</v>
      </c>
      <c r="B2072" s="3">
        <v>45533</v>
      </c>
      <c r="C2072">
        <v>2024242</v>
      </c>
      <c r="D2072">
        <v>23.29</v>
      </c>
      <c r="E2072" t="s">
        <v>27</v>
      </c>
      <c r="F2072">
        <v>10.4</v>
      </c>
      <c r="G2072">
        <v>22.6</v>
      </c>
      <c r="H2072">
        <v>-0.7</v>
      </c>
      <c r="I2072">
        <v>72.599999999999994</v>
      </c>
      <c r="J2072">
        <v>35.4</v>
      </c>
      <c r="K2072">
        <v>0.5</v>
      </c>
      <c r="L2072">
        <v>3.6</v>
      </c>
      <c r="M2072">
        <v>0</v>
      </c>
      <c r="N2072">
        <v>0</v>
      </c>
      <c r="O2072" t="s">
        <v>27</v>
      </c>
      <c r="P2072">
        <v>10.6</v>
      </c>
      <c r="Q2072">
        <v>25.5</v>
      </c>
      <c r="R2072">
        <v>-1.8</v>
      </c>
      <c r="S2072">
        <v>11.6</v>
      </c>
      <c r="T2072">
        <v>10.8</v>
      </c>
      <c r="U2072" t="s">
        <v>27</v>
      </c>
      <c r="V2072" t="s">
        <v>27</v>
      </c>
      <c r="W2072">
        <v>0.97099999999999997</v>
      </c>
      <c r="X2072">
        <v>1.772</v>
      </c>
      <c r="Y2072" t="s">
        <v>27</v>
      </c>
      <c r="Z2072" t="s">
        <v>27</v>
      </c>
      <c r="AA2072" t="s">
        <v>27</v>
      </c>
      <c r="AB2072" t="s">
        <v>27</v>
      </c>
      <c r="AC2072" t="s">
        <v>27</v>
      </c>
      <c r="AD2072" t="s">
        <v>27</v>
      </c>
      <c r="AE2072" t="s">
        <v>27</v>
      </c>
      <c r="AF2072" t="s">
        <v>27</v>
      </c>
      <c r="AG2072">
        <v>23.65</v>
      </c>
    </row>
    <row r="2073" spans="1:33" x14ac:dyDescent="0.25">
      <c r="A2073" t="s">
        <v>57</v>
      </c>
      <c r="B2073" s="3">
        <v>45534</v>
      </c>
      <c r="C2073">
        <v>2024243</v>
      </c>
      <c r="D2073">
        <v>23.77</v>
      </c>
      <c r="E2073" t="s">
        <v>27</v>
      </c>
      <c r="F2073">
        <v>13.5</v>
      </c>
      <c r="G2073">
        <v>24.6</v>
      </c>
      <c r="H2073">
        <v>3.7</v>
      </c>
      <c r="I2073">
        <v>65.7</v>
      </c>
      <c r="J2073">
        <v>25.5</v>
      </c>
      <c r="K2073">
        <v>0.5</v>
      </c>
      <c r="L2073">
        <v>2.5</v>
      </c>
      <c r="M2073">
        <v>0</v>
      </c>
      <c r="N2073">
        <v>0</v>
      </c>
      <c r="O2073" t="s">
        <v>27</v>
      </c>
      <c r="P2073">
        <v>13.7</v>
      </c>
      <c r="Q2073">
        <v>27.7</v>
      </c>
      <c r="R2073">
        <v>2.5</v>
      </c>
      <c r="S2073">
        <v>13.9</v>
      </c>
      <c r="T2073">
        <v>12.1</v>
      </c>
      <c r="U2073" t="s">
        <v>27</v>
      </c>
      <c r="V2073" t="s">
        <v>27</v>
      </c>
      <c r="W2073">
        <v>0.79</v>
      </c>
      <c r="X2073">
        <v>2.3079999999999998</v>
      </c>
      <c r="Y2073" t="s">
        <v>27</v>
      </c>
      <c r="Z2073" t="s">
        <v>27</v>
      </c>
      <c r="AA2073" t="s">
        <v>27</v>
      </c>
      <c r="AB2073" t="s">
        <v>27</v>
      </c>
      <c r="AC2073" t="s">
        <v>27</v>
      </c>
      <c r="AD2073" t="s">
        <v>27</v>
      </c>
      <c r="AE2073" t="s">
        <v>27</v>
      </c>
      <c r="AF2073" t="s">
        <v>27</v>
      </c>
      <c r="AG2073">
        <v>23.41</v>
      </c>
    </row>
    <row r="2074" spans="1:33" x14ac:dyDescent="0.25">
      <c r="A2074" t="s">
        <v>57</v>
      </c>
      <c r="B2074" s="3">
        <v>45535</v>
      </c>
      <c r="C2074">
        <v>2024244</v>
      </c>
      <c r="D2074">
        <v>23.97</v>
      </c>
      <c r="E2074" t="s">
        <v>27</v>
      </c>
      <c r="F2074">
        <v>15.1</v>
      </c>
      <c r="G2074">
        <v>26.8</v>
      </c>
      <c r="H2074">
        <v>4.7</v>
      </c>
      <c r="I2074">
        <v>64.5</v>
      </c>
      <c r="J2074">
        <v>24.1</v>
      </c>
      <c r="K2074">
        <v>0.5</v>
      </c>
      <c r="L2074">
        <v>2.5</v>
      </c>
      <c r="M2074">
        <v>0</v>
      </c>
      <c r="N2074">
        <v>0</v>
      </c>
      <c r="O2074" t="s">
        <v>27</v>
      </c>
      <c r="P2074">
        <v>15.2</v>
      </c>
      <c r="Q2074">
        <v>30.2</v>
      </c>
      <c r="R2074">
        <v>3.5</v>
      </c>
      <c r="S2074">
        <v>15.6</v>
      </c>
      <c r="T2074">
        <v>13</v>
      </c>
      <c r="U2074" t="s">
        <v>27</v>
      </c>
      <c r="V2074" t="s">
        <v>27</v>
      </c>
      <c r="W2074">
        <v>0.84899999999999998</v>
      </c>
      <c r="X2074">
        <v>2.6739999999999999</v>
      </c>
      <c r="Y2074" t="s">
        <v>27</v>
      </c>
      <c r="Z2074" t="s">
        <v>27</v>
      </c>
      <c r="AA2074" t="s">
        <v>27</v>
      </c>
      <c r="AB2074" t="s">
        <v>27</v>
      </c>
      <c r="AC2074" t="s">
        <v>27</v>
      </c>
      <c r="AD2074" t="s">
        <v>27</v>
      </c>
      <c r="AE2074" t="s">
        <v>27</v>
      </c>
      <c r="AF2074" t="s">
        <v>27</v>
      </c>
      <c r="AG2074">
        <v>23.17</v>
      </c>
    </row>
    <row r="2075" spans="1:33" x14ac:dyDescent="0.25">
      <c r="A2075" t="s">
        <v>57</v>
      </c>
      <c r="B2075" s="3">
        <v>45536</v>
      </c>
      <c r="C2075">
        <v>2024245</v>
      </c>
      <c r="D2075">
        <v>23.21</v>
      </c>
      <c r="E2075" t="s">
        <v>27</v>
      </c>
      <c r="F2075">
        <v>16.399999999999999</v>
      </c>
      <c r="G2075">
        <v>29.5</v>
      </c>
      <c r="H2075">
        <v>5.4</v>
      </c>
      <c r="I2075">
        <v>55.2</v>
      </c>
      <c r="J2075">
        <v>14.9</v>
      </c>
      <c r="K2075">
        <v>0.4</v>
      </c>
      <c r="L2075">
        <v>2</v>
      </c>
      <c r="M2075">
        <v>0</v>
      </c>
      <c r="N2075">
        <v>0</v>
      </c>
      <c r="O2075" t="s">
        <v>27</v>
      </c>
      <c r="P2075">
        <v>16.5</v>
      </c>
      <c r="Q2075">
        <v>33.299999999999997</v>
      </c>
      <c r="R2075">
        <v>3.9</v>
      </c>
      <c r="S2075">
        <v>16.7</v>
      </c>
      <c r="T2075">
        <v>13.6</v>
      </c>
      <c r="U2075" t="s">
        <v>27</v>
      </c>
      <c r="V2075" t="s">
        <v>27</v>
      </c>
      <c r="W2075">
        <v>0.61499999999999999</v>
      </c>
      <c r="X2075">
        <v>3.5129999999999999</v>
      </c>
      <c r="Y2075" t="s">
        <v>27</v>
      </c>
      <c r="Z2075" t="s">
        <v>27</v>
      </c>
      <c r="AA2075" t="s">
        <v>27</v>
      </c>
      <c r="AB2075" t="s">
        <v>27</v>
      </c>
      <c r="AC2075" t="s">
        <v>27</v>
      </c>
      <c r="AD2075" t="s">
        <v>27</v>
      </c>
      <c r="AE2075" t="s">
        <v>27</v>
      </c>
      <c r="AF2075" t="s">
        <v>27</v>
      </c>
      <c r="AG2075">
        <v>22.93</v>
      </c>
    </row>
    <row r="2076" spans="1:33" x14ac:dyDescent="0.25">
      <c r="A2076" t="s">
        <v>57</v>
      </c>
      <c r="B2076" s="3">
        <v>45537</v>
      </c>
      <c r="C2076">
        <v>2024246</v>
      </c>
      <c r="D2076">
        <v>10.38</v>
      </c>
      <c r="E2076" t="s">
        <v>27</v>
      </c>
      <c r="F2076">
        <v>14.3</v>
      </c>
      <c r="G2076">
        <v>23.4</v>
      </c>
      <c r="H2076">
        <v>6.3</v>
      </c>
      <c r="I2076">
        <v>67.099999999999994</v>
      </c>
      <c r="J2076">
        <v>33.5</v>
      </c>
      <c r="K2076">
        <v>0.3</v>
      </c>
      <c r="L2076">
        <v>3.2</v>
      </c>
      <c r="M2076">
        <v>0.1</v>
      </c>
      <c r="N2076">
        <v>0</v>
      </c>
      <c r="O2076" t="s">
        <v>27</v>
      </c>
      <c r="P2076">
        <v>13.8</v>
      </c>
      <c r="Q2076">
        <v>25.9</v>
      </c>
      <c r="R2076">
        <v>4.9000000000000004</v>
      </c>
      <c r="S2076">
        <v>14.6</v>
      </c>
      <c r="T2076">
        <v>13.6</v>
      </c>
      <c r="U2076" t="s">
        <v>27</v>
      </c>
      <c r="V2076" t="s">
        <v>27</v>
      </c>
      <c r="W2076">
        <v>0.96199999999999997</v>
      </c>
      <c r="X2076">
        <v>1.91</v>
      </c>
      <c r="Y2076" t="s">
        <v>27</v>
      </c>
      <c r="Z2076" t="s">
        <v>27</v>
      </c>
      <c r="AA2076" t="s">
        <v>27</v>
      </c>
      <c r="AB2076" t="s">
        <v>27</v>
      </c>
      <c r="AC2076" t="s">
        <v>27</v>
      </c>
      <c r="AD2076" t="s">
        <v>27</v>
      </c>
      <c r="AE2076" t="s">
        <v>27</v>
      </c>
      <c r="AF2076" t="s">
        <v>27</v>
      </c>
      <c r="AG2076">
        <v>22.69</v>
      </c>
    </row>
    <row r="2077" spans="1:33" x14ac:dyDescent="0.25">
      <c r="A2077" t="s">
        <v>57</v>
      </c>
      <c r="B2077" s="3">
        <v>45538</v>
      </c>
      <c r="C2077">
        <v>2024247</v>
      </c>
      <c r="D2077">
        <v>21.38</v>
      </c>
      <c r="E2077" t="s">
        <v>27</v>
      </c>
      <c r="F2077">
        <v>12.6</v>
      </c>
      <c r="G2077">
        <v>22.7</v>
      </c>
      <c r="H2077">
        <v>4.3</v>
      </c>
      <c r="I2077">
        <v>71.7</v>
      </c>
      <c r="J2077">
        <v>34.5</v>
      </c>
      <c r="K2077">
        <v>0.5</v>
      </c>
      <c r="L2077">
        <v>2.2000000000000002</v>
      </c>
      <c r="M2077">
        <v>0.1</v>
      </c>
      <c r="N2077">
        <v>0</v>
      </c>
      <c r="O2077" t="s">
        <v>27</v>
      </c>
      <c r="P2077">
        <v>12.7</v>
      </c>
      <c r="Q2077">
        <v>26</v>
      </c>
      <c r="R2077">
        <v>3.1</v>
      </c>
      <c r="S2077">
        <v>14.6</v>
      </c>
      <c r="T2077">
        <v>13.2</v>
      </c>
      <c r="U2077" t="s">
        <v>27</v>
      </c>
      <c r="V2077" t="s">
        <v>27</v>
      </c>
      <c r="W2077">
        <v>0.94899999999999995</v>
      </c>
      <c r="X2077">
        <v>1.802</v>
      </c>
      <c r="Y2077" t="s">
        <v>27</v>
      </c>
      <c r="Z2077" t="s">
        <v>27</v>
      </c>
      <c r="AA2077" t="s">
        <v>27</v>
      </c>
      <c r="AB2077" t="s">
        <v>27</v>
      </c>
      <c r="AC2077" t="s">
        <v>27</v>
      </c>
      <c r="AD2077" t="s">
        <v>27</v>
      </c>
      <c r="AE2077" t="s">
        <v>27</v>
      </c>
      <c r="AF2077" t="s">
        <v>27</v>
      </c>
      <c r="AG2077">
        <v>22.44</v>
      </c>
    </row>
    <row r="2078" spans="1:33" x14ac:dyDescent="0.25">
      <c r="A2078" t="s">
        <v>57</v>
      </c>
      <c r="B2078" s="3">
        <v>45539</v>
      </c>
      <c r="C2078">
        <v>2024248</v>
      </c>
      <c r="D2078">
        <v>22.1</v>
      </c>
      <c r="E2078" t="s">
        <v>27</v>
      </c>
      <c r="F2078">
        <v>12.8</v>
      </c>
      <c r="G2078">
        <v>23.6</v>
      </c>
      <c r="H2078">
        <v>3.5</v>
      </c>
      <c r="I2078">
        <v>64.8</v>
      </c>
      <c r="J2078">
        <v>24.9</v>
      </c>
      <c r="K2078">
        <v>0.5</v>
      </c>
      <c r="L2078">
        <v>2.2000000000000002</v>
      </c>
      <c r="M2078">
        <v>0</v>
      </c>
      <c r="N2078">
        <v>0</v>
      </c>
      <c r="O2078" t="s">
        <v>27</v>
      </c>
      <c r="P2078">
        <v>13</v>
      </c>
      <c r="Q2078">
        <v>27.6</v>
      </c>
      <c r="R2078">
        <v>2.2000000000000002</v>
      </c>
      <c r="S2078">
        <v>15</v>
      </c>
      <c r="T2078">
        <v>13.2</v>
      </c>
      <c r="U2078" t="s">
        <v>27</v>
      </c>
      <c r="V2078" t="s">
        <v>27</v>
      </c>
      <c r="W2078">
        <v>0.72299999999999998</v>
      </c>
      <c r="X2078">
        <v>2.181</v>
      </c>
      <c r="Y2078" t="s">
        <v>27</v>
      </c>
      <c r="Z2078" t="s">
        <v>27</v>
      </c>
      <c r="AA2078" t="s">
        <v>27</v>
      </c>
      <c r="AB2078" t="s">
        <v>27</v>
      </c>
      <c r="AC2078" t="s">
        <v>27</v>
      </c>
      <c r="AD2078" t="s">
        <v>27</v>
      </c>
      <c r="AE2078" t="s">
        <v>27</v>
      </c>
      <c r="AF2078" t="s">
        <v>27</v>
      </c>
      <c r="AG2078">
        <v>22.2</v>
      </c>
    </row>
    <row r="2079" spans="1:33" x14ac:dyDescent="0.25">
      <c r="A2079" t="s">
        <v>57</v>
      </c>
      <c r="B2079" s="3">
        <v>45540</v>
      </c>
      <c r="C2079">
        <v>2024249</v>
      </c>
      <c r="D2079">
        <v>22.79</v>
      </c>
      <c r="E2079" t="s">
        <v>27</v>
      </c>
      <c r="F2079">
        <v>14.5</v>
      </c>
      <c r="G2079">
        <v>27.3</v>
      </c>
      <c r="H2079">
        <v>3.3</v>
      </c>
      <c r="I2079">
        <v>61</v>
      </c>
      <c r="J2079">
        <v>24.3</v>
      </c>
      <c r="K2079">
        <v>0.4</v>
      </c>
      <c r="L2079">
        <v>2.2000000000000002</v>
      </c>
      <c r="M2079">
        <v>0</v>
      </c>
      <c r="N2079">
        <v>0</v>
      </c>
      <c r="O2079" t="s">
        <v>27</v>
      </c>
      <c r="P2079">
        <v>14.6</v>
      </c>
      <c r="Q2079">
        <v>31.6</v>
      </c>
      <c r="R2079">
        <v>2</v>
      </c>
      <c r="S2079">
        <v>15.9</v>
      </c>
      <c r="T2079">
        <v>13.4</v>
      </c>
      <c r="U2079" t="s">
        <v>27</v>
      </c>
      <c r="V2079" t="s">
        <v>27</v>
      </c>
      <c r="W2079">
        <v>0.88200000000000001</v>
      </c>
      <c r="X2079">
        <v>2.7480000000000002</v>
      </c>
      <c r="Y2079" t="s">
        <v>27</v>
      </c>
      <c r="Z2079" t="s">
        <v>27</v>
      </c>
      <c r="AA2079" t="s">
        <v>27</v>
      </c>
      <c r="AB2079" t="s">
        <v>27</v>
      </c>
      <c r="AC2079" t="s">
        <v>27</v>
      </c>
      <c r="AD2079" t="s">
        <v>27</v>
      </c>
      <c r="AE2079" t="s">
        <v>27</v>
      </c>
      <c r="AF2079" t="s">
        <v>27</v>
      </c>
      <c r="AG2079">
        <v>21.95</v>
      </c>
    </row>
    <row r="2080" spans="1:33" x14ac:dyDescent="0.25">
      <c r="A2080" t="s">
        <v>57</v>
      </c>
      <c r="B2080" s="3">
        <v>45541</v>
      </c>
      <c r="C2080">
        <v>2024250</v>
      </c>
      <c r="D2080">
        <v>22.66</v>
      </c>
      <c r="E2080" t="s">
        <v>27</v>
      </c>
      <c r="F2080">
        <v>15.6</v>
      </c>
      <c r="G2080">
        <v>28.6</v>
      </c>
      <c r="H2080">
        <v>4.4000000000000004</v>
      </c>
      <c r="I2080">
        <v>55</v>
      </c>
      <c r="J2080">
        <v>13.4</v>
      </c>
      <c r="K2080">
        <v>0.5</v>
      </c>
      <c r="L2080">
        <v>2.2999999999999998</v>
      </c>
      <c r="M2080">
        <v>0</v>
      </c>
      <c r="N2080">
        <v>0</v>
      </c>
      <c r="O2080" t="s">
        <v>27</v>
      </c>
      <c r="P2080">
        <v>15.6</v>
      </c>
      <c r="Q2080">
        <v>32.4</v>
      </c>
      <c r="R2080">
        <v>2.9</v>
      </c>
      <c r="S2080">
        <v>16.5</v>
      </c>
      <c r="T2080">
        <v>13.6</v>
      </c>
      <c r="U2080" t="s">
        <v>27</v>
      </c>
      <c r="V2080" t="s">
        <v>27</v>
      </c>
      <c r="W2080">
        <v>0.52600000000000002</v>
      </c>
      <c r="X2080">
        <v>3.399</v>
      </c>
      <c r="Y2080" t="s">
        <v>27</v>
      </c>
      <c r="Z2080" t="s">
        <v>27</v>
      </c>
      <c r="AA2080" t="s">
        <v>27</v>
      </c>
      <c r="AB2080" t="s">
        <v>27</v>
      </c>
      <c r="AC2080" t="s">
        <v>27</v>
      </c>
      <c r="AD2080" t="s">
        <v>27</v>
      </c>
      <c r="AE2080" t="s">
        <v>27</v>
      </c>
      <c r="AF2080" t="s">
        <v>27</v>
      </c>
      <c r="AG2080">
        <v>21.71</v>
      </c>
    </row>
    <row r="2081" spans="1:33" x14ac:dyDescent="0.25">
      <c r="A2081" t="s">
        <v>57</v>
      </c>
      <c r="B2081" s="3">
        <v>45542</v>
      </c>
      <c r="C2081">
        <v>2024251</v>
      </c>
      <c r="D2081">
        <v>21.04</v>
      </c>
      <c r="E2081" t="s">
        <v>27</v>
      </c>
      <c r="F2081">
        <v>15.9</v>
      </c>
      <c r="G2081">
        <v>28.9</v>
      </c>
      <c r="H2081">
        <v>4.9000000000000004</v>
      </c>
      <c r="I2081">
        <v>53.3</v>
      </c>
      <c r="J2081">
        <v>16.7</v>
      </c>
      <c r="K2081">
        <v>0.3</v>
      </c>
      <c r="L2081">
        <v>2.1</v>
      </c>
      <c r="M2081">
        <v>0</v>
      </c>
      <c r="N2081">
        <v>0</v>
      </c>
      <c r="O2081" t="s">
        <v>27</v>
      </c>
      <c r="P2081">
        <v>15.8</v>
      </c>
      <c r="Q2081">
        <v>32.700000000000003</v>
      </c>
      <c r="R2081">
        <v>3.6</v>
      </c>
      <c r="S2081">
        <v>16.899999999999999</v>
      </c>
      <c r="T2081">
        <v>13.9</v>
      </c>
      <c r="U2081" t="s">
        <v>27</v>
      </c>
      <c r="V2081" t="s">
        <v>27</v>
      </c>
      <c r="W2081">
        <v>0.66400000000000003</v>
      </c>
      <c r="X2081">
        <v>3.3119999999999998</v>
      </c>
      <c r="Y2081" t="s">
        <v>27</v>
      </c>
      <c r="Z2081" t="s">
        <v>27</v>
      </c>
      <c r="AA2081" t="s">
        <v>27</v>
      </c>
      <c r="AB2081" t="s">
        <v>27</v>
      </c>
      <c r="AC2081" t="s">
        <v>27</v>
      </c>
      <c r="AD2081" t="s">
        <v>27</v>
      </c>
      <c r="AE2081" t="s">
        <v>27</v>
      </c>
      <c r="AF2081" t="s">
        <v>27</v>
      </c>
      <c r="AG2081">
        <v>21.46</v>
      </c>
    </row>
    <row r="2082" spans="1:33" x14ac:dyDescent="0.25">
      <c r="A2082" t="s">
        <v>57</v>
      </c>
      <c r="B2082" s="3">
        <v>45543</v>
      </c>
      <c r="C2082">
        <v>2024252</v>
      </c>
      <c r="D2082">
        <v>11.72</v>
      </c>
      <c r="E2082" t="s">
        <v>27</v>
      </c>
      <c r="F2082">
        <v>14.5</v>
      </c>
      <c r="G2082">
        <v>27</v>
      </c>
      <c r="H2082">
        <v>7.2</v>
      </c>
      <c r="I2082">
        <v>62.9</v>
      </c>
      <c r="J2082">
        <v>24.7</v>
      </c>
      <c r="K2082">
        <v>0.2</v>
      </c>
      <c r="L2082">
        <v>1.8</v>
      </c>
      <c r="M2082">
        <v>0</v>
      </c>
      <c r="N2082">
        <v>0</v>
      </c>
      <c r="O2082" t="s">
        <v>27</v>
      </c>
      <c r="P2082">
        <v>14.2</v>
      </c>
      <c r="Q2082">
        <v>29.9</v>
      </c>
      <c r="R2082">
        <v>5.8</v>
      </c>
      <c r="S2082">
        <v>15.6</v>
      </c>
      <c r="T2082">
        <v>13.9</v>
      </c>
      <c r="U2082" t="s">
        <v>27</v>
      </c>
      <c r="V2082" t="s">
        <v>27</v>
      </c>
      <c r="W2082">
        <v>0.88</v>
      </c>
      <c r="X2082">
        <v>2.6829999999999998</v>
      </c>
      <c r="Y2082" t="s">
        <v>27</v>
      </c>
      <c r="Z2082" t="s">
        <v>27</v>
      </c>
      <c r="AA2082" t="s">
        <v>27</v>
      </c>
      <c r="AB2082" t="s">
        <v>27</v>
      </c>
      <c r="AC2082" t="s">
        <v>27</v>
      </c>
      <c r="AD2082" t="s">
        <v>27</v>
      </c>
      <c r="AE2082" t="s">
        <v>27</v>
      </c>
      <c r="AF2082" t="s">
        <v>27</v>
      </c>
      <c r="AG2082">
        <v>21.21</v>
      </c>
    </row>
    <row r="2083" spans="1:33" x14ac:dyDescent="0.25">
      <c r="A2083" t="s">
        <v>57</v>
      </c>
      <c r="B2083" s="3">
        <v>45544</v>
      </c>
      <c r="C2083">
        <v>2024253</v>
      </c>
      <c r="D2083">
        <v>15.24</v>
      </c>
      <c r="E2083" t="s">
        <v>27</v>
      </c>
      <c r="F2083">
        <v>10.8</v>
      </c>
      <c r="G2083">
        <v>17.399999999999999</v>
      </c>
      <c r="H2083">
        <v>2.7</v>
      </c>
      <c r="I2083">
        <v>73.099999999999994</v>
      </c>
      <c r="J2083">
        <v>49.8</v>
      </c>
      <c r="K2083">
        <v>0.8</v>
      </c>
      <c r="L2083">
        <v>3</v>
      </c>
      <c r="M2083">
        <v>0</v>
      </c>
      <c r="N2083">
        <v>0</v>
      </c>
      <c r="O2083" t="s">
        <v>27</v>
      </c>
      <c r="P2083">
        <v>10.6</v>
      </c>
      <c r="Q2083">
        <v>20.9</v>
      </c>
      <c r="R2083">
        <v>1.5</v>
      </c>
      <c r="S2083">
        <v>12.6</v>
      </c>
      <c r="T2083">
        <v>13.1</v>
      </c>
      <c r="U2083" t="s">
        <v>27</v>
      </c>
      <c r="V2083" t="s">
        <v>27</v>
      </c>
      <c r="W2083">
        <v>0.98799999999999999</v>
      </c>
      <c r="X2083">
        <v>0.996</v>
      </c>
      <c r="Y2083" t="s">
        <v>27</v>
      </c>
      <c r="Z2083" t="s">
        <v>27</v>
      </c>
      <c r="AA2083" t="s">
        <v>27</v>
      </c>
      <c r="AB2083" t="s">
        <v>27</v>
      </c>
      <c r="AC2083" t="s">
        <v>27</v>
      </c>
      <c r="AD2083" t="s">
        <v>27</v>
      </c>
      <c r="AE2083" t="s">
        <v>27</v>
      </c>
      <c r="AF2083" t="s">
        <v>27</v>
      </c>
      <c r="AG2083">
        <v>20.96</v>
      </c>
    </row>
    <row r="2084" spans="1:33" x14ac:dyDescent="0.25">
      <c r="A2084" t="s">
        <v>57</v>
      </c>
      <c r="B2084" s="3">
        <v>45545</v>
      </c>
      <c r="C2084">
        <v>2024254</v>
      </c>
      <c r="D2084">
        <v>14.84</v>
      </c>
      <c r="E2084" t="s">
        <v>27</v>
      </c>
      <c r="F2084">
        <v>8.6999999999999993</v>
      </c>
      <c r="G2084">
        <v>17.3</v>
      </c>
      <c r="H2084">
        <v>0.7</v>
      </c>
      <c r="I2084">
        <v>73.3</v>
      </c>
      <c r="J2084">
        <v>33.5</v>
      </c>
      <c r="K2084">
        <v>0.4</v>
      </c>
      <c r="L2084">
        <v>2.2000000000000002</v>
      </c>
      <c r="M2084">
        <v>0</v>
      </c>
      <c r="N2084">
        <v>0</v>
      </c>
      <c r="O2084" t="s">
        <v>27</v>
      </c>
      <c r="P2084">
        <v>8.5</v>
      </c>
      <c r="Q2084">
        <v>21.4</v>
      </c>
      <c r="R2084">
        <v>-0.5</v>
      </c>
      <c r="S2084">
        <v>10.9</v>
      </c>
      <c r="T2084">
        <v>12</v>
      </c>
      <c r="U2084" t="s">
        <v>27</v>
      </c>
      <c r="V2084" t="s">
        <v>27</v>
      </c>
      <c r="W2084">
        <v>0.66</v>
      </c>
      <c r="X2084">
        <v>1.31</v>
      </c>
      <c r="Y2084" t="s">
        <v>27</v>
      </c>
      <c r="Z2084" t="s">
        <v>27</v>
      </c>
      <c r="AA2084" t="s">
        <v>27</v>
      </c>
      <c r="AB2084" t="s">
        <v>27</v>
      </c>
      <c r="AC2084" t="s">
        <v>27</v>
      </c>
      <c r="AD2084" t="s">
        <v>27</v>
      </c>
      <c r="AE2084" t="s">
        <v>27</v>
      </c>
      <c r="AF2084" t="s">
        <v>27</v>
      </c>
      <c r="AG2084">
        <v>20.71</v>
      </c>
    </row>
    <row r="2085" spans="1:33" x14ac:dyDescent="0.25">
      <c r="A2085" t="s">
        <v>57</v>
      </c>
      <c r="B2085" s="3">
        <v>45546</v>
      </c>
      <c r="C2085">
        <v>2024255</v>
      </c>
      <c r="D2085">
        <v>4.38</v>
      </c>
      <c r="E2085" t="s">
        <v>27</v>
      </c>
      <c r="F2085">
        <v>7.6</v>
      </c>
      <c r="G2085">
        <v>10.8</v>
      </c>
      <c r="H2085">
        <v>5.3</v>
      </c>
      <c r="I2085">
        <v>91.5</v>
      </c>
      <c r="J2085">
        <v>73.900000000000006</v>
      </c>
      <c r="K2085">
        <v>0.2</v>
      </c>
      <c r="L2085">
        <v>1.7</v>
      </c>
      <c r="M2085">
        <v>4.9000000000000004</v>
      </c>
      <c r="N2085">
        <v>0</v>
      </c>
      <c r="O2085" t="s">
        <v>27</v>
      </c>
      <c r="P2085">
        <v>6.8</v>
      </c>
      <c r="Q2085">
        <v>10.4</v>
      </c>
      <c r="R2085">
        <v>4.3</v>
      </c>
      <c r="S2085">
        <v>9.6</v>
      </c>
      <c r="T2085">
        <v>11.4</v>
      </c>
      <c r="U2085" t="s">
        <v>27</v>
      </c>
      <c r="V2085" t="s">
        <v>27</v>
      </c>
      <c r="W2085">
        <v>0.95599999999999996</v>
      </c>
      <c r="X2085">
        <v>0.33800000000000002</v>
      </c>
      <c r="Y2085" t="s">
        <v>27</v>
      </c>
      <c r="Z2085" t="s">
        <v>27</v>
      </c>
      <c r="AA2085" t="s">
        <v>27</v>
      </c>
      <c r="AB2085" t="s">
        <v>27</v>
      </c>
      <c r="AC2085" t="s">
        <v>27</v>
      </c>
      <c r="AD2085" t="s">
        <v>27</v>
      </c>
      <c r="AE2085" t="s">
        <v>27</v>
      </c>
      <c r="AF2085" t="s">
        <v>27</v>
      </c>
      <c r="AG2085">
        <v>20.46</v>
      </c>
    </row>
    <row r="2086" spans="1:33" x14ac:dyDescent="0.25">
      <c r="A2086" t="s">
        <v>57</v>
      </c>
      <c r="B2086" s="3">
        <v>45547</v>
      </c>
      <c r="C2086">
        <v>2024256</v>
      </c>
      <c r="D2086">
        <v>12.17</v>
      </c>
      <c r="E2086" t="s">
        <v>27</v>
      </c>
      <c r="F2086">
        <v>8.1</v>
      </c>
      <c r="G2086">
        <v>14.8</v>
      </c>
      <c r="H2086">
        <v>2.6</v>
      </c>
      <c r="I2086">
        <v>78.8</v>
      </c>
      <c r="J2086">
        <v>50.7</v>
      </c>
      <c r="K2086">
        <v>0.8</v>
      </c>
      <c r="L2086">
        <v>2.7</v>
      </c>
      <c r="M2086">
        <v>0.1</v>
      </c>
      <c r="N2086">
        <v>0</v>
      </c>
      <c r="O2086" t="s">
        <v>27</v>
      </c>
      <c r="P2086">
        <v>7.5</v>
      </c>
      <c r="Q2086">
        <v>17</v>
      </c>
      <c r="R2086">
        <v>1.2</v>
      </c>
      <c r="S2086">
        <v>9.5</v>
      </c>
      <c r="T2086">
        <v>10.9</v>
      </c>
      <c r="U2086" t="s">
        <v>27</v>
      </c>
      <c r="V2086" t="s">
        <v>27</v>
      </c>
      <c r="W2086">
        <v>0.85199999999999998</v>
      </c>
      <c r="X2086">
        <v>0.82799999999999996</v>
      </c>
      <c r="Y2086" t="s">
        <v>27</v>
      </c>
      <c r="Z2086" t="s">
        <v>27</v>
      </c>
      <c r="AA2086" t="s">
        <v>27</v>
      </c>
      <c r="AB2086" t="s">
        <v>27</v>
      </c>
      <c r="AC2086" t="s">
        <v>27</v>
      </c>
      <c r="AD2086" t="s">
        <v>27</v>
      </c>
      <c r="AE2086" t="s">
        <v>27</v>
      </c>
      <c r="AF2086" t="s">
        <v>27</v>
      </c>
      <c r="AG2086">
        <v>20.21</v>
      </c>
    </row>
    <row r="2087" spans="1:33" x14ac:dyDescent="0.25">
      <c r="A2087" t="s">
        <v>57</v>
      </c>
      <c r="B2087" s="3">
        <v>45548</v>
      </c>
      <c r="C2087">
        <v>2024257</v>
      </c>
      <c r="D2087">
        <v>15.35</v>
      </c>
      <c r="E2087" t="s">
        <v>27</v>
      </c>
      <c r="F2087">
        <v>8.8000000000000007</v>
      </c>
      <c r="G2087">
        <v>17.8</v>
      </c>
      <c r="H2087">
        <v>1</v>
      </c>
      <c r="I2087">
        <v>77.2</v>
      </c>
      <c r="J2087">
        <v>34.200000000000003</v>
      </c>
      <c r="K2087">
        <v>0.6</v>
      </c>
      <c r="L2087">
        <v>2.2999999999999998</v>
      </c>
      <c r="M2087">
        <v>4.4000000000000004</v>
      </c>
      <c r="N2087">
        <v>0</v>
      </c>
      <c r="O2087" t="s">
        <v>27</v>
      </c>
      <c r="P2087">
        <v>8.8000000000000007</v>
      </c>
      <c r="Q2087">
        <v>20.3</v>
      </c>
      <c r="R2087">
        <v>-0.1</v>
      </c>
      <c r="S2087">
        <v>10.9</v>
      </c>
      <c r="T2087">
        <v>10.8</v>
      </c>
      <c r="U2087" t="s">
        <v>27</v>
      </c>
      <c r="V2087" t="s">
        <v>27</v>
      </c>
      <c r="W2087">
        <v>0.69699999999999995</v>
      </c>
      <c r="X2087">
        <v>1.341</v>
      </c>
      <c r="Y2087" t="s">
        <v>27</v>
      </c>
      <c r="Z2087" t="s">
        <v>27</v>
      </c>
      <c r="AA2087" t="s">
        <v>27</v>
      </c>
      <c r="AB2087" t="s">
        <v>27</v>
      </c>
      <c r="AC2087" t="s">
        <v>27</v>
      </c>
      <c r="AD2087" t="s">
        <v>27</v>
      </c>
      <c r="AE2087" t="s">
        <v>27</v>
      </c>
      <c r="AF2087" t="s">
        <v>27</v>
      </c>
      <c r="AG2087">
        <v>19.95</v>
      </c>
    </row>
    <row r="2088" spans="1:33" x14ac:dyDescent="0.25">
      <c r="A2088" t="s">
        <v>57</v>
      </c>
      <c r="B2088" s="3">
        <v>45549</v>
      </c>
      <c r="C2088">
        <v>2024258</v>
      </c>
      <c r="D2088">
        <v>9.99</v>
      </c>
      <c r="E2088" t="s">
        <v>27</v>
      </c>
      <c r="F2088">
        <v>6.9</v>
      </c>
      <c r="G2088">
        <v>13.9</v>
      </c>
      <c r="H2088">
        <v>1.5</v>
      </c>
      <c r="I2088">
        <v>88</v>
      </c>
      <c r="J2088">
        <v>51.9</v>
      </c>
      <c r="K2088">
        <v>0.5</v>
      </c>
      <c r="L2088">
        <v>2.6</v>
      </c>
      <c r="M2088">
        <v>5.2</v>
      </c>
      <c r="N2088">
        <v>0</v>
      </c>
      <c r="O2088" t="s">
        <v>27</v>
      </c>
      <c r="P2088">
        <v>6.5</v>
      </c>
      <c r="Q2088">
        <v>15.6</v>
      </c>
      <c r="R2088">
        <v>0.4</v>
      </c>
      <c r="S2088">
        <v>9.3000000000000007</v>
      </c>
      <c r="T2088">
        <v>10.9</v>
      </c>
      <c r="U2088" t="s">
        <v>27</v>
      </c>
      <c r="V2088" t="s">
        <v>27</v>
      </c>
      <c r="W2088">
        <v>0.82299999999999995</v>
      </c>
      <c r="X2088">
        <v>0.76300000000000001</v>
      </c>
      <c r="Y2088" t="s">
        <v>27</v>
      </c>
      <c r="Z2088" t="s">
        <v>27</v>
      </c>
      <c r="AA2088" t="s">
        <v>27</v>
      </c>
      <c r="AB2088" t="s">
        <v>27</v>
      </c>
      <c r="AC2088" t="s">
        <v>27</v>
      </c>
      <c r="AD2088" t="s">
        <v>27</v>
      </c>
      <c r="AE2088" t="s">
        <v>27</v>
      </c>
      <c r="AF2088" t="s">
        <v>27</v>
      </c>
      <c r="AG2088">
        <v>19.7</v>
      </c>
    </row>
    <row r="2089" spans="1:33" x14ac:dyDescent="0.25">
      <c r="A2089" t="s">
        <v>57</v>
      </c>
      <c r="B2089" s="3">
        <v>45550</v>
      </c>
      <c r="C2089">
        <v>2024259</v>
      </c>
      <c r="D2089">
        <v>17.62</v>
      </c>
      <c r="E2089" t="s">
        <v>27</v>
      </c>
      <c r="F2089">
        <v>5.9</v>
      </c>
      <c r="G2089">
        <v>13.6</v>
      </c>
      <c r="H2089">
        <v>-1.2</v>
      </c>
      <c r="I2089">
        <v>77.099999999999994</v>
      </c>
      <c r="J2089">
        <v>47</v>
      </c>
      <c r="K2089">
        <v>0.6</v>
      </c>
      <c r="L2089">
        <v>2.2999999999999998</v>
      </c>
      <c r="M2089">
        <v>0</v>
      </c>
      <c r="N2089">
        <v>0</v>
      </c>
      <c r="O2089" t="s">
        <v>27</v>
      </c>
      <c r="P2089">
        <v>5.5</v>
      </c>
      <c r="Q2089">
        <v>16.2</v>
      </c>
      <c r="R2089">
        <v>-2.4</v>
      </c>
      <c r="S2089">
        <v>6.7</v>
      </c>
      <c r="T2089">
        <v>9.5</v>
      </c>
      <c r="U2089" t="s">
        <v>27</v>
      </c>
      <c r="V2089" t="s">
        <v>27</v>
      </c>
      <c r="W2089">
        <v>0.73299999999999998</v>
      </c>
      <c r="X2089">
        <v>0.82699999999999996</v>
      </c>
      <c r="Y2089" t="s">
        <v>27</v>
      </c>
      <c r="Z2089" t="s">
        <v>27</v>
      </c>
      <c r="AA2089" t="s">
        <v>27</v>
      </c>
      <c r="AB2089" t="s">
        <v>27</v>
      </c>
      <c r="AC2089" t="s">
        <v>27</v>
      </c>
      <c r="AD2089" t="s">
        <v>27</v>
      </c>
      <c r="AE2089" t="s">
        <v>27</v>
      </c>
      <c r="AF2089" t="s">
        <v>27</v>
      </c>
      <c r="AG2089">
        <v>19.45</v>
      </c>
    </row>
    <row r="2090" spans="1:33" x14ac:dyDescent="0.25">
      <c r="A2090" t="s">
        <v>57</v>
      </c>
      <c r="B2090" s="3">
        <v>45551</v>
      </c>
      <c r="C2090">
        <v>2024260</v>
      </c>
      <c r="D2090">
        <v>18.649999999999999</v>
      </c>
      <c r="E2090" t="s">
        <v>27</v>
      </c>
      <c r="F2090">
        <v>7.9</v>
      </c>
      <c r="G2090">
        <v>15.2</v>
      </c>
      <c r="H2090">
        <v>2.2999999999999998</v>
      </c>
      <c r="I2090">
        <v>71.900000000000006</v>
      </c>
      <c r="J2090">
        <v>37</v>
      </c>
      <c r="K2090">
        <v>0.8</v>
      </c>
      <c r="L2090">
        <v>2.6</v>
      </c>
      <c r="M2090">
        <v>0</v>
      </c>
      <c r="N2090">
        <v>0</v>
      </c>
      <c r="O2090" t="s">
        <v>27</v>
      </c>
      <c r="P2090">
        <v>7.6</v>
      </c>
      <c r="Q2090">
        <v>17.8</v>
      </c>
      <c r="R2090">
        <v>0.8</v>
      </c>
      <c r="S2090">
        <v>7.5</v>
      </c>
      <c r="T2090">
        <v>9.1999999999999993</v>
      </c>
      <c r="U2090" t="s">
        <v>27</v>
      </c>
      <c r="V2090" t="s">
        <v>27</v>
      </c>
      <c r="W2090">
        <v>0.63700000000000001</v>
      </c>
      <c r="X2090">
        <v>1.085</v>
      </c>
      <c r="Y2090" t="s">
        <v>27</v>
      </c>
      <c r="Z2090" t="s">
        <v>27</v>
      </c>
      <c r="AA2090" t="s">
        <v>27</v>
      </c>
      <c r="AB2090" t="s">
        <v>27</v>
      </c>
      <c r="AC2090" t="s">
        <v>27</v>
      </c>
      <c r="AD2090" t="s">
        <v>27</v>
      </c>
      <c r="AE2090" t="s">
        <v>27</v>
      </c>
      <c r="AF2090" t="s">
        <v>27</v>
      </c>
      <c r="AG2090">
        <v>19.2</v>
      </c>
    </row>
    <row r="2091" spans="1:33" x14ac:dyDescent="0.25">
      <c r="A2091" t="s">
        <v>57</v>
      </c>
      <c r="B2091" s="3">
        <v>45552</v>
      </c>
      <c r="C2091">
        <v>2024261</v>
      </c>
      <c r="D2091">
        <v>19.48</v>
      </c>
      <c r="E2091" t="s">
        <v>27</v>
      </c>
      <c r="F2091">
        <v>9.4</v>
      </c>
      <c r="G2091">
        <v>19.399999999999999</v>
      </c>
      <c r="H2091">
        <v>1</v>
      </c>
      <c r="I2091">
        <v>73.099999999999994</v>
      </c>
      <c r="J2091">
        <v>35.200000000000003</v>
      </c>
      <c r="K2091">
        <v>0.5</v>
      </c>
      <c r="L2091">
        <v>2.4</v>
      </c>
      <c r="M2091">
        <v>0</v>
      </c>
      <c r="N2091">
        <v>0</v>
      </c>
      <c r="O2091" t="s">
        <v>27</v>
      </c>
      <c r="P2091">
        <v>9.4</v>
      </c>
      <c r="Q2091">
        <v>23.1</v>
      </c>
      <c r="R2091">
        <v>-0.2</v>
      </c>
      <c r="S2091">
        <v>9.6999999999999993</v>
      </c>
      <c r="T2091">
        <v>9.8000000000000007</v>
      </c>
      <c r="U2091" t="s">
        <v>27</v>
      </c>
      <c r="V2091" t="s">
        <v>27</v>
      </c>
      <c r="W2091">
        <v>0.79</v>
      </c>
      <c r="X2091">
        <v>1.454</v>
      </c>
      <c r="Y2091" t="s">
        <v>27</v>
      </c>
      <c r="Z2091" t="s">
        <v>27</v>
      </c>
      <c r="AA2091" t="s">
        <v>27</v>
      </c>
      <c r="AB2091" t="s">
        <v>27</v>
      </c>
      <c r="AC2091" t="s">
        <v>27</v>
      </c>
      <c r="AD2091" t="s">
        <v>27</v>
      </c>
      <c r="AE2091" t="s">
        <v>27</v>
      </c>
      <c r="AF2091" t="s">
        <v>27</v>
      </c>
      <c r="AG2091">
        <v>18.940000000000001</v>
      </c>
    </row>
    <row r="2092" spans="1:33" x14ac:dyDescent="0.25">
      <c r="A2092" t="s">
        <v>57</v>
      </c>
      <c r="B2092" s="3">
        <v>45553</v>
      </c>
      <c r="C2092">
        <v>2024262</v>
      </c>
      <c r="D2092">
        <v>13.33</v>
      </c>
      <c r="E2092" t="s">
        <v>27</v>
      </c>
      <c r="F2092">
        <v>7.6</v>
      </c>
      <c r="G2092">
        <v>15.7</v>
      </c>
      <c r="H2092">
        <v>1.3</v>
      </c>
      <c r="I2092">
        <v>81</v>
      </c>
      <c r="J2092">
        <v>45.7</v>
      </c>
      <c r="K2092">
        <v>0.4</v>
      </c>
      <c r="L2092">
        <v>2.2999999999999998</v>
      </c>
      <c r="M2092">
        <v>0</v>
      </c>
      <c r="N2092">
        <v>0</v>
      </c>
      <c r="O2092" t="s">
        <v>27</v>
      </c>
      <c r="P2092">
        <v>7.3</v>
      </c>
      <c r="Q2092">
        <v>20.399999999999999</v>
      </c>
      <c r="R2092">
        <v>0.1</v>
      </c>
      <c r="S2092">
        <v>7.9</v>
      </c>
      <c r="T2092">
        <v>9.5</v>
      </c>
      <c r="U2092" t="s">
        <v>27</v>
      </c>
      <c r="V2092" t="s">
        <v>27</v>
      </c>
      <c r="W2092">
        <v>0.81599999999999995</v>
      </c>
      <c r="X2092">
        <v>0.97</v>
      </c>
      <c r="Y2092" t="s">
        <v>27</v>
      </c>
      <c r="Z2092" t="s">
        <v>27</v>
      </c>
      <c r="AA2092" t="s">
        <v>27</v>
      </c>
      <c r="AB2092" t="s">
        <v>27</v>
      </c>
      <c r="AC2092" t="s">
        <v>27</v>
      </c>
      <c r="AD2092" t="s">
        <v>27</v>
      </c>
      <c r="AE2092" t="s">
        <v>27</v>
      </c>
      <c r="AF2092" t="s">
        <v>27</v>
      </c>
      <c r="AG2092">
        <v>18.690000000000001</v>
      </c>
    </row>
    <row r="2093" spans="1:33" x14ac:dyDescent="0.25">
      <c r="A2093" t="s">
        <v>57</v>
      </c>
      <c r="B2093" s="3">
        <v>45554</v>
      </c>
      <c r="C2093">
        <v>2024263</v>
      </c>
      <c r="D2093">
        <v>14.51</v>
      </c>
      <c r="E2093" t="s">
        <v>27</v>
      </c>
      <c r="F2093">
        <v>7.5</v>
      </c>
      <c r="G2093">
        <v>15.8</v>
      </c>
      <c r="H2093">
        <v>-0.1</v>
      </c>
      <c r="I2093">
        <v>71.3</v>
      </c>
      <c r="J2093">
        <v>34.200000000000003</v>
      </c>
      <c r="K2093">
        <v>0.9</v>
      </c>
      <c r="L2093">
        <v>3.5</v>
      </c>
      <c r="M2093">
        <v>0</v>
      </c>
      <c r="N2093">
        <v>0</v>
      </c>
      <c r="O2093" t="s">
        <v>27</v>
      </c>
      <c r="P2093">
        <v>7</v>
      </c>
      <c r="Q2093">
        <v>17.5</v>
      </c>
      <c r="R2093">
        <v>-1.3</v>
      </c>
      <c r="S2093">
        <v>7.3</v>
      </c>
      <c r="T2093">
        <v>9</v>
      </c>
      <c r="U2093" t="s">
        <v>27</v>
      </c>
      <c r="V2093" t="s">
        <v>27</v>
      </c>
      <c r="W2093">
        <v>0.61299999999999999</v>
      </c>
      <c r="X2093">
        <v>1.179</v>
      </c>
      <c r="Y2093" t="s">
        <v>27</v>
      </c>
      <c r="Z2093" t="s">
        <v>27</v>
      </c>
      <c r="AA2093" t="s">
        <v>27</v>
      </c>
      <c r="AB2093" t="s">
        <v>27</v>
      </c>
      <c r="AC2093" t="s">
        <v>27</v>
      </c>
      <c r="AD2093" t="s">
        <v>27</v>
      </c>
      <c r="AE2093" t="s">
        <v>27</v>
      </c>
      <c r="AF2093" t="s">
        <v>27</v>
      </c>
      <c r="AG2093">
        <v>18.440000000000001</v>
      </c>
    </row>
    <row r="2094" spans="1:33" x14ac:dyDescent="0.25">
      <c r="A2094" t="s">
        <v>57</v>
      </c>
      <c r="B2094" s="3">
        <v>45555</v>
      </c>
      <c r="C2094">
        <v>2024264</v>
      </c>
      <c r="D2094">
        <v>13.63</v>
      </c>
      <c r="E2094" t="s">
        <v>27</v>
      </c>
      <c r="F2094">
        <v>4.0999999999999996</v>
      </c>
      <c r="G2094">
        <v>10.9</v>
      </c>
      <c r="H2094">
        <v>-2.8</v>
      </c>
      <c r="I2094">
        <v>68.5</v>
      </c>
      <c r="J2094">
        <v>38.9</v>
      </c>
      <c r="K2094">
        <v>0.9</v>
      </c>
      <c r="L2094">
        <v>3.1</v>
      </c>
      <c r="M2094">
        <v>0</v>
      </c>
      <c r="N2094">
        <v>0</v>
      </c>
      <c r="O2094" t="s">
        <v>27</v>
      </c>
      <c r="P2094">
        <v>4.0999999999999996</v>
      </c>
      <c r="Q2094">
        <v>14.3</v>
      </c>
      <c r="R2094">
        <v>-4.2</v>
      </c>
      <c r="S2094">
        <v>6.3</v>
      </c>
      <c r="T2094">
        <v>8.6999999999999993</v>
      </c>
      <c r="U2094" t="s">
        <v>27</v>
      </c>
      <c r="V2094" t="s">
        <v>27</v>
      </c>
      <c r="W2094">
        <v>0.50600000000000001</v>
      </c>
      <c r="X2094">
        <v>0.79500000000000004</v>
      </c>
      <c r="Y2094" t="s">
        <v>27</v>
      </c>
      <c r="Z2094" t="s">
        <v>27</v>
      </c>
      <c r="AA2094" t="s">
        <v>27</v>
      </c>
      <c r="AB2094" t="s">
        <v>27</v>
      </c>
      <c r="AC2094" t="s">
        <v>27</v>
      </c>
      <c r="AD2094" t="s">
        <v>27</v>
      </c>
      <c r="AE2094" t="s">
        <v>27</v>
      </c>
      <c r="AF2094" t="s">
        <v>27</v>
      </c>
      <c r="AG2094">
        <v>18.18</v>
      </c>
    </row>
    <row r="2095" spans="1:33" x14ac:dyDescent="0.25">
      <c r="A2095" t="s">
        <v>57</v>
      </c>
      <c r="B2095" s="3">
        <v>45556</v>
      </c>
      <c r="C2095">
        <v>2024265</v>
      </c>
      <c r="D2095">
        <v>16.89</v>
      </c>
      <c r="E2095" t="s">
        <v>27</v>
      </c>
      <c r="F2095">
        <v>5.7</v>
      </c>
      <c r="G2095">
        <v>16.7</v>
      </c>
      <c r="H2095">
        <v>-3.3</v>
      </c>
      <c r="I2095">
        <v>69.900000000000006</v>
      </c>
      <c r="J2095">
        <v>37.700000000000003</v>
      </c>
      <c r="K2095">
        <v>0.5</v>
      </c>
      <c r="L2095">
        <v>1.8</v>
      </c>
      <c r="M2095">
        <v>0</v>
      </c>
      <c r="N2095">
        <v>0</v>
      </c>
      <c r="O2095" t="s">
        <v>27</v>
      </c>
      <c r="P2095">
        <v>5.6</v>
      </c>
      <c r="Q2095">
        <v>20.3</v>
      </c>
      <c r="R2095">
        <v>-4.5999999999999996</v>
      </c>
      <c r="S2095">
        <v>7</v>
      </c>
      <c r="T2095">
        <v>8</v>
      </c>
      <c r="U2095" t="s">
        <v>27</v>
      </c>
      <c r="V2095" t="s">
        <v>27</v>
      </c>
      <c r="W2095">
        <v>0.71799999999999997</v>
      </c>
      <c r="X2095">
        <v>1.1870000000000001</v>
      </c>
      <c r="Y2095" t="s">
        <v>27</v>
      </c>
      <c r="Z2095" t="s">
        <v>27</v>
      </c>
      <c r="AA2095" t="s">
        <v>27</v>
      </c>
      <c r="AB2095" t="s">
        <v>27</v>
      </c>
      <c r="AC2095" t="s">
        <v>27</v>
      </c>
      <c r="AD2095" t="s">
        <v>27</v>
      </c>
      <c r="AE2095" t="s">
        <v>27</v>
      </c>
      <c r="AF2095" t="s">
        <v>27</v>
      </c>
      <c r="AG2095">
        <v>17.93</v>
      </c>
    </row>
    <row r="2096" spans="1:33" x14ac:dyDescent="0.25">
      <c r="A2096" t="s">
        <v>57</v>
      </c>
      <c r="B2096" s="3">
        <v>45557</v>
      </c>
      <c r="C2096">
        <v>2024266</v>
      </c>
      <c r="D2096">
        <v>7.69</v>
      </c>
      <c r="E2096" t="s">
        <v>27</v>
      </c>
      <c r="F2096">
        <v>9.1999999999999993</v>
      </c>
      <c r="G2096">
        <v>14.4</v>
      </c>
      <c r="H2096">
        <v>5.3</v>
      </c>
      <c r="I2096">
        <v>80.5</v>
      </c>
      <c r="J2096">
        <v>49.1</v>
      </c>
      <c r="K2096">
        <v>0.7</v>
      </c>
      <c r="L2096">
        <v>2.7</v>
      </c>
      <c r="M2096">
        <v>1.8</v>
      </c>
      <c r="N2096">
        <v>0</v>
      </c>
      <c r="O2096" t="s">
        <v>27</v>
      </c>
      <c r="P2096">
        <v>8.4</v>
      </c>
      <c r="Q2096">
        <v>15.9</v>
      </c>
      <c r="R2096">
        <v>4.0999999999999996</v>
      </c>
      <c r="S2096">
        <v>9.1</v>
      </c>
      <c r="T2096">
        <v>8.9</v>
      </c>
      <c r="U2096" t="s">
        <v>27</v>
      </c>
      <c r="V2096" t="s">
        <v>27</v>
      </c>
      <c r="W2096">
        <v>0.80300000000000005</v>
      </c>
      <c r="X2096">
        <v>0.83199999999999996</v>
      </c>
      <c r="Y2096" t="s">
        <v>27</v>
      </c>
      <c r="Z2096" t="s">
        <v>27</v>
      </c>
      <c r="AA2096" t="s">
        <v>27</v>
      </c>
      <c r="AB2096" t="s">
        <v>27</v>
      </c>
      <c r="AC2096" t="s">
        <v>27</v>
      </c>
      <c r="AD2096" t="s">
        <v>27</v>
      </c>
      <c r="AE2096" t="s">
        <v>27</v>
      </c>
      <c r="AF2096" t="s">
        <v>27</v>
      </c>
      <c r="AG2096">
        <v>17.68</v>
      </c>
    </row>
    <row r="2097" spans="1:33" x14ac:dyDescent="0.25">
      <c r="A2097" t="s">
        <v>57</v>
      </c>
      <c r="B2097" s="3">
        <v>45558</v>
      </c>
      <c r="C2097">
        <v>2024267</v>
      </c>
      <c r="D2097">
        <v>15.69</v>
      </c>
      <c r="E2097" t="s">
        <v>27</v>
      </c>
      <c r="F2097">
        <v>12.5</v>
      </c>
      <c r="G2097">
        <v>19.399999999999999</v>
      </c>
      <c r="H2097">
        <v>8.6</v>
      </c>
      <c r="I2097">
        <v>74.099999999999994</v>
      </c>
      <c r="J2097">
        <v>51.2</v>
      </c>
      <c r="K2097">
        <v>1.4</v>
      </c>
      <c r="L2097">
        <v>2.9</v>
      </c>
      <c r="M2097">
        <v>0</v>
      </c>
      <c r="N2097">
        <v>0</v>
      </c>
      <c r="O2097" t="s">
        <v>27</v>
      </c>
      <c r="P2097">
        <v>12.3</v>
      </c>
      <c r="Q2097">
        <v>21.3</v>
      </c>
      <c r="R2097">
        <v>7.3</v>
      </c>
      <c r="S2097">
        <v>12.1</v>
      </c>
      <c r="T2097">
        <v>10.199999999999999</v>
      </c>
      <c r="U2097" t="s">
        <v>27</v>
      </c>
      <c r="V2097" t="s">
        <v>27</v>
      </c>
      <c r="W2097">
        <v>1.155</v>
      </c>
      <c r="X2097">
        <v>1.101</v>
      </c>
      <c r="Y2097" t="s">
        <v>27</v>
      </c>
      <c r="Z2097" t="s">
        <v>27</v>
      </c>
      <c r="AA2097" t="s">
        <v>27</v>
      </c>
      <c r="AB2097" t="s">
        <v>27</v>
      </c>
      <c r="AC2097" t="s">
        <v>27</v>
      </c>
      <c r="AD2097" t="s">
        <v>27</v>
      </c>
      <c r="AE2097" t="s">
        <v>27</v>
      </c>
      <c r="AF2097" t="s">
        <v>27</v>
      </c>
      <c r="AG2097">
        <v>17.43</v>
      </c>
    </row>
    <row r="2098" spans="1:33" x14ac:dyDescent="0.25">
      <c r="A2098" t="s">
        <v>57</v>
      </c>
      <c r="B2098" s="3">
        <v>45559</v>
      </c>
      <c r="C2098">
        <v>2024268</v>
      </c>
      <c r="D2098">
        <v>18.399999999999999</v>
      </c>
      <c r="E2098" t="s">
        <v>27</v>
      </c>
      <c r="F2098">
        <v>14.2</v>
      </c>
      <c r="G2098">
        <v>22.9</v>
      </c>
      <c r="H2098">
        <v>5.0999999999999996</v>
      </c>
      <c r="I2098">
        <v>68.7</v>
      </c>
      <c r="J2098">
        <v>42.3</v>
      </c>
      <c r="K2098">
        <v>0.7</v>
      </c>
      <c r="L2098">
        <v>2.7</v>
      </c>
      <c r="M2098">
        <v>0</v>
      </c>
      <c r="N2098">
        <v>0</v>
      </c>
      <c r="O2098" t="s">
        <v>27</v>
      </c>
      <c r="P2098">
        <v>13.8</v>
      </c>
      <c r="Q2098">
        <v>25.5</v>
      </c>
      <c r="R2098">
        <v>3.8</v>
      </c>
      <c r="S2098">
        <v>12.2</v>
      </c>
      <c r="T2098">
        <v>10.6</v>
      </c>
      <c r="U2098" t="s">
        <v>27</v>
      </c>
      <c r="V2098" t="s">
        <v>27</v>
      </c>
      <c r="W2098">
        <v>1.177</v>
      </c>
      <c r="X2098">
        <v>1.6060000000000001</v>
      </c>
      <c r="Y2098" t="s">
        <v>27</v>
      </c>
      <c r="Z2098" t="s">
        <v>27</v>
      </c>
      <c r="AA2098" t="s">
        <v>27</v>
      </c>
      <c r="AB2098" t="s">
        <v>27</v>
      </c>
      <c r="AC2098" t="s">
        <v>27</v>
      </c>
      <c r="AD2098" t="s">
        <v>27</v>
      </c>
      <c r="AE2098" t="s">
        <v>27</v>
      </c>
      <c r="AF2098" t="s">
        <v>27</v>
      </c>
      <c r="AG2098">
        <v>17.170000000000002</v>
      </c>
    </row>
    <row r="2099" spans="1:33" x14ac:dyDescent="0.25">
      <c r="A2099" t="s">
        <v>57</v>
      </c>
      <c r="B2099" s="3">
        <v>45560</v>
      </c>
      <c r="C2099">
        <v>2024269</v>
      </c>
      <c r="D2099">
        <v>10.68</v>
      </c>
      <c r="E2099" t="s">
        <v>27</v>
      </c>
      <c r="F2099">
        <v>12.3</v>
      </c>
      <c r="G2099">
        <v>20</v>
      </c>
      <c r="H2099">
        <v>4.5</v>
      </c>
      <c r="I2099">
        <v>75</v>
      </c>
      <c r="J2099">
        <v>38.9</v>
      </c>
      <c r="K2099">
        <v>1.1000000000000001</v>
      </c>
      <c r="L2099">
        <v>3.2</v>
      </c>
      <c r="M2099">
        <v>18.600000000000001</v>
      </c>
      <c r="N2099">
        <v>0</v>
      </c>
      <c r="O2099" t="s">
        <v>27</v>
      </c>
      <c r="P2099">
        <v>11.7</v>
      </c>
      <c r="Q2099">
        <v>22.6</v>
      </c>
      <c r="R2099">
        <v>3.4</v>
      </c>
      <c r="S2099">
        <v>11</v>
      </c>
      <c r="T2099">
        <v>10.9</v>
      </c>
      <c r="U2099" t="s">
        <v>27</v>
      </c>
      <c r="V2099" t="s">
        <v>27</v>
      </c>
      <c r="W2099">
        <v>0.90900000000000003</v>
      </c>
      <c r="X2099">
        <v>1.4279999999999999</v>
      </c>
      <c r="Y2099" t="s">
        <v>27</v>
      </c>
      <c r="Z2099" t="s">
        <v>27</v>
      </c>
      <c r="AA2099" t="s">
        <v>27</v>
      </c>
      <c r="AB2099" t="s">
        <v>27</v>
      </c>
      <c r="AC2099" t="s">
        <v>27</v>
      </c>
      <c r="AD2099" t="s">
        <v>27</v>
      </c>
      <c r="AE2099" t="s">
        <v>27</v>
      </c>
      <c r="AF2099" t="s">
        <v>27</v>
      </c>
      <c r="AG2099">
        <v>16.93</v>
      </c>
    </row>
    <row r="2100" spans="1:33" x14ac:dyDescent="0.25">
      <c r="A2100" t="s">
        <v>57</v>
      </c>
      <c r="B2100" s="3">
        <v>45561</v>
      </c>
      <c r="C2100">
        <v>2024270</v>
      </c>
      <c r="D2100">
        <v>7.75</v>
      </c>
      <c r="E2100" t="s">
        <v>27</v>
      </c>
      <c r="F2100">
        <v>5.3</v>
      </c>
      <c r="G2100">
        <v>8</v>
      </c>
      <c r="H2100">
        <v>-0.1</v>
      </c>
      <c r="I2100">
        <v>70.099999999999994</v>
      </c>
      <c r="J2100">
        <v>44.1</v>
      </c>
      <c r="K2100">
        <v>1.3</v>
      </c>
      <c r="L2100">
        <v>3.4</v>
      </c>
      <c r="M2100">
        <v>0.6</v>
      </c>
      <c r="N2100">
        <v>0</v>
      </c>
      <c r="O2100" t="s">
        <v>27</v>
      </c>
      <c r="P2100">
        <v>4.4000000000000004</v>
      </c>
      <c r="Q2100">
        <v>9</v>
      </c>
      <c r="R2100">
        <v>-1.2</v>
      </c>
      <c r="S2100">
        <v>6.2</v>
      </c>
      <c r="T2100">
        <v>8.9</v>
      </c>
      <c r="U2100" t="s">
        <v>27</v>
      </c>
      <c r="V2100" t="s">
        <v>27</v>
      </c>
      <c r="W2100">
        <v>0.47399999999999998</v>
      </c>
      <c r="X2100">
        <v>0.60099999999999998</v>
      </c>
      <c r="Y2100" t="s">
        <v>27</v>
      </c>
      <c r="Z2100" t="s">
        <v>27</v>
      </c>
      <c r="AA2100" t="s">
        <v>27</v>
      </c>
      <c r="AB2100" t="s">
        <v>27</v>
      </c>
      <c r="AC2100" t="s">
        <v>27</v>
      </c>
      <c r="AD2100" t="s">
        <v>27</v>
      </c>
      <c r="AE2100" t="s">
        <v>27</v>
      </c>
      <c r="AF2100" t="s">
        <v>27</v>
      </c>
      <c r="AG2100">
        <v>16.68</v>
      </c>
    </row>
    <row r="2101" spans="1:33" x14ac:dyDescent="0.25">
      <c r="A2101" t="s">
        <v>57</v>
      </c>
      <c r="B2101" s="3">
        <v>45562</v>
      </c>
      <c r="C2101">
        <v>2024271</v>
      </c>
      <c r="D2101">
        <v>14.33</v>
      </c>
      <c r="E2101" t="s">
        <v>27</v>
      </c>
      <c r="F2101">
        <v>6.8</v>
      </c>
      <c r="G2101">
        <v>14.5</v>
      </c>
      <c r="H2101">
        <v>-0.5</v>
      </c>
      <c r="I2101">
        <v>68.599999999999994</v>
      </c>
      <c r="J2101">
        <v>35.200000000000003</v>
      </c>
      <c r="K2101">
        <v>1</v>
      </c>
      <c r="L2101">
        <v>3.2</v>
      </c>
      <c r="M2101">
        <v>0</v>
      </c>
      <c r="N2101">
        <v>0</v>
      </c>
      <c r="O2101" t="s">
        <v>27</v>
      </c>
      <c r="P2101">
        <v>6.4</v>
      </c>
      <c r="Q2101">
        <v>17</v>
      </c>
      <c r="R2101">
        <v>-1.7</v>
      </c>
      <c r="S2101">
        <v>6.6</v>
      </c>
      <c r="T2101">
        <v>8.6</v>
      </c>
      <c r="U2101" t="s">
        <v>27</v>
      </c>
      <c r="V2101" t="s">
        <v>27</v>
      </c>
      <c r="W2101">
        <v>0.58299999999999996</v>
      </c>
      <c r="X2101">
        <v>1.073</v>
      </c>
      <c r="Y2101" t="s">
        <v>27</v>
      </c>
      <c r="Z2101" t="s">
        <v>27</v>
      </c>
      <c r="AA2101" t="s">
        <v>27</v>
      </c>
      <c r="AB2101" t="s">
        <v>27</v>
      </c>
      <c r="AC2101" t="s">
        <v>27</v>
      </c>
      <c r="AD2101" t="s">
        <v>27</v>
      </c>
      <c r="AE2101" t="s">
        <v>27</v>
      </c>
      <c r="AF2101" t="s">
        <v>27</v>
      </c>
      <c r="AG2101">
        <v>16.43</v>
      </c>
    </row>
    <row r="2102" spans="1:33" x14ac:dyDescent="0.25">
      <c r="A2102" t="s">
        <v>57</v>
      </c>
      <c r="B2102" s="3">
        <v>45563</v>
      </c>
      <c r="C2102">
        <v>2024272</v>
      </c>
      <c r="D2102">
        <v>12.77</v>
      </c>
      <c r="E2102" t="s">
        <v>27</v>
      </c>
      <c r="F2102">
        <v>7.4</v>
      </c>
      <c r="G2102">
        <v>17.600000000000001</v>
      </c>
      <c r="H2102">
        <v>-1.1000000000000001</v>
      </c>
      <c r="I2102">
        <v>73.099999999999994</v>
      </c>
      <c r="J2102">
        <v>32.299999999999997</v>
      </c>
      <c r="K2102">
        <v>0.4</v>
      </c>
      <c r="L2102">
        <v>1.9</v>
      </c>
      <c r="M2102">
        <v>0.1</v>
      </c>
      <c r="N2102">
        <v>0</v>
      </c>
      <c r="O2102" t="s">
        <v>27</v>
      </c>
      <c r="P2102">
        <v>7.1</v>
      </c>
      <c r="Q2102">
        <v>20.8</v>
      </c>
      <c r="R2102">
        <v>-2.1</v>
      </c>
      <c r="S2102">
        <v>6.9</v>
      </c>
      <c r="T2102">
        <v>8</v>
      </c>
      <c r="U2102" t="s">
        <v>27</v>
      </c>
      <c r="V2102" t="s">
        <v>27</v>
      </c>
      <c r="W2102">
        <v>0.64900000000000002</v>
      </c>
      <c r="X2102">
        <v>1.36</v>
      </c>
      <c r="Y2102" t="s">
        <v>27</v>
      </c>
      <c r="Z2102" t="s">
        <v>27</v>
      </c>
      <c r="AA2102" t="s">
        <v>27</v>
      </c>
      <c r="AB2102" t="s">
        <v>27</v>
      </c>
      <c r="AC2102" t="s">
        <v>27</v>
      </c>
      <c r="AD2102" t="s">
        <v>27</v>
      </c>
      <c r="AE2102" t="s">
        <v>27</v>
      </c>
      <c r="AF2102" t="s">
        <v>27</v>
      </c>
      <c r="AG2102">
        <v>16.18</v>
      </c>
    </row>
    <row r="2103" spans="1:33" x14ac:dyDescent="0.25">
      <c r="A2103" t="s">
        <v>57</v>
      </c>
      <c r="B2103" s="3">
        <v>45564</v>
      </c>
      <c r="C2103">
        <v>2024273</v>
      </c>
      <c r="D2103">
        <v>8.68</v>
      </c>
      <c r="E2103" t="s">
        <v>27</v>
      </c>
      <c r="F2103">
        <v>3.4</v>
      </c>
      <c r="G2103">
        <v>8</v>
      </c>
      <c r="H2103">
        <v>-0.3</v>
      </c>
      <c r="I2103">
        <v>64.7</v>
      </c>
      <c r="J2103">
        <v>42.7</v>
      </c>
      <c r="K2103">
        <v>1.5</v>
      </c>
      <c r="L2103">
        <v>4</v>
      </c>
      <c r="M2103">
        <v>0</v>
      </c>
      <c r="N2103">
        <v>0</v>
      </c>
      <c r="O2103" t="s">
        <v>27</v>
      </c>
      <c r="P2103">
        <v>2.9</v>
      </c>
      <c r="Q2103">
        <v>8.3000000000000007</v>
      </c>
      <c r="R2103">
        <v>-1.1000000000000001</v>
      </c>
      <c r="S2103">
        <v>3.3</v>
      </c>
      <c r="T2103">
        <v>7.4</v>
      </c>
      <c r="U2103" t="s">
        <v>27</v>
      </c>
      <c r="V2103" t="s">
        <v>27</v>
      </c>
      <c r="W2103">
        <v>0.45900000000000002</v>
      </c>
      <c r="X2103">
        <v>0.61599999999999999</v>
      </c>
      <c r="Y2103" t="s">
        <v>27</v>
      </c>
      <c r="Z2103" t="s">
        <v>27</v>
      </c>
      <c r="AA2103" t="s">
        <v>27</v>
      </c>
      <c r="AB2103" t="s">
        <v>27</v>
      </c>
      <c r="AC2103" t="s">
        <v>27</v>
      </c>
      <c r="AD2103" t="s">
        <v>27</v>
      </c>
      <c r="AE2103" t="s">
        <v>27</v>
      </c>
      <c r="AF2103" t="s">
        <v>27</v>
      </c>
      <c r="AG2103">
        <v>15.93</v>
      </c>
    </row>
    <row r="2104" spans="1:33" x14ac:dyDescent="0.25">
      <c r="A2104" t="s">
        <v>57</v>
      </c>
      <c r="B2104" s="3">
        <v>45565</v>
      </c>
      <c r="C2104">
        <v>2024274</v>
      </c>
      <c r="D2104">
        <v>13.35</v>
      </c>
      <c r="E2104" t="s">
        <v>27</v>
      </c>
      <c r="F2104">
        <v>2.8</v>
      </c>
      <c r="G2104">
        <v>10.4</v>
      </c>
      <c r="H2104">
        <v>-4.4000000000000004</v>
      </c>
      <c r="I2104">
        <v>68.400000000000006</v>
      </c>
      <c r="J2104">
        <v>35</v>
      </c>
      <c r="K2104">
        <v>0.5</v>
      </c>
      <c r="L2104">
        <v>2.2999999999999998</v>
      </c>
      <c r="M2104">
        <v>0.9</v>
      </c>
      <c r="N2104">
        <v>0</v>
      </c>
      <c r="O2104" t="s">
        <v>27</v>
      </c>
      <c r="P2104">
        <v>2.6</v>
      </c>
      <c r="Q2104">
        <v>12.5</v>
      </c>
      <c r="R2104">
        <v>-5.7</v>
      </c>
      <c r="S2104">
        <v>4.0999999999999996</v>
      </c>
      <c r="T2104">
        <v>6.3</v>
      </c>
      <c r="U2104" t="s">
        <v>27</v>
      </c>
      <c r="V2104" t="s">
        <v>27</v>
      </c>
      <c r="W2104">
        <v>0.442</v>
      </c>
      <c r="X2104">
        <v>0.82099999999999995</v>
      </c>
      <c r="Y2104" t="s">
        <v>27</v>
      </c>
      <c r="Z2104" t="s">
        <v>27</v>
      </c>
      <c r="AA2104" t="s">
        <v>27</v>
      </c>
      <c r="AB2104" t="s">
        <v>27</v>
      </c>
      <c r="AC2104" t="s">
        <v>27</v>
      </c>
      <c r="AD2104" t="s">
        <v>27</v>
      </c>
      <c r="AE2104" t="s">
        <v>27</v>
      </c>
      <c r="AF2104" t="s">
        <v>27</v>
      </c>
      <c r="AG2104">
        <v>15.69</v>
      </c>
    </row>
    <row r="2105" spans="1:33" x14ac:dyDescent="0.25">
      <c r="A2105" t="s">
        <v>57</v>
      </c>
      <c r="B2105" s="3">
        <v>45566</v>
      </c>
      <c r="C2105">
        <v>2024275</v>
      </c>
      <c r="D2105">
        <v>3.69</v>
      </c>
      <c r="E2105" t="s">
        <v>27</v>
      </c>
      <c r="F2105">
        <v>4.8</v>
      </c>
      <c r="G2105">
        <v>9.1</v>
      </c>
      <c r="H2105">
        <v>-0.5</v>
      </c>
      <c r="I2105">
        <v>65.599999999999994</v>
      </c>
      <c r="J2105">
        <v>47.2</v>
      </c>
      <c r="K2105">
        <v>0.7</v>
      </c>
      <c r="L2105">
        <v>3.5</v>
      </c>
      <c r="M2105">
        <v>0.5</v>
      </c>
      <c r="N2105">
        <v>0</v>
      </c>
      <c r="O2105" t="s">
        <v>27</v>
      </c>
      <c r="P2105">
        <v>4.0999999999999996</v>
      </c>
      <c r="Q2105">
        <v>10.4</v>
      </c>
      <c r="R2105">
        <v>-2.2000000000000002</v>
      </c>
      <c r="S2105">
        <v>4.8</v>
      </c>
      <c r="T2105">
        <v>6.9</v>
      </c>
      <c r="U2105" t="s">
        <v>27</v>
      </c>
      <c r="V2105" t="s">
        <v>27</v>
      </c>
      <c r="W2105">
        <v>0.54600000000000004</v>
      </c>
      <c r="X2105">
        <v>0.61099999999999999</v>
      </c>
      <c r="Y2105" t="s">
        <v>27</v>
      </c>
      <c r="Z2105" t="s">
        <v>27</v>
      </c>
      <c r="AA2105" t="s">
        <v>27</v>
      </c>
      <c r="AB2105" t="s">
        <v>27</v>
      </c>
      <c r="AC2105" t="s">
        <v>27</v>
      </c>
      <c r="AD2105" t="s">
        <v>27</v>
      </c>
      <c r="AE2105" t="s">
        <v>27</v>
      </c>
      <c r="AF2105" t="s">
        <v>27</v>
      </c>
      <c r="AG2105">
        <v>15.45</v>
      </c>
    </row>
    <row r="2106" spans="1:33" x14ac:dyDescent="0.25">
      <c r="A2106" t="s">
        <v>57</v>
      </c>
      <c r="B2106" s="3">
        <v>45567</v>
      </c>
      <c r="C2106">
        <v>2024276</v>
      </c>
      <c r="D2106">
        <v>8.6199999999999992</v>
      </c>
      <c r="E2106" t="s">
        <v>27</v>
      </c>
      <c r="F2106">
        <v>1.9</v>
      </c>
      <c r="G2106">
        <v>9.5</v>
      </c>
      <c r="H2106">
        <v>-3.3</v>
      </c>
      <c r="I2106">
        <v>73.099999999999994</v>
      </c>
      <c r="J2106">
        <v>42.4</v>
      </c>
      <c r="K2106">
        <v>1</v>
      </c>
      <c r="L2106">
        <v>3.1</v>
      </c>
      <c r="M2106">
        <v>0</v>
      </c>
      <c r="N2106">
        <v>0</v>
      </c>
      <c r="O2106" t="s">
        <v>27</v>
      </c>
      <c r="P2106">
        <v>1.3</v>
      </c>
      <c r="Q2106">
        <v>11.5</v>
      </c>
      <c r="R2106">
        <v>-4.5999999999999996</v>
      </c>
      <c r="S2106">
        <v>2.5</v>
      </c>
      <c r="T2106">
        <v>5.9</v>
      </c>
      <c r="U2106" t="s">
        <v>27</v>
      </c>
      <c r="V2106" t="s">
        <v>27</v>
      </c>
      <c r="W2106">
        <v>0.503</v>
      </c>
      <c r="X2106">
        <v>0.68300000000000005</v>
      </c>
      <c r="Y2106" t="s">
        <v>27</v>
      </c>
      <c r="Z2106" t="s">
        <v>27</v>
      </c>
      <c r="AA2106" t="s">
        <v>27</v>
      </c>
      <c r="AB2106" t="s">
        <v>27</v>
      </c>
      <c r="AC2106" t="s">
        <v>27</v>
      </c>
      <c r="AD2106" t="s">
        <v>27</v>
      </c>
      <c r="AE2106" t="s">
        <v>27</v>
      </c>
      <c r="AF2106" t="s">
        <v>27</v>
      </c>
      <c r="AG2106">
        <v>15.2</v>
      </c>
    </row>
    <row r="2107" spans="1:33" x14ac:dyDescent="0.25">
      <c r="A2107" t="s">
        <v>57</v>
      </c>
      <c r="B2107" s="3">
        <v>45568</v>
      </c>
      <c r="C2107">
        <v>2024277</v>
      </c>
      <c r="D2107">
        <v>12.32</v>
      </c>
      <c r="E2107" t="s">
        <v>27</v>
      </c>
      <c r="F2107">
        <v>3</v>
      </c>
      <c r="G2107">
        <v>11.2</v>
      </c>
      <c r="H2107">
        <v>-5.0999999999999996</v>
      </c>
      <c r="I2107">
        <v>66</v>
      </c>
      <c r="J2107">
        <v>39.799999999999997</v>
      </c>
      <c r="K2107">
        <v>0.6</v>
      </c>
      <c r="L2107">
        <v>2.4</v>
      </c>
      <c r="M2107">
        <v>0</v>
      </c>
      <c r="N2107">
        <v>0</v>
      </c>
      <c r="O2107" t="s">
        <v>27</v>
      </c>
      <c r="P2107">
        <v>2.4</v>
      </c>
      <c r="Q2107">
        <v>13.8</v>
      </c>
      <c r="R2107">
        <v>-6.4</v>
      </c>
      <c r="S2107">
        <v>2.1</v>
      </c>
      <c r="T2107">
        <v>5.0999999999999996</v>
      </c>
      <c r="U2107" t="s">
        <v>27</v>
      </c>
      <c r="V2107" t="s">
        <v>27</v>
      </c>
      <c r="W2107">
        <v>0.53100000000000003</v>
      </c>
      <c r="X2107">
        <v>0.80300000000000005</v>
      </c>
      <c r="Y2107" t="s">
        <v>27</v>
      </c>
      <c r="Z2107" t="s">
        <v>27</v>
      </c>
      <c r="AA2107" t="s">
        <v>27</v>
      </c>
      <c r="AB2107" t="s">
        <v>27</v>
      </c>
      <c r="AC2107" t="s">
        <v>27</v>
      </c>
      <c r="AD2107" t="s">
        <v>27</v>
      </c>
      <c r="AE2107" t="s">
        <v>27</v>
      </c>
      <c r="AF2107" t="s">
        <v>27</v>
      </c>
      <c r="AG2107">
        <v>14.96</v>
      </c>
    </row>
    <row r="2108" spans="1:33" x14ac:dyDescent="0.25">
      <c r="A2108" t="s">
        <v>57</v>
      </c>
      <c r="B2108" s="3">
        <v>45569</v>
      </c>
      <c r="C2108">
        <v>2024278</v>
      </c>
      <c r="D2108">
        <v>4.8</v>
      </c>
      <c r="E2108" t="s">
        <v>27</v>
      </c>
      <c r="F2108">
        <v>4.2</v>
      </c>
      <c r="G2108">
        <v>8.1999999999999993</v>
      </c>
      <c r="H2108">
        <v>0.5</v>
      </c>
      <c r="I2108">
        <v>59.6</v>
      </c>
      <c r="J2108">
        <v>47.7</v>
      </c>
      <c r="K2108">
        <v>1.4</v>
      </c>
      <c r="L2108">
        <v>4.4000000000000004</v>
      </c>
      <c r="M2108">
        <v>0</v>
      </c>
      <c r="N2108">
        <v>0</v>
      </c>
      <c r="O2108" t="s">
        <v>27</v>
      </c>
      <c r="P2108">
        <v>3.3</v>
      </c>
      <c r="Q2108">
        <v>9.4</v>
      </c>
      <c r="R2108">
        <v>-0.6</v>
      </c>
      <c r="S2108">
        <v>2.2999999999999998</v>
      </c>
      <c r="T2108">
        <v>5</v>
      </c>
      <c r="U2108" t="s">
        <v>27</v>
      </c>
      <c r="V2108" t="s">
        <v>27</v>
      </c>
      <c r="W2108">
        <v>0.52</v>
      </c>
      <c r="X2108">
        <v>0.56999999999999995</v>
      </c>
      <c r="Y2108" t="s">
        <v>27</v>
      </c>
      <c r="Z2108" t="s">
        <v>27</v>
      </c>
      <c r="AA2108" t="s">
        <v>27</v>
      </c>
      <c r="AB2108" t="s">
        <v>27</v>
      </c>
      <c r="AC2108" t="s">
        <v>27</v>
      </c>
      <c r="AD2108" t="s">
        <v>27</v>
      </c>
      <c r="AE2108" t="s">
        <v>27</v>
      </c>
      <c r="AF2108" t="s">
        <v>27</v>
      </c>
      <c r="AG2108">
        <v>14.72</v>
      </c>
    </row>
    <row r="2109" spans="1:33" x14ac:dyDescent="0.25">
      <c r="A2109" t="s">
        <v>57</v>
      </c>
      <c r="B2109" s="3">
        <v>45570</v>
      </c>
      <c r="C2109">
        <v>2024279</v>
      </c>
      <c r="D2109">
        <v>13.34</v>
      </c>
      <c r="E2109" t="s">
        <v>27</v>
      </c>
      <c r="F2109">
        <v>4.3</v>
      </c>
      <c r="G2109">
        <v>13.4</v>
      </c>
      <c r="H2109">
        <v>-2.2000000000000002</v>
      </c>
      <c r="I2109">
        <v>64.599999999999994</v>
      </c>
      <c r="J2109">
        <v>29.7</v>
      </c>
      <c r="K2109">
        <v>0.8</v>
      </c>
      <c r="L2109">
        <v>2.6</v>
      </c>
      <c r="M2109">
        <v>0</v>
      </c>
      <c r="N2109">
        <v>0</v>
      </c>
      <c r="O2109" t="s">
        <v>27</v>
      </c>
      <c r="P2109">
        <v>3.9</v>
      </c>
      <c r="Q2109">
        <v>14.3</v>
      </c>
      <c r="R2109">
        <v>-3.3</v>
      </c>
      <c r="S2109">
        <v>4</v>
      </c>
      <c r="T2109">
        <v>5.3</v>
      </c>
      <c r="U2109" t="s">
        <v>27</v>
      </c>
      <c r="V2109" t="s">
        <v>27</v>
      </c>
      <c r="W2109">
        <v>0.45500000000000002</v>
      </c>
      <c r="X2109">
        <v>1.077</v>
      </c>
      <c r="Y2109" t="s">
        <v>27</v>
      </c>
      <c r="Z2109" t="s">
        <v>27</v>
      </c>
      <c r="AA2109" t="s">
        <v>27</v>
      </c>
      <c r="AB2109" t="s">
        <v>27</v>
      </c>
      <c r="AC2109" t="s">
        <v>27</v>
      </c>
      <c r="AD2109" t="s">
        <v>27</v>
      </c>
      <c r="AE2109" t="s">
        <v>27</v>
      </c>
      <c r="AF2109" t="s">
        <v>27</v>
      </c>
      <c r="AG2109">
        <v>14.48</v>
      </c>
    </row>
    <row r="2110" spans="1:33" x14ac:dyDescent="0.25">
      <c r="A2110" t="s">
        <v>57</v>
      </c>
      <c r="B2110" s="3">
        <v>45571</v>
      </c>
      <c r="C2110">
        <v>2024280</v>
      </c>
      <c r="D2110">
        <v>13.15</v>
      </c>
      <c r="E2110" t="s">
        <v>27</v>
      </c>
      <c r="F2110">
        <v>6.7</v>
      </c>
      <c r="G2110">
        <v>16.5</v>
      </c>
      <c r="H2110">
        <v>-1.6</v>
      </c>
      <c r="I2110">
        <v>60.4</v>
      </c>
      <c r="J2110">
        <v>24.3</v>
      </c>
      <c r="K2110">
        <v>0.5</v>
      </c>
      <c r="L2110">
        <v>1.8</v>
      </c>
      <c r="M2110">
        <v>0</v>
      </c>
      <c r="N2110">
        <v>0</v>
      </c>
      <c r="O2110" t="s">
        <v>27</v>
      </c>
      <c r="P2110">
        <v>6.4</v>
      </c>
      <c r="Q2110">
        <v>18.7</v>
      </c>
      <c r="R2110">
        <v>-2.9</v>
      </c>
      <c r="S2110">
        <v>6.6</v>
      </c>
      <c r="T2110">
        <v>6.4</v>
      </c>
      <c r="U2110" t="s">
        <v>27</v>
      </c>
      <c r="V2110" t="s">
        <v>27</v>
      </c>
      <c r="W2110">
        <v>0.45500000000000002</v>
      </c>
      <c r="X2110">
        <v>1.417</v>
      </c>
      <c r="Y2110" t="s">
        <v>27</v>
      </c>
      <c r="Z2110" t="s">
        <v>27</v>
      </c>
      <c r="AA2110" t="s">
        <v>27</v>
      </c>
      <c r="AB2110" t="s">
        <v>27</v>
      </c>
      <c r="AC2110" t="s">
        <v>27</v>
      </c>
      <c r="AD2110" t="s">
        <v>27</v>
      </c>
      <c r="AE2110" t="s">
        <v>27</v>
      </c>
      <c r="AF2110" t="s">
        <v>27</v>
      </c>
      <c r="AG2110">
        <v>14.24</v>
      </c>
    </row>
    <row r="2111" spans="1:33" x14ac:dyDescent="0.25">
      <c r="A2111" t="s">
        <v>57</v>
      </c>
      <c r="B2111" s="3">
        <v>45572</v>
      </c>
      <c r="C2111">
        <v>2024281</v>
      </c>
      <c r="D2111">
        <v>14.48</v>
      </c>
      <c r="E2111" t="s">
        <v>27</v>
      </c>
      <c r="F2111">
        <v>5.8</v>
      </c>
      <c r="G2111">
        <v>18</v>
      </c>
      <c r="H2111">
        <v>-2.4</v>
      </c>
      <c r="I2111">
        <v>70.2</v>
      </c>
      <c r="J2111">
        <v>32.1</v>
      </c>
      <c r="K2111">
        <v>0.4</v>
      </c>
      <c r="L2111">
        <v>1.9</v>
      </c>
      <c r="M2111">
        <v>0</v>
      </c>
      <c r="N2111">
        <v>0</v>
      </c>
      <c r="O2111" t="s">
        <v>27</v>
      </c>
      <c r="P2111">
        <v>5.3</v>
      </c>
      <c r="Q2111">
        <v>19.899999999999999</v>
      </c>
      <c r="R2111">
        <v>-3.7</v>
      </c>
      <c r="S2111">
        <v>4.5</v>
      </c>
      <c r="T2111">
        <v>5.8</v>
      </c>
      <c r="U2111" t="s">
        <v>27</v>
      </c>
      <c r="V2111" t="s">
        <v>27</v>
      </c>
      <c r="W2111">
        <v>0.66200000000000003</v>
      </c>
      <c r="X2111">
        <v>1.4</v>
      </c>
      <c r="Y2111" t="s">
        <v>27</v>
      </c>
      <c r="Z2111" t="s">
        <v>27</v>
      </c>
      <c r="AA2111" t="s">
        <v>27</v>
      </c>
      <c r="AB2111" t="s">
        <v>27</v>
      </c>
      <c r="AC2111" t="s">
        <v>27</v>
      </c>
      <c r="AD2111" t="s">
        <v>27</v>
      </c>
      <c r="AE2111" t="s">
        <v>27</v>
      </c>
      <c r="AF2111" t="s">
        <v>27</v>
      </c>
      <c r="AG2111">
        <v>14.01</v>
      </c>
    </row>
    <row r="2112" spans="1:33" x14ac:dyDescent="0.25">
      <c r="A2112" t="s">
        <v>57</v>
      </c>
      <c r="B2112" s="3">
        <v>45573</v>
      </c>
      <c r="C2112">
        <v>2024282</v>
      </c>
      <c r="D2112">
        <v>11.73</v>
      </c>
      <c r="E2112" t="s">
        <v>27</v>
      </c>
      <c r="F2112">
        <v>8</v>
      </c>
      <c r="G2112">
        <v>17</v>
      </c>
      <c r="H2112">
        <v>1.4</v>
      </c>
      <c r="I2112">
        <v>73.900000000000006</v>
      </c>
      <c r="J2112">
        <v>42.5</v>
      </c>
      <c r="K2112">
        <v>0.5</v>
      </c>
      <c r="L2112">
        <v>2.9</v>
      </c>
      <c r="M2112">
        <v>0</v>
      </c>
      <c r="N2112">
        <v>0</v>
      </c>
      <c r="O2112" t="s">
        <v>27</v>
      </c>
      <c r="P2112">
        <v>7.5</v>
      </c>
      <c r="Q2112">
        <v>19.3</v>
      </c>
      <c r="R2112">
        <v>0.2</v>
      </c>
      <c r="S2112">
        <v>7.4</v>
      </c>
      <c r="T2112">
        <v>6.5</v>
      </c>
      <c r="U2112" t="s">
        <v>27</v>
      </c>
      <c r="V2112" t="s">
        <v>27</v>
      </c>
      <c r="W2112">
        <v>0.82499999999999996</v>
      </c>
      <c r="X2112">
        <v>1.1160000000000001</v>
      </c>
      <c r="Y2112" t="s">
        <v>27</v>
      </c>
      <c r="Z2112" t="s">
        <v>27</v>
      </c>
      <c r="AA2112" t="s">
        <v>27</v>
      </c>
      <c r="AB2112" t="s">
        <v>27</v>
      </c>
      <c r="AC2112" t="s">
        <v>27</v>
      </c>
      <c r="AD2112" t="s">
        <v>27</v>
      </c>
      <c r="AE2112" t="s">
        <v>27</v>
      </c>
      <c r="AF2112" t="s">
        <v>27</v>
      </c>
      <c r="AG2112">
        <v>13.78</v>
      </c>
    </row>
    <row r="2113" spans="1:33" x14ac:dyDescent="0.25">
      <c r="A2113" t="s">
        <v>57</v>
      </c>
      <c r="B2113" s="3">
        <v>45574</v>
      </c>
      <c r="C2113">
        <v>2024283</v>
      </c>
      <c r="D2113">
        <v>4.97</v>
      </c>
      <c r="E2113" t="s">
        <v>27</v>
      </c>
      <c r="F2113">
        <v>5.3</v>
      </c>
      <c r="G2113">
        <v>10.6</v>
      </c>
      <c r="H2113">
        <v>-2.6</v>
      </c>
      <c r="I2113">
        <v>78.599999999999994</v>
      </c>
      <c r="J2113">
        <v>50.1</v>
      </c>
      <c r="K2113">
        <v>0.6</v>
      </c>
      <c r="L2113">
        <v>2.5</v>
      </c>
      <c r="M2113">
        <v>0.3</v>
      </c>
      <c r="N2113">
        <v>0</v>
      </c>
      <c r="O2113" t="s">
        <v>27</v>
      </c>
      <c r="P2113">
        <v>4.4000000000000004</v>
      </c>
      <c r="Q2113">
        <v>10.7</v>
      </c>
      <c r="R2113">
        <v>-3.7</v>
      </c>
      <c r="S2113">
        <v>5</v>
      </c>
      <c r="T2113">
        <v>6.9</v>
      </c>
      <c r="U2113" t="s">
        <v>27</v>
      </c>
      <c r="V2113" t="s">
        <v>27</v>
      </c>
      <c r="W2113">
        <v>0.63800000000000001</v>
      </c>
      <c r="X2113">
        <v>0.63500000000000001</v>
      </c>
      <c r="Y2113" t="s">
        <v>27</v>
      </c>
      <c r="Z2113" t="s">
        <v>27</v>
      </c>
      <c r="AA2113" t="s">
        <v>27</v>
      </c>
      <c r="AB2113" t="s">
        <v>27</v>
      </c>
      <c r="AC2113" t="s">
        <v>27</v>
      </c>
      <c r="AD2113" t="s">
        <v>27</v>
      </c>
      <c r="AE2113" t="s">
        <v>27</v>
      </c>
      <c r="AF2113" t="s">
        <v>27</v>
      </c>
      <c r="AG2113">
        <v>13.55</v>
      </c>
    </row>
    <row r="2114" spans="1:33" x14ac:dyDescent="0.25">
      <c r="A2114" t="s">
        <v>57</v>
      </c>
      <c r="B2114" s="3">
        <v>45575</v>
      </c>
      <c r="C2114">
        <v>2024284</v>
      </c>
      <c r="D2114">
        <v>12</v>
      </c>
      <c r="E2114" t="s">
        <v>27</v>
      </c>
      <c r="F2114">
        <v>1.6</v>
      </c>
      <c r="G2114">
        <v>9.8000000000000007</v>
      </c>
      <c r="H2114">
        <v>-3.7</v>
      </c>
      <c r="I2114">
        <v>73.3</v>
      </c>
      <c r="J2114">
        <v>40.1</v>
      </c>
      <c r="K2114">
        <v>0.5</v>
      </c>
      <c r="L2114">
        <v>2.1</v>
      </c>
      <c r="M2114">
        <v>0</v>
      </c>
      <c r="N2114">
        <v>0</v>
      </c>
      <c r="O2114" t="s">
        <v>27</v>
      </c>
      <c r="P2114">
        <v>1.1000000000000001</v>
      </c>
      <c r="Q2114">
        <v>14.7</v>
      </c>
      <c r="R2114">
        <v>-5.2</v>
      </c>
      <c r="S2114">
        <v>1.5</v>
      </c>
      <c r="T2114">
        <v>5.0999999999999996</v>
      </c>
      <c r="U2114" t="s">
        <v>27</v>
      </c>
      <c r="V2114" t="s">
        <v>27</v>
      </c>
      <c r="W2114">
        <v>0.48699999999999999</v>
      </c>
      <c r="X2114">
        <v>0.72699999999999998</v>
      </c>
      <c r="Y2114" t="s">
        <v>27</v>
      </c>
      <c r="Z2114" t="s">
        <v>27</v>
      </c>
      <c r="AA2114" t="s">
        <v>27</v>
      </c>
      <c r="AB2114" t="s">
        <v>27</v>
      </c>
      <c r="AC2114" t="s">
        <v>27</v>
      </c>
      <c r="AD2114" t="s">
        <v>27</v>
      </c>
      <c r="AE2114" t="s">
        <v>27</v>
      </c>
      <c r="AF2114" t="s">
        <v>27</v>
      </c>
      <c r="AG2114">
        <v>13.32</v>
      </c>
    </row>
    <row r="2115" spans="1:33" x14ac:dyDescent="0.25">
      <c r="A2115" t="s">
        <v>57</v>
      </c>
      <c r="B2115" s="3">
        <v>45576</v>
      </c>
      <c r="C2115">
        <v>2024285</v>
      </c>
      <c r="D2115">
        <v>10.01</v>
      </c>
      <c r="E2115" t="s">
        <v>27</v>
      </c>
      <c r="F2115">
        <v>2</v>
      </c>
      <c r="G2115">
        <v>13.3</v>
      </c>
      <c r="H2115">
        <v>-4.4000000000000004</v>
      </c>
      <c r="I2115">
        <v>71.2</v>
      </c>
      <c r="J2115">
        <v>31.3</v>
      </c>
      <c r="K2115">
        <v>0.3</v>
      </c>
      <c r="L2115">
        <v>1.5</v>
      </c>
      <c r="M2115">
        <v>0</v>
      </c>
      <c r="N2115">
        <v>0</v>
      </c>
      <c r="O2115" t="s">
        <v>27</v>
      </c>
      <c r="P2115">
        <v>1.6</v>
      </c>
      <c r="Q2115">
        <v>15</v>
      </c>
      <c r="R2115">
        <v>-5.7</v>
      </c>
      <c r="S2115">
        <v>1.9</v>
      </c>
      <c r="T2115">
        <v>4.5</v>
      </c>
      <c r="U2115" t="s">
        <v>27</v>
      </c>
      <c r="V2115" t="s">
        <v>27</v>
      </c>
      <c r="W2115">
        <v>0.47699999999999998</v>
      </c>
      <c r="X2115">
        <v>1.0469999999999999</v>
      </c>
      <c r="Y2115" t="s">
        <v>27</v>
      </c>
      <c r="Z2115" t="s">
        <v>27</v>
      </c>
      <c r="AA2115" t="s">
        <v>27</v>
      </c>
      <c r="AB2115" t="s">
        <v>27</v>
      </c>
      <c r="AC2115" t="s">
        <v>27</v>
      </c>
      <c r="AD2115" t="s">
        <v>27</v>
      </c>
      <c r="AE2115" t="s">
        <v>27</v>
      </c>
      <c r="AF2115" t="s">
        <v>27</v>
      </c>
      <c r="AG2115">
        <v>13.09</v>
      </c>
    </row>
    <row r="2116" spans="1:33" x14ac:dyDescent="0.25">
      <c r="A2116" t="s">
        <v>57</v>
      </c>
      <c r="B2116" s="3">
        <v>45577</v>
      </c>
      <c r="C2116">
        <v>2024286</v>
      </c>
      <c r="D2116">
        <v>13.58</v>
      </c>
      <c r="E2116" t="s">
        <v>27</v>
      </c>
      <c r="F2116">
        <v>5.5</v>
      </c>
      <c r="G2116">
        <v>17.399999999999999</v>
      </c>
      <c r="H2116">
        <v>-2.6</v>
      </c>
      <c r="I2116">
        <v>65.7</v>
      </c>
      <c r="J2116">
        <v>29.3</v>
      </c>
      <c r="K2116">
        <v>0.3</v>
      </c>
      <c r="L2116">
        <v>1.6</v>
      </c>
      <c r="M2116">
        <v>0</v>
      </c>
      <c r="N2116">
        <v>0</v>
      </c>
      <c r="O2116" t="s">
        <v>27</v>
      </c>
      <c r="P2116">
        <v>5.0999999999999996</v>
      </c>
      <c r="Q2116">
        <v>20.6</v>
      </c>
      <c r="R2116">
        <v>-3.8</v>
      </c>
      <c r="S2116">
        <v>3.2</v>
      </c>
      <c r="T2116">
        <v>4.5999999999999996</v>
      </c>
      <c r="U2116" t="s">
        <v>27</v>
      </c>
      <c r="V2116" t="s">
        <v>27</v>
      </c>
      <c r="W2116">
        <v>0.58399999999999996</v>
      </c>
      <c r="X2116">
        <v>1.409</v>
      </c>
      <c r="Y2116" t="s">
        <v>27</v>
      </c>
      <c r="Z2116" t="s">
        <v>27</v>
      </c>
      <c r="AA2116" t="s">
        <v>27</v>
      </c>
      <c r="AB2116" t="s">
        <v>27</v>
      </c>
      <c r="AC2116" t="s">
        <v>27</v>
      </c>
      <c r="AD2116" t="s">
        <v>27</v>
      </c>
      <c r="AE2116" t="s">
        <v>27</v>
      </c>
      <c r="AF2116" t="s">
        <v>27</v>
      </c>
      <c r="AG2116">
        <v>12.87</v>
      </c>
    </row>
    <row r="2117" spans="1:33" x14ac:dyDescent="0.25">
      <c r="A2117" t="s">
        <v>57</v>
      </c>
      <c r="B2117" s="3">
        <v>45578</v>
      </c>
      <c r="C2117">
        <v>2024287</v>
      </c>
      <c r="D2117">
        <v>13.41</v>
      </c>
      <c r="E2117" t="s">
        <v>27</v>
      </c>
      <c r="F2117">
        <v>7.2</v>
      </c>
      <c r="G2117">
        <v>18.899999999999999</v>
      </c>
      <c r="H2117">
        <v>-1.5</v>
      </c>
      <c r="I2117">
        <v>66.3</v>
      </c>
      <c r="J2117">
        <v>29.3</v>
      </c>
      <c r="K2117">
        <v>0.4</v>
      </c>
      <c r="L2117">
        <v>2.2999999999999998</v>
      </c>
      <c r="M2117">
        <v>0</v>
      </c>
      <c r="N2117">
        <v>0</v>
      </c>
      <c r="O2117" t="s">
        <v>27</v>
      </c>
      <c r="P2117">
        <v>6.5</v>
      </c>
      <c r="Q2117">
        <v>20.9</v>
      </c>
      <c r="R2117">
        <v>-2.6</v>
      </c>
      <c r="S2117">
        <v>4.2</v>
      </c>
      <c r="T2117">
        <v>5</v>
      </c>
      <c r="U2117" t="s">
        <v>27</v>
      </c>
      <c r="V2117" t="s">
        <v>27</v>
      </c>
      <c r="W2117">
        <v>0.63900000000000001</v>
      </c>
      <c r="X2117">
        <v>1.542</v>
      </c>
      <c r="Y2117" t="s">
        <v>27</v>
      </c>
      <c r="Z2117" t="s">
        <v>27</v>
      </c>
      <c r="AA2117" t="s">
        <v>27</v>
      </c>
      <c r="AB2117" t="s">
        <v>27</v>
      </c>
      <c r="AC2117" t="s">
        <v>27</v>
      </c>
      <c r="AD2117" t="s">
        <v>27</v>
      </c>
      <c r="AE2117" t="s">
        <v>27</v>
      </c>
      <c r="AF2117" t="s">
        <v>27</v>
      </c>
      <c r="AG2117">
        <v>12.65</v>
      </c>
    </row>
    <row r="2118" spans="1:33" x14ac:dyDescent="0.25">
      <c r="A2118" t="s">
        <v>57</v>
      </c>
      <c r="B2118" s="3">
        <v>45579</v>
      </c>
      <c r="C2118">
        <v>2024288</v>
      </c>
      <c r="D2118">
        <v>9.0500000000000007</v>
      </c>
      <c r="E2118" t="s">
        <v>27</v>
      </c>
      <c r="F2118">
        <v>7.1</v>
      </c>
      <c r="G2118">
        <v>16.8</v>
      </c>
      <c r="H2118">
        <v>-0.1</v>
      </c>
      <c r="I2118">
        <v>76.400000000000006</v>
      </c>
      <c r="J2118">
        <v>38</v>
      </c>
      <c r="K2118">
        <v>0.3</v>
      </c>
      <c r="L2118">
        <v>2.1</v>
      </c>
      <c r="M2118">
        <v>0.1</v>
      </c>
      <c r="N2118">
        <v>0</v>
      </c>
      <c r="O2118" t="s">
        <v>27</v>
      </c>
      <c r="P2118">
        <v>6.5</v>
      </c>
      <c r="Q2118">
        <v>18.899999999999999</v>
      </c>
      <c r="R2118">
        <v>-1.3</v>
      </c>
      <c r="S2118">
        <v>5.6</v>
      </c>
      <c r="T2118">
        <v>5.4</v>
      </c>
      <c r="U2118" t="s">
        <v>27</v>
      </c>
      <c r="V2118" t="s">
        <v>27</v>
      </c>
      <c r="W2118">
        <v>0.72499999999999998</v>
      </c>
      <c r="X2118">
        <v>1.1830000000000001</v>
      </c>
      <c r="Y2118" t="s">
        <v>27</v>
      </c>
      <c r="Z2118" t="s">
        <v>27</v>
      </c>
      <c r="AA2118" t="s">
        <v>27</v>
      </c>
      <c r="AB2118" t="s">
        <v>27</v>
      </c>
      <c r="AC2118" t="s">
        <v>27</v>
      </c>
      <c r="AD2118" t="s">
        <v>27</v>
      </c>
      <c r="AE2118" t="s">
        <v>27</v>
      </c>
      <c r="AF2118" t="s">
        <v>27</v>
      </c>
      <c r="AG2118">
        <v>12.43</v>
      </c>
    </row>
    <row r="2119" spans="1:33" x14ac:dyDescent="0.25">
      <c r="A2119" t="s">
        <v>57</v>
      </c>
      <c r="B2119" s="3">
        <v>45580</v>
      </c>
      <c r="C2119">
        <v>2024289</v>
      </c>
      <c r="D2119">
        <v>4.53</v>
      </c>
      <c r="E2119" t="s">
        <v>27</v>
      </c>
      <c r="F2119">
        <v>7.2</v>
      </c>
      <c r="G2119">
        <v>11.8</v>
      </c>
      <c r="H2119">
        <v>4.8</v>
      </c>
      <c r="I2119">
        <v>89.8</v>
      </c>
      <c r="J2119">
        <v>66.7</v>
      </c>
      <c r="K2119">
        <v>0.2</v>
      </c>
      <c r="L2119">
        <v>1.8</v>
      </c>
      <c r="M2119">
        <v>8.6</v>
      </c>
      <c r="N2119">
        <v>0</v>
      </c>
      <c r="O2119" t="s">
        <v>27</v>
      </c>
      <c r="P2119">
        <v>6.6</v>
      </c>
      <c r="Q2119">
        <v>12.7</v>
      </c>
      <c r="R2119">
        <v>4</v>
      </c>
      <c r="S2119">
        <v>7.4</v>
      </c>
      <c r="T2119">
        <v>6.6</v>
      </c>
      <c r="U2119" t="s">
        <v>27</v>
      </c>
      <c r="V2119" t="s">
        <v>27</v>
      </c>
      <c r="W2119">
        <v>0.92</v>
      </c>
      <c r="X2119">
        <v>0.45900000000000002</v>
      </c>
      <c r="Y2119" t="s">
        <v>27</v>
      </c>
      <c r="Z2119" t="s">
        <v>27</v>
      </c>
      <c r="AA2119" t="s">
        <v>27</v>
      </c>
      <c r="AB2119" t="s">
        <v>27</v>
      </c>
      <c r="AC2119" t="s">
        <v>27</v>
      </c>
      <c r="AD2119" t="s">
        <v>27</v>
      </c>
      <c r="AE2119" t="s">
        <v>27</v>
      </c>
      <c r="AF2119" t="s">
        <v>27</v>
      </c>
      <c r="AG2119">
        <v>12.21</v>
      </c>
    </row>
    <row r="2120" spans="1:33" x14ac:dyDescent="0.25">
      <c r="A2120" t="s">
        <v>57</v>
      </c>
      <c r="B2120" s="3">
        <v>45581</v>
      </c>
      <c r="C2120">
        <v>2024290</v>
      </c>
      <c r="D2120">
        <v>6.34</v>
      </c>
      <c r="E2120" t="s">
        <v>27</v>
      </c>
      <c r="F2120">
        <v>2.4</v>
      </c>
      <c r="G2120">
        <v>7</v>
      </c>
      <c r="H2120">
        <v>-2.1</v>
      </c>
      <c r="I2120">
        <v>85.7</v>
      </c>
      <c r="J2120">
        <v>57.2</v>
      </c>
      <c r="K2120">
        <v>0.9</v>
      </c>
      <c r="L2120">
        <v>3.2</v>
      </c>
      <c r="M2120">
        <v>5.6</v>
      </c>
      <c r="N2120">
        <v>0</v>
      </c>
      <c r="O2120" t="s">
        <v>27</v>
      </c>
      <c r="P2120">
        <v>1.6</v>
      </c>
      <c r="Q2120">
        <v>7.6</v>
      </c>
      <c r="R2120">
        <v>-3.3</v>
      </c>
      <c r="S2120">
        <v>3.5</v>
      </c>
      <c r="T2120">
        <v>6</v>
      </c>
      <c r="U2120" t="s">
        <v>27</v>
      </c>
      <c r="V2120" t="s">
        <v>27</v>
      </c>
      <c r="W2120">
        <v>0.57199999999999995</v>
      </c>
      <c r="X2120">
        <v>0.42799999999999999</v>
      </c>
      <c r="Y2120" t="s">
        <v>27</v>
      </c>
      <c r="Z2120" t="s">
        <v>27</v>
      </c>
      <c r="AA2120" t="s">
        <v>27</v>
      </c>
      <c r="AB2120" t="s">
        <v>27</v>
      </c>
      <c r="AC2120" t="s">
        <v>27</v>
      </c>
      <c r="AD2120" t="s">
        <v>27</v>
      </c>
      <c r="AE2120" t="s">
        <v>27</v>
      </c>
      <c r="AF2120" t="s">
        <v>27</v>
      </c>
      <c r="AG2120">
        <v>11.99</v>
      </c>
    </row>
    <row r="2121" spans="1:33" x14ac:dyDescent="0.25">
      <c r="A2121" t="s">
        <v>57</v>
      </c>
      <c r="B2121" s="3">
        <v>45582</v>
      </c>
      <c r="C2121">
        <v>2024291</v>
      </c>
      <c r="D2121">
        <v>3.96</v>
      </c>
      <c r="E2121" t="s">
        <v>27</v>
      </c>
      <c r="F2121">
        <v>-1.4</v>
      </c>
      <c r="G2121">
        <v>3.8</v>
      </c>
      <c r="H2121">
        <v>-5.9</v>
      </c>
      <c r="I2121">
        <v>83.9</v>
      </c>
      <c r="J2121">
        <v>50.2</v>
      </c>
      <c r="K2121">
        <v>0.5</v>
      </c>
      <c r="L2121">
        <v>2.2999999999999998</v>
      </c>
      <c r="M2121">
        <v>0.9</v>
      </c>
      <c r="N2121">
        <v>0</v>
      </c>
      <c r="O2121" t="s">
        <v>27</v>
      </c>
      <c r="P2121">
        <v>-2</v>
      </c>
      <c r="Q2121">
        <v>4.9000000000000004</v>
      </c>
      <c r="R2121">
        <v>-7.2</v>
      </c>
      <c r="S2121">
        <v>0.4</v>
      </c>
      <c r="T2121">
        <v>4</v>
      </c>
      <c r="U2121" t="s">
        <v>27</v>
      </c>
      <c r="V2121" t="s">
        <v>27</v>
      </c>
      <c r="W2121">
        <v>0.40200000000000002</v>
      </c>
      <c r="X2121">
        <v>0.39900000000000002</v>
      </c>
      <c r="Y2121" t="s">
        <v>27</v>
      </c>
      <c r="Z2121" t="s">
        <v>27</v>
      </c>
      <c r="AA2121" t="s">
        <v>27</v>
      </c>
      <c r="AB2121" t="s">
        <v>27</v>
      </c>
      <c r="AC2121" t="s">
        <v>27</v>
      </c>
      <c r="AD2121" t="s">
        <v>27</v>
      </c>
      <c r="AE2121" t="s">
        <v>27</v>
      </c>
      <c r="AF2121" t="s">
        <v>27</v>
      </c>
      <c r="AG2121">
        <v>11.78</v>
      </c>
    </row>
    <row r="2122" spans="1:33" x14ac:dyDescent="0.25">
      <c r="A2122" t="s">
        <v>57</v>
      </c>
      <c r="B2122" s="3">
        <v>45583</v>
      </c>
      <c r="C2122">
        <v>2024292</v>
      </c>
      <c r="D2122">
        <v>0.55000000000000004</v>
      </c>
      <c r="E2122" t="s">
        <v>27</v>
      </c>
      <c r="F2122">
        <v>-2.6</v>
      </c>
      <c r="G2122">
        <v>0.3</v>
      </c>
      <c r="H2122">
        <v>-7</v>
      </c>
      <c r="I2122">
        <v>90.7</v>
      </c>
      <c r="J2122">
        <v>73.900000000000006</v>
      </c>
      <c r="K2122">
        <v>0.5</v>
      </c>
      <c r="L2122">
        <v>2.7</v>
      </c>
      <c r="M2122">
        <v>0</v>
      </c>
      <c r="N2122">
        <v>0</v>
      </c>
      <c r="O2122" t="s">
        <v>27</v>
      </c>
      <c r="P2122">
        <v>-3.2</v>
      </c>
      <c r="Q2122">
        <v>-0.1</v>
      </c>
      <c r="R2122">
        <v>-8.1999999999999993</v>
      </c>
      <c r="S2122">
        <v>-0.2</v>
      </c>
      <c r="T2122">
        <v>3.1</v>
      </c>
      <c r="U2122" t="s">
        <v>27</v>
      </c>
      <c r="V2122" t="s">
        <v>27</v>
      </c>
      <c r="W2122">
        <v>0.46200000000000002</v>
      </c>
      <c r="X2122">
        <v>0.16300000000000001</v>
      </c>
      <c r="Y2122" t="s">
        <v>27</v>
      </c>
      <c r="Z2122" t="s">
        <v>27</v>
      </c>
      <c r="AA2122" t="s">
        <v>27</v>
      </c>
      <c r="AB2122" t="s">
        <v>27</v>
      </c>
      <c r="AC2122" t="s">
        <v>27</v>
      </c>
      <c r="AD2122" t="s">
        <v>27</v>
      </c>
      <c r="AE2122" t="s">
        <v>27</v>
      </c>
      <c r="AF2122" t="s">
        <v>27</v>
      </c>
      <c r="AG2122">
        <v>11.57</v>
      </c>
    </row>
    <row r="2123" spans="1:33" x14ac:dyDescent="0.25">
      <c r="A2123" t="s">
        <v>57</v>
      </c>
      <c r="B2123" s="3">
        <v>45584</v>
      </c>
      <c r="C2123">
        <v>2024293</v>
      </c>
      <c r="D2123">
        <v>1.64</v>
      </c>
      <c r="E2123" t="s">
        <v>27</v>
      </c>
      <c r="F2123">
        <v>2.2000000000000002</v>
      </c>
      <c r="G2123">
        <v>5.5</v>
      </c>
      <c r="H2123">
        <v>-0.5</v>
      </c>
      <c r="I2123">
        <v>95.8</v>
      </c>
      <c r="J2123">
        <v>94.1</v>
      </c>
      <c r="K2123">
        <v>0.3</v>
      </c>
      <c r="L2123">
        <v>1.7</v>
      </c>
      <c r="M2123">
        <v>18.3</v>
      </c>
      <c r="N2123">
        <v>0</v>
      </c>
      <c r="O2123" t="s">
        <v>27</v>
      </c>
      <c r="P2123">
        <v>1.6</v>
      </c>
      <c r="Q2123">
        <v>4.4000000000000004</v>
      </c>
      <c r="R2123">
        <v>-0.9</v>
      </c>
      <c r="S2123">
        <v>0.1</v>
      </c>
      <c r="T2123">
        <v>2.7</v>
      </c>
      <c r="U2123" t="s">
        <v>27</v>
      </c>
      <c r="V2123" t="s">
        <v>27</v>
      </c>
      <c r="W2123">
        <v>0.85</v>
      </c>
      <c r="X2123">
        <v>5.2999999999999999E-2</v>
      </c>
      <c r="Y2123" t="s">
        <v>27</v>
      </c>
      <c r="Z2123" t="s">
        <v>27</v>
      </c>
      <c r="AA2123" t="s">
        <v>27</v>
      </c>
      <c r="AB2123" t="s">
        <v>27</v>
      </c>
      <c r="AC2123" t="s">
        <v>27</v>
      </c>
      <c r="AD2123" t="s">
        <v>27</v>
      </c>
      <c r="AE2123" t="s">
        <v>27</v>
      </c>
      <c r="AF2123" t="s">
        <v>27</v>
      </c>
      <c r="AG2123">
        <v>11.36</v>
      </c>
    </row>
    <row r="2124" spans="1:33" x14ac:dyDescent="0.25">
      <c r="A2124" t="s">
        <v>57</v>
      </c>
      <c r="B2124" s="3">
        <v>45585</v>
      </c>
      <c r="C2124">
        <v>2024294</v>
      </c>
      <c r="D2124">
        <v>4.45</v>
      </c>
      <c r="E2124" t="s">
        <v>27</v>
      </c>
      <c r="F2124">
        <v>6.6</v>
      </c>
      <c r="G2124">
        <v>10</v>
      </c>
      <c r="H2124">
        <v>2.5</v>
      </c>
      <c r="I2124">
        <v>90.6</v>
      </c>
      <c r="J2124">
        <v>72.7</v>
      </c>
      <c r="K2124">
        <v>1</v>
      </c>
      <c r="L2124">
        <v>3.2</v>
      </c>
      <c r="M2124">
        <v>7.1</v>
      </c>
      <c r="N2124">
        <v>0</v>
      </c>
      <c r="O2124" t="s">
        <v>27</v>
      </c>
      <c r="P2124">
        <v>5.6</v>
      </c>
      <c r="Q2124">
        <v>8.6</v>
      </c>
      <c r="R2124">
        <v>1.8</v>
      </c>
      <c r="S2124">
        <v>3.6</v>
      </c>
      <c r="T2124">
        <v>3.3</v>
      </c>
      <c r="U2124" t="s">
        <v>27</v>
      </c>
      <c r="V2124" t="s">
        <v>27</v>
      </c>
      <c r="W2124">
        <v>0.89300000000000002</v>
      </c>
      <c r="X2124">
        <v>0.33500000000000002</v>
      </c>
      <c r="Y2124" t="s">
        <v>27</v>
      </c>
      <c r="Z2124" t="s">
        <v>27</v>
      </c>
      <c r="AA2124" t="s">
        <v>27</v>
      </c>
      <c r="AB2124" t="s">
        <v>27</v>
      </c>
      <c r="AC2124" t="s">
        <v>27</v>
      </c>
      <c r="AD2124" t="s">
        <v>27</v>
      </c>
      <c r="AE2124" t="s">
        <v>27</v>
      </c>
      <c r="AF2124" t="s">
        <v>27</v>
      </c>
      <c r="AG2124">
        <v>11.15</v>
      </c>
    </row>
    <row r="2125" spans="1:33" x14ac:dyDescent="0.25">
      <c r="A2125" t="s">
        <v>57</v>
      </c>
      <c r="B2125" s="3">
        <v>45586</v>
      </c>
      <c r="C2125">
        <v>2024295</v>
      </c>
      <c r="D2125">
        <v>4.1500000000000004</v>
      </c>
      <c r="E2125" t="s">
        <v>27</v>
      </c>
      <c r="F2125">
        <v>2</v>
      </c>
      <c r="G2125">
        <v>5.8</v>
      </c>
      <c r="H2125">
        <v>-1.3</v>
      </c>
      <c r="I2125">
        <v>87.2</v>
      </c>
      <c r="J2125">
        <v>62</v>
      </c>
      <c r="K2125">
        <v>0.4</v>
      </c>
      <c r="L2125">
        <v>1.6</v>
      </c>
      <c r="M2125">
        <v>0</v>
      </c>
      <c r="N2125">
        <v>0</v>
      </c>
      <c r="O2125" t="s">
        <v>27</v>
      </c>
      <c r="P2125">
        <v>1.3</v>
      </c>
      <c r="Q2125">
        <v>7.7</v>
      </c>
      <c r="R2125">
        <v>-2.4</v>
      </c>
      <c r="S2125">
        <v>2.8</v>
      </c>
      <c r="T2125">
        <v>4.2</v>
      </c>
      <c r="U2125" t="s">
        <v>27</v>
      </c>
      <c r="V2125" t="s">
        <v>27</v>
      </c>
      <c r="W2125">
        <v>0.57299999999999995</v>
      </c>
      <c r="X2125">
        <v>0.35099999999999998</v>
      </c>
      <c r="Y2125" t="s">
        <v>27</v>
      </c>
      <c r="Z2125" t="s">
        <v>27</v>
      </c>
      <c r="AA2125" t="s">
        <v>27</v>
      </c>
      <c r="AB2125" t="s">
        <v>27</v>
      </c>
      <c r="AC2125" t="s">
        <v>27</v>
      </c>
      <c r="AD2125" t="s">
        <v>27</v>
      </c>
      <c r="AE2125" t="s">
        <v>27</v>
      </c>
      <c r="AF2125" t="s">
        <v>27</v>
      </c>
      <c r="AG2125">
        <v>10.95</v>
      </c>
    </row>
    <row r="2126" spans="1:33" x14ac:dyDescent="0.25">
      <c r="A2126" t="s">
        <v>57</v>
      </c>
      <c r="B2126" s="3">
        <v>45587</v>
      </c>
      <c r="C2126">
        <v>2024296</v>
      </c>
      <c r="D2126">
        <v>6.31</v>
      </c>
      <c r="E2126" t="s">
        <v>27</v>
      </c>
      <c r="F2126">
        <v>-0.5</v>
      </c>
      <c r="G2126">
        <v>5.0999999999999996</v>
      </c>
      <c r="H2126">
        <v>-4.4000000000000004</v>
      </c>
      <c r="I2126">
        <v>88</v>
      </c>
      <c r="J2126">
        <v>57.4</v>
      </c>
      <c r="K2126">
        <v>0.2</v>
      </c>
      <c r="L2126">
        <v>1.9</v>
      </c>
      <c r="M2126">
        <v>3.3</v>
      </c>
      <c r="N2126">
        <v>0</v>
      </c>
      <c r="O2126" t="s">
        <v>27</v>
      </c>
      <c r="P2126">
        <v>-1.3</v>
      </c>
      <c r="Q2126">
        <v>5.2</v>
      </c>
      <c r="R2126">
        <v>-5.6</v>
      </c>
      <c r="S2126">
        <v>0.5</v>
      </c>
      <c r="T2126">
        <v>3.2</v>
      </c>
      <c r="U2126" t="s">
        <v>27</v>
      </c>
      <c r="V2126" t="s">
        <v>27</v>
      </c>
      <c r="W2126">
        <v>0.504</v>
      </c>
      <c r="X2126">
        <v>0.374</v>
      </c>
      <c r="Y2126" t="s">
        <v>27</v>
      </c>
      <c r="Z2126" t="s">
        <v>27</v>
      </c>
      <c r="AA2126" t="s">
        <v>27</v>
      </c>
      <c r="AB2126" t="s">
        <v>27</v>
      </c>
      <c r="AC2126" t="s">
        <v>27</v>
      </c>
      <c r="AD2126" t="s">
        <v>27</v>
      </c>
      <c r="AE2126" t="s">
        <v>27</v>
      </c>
      <c r="AF2126" t="s">
        <v>27</v>
      </c>
      <c r="AG2126">
        <v>10.75</v>
      </c>
    </row>
    <row r="2127" spans="1:33" x14ac:dyDescent="0.25">
      <c r="A2127" t="s">
        <v>57</v>
      </c>
      <c r="B2127" s="3">
        <v>45588</v>
      </c>
      <c r="C2127">
        <v>2024297</v>
      </c>
      <c r="D2127">
        <v>7.65</v>
      </c>
      <c r="E2127" t="s">
        <v>27</v>
      </c>
      <c r="F2127">
        <v>-1.5</v>
      </c>
      <c r="G2127">
        <v>4.7</v>
      </c>
      <c r="H2127">
        <v>-6.2</v>
      </c>
      <c r="I2127">
        <v>77.2</v>
      </c>
      <c r="J2127">
        <v>52.7</v>
      </c>
      <c r="K2127">
        <v>0.8</v>
      </c>
      <c r="L2127">
        <v>3.3</v>
      </c>
      <c r="M2127">
        <v>0.3</v>
      </c>
      <c r="N2127">
        <v>0</v>
      </c>
      <c r="O2127" t="s">
        <v>27</v>
      </c>
      <c r="P2127">
        <v>-2.5</v>
      </c>
      <c r="Q2127">
        <v>5.7</v>
      </c>
      <c r="R2127">
        <v>-7.4</v>
      </c>
      <c r="S2127">
        <v>-0.6</v>
      </c>
      <c r="T2127">
        <v>2.5</v>
      </c>
      <c r="U2127" t="s">
        <v>27</v>
      </c>
      <c r="V2127" t="s">
        <v>27</v>
      </c>
      <c r="W2127">
        <v>0.45100000000000001</v>
      </c>
      <c r="X2127">
        <v>0.40500000000000003</v>
      </c>
      <c r="Y2127" t="s">
        <v>27</v>
      </c>
      <c r="Z2127" t="s">
        <v>27</v>
      </c>
      <c r="AA2127" t="s">
        <v>27</v>
      </c>
      <c r="AB2127" t="s">
        <v>27</v>
      </c>
      <c r="AC2127" t="s">
        <v>27</v>
      </c>
      <c r="AD2127" t="s">
        <v>27</v>
      </c>
      <c r="AE2127" t="s">
        <v>27</v>
      </c>
      <c r="AF2127" t="s">
        <v>27</v>
      </c>
      <c r="AG2127">
        <v>10.55</v>
      </c>
    </row>
    <row r="2128" spans="1:33" x14ac:dyDescent="0.25">
      <c r="A2128" t="s">
        <v>57</v>
      </c>
      <c r="B2128" s="3">
        <v>45589</v>
      </c>
      <c r="C2128">
        <v>2024298</v>
      </c>
      <c r="D2128">
        <v>4.67</v>
      </c>
      <c r="E2128" t="s">
        <v>27</v>
      </c>
      <c r="F2128">
        <v>-1.8</v>
      </c>
      <c r="G2128">
        <v>3.2</v>
      </c>
      <c r="H2128">
        <v>-6.2</v>
      </c>
      <c r="I2128">
        <v>73.7</v>
      </c>
      <c r="J2128">
        <v>47.4</v>
      </c>
      <c r="K2128">
        <v>0.9</v>
      </c>
      <c r="L2128">
        <v>3.3</v>
      </c>
      <c r="M2128">
        <v>0</v>
      </c>
      <c r="N2128">
        <v>0</v>
      </c>
      <c r="O2128" t="s">
        <v>27</v>
      </c>
      <c r="P2128">
        <v>-2.5</v>
      </c>
      <c r="Q2128">
        <v>4.0999999999999996</v>
      </c>
      <c r="R2128">
        <v>-7.3</v>
      </c>
      <c r="S2128">
        <v>-1.1000000000000001</v>
      </c>
      <c r="T2128">
        <v>2</v>
      </c>
      <c r="U2128" t="s">
        <v>27</v>
      </c>
      <c r="V2128" t="s">
        <v>27</v>
      </c>
      <c r="W2128">
        <v>0.36499999999999999</v>
      </c>
      <c r="X2128">
        <v>0.40500000000000003</v>
      </c>
      <c r="Y2128" t="s">
        <v>27</v>
      </c>
      <c r="Z2128" t="s">
        <v>27</v>
      </c>
      <c r="AA2128" t="s">
        <v>27</v>
      </c>
      <c r="AB2128" t="s">
        <v>27</v>
      </c>
      <c r="AC2128" t="s">
        <v>27</v>
      </c>
      <c r="AD2128" t="s">
        <v>27</v>
      </c>
      <c r="AE2128" t="s">
        <v>27</v>
      </c>
      <c r="AF2128" t="s">
        <v>27</v>
      </c>
      <c r="AG2128">
        <v>10.36</v>
      </c>
    </row>
    <row r="2129" spans="1:33" x14ac:dyDescent="0.25">
      <c r="A2129" t="s">
        <v>57</v>
      </c>
      <c r="B2129" s="3">
        <v>45590</v>
      </c>
      <c r="C2129">
        <v>2024299</v>
      </c>
      <c r="D2129">
        <v>3.8</v>
      </c>
      <c r="E2129" t="s">
        <v>27</v>
      </c>
      <c r="F2129">
        <v>-1.2</v>
      </c>
      <c r="G2129">
        <v>2.1</v>
      </c>
      <c r="H2129">
        <v>-6.7</v>
      </c>
      <c r="I2129">
        <v>71.8</v>
      </c>
      <c r="J2129">
        <v>53.4</v>
      </c>
      <c r="K2129">
        <v>0.8</v>
      </c>
      <c r="L2129">
        <v>2.1</v>
      </c>
      <c r="M2129">
        <v>0</v>
      </c>
      <c r="N2129">
        <v>0</v>
      </c>
      <c r="O2129" t="s">
        <v>27</v>
      </c>
      <c r="P2129">
        <v>-2.1</v>
      </c>
      <c r="Q2129">
        <v>2.2000000000000002</v>
      </c>
      <c r="R2129">
        <v>-7.7</v>
      </c>
      <c r="S2129">
        <v>-1.5</v>
      </c>
      <c r="T2129">
        <v>1.5</v>
      </c>
      <c r="U2129" t="s">
        <v>27</v>
      </c>
      <c r="V2129" t="s">
        <v>27</v>
      </c>
      <c r="W2129">
        <v>0.379</v>
      </c>
      <c r="X2129">
        <v>0.33100000000000002</v>
      </c>
      <c r="Y2129" t="s">
        <v>27</v>
      </c>
      <c r="Z2129" t="s">
        <v>27</v>
      </c>
      <c r="AA2129" t="s">
        <v>27</v>
      </c>
      <c r="AB2129" t="s">
        <v>27</v>
      </c>
      <c r="AC2129" t="s">
        <v>27</v>
      </c>
      <c r="AD2129" t="s">
        <v>27</v>
      </c>
      <c r="AE2129" t="s">
        <v>27</v>
      </c>
      <c r="AF2129" t="s">
        <v>27</v>
      </c>
      <c r="AG2129">
        <v>10.17</v>
      </c>
    </row>
    <row r="2130" spans="1:33" x14ac:dyDescent="0.25">
      <c r="A2130" t="s">
        <v>57</v>
      </c>
      <c r="B2130" s="3">
        <v>45591</v>
      </c>
      <c r="C2130">
        <v>2024300</v>
      </c>
      <c r="D2130">
        <v>5.0599999999999996</v>
      </c>
      <c r="E2130" t="s">
        <v>27</v>
      </c>
      <c r="F2130">
        <v>4</v>
      </c>
      <c r="G2130">
        <v>7.8</v>
      </c>
      <c r="H2130">
        <v>1</v>
      </c>
      <c r="I2130">
        <v>77.900000000000006</v>
      </c>
      <c r="J2130">
        <v>57</v>
      </c>
      <c r="K2130">
        <v>0.9</v>
      </c>
      <c r="L2130">
        <v>3</v>
      </c>
      <c r="M2130">
        <v>3.9</v>
      </c>
      <c r="N2130">
        <v>0</v>
      </c>
      <c r="O2130" t="s">
        <v>27</v>
      </c>
      <c r="P2130">
        <v>3.4</v>
      </c>
      <c r="Q2130">
        <v>8.1</v>
      </c>
      <c r="R2130">
        <v>0.1</v>
      </c>
      <c r="S2130">
        <v>0.4</v>
      </c>
      <c r="T2130">
        <v>1.5</v>
      </c>
      <c r="U2130" t="s">
        <v>27</v>
      </c>
      <c r="V2130" t="s">
        <v>27</v>
      </c>
      <c r="W2130">
        <v>0.60299999999999998</v>
      </c>
      <c r="X2130">
        <v>0.45500000000000002</v>
      </c>
      <c r="Y2130" t="s">
        <v>27</v>
      </c>
      <c r="Z2130" t="s">
        <v>27</v>
      </c>
      <c r="AA2130" t="s">
        <v>27</v>
      </c>
      <c r="AB2130" t="s">
        <v>27</v>
      </c>
      <c r="AC2130" t="s">
        <v>27</v>
      </c>
      <c r="AD2130" t="s">
        <v>27</v>
      </c>
      <c r="AE2130" t="s">
        <v>27</v>
      </c>
      <c r="AF2130" t="s">
        <v>27</v>
      </c>
      <c r="AG2130">
        <v>9.98</v>
      </c>
    </row>
    <row r="2131" spans="1:33" x14ac:dyDescent="0.25">
      <c r="A2131" t="s">
        <v>57</v>
      </c>
      <c r="B2131" s="3">
        <v>45592</v>
      </c>
      <c r="C2131">
        <v>2024301</v>
      </c>
      <c r="D2131">
        <v>5.26</v>
      </c>
      <c r="E2131" t="s">
        <v>27</v>
      </c>
      <c r="F2131">
        <v>2.6</v>
      </c>
      <c r="G2131">
        <v>4.8</v>
      </c>
      <c r="H2131">
        <v>-1.2</v>
      </c>
      <c r="I2131">
        <v>87.8</v>
      </c>
      <c r="J2131">
        <v>65.2</v>
      </c>
      <c r="K2131">
        <v>0.9</v>
      </c>
      <c r="L2131">
        <v>3.9</v>
      </c>
      <c r="M2131">
        <v>9.1</v>
      </c>
      <c r="N2131">
        <v>0</v>
      </c>
      <c r="O2131" t="s">
        <v>27</v>
      </c>
      <c r="P2131">
        <v>1.8</v>
      </c>
      <c r="Q2131">
        <v>4.0999999999999996</v>
      </c>
      <c r="R2131">
        <v>-2.1</v>
      </c>
      <c r="S2131">
        <v>1.1000000000000001</v>
      </c>
      <c r="T2131">
        <v>1.7</v>
      </c>
      <c r="U2131" t="s">
        <v>27</v>
      </c>
      <c r="V2131" t="s">
        <v>27</v>
      </c>
      <c r="W2131">
        <v>0.56000000000000005</v>
      </c>
      <c r="X2131">
        <v>0.29899999999999999</v>
      </c>
      <c r="Y2131" t="s">
        <v>27</v>
      </c>
      <c r="Z2131" t="s">
        <v>27</v>
      </c>
      <c r="AA2131" t="s">
        <v>27</v>
      </c>
      <c r="AB2131" t="s">
        <v>27</v>
      </c>
      <c r="AC2131" t="s">
        <v>27</v>
      </c>
      <c r="AD2131" t="s">
        <v>27</v>
      </c>
      <c r="AE2131" t="s">
        <v>27</v>
      </c>
      <c r="AF2131" t="s">
        <v>27</v>
      </c>
      <c r="AG2131">
        <v>9.8000000000000007</v>
      </c>
    </row>
    <row r="2132" spans="1:33" x14ac:dyDescent="0.25">
      <c r="A2132" t="s">
        <v>57</v>
      </c>
      <c r="B2132" s="3">
        <v>45593</v>
      </c>
      <c r="C2132">
        <v>2024302</v>
      </c>
      <c r="D2132">
        <v>2.97</v>
      </c>
      <c r="E2132" t="s">
        <v>27</v>
      </c>
      <c r="F2132">
        <v>-0.5</v>
      </c>
      <c r="G2132">
        <v>2.1</v>
      </c>
      <c r="H2132">
        <v>-1.8</v>
      </c>
      <c r="I2132">
        <v>90.3</v>
      </c>
      <c r="J2132">
        <v>74.599999999999994</v>
      </c>
      <c r="K2132">
        <v>0.4</v>
      </c>
      <c r="L2132">
        <v>2.1</v>
      </c>
      <c r="M2132">
        <v>2.2000000000000002</v>
      </c>
      <c r="N2132">
        <v>0</v>
      </c>
      <c r="O2132" t="s">
        <v>27</v>
      </c>
      <c r="P2132">
        <v>-1.2</v>
      </c>
      <c r="Q2132">
        <v>3.2</v>
      </c>
      <c r="R2132">
        <v>-3</v>
      </c>
      <c r="S2132">
        <v>0.1</v>
      </c>
      <c r="T2132">
        <v>1.7</v>
      </c>
      <c r="U2132" t="s">
        <v>27</v>
      </c>
      <c r="V2132" t="s">
        <v>27</v>
      </c>
      <c r="W2132">
        <v>0.53</v>
      </c>
      <c r="X2132">
        <v>0.18</v>
      </c>
      <c r="Y2132" t="s">
        <v>27</v>
      </c>
      <c r="Z2132" t="s">
        <v>27</v>
      </c>
      <c r="AA2132" t="s">
        <v>27</v>
      </c>
      <c r="AB2132" t="s">
        <v>27</v>
      </c>
      <c r="AC2132" t="s">
        <v>27</v>
      </c>
      <c r="AD2132" t="s">
        <v>27</v>
      </c>
      <c r="AE2132" t="s">
        <v>27</v>
      </c>
      <c r="AF2132" t="s">
        <v>27</v>
      </c>
      <c r="AG2132">
        <v>9.6199999999999992</v>
      </c>
    </row>
    <row r="2133" spans="1:33" x14ac:dyDescent="0.25">
      <c r="A2133" t="s">
        <v>57</v>
      </c>
      <c r="B2133" s="3">
        <v>45594</v>
      </c>
      <c r="C2133">
        <v>2024303</v>
      </c>
      <c r="D2133">
        <v>5.2</v>
      </c>
      <c r="E2133" t="s">
        <v>27</v>
      </c>
      <c r="F2133">
        <v>-0.9</v>
      </c>
      <c r="G2133">
        <v>3.3</v>
      </c>
      <c r="H2133">
        <v>-3.5</v>
      </c>
      <c r="I2133">
        <v>78.099999999999994</v>
      </c>
      <c r="J2133">
        <v>51.3</v>
      </c>
      <c r="K2133">
        <v>0.5</v>
      </c>
      <c r="L2133">
        <v>2.2999999999999998</v>
      </c>
      <c r="M2133">
        <v>0</v>
      </c>
      <c r="N2133">
        <v>0</v>
      </c>
      <c r="O2133" t="s">
        <v>27</v>
      </c>
      <c r="P2133">
        <v>-1.6</v>
      </c>
      <c r="Q2133">
        <v>3.7</v>
      </c>
      <c r="R2133">
        <v>-4.8</v>
      </c>
      <c r="S2133">
        <v>0</v>
      </c>
      <c r="T2133">
        <v>1.6</v>
      </c>
      <c r="U2133" t="s">
        <v>27</v>
      </c>
      <c r="V2133" t="s">
        <v>27</v>
      </c>
      <c r="W2133">
        <v>0.39600000000000002</v>
      </c>
      <c r="X2133">
        <v>0.376</v>
      </c>
      <c r="Y2133" t="s">
        <v>27</v>
      </c>
      <c r="Z2133" t="s">
        <v>27</v>
      </c>
      <c r="AA2133" t="s">
        <v>27</v>
      </c>
      <c r="AB2133" t="s">
        <v>27</v>
      </c>
      <c r="AC2133" t="s">
        <v>27</v>
      </c>
      <c r="AD2133" t="s">
        <v>27</v>
      </c>
      <c r="AE2133" t="s">
        <v>27</v>
      </c>
      <c r="AF2133" t="s">
        <v>27</v>
      </c>
      <c r="AG2133">
        <v>9.44</v>
      </c>
    </row>
    <row r="2134" spans="1:33" x14ac:dyDescent="0.25">
      <c r="A2134" t="s">
        <v>57</v>
      </c>
      <c r="B2134" s="3">
        <v>45595</v>
      </c>
      <c r="C2134">
        <v>2024304</v>
      </c>
      <c r="D2134">
        <v>1.34</v>
      </c>
      <c r="E2134" t="s">
        <v>27</v>
      </c>
      <c r="F2134">
        <v>-0.6</v>
      </c>
      <c r="G2134">
        <v>0.1</v>
      </c>
      <c r="H2134">
        <v>-2</v>
      </c>
      <c r="I2134">
        <v>81.5</v>
      </c>
      <c r="J2134">
        <v>71.5</v>
      </c>
      <c r="K2134">
        <v>1.1000000000000001</v>
      </c>
      <c r="L2134">
        <v>2.7</v>
      </c>
      <c r="M2134">
        <v>2.1</v>
      </c>
      <c r="N2134">
        <v>2.0000000000000018E-2</v>
      </c>
      <c r="O2134">
        <v>0</v>
      </c>
      <c r="P2134">
        <v>-1.2</v>
      </c>
      <c r="Q2134">
        <v>-0.1</v>
      </c>
      <c r="R2134">
        <v>-3.2</v>
      </c>
      <c r="S2134">
        <v>0</v>
      </c>
      <c r="T2134">
        <v>1.6</v>
      </c>
      <c r="U2134" t="s">
        <v>27</v>
      </c>
      <c r="V2134" t="s">
        <v>27</v>
      </c>
      <c r="W2134">
        <v>0.441</v>
      </c>
      <c r="X2134">
        <v>0.17599999999999999</v>
      </c>
      <c r="Y2134" t="s">
        <v>27</v>
      </c>
      <c r="Z2134" t="s">
        <v>27</v>
      </c>
      <c r="AA2134" t="s">
        <v>27</v>
      </c>
      <c r="AB2134" t="s">
        <v>27</v>
      </c>
      <c r="AC2134" t="s">
        <v>27</v>
      </c>
      <c r="AD2134" t="s">
        <v>27</v>
      </c>
      <c r="AE2134" t="s">
        <v>27</v>
      </c>
      <c r="AF2134" t="s">
        <v>27</v>
      </c>
      <c r="AG2134">
        <v>9.26</v>
      </c>
    </row>
    <row r="2135" spans="1:33" x14ac:dyDescent="0.25">
      <c r="A2135" t="s">
        <v>57</v>
      </c>
      <c r="B2135" s="3">
        <v>45596</v>
      </c>
      <c r="C2135">
        <v>2024305</v>
      </c>
      <c r="D2135">
        <v>2.56</v>
      </c>
      <c r="E2135" t="s">
        <v>27</v>
      </c>
      <c r="F2135">
        <v>-1.9</v>
      </c>
      <c r="G2135">
        <v>1.3</v>
      </c>
      <c r="H2135">
        <v>-5.6</v>
      </c>
      <c r="I2135">
        <v>91.3</v>
      </c>
      <c r="J2135">
        <v>80.599999999999994</v>
      </c>
      <c r="K2135">
        <v>0.3</v>
      </c>
      <c r="L2135">
        <v>1.7</v>
      </c>
      <c r="M2135">
        <v>1.6</v>
      </c>
      <c r="N2135">
        <v>2.0999999999999908E-2</v>
      </c>
      <c r="O2135">
        <v>0</v>
      </c>
      <c r="P2135">
        <v>-2.5</v>
      </c>
      <c r="Q2135">
        <v>2.9</v>
      </c>
      <c r="R2135">
        <v>-6.9</v>
      </c>
      <c r="S2135">
        <v>0</v>
      </c>
      <c r="T2135">
        <v>1.5</v>
      </c>
      <c r="U2135" t="s">
        <v>27</v>
      </c>
      <c r="V2135" t="s">
        <v>27</v>
      </c>
      <c r="W2135">
        <v>0.54200000000000004</v>
      </c>
      <c r="X2135">
        <v>0.13</v>
      </c>
      <c r="Y2135" t="s">
        <v>27</v>
      </c>
      <c r="Z2135" t="s">
        <v>27</v>
      </c>
      <c r="AA2135" t="s">
        <v>27</v>
      </c>
      <c r="AB2135" t="s">
        <v>27</v>
      </c>
      <c r="AC2135" t="s">
        <v>27</v>
      </c>
      <c r="AD2135" t="s">
        <v>27</v>
      </c>
      <c r="AE2135" t="s">
        <v>27</v>
      </c>
      <c r="AF2135" t="s">
        <v>27</v>
      </c>
      <c r="AG2135">
        <v>9.09</v>
      </c>
    </row>
    <row r="2136" spans="1:33" x14ac:dyDescent="0.25">
      <c r="A2136" t="s">
        <v>57</v>
      </c>
      <c r="B2136" s="3">
        <v>45597</v>
      </c>
      <c r="C2136">
        <v>2024306</v>
      </c>
      <c r="D2136">
        <v>2.88</v>
      </c>
      <c r="E2136" t="s">
        <v>27</v>
      </c>
      <c r="F2136">
        <v>-1.3</v>
      </c>
      <c r="G2136">
        <v>-0.2</v>
      </c>
      <c r="H2136">
        <v>-2.9</v>
      </c>
      <c r="I2136">
        <v>91.1</v>
      </c>
      <c r="J2136">
        <v>85.9</v>
      </c>
      <c r="K2136">
        <v>1.1000000000000001</v>
      </c>
      <c r="L2136">
        <v>2.9</v>
      </c>
      <c r="M2136">
        <v>7.6</v>
      </c>
      <c r="N2136">
        <v>8.0999999999999961E-2</v>
      </c>
      <c r="O2136">
        <v>0</v>
      </c>
      <c r="P2136">
        <v>-1.7</v>
      </c>
      <c r="Q2136">
        <v>0.4</v>
      </c>
      <c r="R2136">
        <v>-3.7</v>
      </c>
      <c r="S2136">
        <v>0</v>
      </c>
      <c r="T2136">
        <v>1.5</v>
      </c>
      <c r="U2136" t="s">
        <v>27</v>
      </c>
      <c r="V2136" t="s">
        <v>27</v>
      </c>
      <c r="W2136">
        <v>0.51900000000000002</v>
      </c>
      <c r="X2136">
        <v>8.5000000000000006E-2</v>
      </c>
      <c r="Y2136" t="s">
        <v>27</v>
      </c>
      <c r="Z2136" t="s">
        <v>27</v>
      </c>
      <c r="AA2136" t="s">
        <v>27</v>
      </c>
      <c r="AB2136" t="s">
        <v>27</v>
      </c>
      <c r="AC2136" t="s">
        <v>27</v>
      </c>
      <c r="AD2136" t="s">
        <v>27</v>
      </c>
      <c r="AE2136" t="s">
        <v>27</v>
      </c>
      <c r="AF2136" t="s">
        <v>27</v>
      </c>
      <c r="AG2136">
        <v>8.92</v>
      </c>
    </row>
    <row r="2137" spans="1:33" x14ac:dyDescent="0.25">
      <c r="A2137" t="s">
        <v>57</v>
      </c>
      <c r="B2137" s="3">
        <v>45598</v>
      </c>
      <c r="C2137">
        <v>2024307</v>
      </c>
      <c r="D2137">
        <v>1</v>
      </c>
      <c r="E2137" t="s">
        <v>27</v>
      </c>
      <c r="F2137">
        <v>-1.1000000000000001</v>
      </c>
      <c r="G2137">
        <v>1.1000000000000001</v>
      </c>
      <c r="H2137">
        <v>-4.0999999999999996</v>
      </c>
      <c r="I2137">
        <v>88.3</v>
      </c>
      <c r="J2137">
        <v>74.7</v>
      </c>
      <c r="K2137">
        <v>0.7</v>
      </c>
      <c r="L2137">
        <v>2.4</v>
      </c>
      <c r="M2137">
        <v>2.5</v>
      </c>
      <c r="N2137">
        <v>8.4999999999999964E-2</v>
      </c>
      <c r="O2137">
        <v>0</v>
      </c>
      <c r="P2137">
        <v>-1.7</v>
      </c>
      <c r="Q2137">
        <v>1.3</v>
      </c>
      <c r="R2137">
        <v>-5.8</v>
      </c>
      <c r="S2137">
        <v>0</v>
      </c>
      <c r="T2137">
        <v>1.4</v>
      </c>
      <c r="U2137" t="s">
        <v>27</v>
      </c>
      <c r="V2137" t="s">
        <v>27</v>
      </c>
      <c r="W2137">
        <v>0.495</v>
      </c>
      <c r="X2137">
        <v>0.16800000000000001</v>
      </c>
      <c r="Y2137" t="s">
        <v>27</v>
      </c>
      <c r="Z2137" t="s">
        <v>27</v>
      </c>
      <c r="AA2137" t="s">
        <v>27</v>
      </c>
      <c r="AB2137" t="s">
        <v>27</v>
      </c>
      <c r="AC2137" t="s">
        <v>27</v>
      </c>
      <c r="AD2137" t="s">
        <v>27</v>
      </c>
      <c r="AE2137" t="s">
        <v>27</v>
      </c>
      <c r="AF2137" t="s">
        <v>27</v>
      </c>
      <c r="AG2137">
        <v>8.76</v>
      </c>
    </row>
    <row r="2138" spans="1:33" x14ac:dyDescent="0.25">
      <c r="A2138" t="s">
        <v>57</v>
      </c>
      <c r="B2138" s="3">
        <v>45599</v>
      </c>
      <c r="C2138">
        <v>2024308</v>
      </c>
      <c r="D2138">
        <v>2.7</v>
      </c>
      <c r="E2138" t="s">
        <v>27</v>
      </c>
      <c r="F2138">
        <v>-2.1</v>
      </c>
      <c r="G2138">
        <v>0.7</v>
      </c>
      <c r="H2138">
        <v>-5.3</v>
      </c>
      <c r="I2138">
        <v>87.3</v>
      </c>
      <c r="J2138">
        <v>78.400000000000006</v>
      </c>
      <c r="K2138">
        <v>0.7</v>
      </c>
      <c r="L2138">
        <v>2.5</v>
      </c>
      <c r="M2138">
        <v>1.2</v>
      </c>
      <c r="N2138">
        <v>7.6999999999999957E-2</v>
      </c>
      <c r="O2138">
        <v>0</v>
      </c>
      <c r="P2138">
        <v>-2.8</v>
      </c>
      <c r="Q2138">
        <v>1.8</v>
      </c>
      <c r="R2138">
        <v>-6.7</v>
      </c>
      <c r="S2138">
        <v>0</v>
      </c>
      <c r="T2138">
        <v>1.4</v>
      </c>
      <c r="U2138" t="s">
        <v>27</v>
      </c>
      <c r="V2138" t="s">
        <v>27</v>
      </c>
      <c r="W2138">
        <v>0.504</v>
      </c>
      <c r="X2138">
        <v>0.13900000000000001</v>
      </c>
      <c r="Y2138" t="s">
        <v>27</v>
      </c>
      <c r="Z2138" t="s">
        <v>27</v>
      </c>
      <c r="AA2138" t="s">
        <v>27</v>
      </c>
      <c r="AB2138" t="s">
        <v>27</v>
      </c>
      <c r="AC2138" t="s">
        <v>27</v>
      </c>
      <c r="AD2138" t="s">
        <v>27</v>
      </c>
      <c r="AE2138" t="s">
        <v>27</v>
      </c>
      <c r="AF2138" t="s">
        <v>27</v>
      </c>
      <c r="AG2138">
        <v>8.59</v>
      </c>
    </row>
    <row r="2139" spans="1:33" x14ac:dyDescent="0.25">
      <c r="A2139" t="s">
        <v>57</v>
      </c>
      <c r="B2139" s="3">
        <v>45600</v>
      </c>
      <c r="C2139">
        <v>2024309</v>
      </c>
      <c r="D2139">
        <v>0.19</v>
      </c>
      <c r="E2139" t="s">
        <v>27</v>
      </c>
      <c r="F2139">
        <v>-1.8</v>
      </c>
      <c r="G2139">
        <v>0.6</v>
      </c>
      <c r="H2139">
        <v>-3.3</v>
      </c>
      <c r="I2139">
        <v>92</v>
      </c>
      <c r="J2139">
        <v>87</v>
      </c>
      <c r="K2139">
        <v>0.9</v>
      </c>
      <c r="L2139">
        <v>3.6</v>
      </c>
      <c r="M2139">
        <v>20.3</v>
      </c>
      <c r="N2139">
        <v>0.33099999999999996</v>
      </c>
      <c r="O2139">
        <v>-0.8</v>
      </c>
      <c r="P2139">
        <v>-2.2000000000000002</v>
      </c>
      <c r="Q2139">
        <v>1.1000000000000001</v>
      </c>
      <c r="R2139">
        <v>-4.2</v>
      </c>
      <c r="S2139">
        <v>0</v>
      </c>
      <c r="T2139">
        <v>1.4</v>
      </c>
      <c r="U2139" t="s">
        <v>27</v>
      </c>
      <c r="V2139" t="s">
        <v>27</v>
      </c>
      <c r="W2139">
        <v>0.55400000000000005</v>
      </c>
      <c r="X2139">
        <v>8.3000000000000004E-2</v>
      </c>
      <c r="Y2139" t="s">
        <v>27</v>
      </c>
      <c r="Z2139" t="s">
        <v>27</v>
      </c>
      <c r="AA2139" t="s">
        <v>27</v>
      </c>
      <c r="AB2139" t="s">
        <v>27</v>
      </c>
      <c r="AC2139" t="s">
        <v>27</v>
      </c>
      <c r="AD2139" t="s">
        <v>27</v>
      </c>
      <c r="AE2139" t="s">
        <v>27</v>
      </c>
      <c r="AF2139" t="s">
        <v>27</v>
      </c>
      <c r="AG2139">
        <v>8.43</v>
      </c>
    </row>
    <row r="2140" spans="1:33" x14ac:dyDescent="0.25">
      <c r="A2140" t="s">
        <v>57</v>
      </c>
      <c r="B2140" s="3">
        <v>45601</v>
      </c>
      <c r="C2140">
        <v>2024310</v>
      </c>
      <c r="D2140">
        <v>1.04</v>
      </c>
      <c r="E2140" t="s">
        <v>27</v>
      </c>
      <c r="F2140">
        <v>-6.5</v>
      </c>
      <c r="G2140">
        <v>-2.9</v>
      </c>
      <c r="H2140">
        <v>-12.5</v>
      </c>
      <c r="I2140">
        <v>90.3</v>
      </c>
      <c r="J2140">
        <v>85.5</v>
      </c>
      <c r="K2140">
        <v>0.9</v>
      </c>
      <c r="L2140">
        <v>3.7</v>
      </c>
      <c r="M2140">
        <v>1.2</v>
      </c>
      <c r="N2140">
        <v>0.28900000000000015</v>
      </c>
      <c r="O2140">
        <v>-0.9</v>
      </c>
      <c r="P2140">
        <v>-7.3</v>
      </c>
      <c r="Q2140">
        <v>-3.1</v>
      </c>
      <c r="R2140">
        <v>-13.9</v>
      </c>
      <c r="S2140">
        <v>0</v>
      </c>
      <c r="T2140">
        <v>1.3</v>
      </c>
      <c r="U2140" t="s">
        <v>27</v>
      </c>
      <c r="V2140" t="s">
        <v>27</v>
      </c>
      <c r="W2140">
        <v>0.42199999999999999</v>
      </c>
      <c r="X2140">
        <v>7.1999999999999995E-2</v>
      </c>
      <c r="Y2140" t="s">
        <v>27</v>
      </c>
      <c r="Z2140" t="s">
        <v>27</v>
      </c>
      <c r="AA2140" t="s">
        <v>27</v>
      </c>
      <c r="AB2140" t="s">
        <v>27</v>
      </c>
      <c r="AC2140" t="s">
        <v>27</v>
      </c>
      <c r="AD2140" t="s">
        <v>27</v>
      </c>
      <c r="AE2140" t="s">
        <v>27</v>
      </c>
      <c r="AF2140" t="s">
        <v>27</v>
      </c>
      <c r="AG2140">
        <v>8.2799999999999994</v>
      </c>
    </row>
    <row r="2141" spans="1:33" x14ac:dyDescent="0.25">
      <c r="A2141" t="s">
        <v>57</v>
      </c>
      <c r="B2141" s="3">
        <v>45602</v>
      </c>
      <c r="C2141">
        <v>2024311</v>
      </c>
      <c r="D2141">
        <v>4.8</v>
      </c>
      <c r="E2141" t="s">
        <v>27</v>
      </c>
      <c r="F2141">
        <v>-5.0999999999999996</v>
      </c>
      <c r="G2141">
        <v>0.8</v>
      </c>
      <c r="H2141">
        <v>-12.8</v>
      </c>
      <c r="I2141">
        <v>89.9</v>
      </c>
      <c r="J2141">
        <v>84</v>
      </c>
      <c r="K2141">
        <v>0.2</v>
      </c>
      <c r="L2141">
        <v>1.3</v>
      </c>
      <c r="M2141">
        <v>0</v>
      </c>
      <c r="N2141">
        <v>0.25</v>
      </c>
      <c r="O2141">
        <v>-1.1000000000000001</v>
      </c>
      <c r="P2141">
        <v>-5.3</v>
      </c>
      <c r="Q2141">
        <v>5.0999999999999996</v>
      </c>
      <c r="R2141">
        <v>-14.3</v>
      </c>
      <c r="S2141">
        <v>0</v>
      </c>
      <c r="T2141">
        <v>1.3</v>
      </c>
      <c r="U2141" t="s">
        <v>27</v>
      </c>
      <c r="V2141" t="s">
        <v>27</v>
      </c>
      <c r="W2141">
        <v>0.54400000000000004</v>
      </c>
      <c r="X2141">
        <v>0.104</v>
      </c>
      <c r="Y2141" t="s">
        <v>27</v>
      </c>
      <c r="Z2141" t="s">
        <v>27</v>
      </c>
      <c r="AA2141" t="s">
        <v>27</v>
      </c>
      <c r="AB2141" t="s">
        <v>27</v>
      </c>
      <c r="AC2141" t="s">
        <v>27</v>
      </c>
      <c r="AD2141" t="s">
        <v>27</v>
      </c>
      <c r="AE2141" t="s">
        <v>27</v>
      </c>
      <c r="AF2141" t="s">
        <v>27</v>
      </c>
      <c r="AG2141">
        <v>8.1199999999999992</v>
      </c>
    </row>
    <row r="2142" spans="1:33" x14ac:dyDescent="0.25">
      <c r="A2142" t="s">
        <v>57</v>
      </c>
      <c r="B2142" s="3">
        <v>45603</v>
      </c>
      <c r="C2142">
        <v>2024312</v>
      </c>
      <c r="D2142">
        <v>5.5</v>
      </c>
      <c r="E2142" t="s">
        <v>27</v>
      </c>
      <c r="F2142">
        <v>-2.4</v>
      </c>
      <c r="G2142">
        <v>1</v>
      </c>
      <c r="H2142">
        <v>-6.7</v>
      </c>
      <c r="I2142">
        <v>87.5</v>
      </c>
      <c r="J2142">
        <v>79.5</v>
      </c>
      <c r="K2142">
        <v>0.7</v>
      </c>
      <c r="L2142">
        <v>2.1</v>
      </c>
      <c r="M2142">
        <v>0</v>
      </c>
      <c r="N2142">
        <v>0.22599999999999998</v>
      </c>
      <c r="O2142">
        <v>-0.9</v>
      </c>
      <c r="P2142">
        <v>-2.7</v>
      </c>
      <c r="Q2142">
        <v>4.7</v>
      </c>
      <c r="R2142">
        <v>-8.1</v>
      </c>
      <c r="S2142">
        <v>0.1</v>
      </c>
      <c r="T2142">
        <v>1.3</v>
      </c>
      <c r="U2142" t="s">
        <v>27</v>
      </c>
      <c r="V2142" t="s">
        <v>27</v>
      </c>
      <c r="W2142">
        <v>0.52</v>
      </c>
      <c r="X2142">
        <v>0.13400000000000001</v>
      </c>
      <c r="Y2142" t="s">
        <v>27</v>
      </c>
      <c r="Z2142" t="s">
        <v>27</v>
      </c>
      <c r="AA2142" t="s">
        <v>27</v>
      </c>
      <c r="AB2142" t="s">
        <v>27</v>
      </c>
      <c r="AC2142" t="s">
        <v>27</v>
      </c>
      <c r="AD2142" t="s">
        <v>27</v>
      </c>
      <c r="AE2142" t="s">
        <v>27</v>
      </c>
      <c r="AF2142" t="s">
        <v>27</v>
      </c>
      <c r="AG2142">
        <v>7.98</v>
      </c>
    </row>
    <row r="2143" spans="1:33" x14ac:dyDescent="0.25">
      <c r="A2143" t="s">
        <v>57</v>
      </c>
      <c r="B2143" s="3">
        <v>45604</v>
      </c>
      <c r="C2143">
        <v>2024313</v>
      </c>
      <c r="D2143">
        <v>2.98</v>
      </c>
      <c r="E2143" t="s">
        <v>27</v>
      </c>
      <c r="F2143">
        <v>-0.9</v>
      </c>
      <c r="G2143">
        <v>1.8</v>
      </c>
      <c r="H2143">
        <v>-2.8</v>
      </c>
      <c r="I2143">
        <v>81.8</v>
      </c>
      <c r="J2143">
        <v>68.900000000000006</v>
      </c>
      <c r="K2143">
        <v>0.9</v>
      </c>
      <c r="L2143">
        <v>1.8</v>
      </c>
      <c r="M2143">
        <v>0</v>
      </c>
      <c r="N2143">
        <v>0.20800000000000018</v>
      </c>
      <c r="O2143">
        <v>-0.5</v>
      </c>
      <c r="P2143">
        <v>-1.4</v>
      </c>
      <c r="Q2143">
        <v>2.2999999999999998</v>
      </c>
      <c r="R2143">
        <v>-3.9</v>
      </c>
      <c r="S2143">
        <v>0.1</v>
      </c>
      <c r="T2143">
        <v>1.3</v>
      </c>
      <c r="U2143" t="s">
        <v>27</v>
      </c>
      <c r="V2143" t="s">
        <v>27</v>
      </c>
      <c r="W2143">
        <v>0.47899999999999998</v>
      </c>
      <c r="X2143">
        <v>0.216</v>
      </c>
      <c r="Y2143" t="s">
        <v>27</v>
      </c>
      <c r="Z2143" t="s">
        <v>27</v>
      </c>
      <c r="AA2143" t="s">
        <v>27</v>
      </c>
      <c r="AB2143" t="s">
        <v>27</v>
      </c>
      <c r="AC2143" t="s">
        <v>27</v>
      </c>
      <c r="AD2143" t="s">
        <v>27</v>
      </c>
      <c r="AE2143" t="s">
        <v>27</v>
      </c>
      <c r="AF2143" t="s">
        <v>27</v>
      </c>
      <c r="AG2143">
        <v>7.83</v>
      </c>
    </row>
    <row r="2144" spans="1:33" x14ac:dyDescent="0.25">
      <c r="A2144" t="s">
        <v>57</v>
      </c>
      <c r="B2144" s="3">
        <v>45605</v>
      </c>
      <c r="C2144">
        <v>2024314</v>
      </c>
      <c r="D2144">
        <v>1.98</v>
      </c>
      <c r="E2144" t="s">
        <v>27</v>
      </c>
      <c r="F2144">
        <v>0.5</v>
      </c>
      <c r="G2144">
        <v>2.8</v>
      </c>
      <c r="H2144">
        <v>-0.9</v>
      </c>
      <c r="I2144">
        <v>91.5</v>
      </c>
      <c r="J2144">
        <v>79.099999999999994</v>
      </c>
      <c r="K2144">
        <v>0.1</v>
      </c>
      <c r="L2144">
        <v>1.1000000000000001</v>
      </c>
      <c r="M2144">
        <v>1.7</v>
      </c>
      <c r="N2144">
        <v>0.18300000000000027</v>
      </c>
      <c r="O2144">
        <v>0</v>
      </c>
      <c r="P2144">
        <v>0</v>
      </c>
      <c r="Q2144">
        <v>3.4</v>
      </c>
      <c r="R2144">
        <v>-1.8</v>
      </c>
      <c r="S2144">
        <v>0.1</v>
      </c>
      <c r="T2144">
        <v>1.3</v>
      </c>
      <c r="U2144" t="s">
        <v>27</v>
      </c>
      <c r="V2144" t="s">
        <v>27</v>
      </c>
      <c r="W2144">
        <v>0.59299999999999997</v>
      </c>
      <c r="X2144">
        <v>0.157</v>
      </c>
      <c r="Y2144" t="s">
        <v>27</v>
      </c>
      <c r="Z2144" t="s">
        <v>27</v>
      </c>
      <c r="AA2144" t="s">
        <v>27</v>
      </c>
      <c r="AB2144" t="s">
        <v>27</v>
      </c>
      <c r="AC2144" t="s">
        <v>27</v>
      </c>
      <c r="AD2144" t="s">
        <v>27</v>
      </c>
      <c r="AE2144" t="s">
        <v>27</v>
      </c>
      <c r="AF2144" t="s">
        <v>27</v>
      </c>
      <c r="AG2144">
        <v>7.69</v>
      </c>
    </row>
    <row r="2145" spans="1:33" x14ac:dyDescent="0.25">
      <c r="A2145" t="s">
        <v>57</v>
      </c>
      <c r="B2145" s="3">
        <v>45606</v>
      </c>
      <c r="C2145">
        <v>2024315</v>
      </c>
      <c r="D2145">
        <v>3.44</v>
      </c>
      <c r="E2145" t="s">
        <v>27</v>
      </c>
      <c r="F2145">
        <v>0.2</v>
      </c>
      <c r="G2145">
        <v>1.4</v>
      </c>
      <c r="H2145">
        <v>-2.1</v>
      </c>
      <c r="I2145">
        <v>93.6</v>
      </c>
      <c r="J2145">
        <v>89.3</v>
      </c>
      <c r="K2145">
        <v>0.6</v>
      </c>
      <c r="L2145">
        <v>2.6</v>
      </c>
      <c r="M2145">
        <v>0.8</v>
      </c>
      <c r="N2145">
        <v>0.17799999999999994</v>
      </c>
      <c r="O2145">
        <v>-0.1</v>
      </c>
      <c r="P2145">
        <v>-0.4</v>
      </c>
      <c r="Q2145">
        <v>2.2999999999999998</v>
      </c>
      <c r="R2145">
        <v>-3.6</v>
      </c>
      <c r="S2145">
        <v>0.2</v>
      </c>
      <c r="T2145">
        <v>1.3</v>
      </c>
      <c r="U2145" t="s">
        <v>27</v>
      </c>
      <c r="V2145" t="s">
        <v>27</v>
      </c>
      <c r="W2145">
        <v>0.60499999999999998</v>
      </c>
      <c r="X2145">
        <v>7.1999999999999995E-2</v>
      </c>
      <c r="Y2145" t="s">
        <v>27</v>
      </c>
      <c r="Z2145" t="s">
        <v>27</v>
      </c>
      <c r="AA2145" t="s">
        <v>27</v>
      </c>
      <c r="AB2145" t="s">
        <v>27</v>
      </c>
      <c r="AC2145" t="s">
        <v>27</v>
      </c>
      <c r="AD2145" t="s">
        <v>27</v>
      </c>
      <c r="AE2145" t="s">
        <v>27</v>
      </c>
      <c r="AF2145" t="s">
        <v>27</v>
      </c>
      <c r="AG2145">
        <v>7.55</v>
      </c>
    </row>
    <row r="2146" spans="1:33" x14ac:dyDescent="0.25">
      <c r="A2146" t="s">
        <v>57</v>
      </c>
      <c r="B2146" s="3">
        <v>45607</v>
      </c>
      <c r="C2146">
        <v>2024316</v>
      </c>
      <c r="D2146">
        <v>0.54</v>
      </c>
      <c r="E2146" t="s">
        <v>27</v>
      </c>
      <c r="F2146">
        <v>0.1</v>
      </c>
      <c r="G2146">
        <v>2.4</v>
      </c>
      <c r="H2146">
        <v>-3.3</v>
      </c>
      <c r="I2146">
        <v>93.9</v>
      </c>
      <c r="J2146">
        <v>90.4</v>
      </c>
      <c r="K2146">
        <v>0.8</v>
      </c>
      <c r="L2146">
        <v>3</v>
      </c>
      <c r="M2146">
        <v>5</v>
      </c>
      <c r="N2146">
        <v>0.16800000000000015</v>
      </c>
      <c r="O2146">
        <v>-0.1</v>
      </c>
      <c r="P2146">
        <v>-0.8</v>
      </c>
      <c r="Q2146">
        <v>1.7</v>
      </c>
      <c r="R2146">
        <v>-4.5999999999999996</v>
      </c>
      <c r="S2146">
        <v>0.2</v>
      </c>
      <c r="T2146">
        <v>1.3</v>
      </c>
      <c r="U2146" t="s">
        <v>27</v>
      </c>
      <c r="V2146" t="s">
        <v>27</v>
      </c>
      <c r="W2146">
        <v>0.65800000000000003</v>
      </c>
      <c r="X2146">
        <v>7.0000000000000007E-2</v>
      </c>
      <c r="Y2146" t="s">
        <v>27</v>
      </c>
      <c r="Z2146" t="s">
        <v>27</v>
      </c>
      <c r="AA2146" t="s">
        <v>27</v>
      </c>
      <c r="AB2146" t="s">
        <v>27</v>
      </c>
      <c r="AC2146" t="s">
        <v>27</v>
      </c>
      <c r="AD2146" t="s">
        <v>27</v>
      </c>
      <c r="AE2146" t="s">
        <v>27</v>
      </c>
      <c r="AF2146" t="s">
        <v>27</v>
      </c>
      <c r="AG2146">
        <v>7.41</v>
      </c>
    </row>
    <row r="2147" spans="1:33" x14ac:dyDescent="0.25">
      <c r="A2147" t="s">
        <v>57</v>
      </c>
      <c r="B2147" s="3">
        <v>45608</v>
      </c>
      <c r="C2147">
        <v>2024317</v>
      </c>
      <c r="D2147">
        <v>4.91</v>
      </c>
      <c r="E2147" t="s">
        <v>27</v>
      </c>
      <c r="F2147">
        <v>-0.9</v>
      </c>
      <c r="G2147">
        <v>2.1</v>
      </c>
      <c r="H2147">
        <v>-2.5</v>
      </c>
      <c r="I2147">
        <v>90.6</v>
      </c>
      <c r="J2147">
        <v>73.8</v>
      </c>
      <c r="K2147">
        <v>0.6</v>
      </c>
      <c r="L2147">
        <v>2.6</v>
      </c>
      <c r="M2147">
        <v>2.1</v>
      </c>
      <c r="N2147">
        <v>0.20199999999999996</v>
      </c>
      <c r="O2147">
        <v>-0.6</v>
      </c>
      <c r="P2147">
        <v>-1.5</v>
      </c>
      <c r="Q2147">
        <v>2.8</v>
      </c>
      <c r="R2147">
        <v>-3.7</v>
      </c>
      <c r="S2147">
        <v>0.2</v>
      </c>
      <c r="T2147">
        <v>1.3</v>
      </c>
      <c r="U2147" t="s">
        <v>27</v>
      </c>
      <c r="V2147" t="s">
        <v>27</v>
      </c>
      <c r="W2147">
        <v>0.52300000000000002</v>
      </c>
      <c r="X2147">
        <v>0.186</v>
      </c>
      <c r="Y2147" t="s">
        <v>27</v>
      </c>
      <c r="Z2147" t="s">
        <v>27</v>
      </c>
      <c r="AA2147" t="s">
        <v>27</v>
      </c>
      <c r="AB2147" t="s">
        <v>27</v>
      </c>
      <c r="AC2147" t="s">
        <v>27</v>
      </c>
      <c r="AD2147" t="s">
        <v>27</v>
      </c>
      <c r="AE2147" t="s">
        <v>27</v>
      </c>
      <c r="AF2147" t="s">
        <v>27</v>
      </c>
      <c r="AG2147">
        <v>7.28</v>
      </c>
    </row>
    <row r="2148" spans="1:33" x14ac:dyDescent="0.25">
      <c r="A2148" t="s">
        <v>57</v>
      </c>
      <c r="B2148" s="3">
        <v>45609</v>
      </c>
      <c r="C2148">
        <v>2024318</v>
      </c>
      <c r="D2148">
        <v>0</v>
      </c>
      <c r="E2148" t="s">
        <v>27</v>
      </c>
      <c r="F2148">
        <v>-0.4</v>
      </c>
      <c r="G2148">
        <v>0.5</v>
      </c>
      <c r="H2148">
        <v>-1.2</v>
      </c>
      <c r="I2148">
        <v>92.5</v>
      </c>
      <c r="J2148">
        <v>86.5</v>
      </c>
      <c r="K2148">
        <v>1</v>
      </c>
      <c r="L2148">
        <v>4.2</v>
      </c>
      <c r="M2148">
        <v>3.6</v>
      </c>
      <c r="N2148">
        <v>0.23799999999999999</v>
      </c>
      <c r="O2148">
        <v>-0.2</v>
      </c>
      <c r="P2148">
        <v>-1</v>
      </c>
      <c r="Q2148">
        <v>-0.3</v>
      </c>
      <c r="R2148">
        <v>-1.6</v>
      </c>
      <c r="S2148">
        <v>0.2</v>
      </c>
      <c r="T2148">
        <v>1.3</v>
      </c>
      <c r="U2148" t="s">
        <v>27</v>
      </c>
      <c r="V2148" t="s">
        <v>27</v>
      </c>
      <c r="W2148">
        <v>0.54700000000000004</v>
      </c>
      <c r="X2148">
        <v>8.5000000000000006E-2</v>
      </c>
      <c r="Y2148" t="s">
        <v>27</v>
      </c>
      <c r="Z2148" t="s">
        <v>27</v>
      </c>
      <c r="AA2148" t="s">
        <v>27</v>
      </c>
      <c r="AB2148" t="s">
        <v>27</v>
      </c>
      <c r="AC2148" t="s">
        <v>27</v>
      </c>
      <c r="AD2148" t="s">
        <v>27</v>
      </c>
      <c r="AE2148" t="s">
        <v>27</v>
      </c>
      <c r="AF2148" t="s">
        <v>27</v>
      </c>
      <c r="AG2148">
        <v>7.16</v>
      </c>
    </row>
    <row r="2149" spans="1:33" x14ac:dyDescent="0.25">
      <c r="A2149" t="s">
        <v>57</v>
      </c>
      <c r="B2149" s="3">
        <v>45610</v>
      </c>
      <c r="C2149">
        <v>2024319</v>
      </c>
      <c r="D2149">
        <v>0.09</v>
      </c>
      <c r="E2149" t="s">
        <v>27</v>
      </c>
      <c r="F2149">
        <v>-1</v>
      </c>
      <c r="G2149">
        <v>0.9</v>
      </c>
      <c r="H2149">
        <v>-4.5999999999999996</v>
      </c>
      <c r="I2149">
        <v>94.1</v>
      </c>
      <c r="J2149">
        <v>92</v>
      </c>
      <c r="K2149">
        <v>0.4</v>
      </c>
      <c r="L2149">
        <v>1.7</v>
      </c>
      <c r="M2149">
        <v>6.1</v>
      </c>
      <c r="N2149">
        <v>0.28299999999999992</v>
      </c>
      <c r="O2149">
        <v>0</v>
      </c>
      <c r="P2149">
        <v>-1.7</v>
      </c>
      <c r="Q2149">
        <v>0.3</v>
      </c>
      <c r="R2149">
        <v>-6</v>
      </c>
      <c r="S2149">
        <v>0.2</v>
      </c>
      <c r="T2149">
        <v>1.3</v>
      </c>
      <c r="U2149" t="s">
        <v>27</v>
      </c>
      <c r="V2149" t="s">
        <v>27</v>
      </c>
      <c r="W2149">
        <v>0.60099999999999998</v>
      </c>
      <c r="X2149">
        <v>5.1999999999999998E-2</v>
      </c>
      <c r="Y2149" t="s">
        <v>27</v>
      </c>
      <c r="Z2149" t="s">
        <v>27</v>
      </c>
      <c r="AA2149" t="s">
        <v>27</v>
      </c>
      <c r="AB2149" t="s">
        <v>27</v>
      </c>
      <c r="AC2149" t="s">
        <v>27</v>
      </c>
      <c r="AD2149" t="s">
        <v>27</v>
      </c>
      <c r="AE2149" t="s">
        <v>27</v>
      </c>
      <c r="AF2149" t="s">
        <v>27</v>
      </c>
      <c r="AG2149">
        <v>7.03</v>
      </c>
    </row>
    <row r="2150" spans="1:33" x14ac:dyDescent="0.25">
      <c r="A2150" t="s">
        <v>57</v>
      </c>
      <c r="B2150" s="3">
        <v>45611</v>
      </c>
      <c r="C2150">
        <v>2024320</v>
      </c>
      <c r="D2150">
        <v>0.44</v>
      </c>
      <c r="E2150" t="s">
        <v>27</v>
      </c>
      <c r="F2150">
        <v>-4.8</v>
      </c>
      <c r="G2150">
        <v>0</v>
      </c>
      <c r="H2150">
        <v>-11.4</v>
      </c>
      <c r="I2150">
        <v>86.9</v>
      </c>
      <c r="J2150">
        <v>61.5</v>
      </c>
      <c r="K2150">
        <v>0.2</v>
      </c>
      <c r="L2150">
        <v>1.9</v>
      </c>
      <c r="M2150">
        <v>1.5</v>
      </c>
      <c r="N2150">
        <v>0.26800000000000024</v>
      </c>
      <c r="O2150">
        <v>-0.6</v>
      </c>
      <c r="P2150">
        <v>-5.6</v>
      </c>
      <c r="Q2150">
        <v>0.9</v>
      </c>
      <c r="R2150">
        <v>-13.2</v>
      </c>
      <c r="S2150">
        <v>0.2</v>
      </c>
      <c r="T2150">
        <v>1.3</v>
      </c>
      <c r="U2150" t="s">
        <v>27</v>
      </c>
      <c r="V2150" t="s">
        <v>27</v>
      </c>
      <c r="W2150">
        <v>0.377</v>
      </c>
      <c r="X2150">
        <v>0.23599999999999999</v>
      </c>
      <c r="Y2150" t="s">
        <v>27</v>
      </c>
      <c r="Z2150" t="s">
        <v>27</v>
      </c>
      <c r="AA2150" t="s">
        <v>27</v>
      </c>
      <c r="AB2150" t="s">
        <v>27</v>
      </c>
      <c r="AC2150" t="s">
        <v>27</v>
      </c>
      <c r="AD2150" t="s">
        <v>27</v>
      </c>
      <c r="AE2150" t="s">
        <v>27</v>
      </c>
      <c r="AF2150" t="s">
        <v>27</v>
      </c>
      <c r="AG2150">
        <v>6.91</v>
      </c>
    </row>
    <row r="2151" spans="1:33" x14ac:dyDescent="0.25">
      <c r="A2151" t="s">
        <v>57</v>
      </c>
      <c r="B2151" s="3">
        <v>45612</v>
      </c>
      <c r="C2151">
        <v>2024321</v>
      </c>
      <c r="D2151">
        <v>0.44</v>
      </c>
      <c r="E2151" t="s">
        <v>27</v>
      </c>
      <c r="F2151">
        <v>-7.1</v>
      </c>
      <c r="G2151">
        <v>-3.3</v>
      </c>
      <c r="H2151">
        <v>-12.7</v>
      </c>
      <c r="I2151">
        <v>88.6</v>
      </c>
      <c r="J2151">
        <v>82.4</v>
      </c>
      <c r="K2151">
        <v>0.5</v>
      </c>
      <c r="L2151">
        <v>2.6</v>
      </c>
      <c r="M2151">
        <v>8.8000000000000007</v>
      </c>
      <c r="N2151">
        <v>0.34699999999999998</v>
      </c>
      <c r="O2151">
        <v>-1.1000000000000001</v>
      </c>
      <c r="P2151">
        <v>-7.9</v>
      </c>
      <c r="Q2151">
        <v>-2.7</v>
      </c>
      <c r="R2151">
        <v>-14.5</v>
      </c>
      <c r="S2151">
        <v>0.2</v>
      </c>
      <c r="T2151">
        <v>1.3</v>
      </c>
      <c r="U2151" t="s">
        <v>27</v>
      </c>
      <c r="V2151" t="s">
        <v>27</v>
      </c>
      <c r="W2151">
        <v>0.39300000000000002</v>
      </c>
      <c r="X2151">
        <v>8.4000000000000005E-2</v>
      </c>
      <c r="Y2151" t="s">
        <v>27</v>
      </c>
      <c r="Z2151" t="s">
        <v>27</v>
      </c>
      <c r="AA2151" t="s">
        <v>27</v>
      </c>
      <c r="AB2151" t="s">
        <v>27</v>
      </c>
      <c r="AC2151" t="s">
        <v>27</v>
      </c>
      <c r="AD2151" t="s">
        <v>27</v>
      </c>
      <c r="AE2151" t="s">
        <v>27</v>
      </c>
      <c r="AF2151" t="s">
        <v>27</v>
      </c>
      <c r="AG2151">
        <v>6.8</v>
      </c>
    </row>
    <row r="2152" spans="1:33" x14ac:dyDescent="0.25">
      <c r="A2152" t="s">
        <v>57</v>
      </c>
      <c r="B2152" s="3">
        <v>45613</v>
      </c>
      <c r="C2152">
        <v>2024322</v>
      </c>
      <c r="D2152">
        <v>0.7</v>
      </c>
      <c r="E2152" t="s">
        <v>27</v>
      </c>
      <c r="F2152">
        <v>-3.5</v>
      </c>
      <c r="G2152">
        <v>0</v>
      </c>
      <c r="H2152">
        <v>-5.2</v>
      </c>
      <c r="I2152">
        <v>91.5</v>
      </c>
      <c r="J2152">
        <v>84.3</v>
      </c>
      <c r="K2152">
        <v>0.3</v>
      </c>
      <c r="L2152">
        <v>2.2000000000000002</v>
      </c>
      <c r="M2152">
        <v>6.4</v>
      </c>
      <c r="N2152">
        <v>0.39300000000000024</v>
      </c>
      <c r="O2152">
        <v>-0.4</v>
      </c>
      <c r="P2152">
        <v>-3.8</v>
      </c>
      <c r="Q2152">
        <v>0.9</v>
      </c>
      <c r="R2152">
        <v>-5.6</v>
      </c>
      <c r="S2152">
        <v>0.3</v>
      </c>
      <c r="T2152">
        <v>1.3</v>
      </c>
      <c r="U2152" t="s">
        <v>27</v>
      </c>
      <c r="V2152" t="s">
        <v>27</v>
      </c>
      <c r="W2152">
        <v>0.51400000000000001</v>
      </c>
      <c r="X2152">
        <v>9.6000000000000002E-2</v>
      </c>
      <c r="Y2152" t="s">
        <v>27</v>
      </c>
      <c r="Z2152" t="s">
        <v>27</v>
      </c>
      <c r="AA2152" t="s">
        <v>27</v>
      </c>
      <c r="AB2152" t="s">
        <v>27</v>
      </c>
      <c r="AC2152" t="s">
        <v>27</v>
      </c>
      <c r="AD2152" t="s">
        <v>27</v>
      </c>
      <c r="AE2152" t="s">
        <v>27</v>
      </c>
      <c r="AF2152" t="s">
        <v>27</v>
      </c>
      <c r="AG2152">
        <v>6.68</v>
      </c>
    </row>
    <row r="2153" spans="1:33" x14ac:dyDescent="0.25">
      <c r="A2153" t="s">
        <v>57</v>
      </c>
      <c r="B2153" s="3">
        <v>45614</v>
      </c>
      <c r="C2153">
        <v>2024323</v>
      </c>
      <c r="D2153">
        <v>0</v>
      </c>
      <c r="E2153" t="s">
        <v>27</v>
      </c>
      <c r="F2153">
        <v>-7.6</v>
      </c>
      <c r="G2153">
        <v>-3.4</v>
      </c>
      <c r="H2153">
        <v>-15.7</v>
      </c>
      <c r="I2153">
        <v>87.2</v>
      </c>
      <c r="J2153">
        <v>81.599999999999994</v>
      </c>
      <c r="K2153">
        <v>0</v>
      </c>
      <c r="L2153">
        <v>0</v>
      </c>
      <c r="M2153">
        <v>3.4</v>
      </c>
      <c r="N2153">
        <v>0.38700000000000001</v>
      </c>
      <c r="O2153">
        <v>-0.4</v>
      </c>
      <c r="P2153">
        <v>-8.4</v>
      </c>
      <c r="Q2153">
        <v>-2.2999999999999998</v>
      </c>
      <c r="R2153">
        <v>-17.5</v>
      </c>
      <c r="S2153">
        <v>0.2</v>
      </c>
      <c r="T2153">
        <v>1.2</v>
      </c>
      <c r="U2153" t="s">
        <v>27</v>
      </c>
      <c r="V2153" t="s">
        <v>27</v>
      </c>
      <c r="W2153">
        <v>0.38600000000000001</v>
      </c>
      <c r="X2153">
        <v>8.6999999999999994E-2</v>
      </c>
      <c r="Y2153" t="s">
        <v>27</v>
      </c>
      <c r="Z2153" t="s">
        <v>27</v>
      </c>
      <c r="AA2153" t="s">
        <v>27</v>
      </c>
      <c r="AB2153" t="s">
        <v>27</v>
      </c>
      <c r="AC2153" t="s">
        <v>27</v>
      </c>
      <c r="AD2153" t="s">
        <v>27</v>
      </c>
      <c r="AE2153" t="s">
        <v>27</v>
      </c>
      <c r="AF2153" t="s">
        <v>27</v>
      </c>
      <c r="AG2153">
        <v>6.57</v>
      </c>
    </row>
    <row r="2154" spans="1:33" x14ac:dyDescent="0.25">
      <c r="A2154" t="s">
        <v>57</v>
      </c>
      <c r="B2154" s="3">
        <v>45615</v>
      </c>
      <c r="C2154">
        <v>2024324</v>
      </c>
      <c r="D2154">
        <v>0</v>
      </c>
      <c r="E2154" t="s">
        <v>27</v>
      </c>
      <c r="F2154">
        <v>-7.9</v>
      </c>
      <c r="G2154">
        <v>-4.0999999999999996</v>
      </c>
      <c r="H2154">
        <v>-16.3</v>
      </c>
      <c r="I2154">
        <v>87.8</v>
      </c>
      <c r="J2154">
        <v>81.7</v>
      </c>
      <c r="K2154">
        <v>0</v>
      </c>
      <c r="L2154">
        <v>0</v>
      </c>
      <c r="M2154">
        <v>0</v>
      </c>
      <c r="N2154">
        <v>0.39999999999999991</v>
      </c>
      <c r="O2154">
        <v>-0.7</v>
      </c>
      <c r="P2154">
        <v>-8.6</v>
      </c>
      <c r="Q2154">
        <v>-2.9</v>
      </c>
      <c r="R2154">
        <v>-18</v>
      </c>
      <c r="S2154">
        <v>0.2</v>
      </c>
      <c r="T2154">
        <v>1.2</v>
      </c>
      <c r="U2154" t="s">
        <v>27</v>
      </c>
      <c r="V2154" t="s">
        <v>27</v>
      </c>
      <c r="W2154">
        <v>0.36799999999999999</v>
      </c>
      <c r="X2154">
        <v>8.2000000000000003E-2</v>
      </c>
      <c r="Y2154" t="s">
        <v>27</v>
      </c>
      <c r="Z2154" t="s">
        <v>27</v>
      </c>
      <c r="AA2154" t="s">
        <v>27</v>
      </c>
      <c r="AB2154" t="s">
        <v>27</v>
      </c>
      <c r="AC2154" t="s">
        <v>27</v>
      </c>
      <c r="AD2154" t="s">
        <v>27</v>
      </c>
      <c r="AE2154" t="s">
        <v>27</v>
      </c>
      <c r="AF2154" t="s">
        <v>27</v>
      </c>
      <c r="AG2154">
        <v>6.47</v>
      </c>
    </row>
    <row r="2155" spans="1:33" x14ac:dyDescent="0.25">
      <c r="A2155" t="s">
        <v>57</v>
      </c>
      <c r="B2155" s="3">
        <v>45616</v>
      </c>
      <c r="C2155">
        <v>2024325</v>
      </c>
      <c r="D2155">
        <v>0</v>
      </c>
      <c r="E2155" t="s">
        <v>27</v>
      </c>
      <c r="F2155">
        <v>-3.9</v>
      </c>
      <c r="G2155">
        <v>-1.8</v>
      </c>
      <c r="H2155">
        <v>-5.9</v>
      </c>
      <c r="I2155">
        <v>90</v>
      </c>
      <c r="J2155">
        <v>84.8</v>
      </c>
      <c r="K2155">
        <v>0</v>
      </c>
      <c r="L2155">
        <v>0</v>
      </c>
      <c r="M2155">
        <v>5.6</v>
      </c>
      <c r="N2155">
        <v>0.40700000000000003</v>
      </c>
      <c r="O2155">
        <v>-0.5</v>
      </c>
      <c r="P2155">
        <v>-4.4000000000000004</v>
      </c>
      <c r="Q2155">
        <v>-1.7</v>
      </c>
      <c r="R2155">
        <v>-6.4</v>
      </c>
      <c r="S2155">
        <v>0.2</v>
      </c>
      <c r="T2155">
        <v>1.2</v>
      </c>
      <c r="U2155" t="s">
        <v>27</v>
      </c>
      <c r="V2155" t="s">
        <v>27</v>
      </c>
      <c r="W2155">
        <v>0.45200000000000001</v>
      </c>
      <c r="X2155">
        <v>8.1000000000000003E-2</v>
      </c>
      <c r="Y2155" t="s">
        <v>27</v>
      </c>
      <c r="Z2155" t="s">
        <v>27</v>
      </c>
      <c r="AA2155" t="s">
        <v>27</v>
      </c>
      <c r="AB2155" t="s">
        <v>27</v>
      </c>
      <c r="AC2155" t="s">
        <v>27</v>
      </c>
      <c r="AD2155" t="s">
        <v>27</v>
      </c>
      <c r="AE2155" t="s">
        <v>27</v>
      </c>
      <c r="AF2155" t="s">
        <v>27</v>
      </c>
      <c r="AG2155">
        <v>6.37</v>
      </c>
    </row>
    <row r="2156" spans="1:33" x14ac:dyDescent="0.25">
      <c r="A2156" t="s">
        <v>57</v>
      </c>
      <c r="B2156" s="3">
        <v>45617</v>
      </c>
      <c r="C2156">
        <v>2024326</v>
      </c>
      <c r="D2156">
        <v>0.44</v>
      </c>
      <c r="E2156" t="s">
        <v>27</v>
      </c>
      <c r="F2156">
        <v>-2.7</v>
      </c>
      <c r="G2156">
        <v>-1</v>
      </c>
      <c r="H2156">
        <v>-4.0999999999999996</v>
      </c>
      <c r="I2156">
        <v>91.5</v>
      </c>
      <c r="J2156">
        <v>84.2</v>
      </c>
      <c r="K2156">
        <v>0.1</v>
      </c>
      <c r="L2156">
        <v>1.3</v>
      </c>
      <c r="M2156">
        <v>3.2</v>
      </c>
      <c r="N2156">
        <v>0.43900000000000006</v>
      </c>
      <c r="O2156">
        <v>-0.3</v>
      </c>
      <c r="P2156">
        <v>-3</v>
      </c>
      <c r="Q2156">
        <v>0.7</v>
      </c>
      <c r="R2156">
        <v>-4.9000000000000004</v>
      </c>
      <c r="S2156">
        <v>0.2</v>
      </c>
      <c r="T2156">
        <v>1.2</v>
      </c>
      <c r="U2156" t="s">
        <v>27</v>
      </c>
      <c r="V2156" t="s">
        <v>27</v>
      </c>
      <c r="W2156">
        <v>0.47799999999999998</v>
      </c>
      <c r="X2156">
        <v>0.09</v>
      </c>
      <c r="Y2156" t="s">
        <v>27</v>
      </c>
      <c r="Z2156" t="s">
        <v>27</v>
      </c>
      <c r="AA2156" t="s">
        <v>27</v>
      </c>
      <c r="AB2156" t="s">
        <v>27</v>
      </c>
      <c r="AC2156" t="s">
        <v>27</v>
      </c>
      <c r="AD2156" t="s">
        <v>27</v>
      </c>
      <c r="AE2156" t="s">
        <v>27</v>
      </c>
      <c r="AF2156" t="s">
        <v>27</v>
      </c>
      <c r="AG2156">
        <v>6.26</v>
      </c>
    </row>
    <row r="2157" spans="1:33" x14ac:dyDescent="0.25">
      <c r="A2157" t="s">
        <v>57</v>
      </c>
      <c r="B2157" s="3">
        <v>45618</v>
      </c>
      <c r="C2157">
        <v>2024327</v>
      </c>
      <c r="D2157">
        <v>0.7</v>
      </c>
      <c r="E2157" t="s">
        <v>27</v>
      </c>
      <c r="F2157">
        <v>-0.7</v>
      </c>
      <c r="G2157">
        <v>1.4</v>
      </c>
      <c r="H2157">
        <v>-3.5</v>
      </c>
      <c r="I2157">
        <v>93.6</v>
      </c>
      <c r="J2157">
        <v>85.8</v>
      </c>
      <c r="K2157">
        <v>0.6</v>
      </c>
      <c r="L2157">
        <v>2.4</v>
      </c>
      <c r="M2157">
        <v>5</v>
      </c>
      <c r="N2157">
        <v>0.44600000000000017</v>
      </c>
      <c r="O2157">
        <v>-0.1</v>
      </c>
      <c r="P2157">
        <v>-1.2</v>
      </c>
      <c r="Q2157">
        <v>2.7</v>
      </c>
      <c r="R2157">
        <v>-4.5</v>
      </c>
      <c r="S2157">
        <v>0.2</v>
      </c>
      <c r="T2157">
        <v>1.2</v>
      </c>
      <c r="U2157" t="s">
        <v>27</v>
      </c>
      <c r="V2157" t="s">
        <v>27</v>
      </c>
      <c r="W2157">
        <v>0.57899999999999996</v>
      </c>
      <c r="X2157">
        <v>9.6000000000000002E-2</v>
      </c>
      <c r="Y2157" t="s">
        <v>27</v>
      </c>
      <c r="Z2157" t="s">
        <v>27</v>
      </c>
      <c r="AA2157" t="s">
        <v>27</v>
      </c>
      <c r="AB2157" t="s">
        <v>27</v>
      </c>
      <c r="AC2157" t="s">
        <v>27</v>
      </c>
      <c r="AD2157" t="s">
        <v>27</v>
      </c>
      <c r="AE2157" t="s">
        <v>27</v>
      </c>
      <c r="AF2157" t="s">
        <v>27</v>
      </c>
      <c r="AG2157">
        <v>6.17</v>
      </c>
    </row>
    <row r="2158" spans="1:33" x14ac:dyDescent="0.25">
      <c r="A2158" t="s">
        <v>57</v>
      </c>
      <c r="B2158" s="3">
        <v>45619</v>
      </c>
      <c r="C2158">
        <v>2024328</v>
      </c>
      <c r="D2158">
        <v>2.96</v>
      </c>
      <c r="E2158" t="s">
        <v>27</v>
      </c>
      <c r="F2158">
        <v>-4.3</v>
      </c>
      <c r="G2158">
        <v>0.2</v>
      </c>
      <c r="H2158">
        <v>-8.3000000000000007</v>
      </c>
      <c r="I2158">
        <v>89.7</v>
      </c>
      <c r="J2158">
        <v>73.3</v>
      </c>
      <c r="K2158">
        <v>0.1</v>
      </c>
      <c r="L2158">
        <v>1.7</v>
      </c>
      <c r="M2158">
        <v>0.9</v>
      </c>
      <c r="N2158">
        <v>0.42700000000000005</v>
      </c>
      <c r="O2158">
        <v>-0.1</v>
      </c>
      <c r="P2158">
        <v>-5.3</v>
      </c>
      <c r="Q2158">
        <v>0.5</v>
      </c>
      <c r="R2158">
        <v>-9.9</v>
      </c>
      <c r="S2158">
        <v>0.2</v>
      </c>
      <c r="T2158">
        <v>1.2</v>
      </c>
      <c r="U2158" t="s">
        <v>27</v>
      </c>
      <c r="V2158" t="s">
        <v>27</v>
      </c>
      <c r="W2158">
        <v>0.45300000000000001</v>
      </c>
      <c r="X2158">
        <v>0.16500000000000001</v>
      </c>
      <c r="Y2158" t="s">
        <v>27</v>
      </c>
      <c r="Z2158" t="s">
        <v>27</v>
      </c>
      <c r="AA2158" t="s">
        <v>27</v>
      </c>
      <c r="AB2158" t="s">
        <v>27</v>
      </c>
      <c r="AC2158" t="s">
        <v>27</v>
      </c>
      <c r="AD2158" t="s">
        <v>27</v>
      </c>
      <c r="AE2158" t="s">
        <v>27</v>
      </c>
      <c r="AF2158" t="s">
        <v>27</v>
      </c>
      <c r="AG2158">
        <v>6.07</v>
      </c>
    </row>
    <row r="2159" spans="1:33" x14ac:dyDescent="0.25">
      <c r="A2159" t="s">
        <v>57</v>
      </c>
      <c r="B2159" s="3">
        <v>45620</v>
      </c>
      <c r="C2159">
        <v>2024329</v>
      </c>
      <c r="D2159">
        <v>1.29</v>
      </c>
      <c r="E2159" t="s">
        <v>27</v>
      </c>
      <c r="F2159">
        <v>-5.9</v>
      </c>
      <c r="G2159">
        <v>-2.2000000000000002</v>
      </c>
      <c r="H2159">
        <v>-11.9</v>
      </c>
      <c r="I2159">
        <v>89.8</v>
      </c>
      <c r="J2159">
        <v>85.6</v>
      </c>
      <c r="K2159">
        <v>0.2</v>
      </c>
      <c r="L2159">
        <v>1.3</v>
      </c>
      <c r="M2159">
        <v>1.4</v>
      </c>
      <c r="N2159">
        <v>0.45599999999999996</v>
      </c>
      <c r="O2159">
        <v>-0.5</v>
      </c>
      <c r="P2159">
        <v>-6.7</v>
      </c>
      <c r="Q2159">
        <v>-2.1</v>
      </c>
      <c r="R2159">
        <v>-13.4</v>
      </c>
      <c r="S2159">
        <v>0.2</v>
      </c>
      <c r="T2159">
        <v>1.2</v>
      </c>
      <c r="U2159" t="s">
        <v>27</v>
      </c>
      <c r="V2159" t="s">
        <v>27</v>
      </c>
      <c r="W2159">
        <v>0.443</v>
      </c>
      <c r="X2159">
        <v>7.4999999999999997E-2</v>
      </c>
      <c r="Y2159" t="s">
        <v>27</v>
      </c>
      <c r="Z2159" t="s">
        <v>27</v>
      </c>
      <c r="AA2159" t="s">
        <v>27</v>
      </c>
      <c r="AB2159" t="s">
        <v>27</v>
      </c>
      <c r="AC2159" t="s">
        <v>27</v>
      </c>
      <c r="AD2159" t="s">
        <v>27</v>
      </c>
      <c r="AE2159" t="s">
        <v>27</v>
      </c>
      <c r="AF2159" t="s">
        <v>27</v>
      </c>
      <c r="AG2159">
        <v>5.99</v>
      </c>
    </row>
    <row r="2160" spans="1:33" x14ac:dyDescent="0.25">
      <c r="A2160" t="s">
        <v>57</v>
      </c>
      <c r="B2160" s="3">
        <v>45621</v>
      </c>
      <c r="C2160">
        <v>2024330</v>
      </c>
      <c r="D2160">
        <v>0.32</v>
      </c>
      <c r="E2160" t="s">
        <v>27</v>
      </c>
      <c r="F2160">
        <v>-3.4</v>
      </c>
      <c r="G2160">
        <v>-0.2</v>
      </c>
      <c r="H2160">
        <v>-6.5</v>
      </c>
      <c r="I2160">
        <v>90.9</v>
      </c>
      <c r="J2160">
        <v>82.3</v>
      </c>
      <c r="K2160">
        <v>0.2</v>
      </c>
      <c r="L2160">
        <v>1.5</v>
      </c>
      <c r="M2160">
        <v>5.5</v>
      </c>
      <c r="N2160">
        <v>0.502</v>
      </c>
      <c r="O2160">
        <v>-0.3</v>
      </c>
      <c r="P2160">
        <v>-3.8</v>
      </c>
      <c r="Q2160">
        <v>0.6</v>
      </c>
      <c r="R2160">
        <v>-8</v>
      </c>
      <c r="S2160">
        <v>0.2</v>
      </c>
      <c r="T2160">
        <v>1.2</v>
      </c>
      <c r="U2160" t="s">
        <v>27</v>
      </c>
      <c r="V2160" t="s">
        <v>27</v>
      </c>
      <c r="W2160">
        <v>0.49399999999999999</v>
      </c>
      <c r="X2160">
        <v>0.106</v>
      </c>
      <c r="Y2160" t="s">
        <v>27</v>
      </c>
      <c r="Z2160" t="s">
        <v>27</v>
      </c>
      <c r="AA2160" t="s">
        <v>27</v>
      </c>
      <c r="AB2160" t="s">
        <v>27</v>
      </c>
      <c r="AC2160" t="s">
        <v>27</v>
      </c>
      <c r="AD2160" t="s">
        <v>27</v>
      </c>
      <c r="AE2160" t="s">
        <v>27</v>
      </c>
      <c r="AF2160" t="s">
        <v>27</v>
      </c>
      <c r="AG2160">
        <v>5.9</v>
      </c>
    </row>
    <row r="2161" spans="1:33" x14ac:dyDescent="0.25">
      <c r="A2161" t="s">
        <v>57</v>
      </c>
      <c r="B2161" s="3">
        <v>45622</v>
      </c>
      <c r="C2161">
        <v>2024331</v>
      </c>
      <c r="D2161">
        <v>0.32</v>
      </c>
      <c r="E2161" t="s">
        <v>27</v>
      </c>
      <c r="F2161">
        <v>-7.1</v>
      </c>
      <c r="G2161">
        <v>-2.2999999999999998</v>
      </c>
      <c r="H2161">
        <v>-14.5</v>
      </c>
      <c r="I2161">
        <v>87.4</v>
      </c>
      <c r="J2161">
        <v>80.2</v>
      </c>
      <c r="K2161">
        <v>0.3</v>
      </c>
      <c r="L2161">
        <v>2.5</v>
      </c>
      <c r="M2161">
        <v>2.7</v>
      </c>
      <c r="N2161">
        <v>0.47199999999999998</v>
      </c>
      <c r="O2161">
        <v>-0.2</v>
      </c>
      <c r="P2161">
        <v>-8.1</v>
      </c>
      <c r="Q2161">
        <v>-1.4</v>
      </c>
      <c r="R2161">
        <v>-16.600000000000001</v>
      </c>
      <c r="S2161">
        <v>0.2</v>
      </c>
      <c r="T2161">
        <v>1.1000000000000001</v>
      </c>
      <c r="U2161" t="s">
        <v>27</v>
      </c>
      <c r="V2161" t="s">
        <v>27</v>
      </c>
      <c r="W2161">
        <v>0.41299999999999998</v>
      </c>
      <c r="X2161">
        <v>0.10199999999999999</v>
      </c>
      <c r="Y2161" t="s">
        <v>27</v>
      </c>
      <c r="Z2161" t="s">
        <v>27</v>
      </c>
      <c r="AA2161" t="s">
        <v>27</v>
      </c>
      <c r="AB2161" t="s">
        <v>27</v>
      </c>
      <c r="AC2161" t="s">
        <v>27</v>
      </c>
      <c r="AD2161" t="s">
        <v>27</v>
      </c>
      <c r="AE2161" t="s">
        <v>27</v>
      </c>
      <c r="AF2161" t="s">
        <v>27</v>
      </c>
      <c r="AG2161">
        <v>5.82</v>
      </c>
    </row>
    <row r="2162" spans="1:33" x14ac:dyDescent="0.25">
      <c r="A2162" t="s">
        <v>57</v>
      </c>
      <c r="B2162" s="3">
        <v>45623</v>
      </c>
      <c r="C2162">
        <v>2024332</v>
      </c>
      <c r="D2162">
        <v>0</v>
      </c>
      <c r="E2162" t="s">
        <v>27</v>
      </c>
      <c r="F2162">
        <v>-7.8</v>
      </c>
      <c r="G2162">
        <v>-3.9</v>
      </c>
      <c r="H2162">
        <v>-16.2</v>
      </c>
      <c r="I2162">
        <v>86.9</v>
      </c>
      <c r="J2162">
        <v>81.5</v>
      </c>
      <c r="K2162">
        <v>0.4</v>
      </c>
      <c r="L2162">
        <v>2.2000000000000002</v>
      </c>
      <c r="M2162">
        <v>0</v>
      </c>
      <c r="N2162">
        <v>0.45000000000000018</v>
      </c>
      <c r="O2162">
        <v>-0.4</v>
      </c>
      <c r="P2162">
        <v>-8.6999999999999993</v>
      </c>
      <c r="Q2162">
        <v>-4.0999999999999996</v>
      </c>
      <c r="R2162">
        <v>-18.100000000000001</v>
      </c>
      <c r="S2162">
        <v>0.2</v>
      </c>
      <c r="T2162">
        <v>1.1000000000000001</v>
      </c>
      <c r="U2162" t="s">
        <v>27</v>
      </c>
      <c r="V2162" t="s">
        <v>27</v>
      </c>
      <c r="W2162">
        <v>0.372</v>
      </c>
      <c r="X2162">
        <v>8.4000000000000005E-2</v>
      </c>
      <c r="Y2162" t="s">
        <v>27</v>
      </c>
      <c r="Z2162" t="s">
        <v>27</v>
      </c>
      <c r="AA2162" t="s">
        <v>27</v>
      </c>
      <c r="AB2162" t="s">
        <v>27</v>
      </c>
      <c r="AC2162" t="s">
        <v>27</v>
      </c>
      <c r="AD2162" t="s">
        <v>27</v>
      </c>
      <c r="AE2162" t="s">
        <v>27</v>
      </c>
      <c r="AF2162" t="s">
        <v>27</v>
      </c>
      <c r="AG2162">
        <v>5.74</v>
      </c>
    </row>
    <row r="2163" spans="1:33" x14ac:dyDescent="0.25">
      <c r="A2163" t="s">
        <v>57</v>
      </c>
      <c r="B2163" s="3">
        <v>45624</v>
      </c>
      <c r="C2163">
        <v>2024333</v>
      </c>
      <c r="D2163">
        <v>0</v>
      </c>
      <c r="E2163" t="s">
        <v>27</v>
      </c>
      <c r="F2163">
        <v>-8.5</v>
      </c>
      <c r="G2163">
        <v>-5.0999999999999996</v>
      </c>
      <c r="H2163">
        <v>-12.5</v>
      </c>
      <c r="I2163">
        <v>88.5</v>
      </c>
      <c r="J2163">
        <v>84.4</v>
      </c>
      <c r="K2163">
        <v>0.2</v>
      </c>
      <c r="L2163">
        <v>1.2</v>
      </c>
      <c r="M2163">
        <v>0</v>
      </c>
      <c r="N2163">
        <v>0.43599999999999994</v>
      </c>
      <c r="O2163">
        <v>-0.5</v>
      </c>
      <c r="P2163">
        <v>-9.1999999999999993</v>
      </c>
      <c r="Q2163">
        <v>-5.6</v>
      </c>
      <c r="R2163">
        <v>-14.1</v>
      </c>
      <c r="S2163">
        <v>0.2</v>
      </c>
      <c r="T2163">
        <v>1.1000000000000001</v>
      </c>
      <c r="U2163" t="s">
        <v>27</v>
      </c>
      <c r="V2163" t="s">
        <v>27</v>
      </c>
      <c r="W2163">
        <v>0.35199999999999998</v>
      </c>
      <c r="X2163">
        <v>6.5000000000000002E-2</v>
      </c>
      <c r="Y2163" t="s">
        <v>27</v>
      </c>
      <c r="Z2163" t="s">
        <v>27</v>
      </c>
      <c r="AA2163" t="s">
        <v>27</v>
      </c>
      <c r="AB2163" t="s">
        <v>27</v>
      </c>
      <c r="AC2163" t="s">
        <v>27</v>
      </c>
      <c r="AD2163" t="s">
        <v>27</v>
      </c>
      <c r="AE2163" t="s">
        <v>27</v>
      </c>
      <c r="AF2163" t="s">
        <v>27</v>
      </c>
      <c r="AG2163">
        <v>5.67</v>
      </c>
    </row>
    <row r="2164" spans="1:33" x14ac:dyDescent="0.25">
      <c r="A2164" t="s">
        <v>57</v>
      </c>
      <c r="B2164" s="3">
        <v>45625</v>
      </c>
      <c r="C2164">
        <v>2024334</v>
      </c>
      <c r="D2164">
        <v>0.17</v>
      </c>
      <c r="E2164" t="s">
        <v>27</v>
      </c>
      <c r="F2164">
        <v>-8.1</v>
      </c>
      <c r="G2164">
        <v>-2</v>
      </c>
      <c r="H2164">
        <v>-15.4</v>
      </c>
      <c r="I2164">
        <v>86.8</v>
      </c>
      <c r="J2164">
        <v>76.3</v>
      </c>
      <c r="K2164">
        <v>0.3</v>
      </c>
      <c r="L2164">
        <v>2.1</v>
      </c>
      <c r="M2164">
        <v>0</v>
      </c>
      <c r="N2164">
        <v>0.44300000000000006</v>
      </c>
      <c r="O2164">
        <v>-0.6</v>
      </c>
      <c r="P2164">
        <v>-8.9</v>
      </c>
      <c r="Q2164">
        <v>-1.4</v>
      </c>
      <c r="R2164">
        <v>-16.8</v>
      </c>
      <c r="S2164">
        <v>0.2</v>
      </c>
      <c r="T2164">
        <v>1.1000000000000001</v>
      </c>
      <c r="U2164" t="s">
        <v>27</v>
      </c>
      <c r="V2164" t="s">
        <v>27</v>
      </c>
      <c r="W2164">
        <v>0.40200000000000002</v>
      </c>
      <c r="X2164">
        <v>0.125</v>
      </c>
      <c r="Y2164" t="s">
        <v>27</v>
      </c>
      <c r="Z2164" t="s">
        <v>27</v>
      </c>
      <c r="AA2164" t="s">
        <v>27</v>
      </c>
      <c r="AB2164" t="s">
        <v>27</v>
      </c>
      <c r="AC2164" t="s">
        <v>27</v>
      </c>
      <c r="AD2164" t="s">
        <v>27</v>
      </c>
      <c r="AE2164" t="s">
        <v>27</v>
      </c>
      <c r="AF2164" t="s">
        <v>27</v>
      </c>
      <c r="AG2164">
        <v>5.6</v>
      </c>
    </row>
    <row r="2165" spans="1:33" x14ac:dyDescent="0.25">
      <c r="A2165" t="s">
        <v>57</v>
      </c>
      <c r="B2165" s="3">
        <v>45626</v>
      </c>
      <c r="C2165">
        <v>2024335</v>
      </c>
      <c r="D2165">
        <v>0.22</v>
      </c>
      <c r="E2165" t="s">
        <v>27</v>
      </c>
      <c r="F2165">
        <v>-4.3</v>
      </c>
      <c r="G2165">
        <v>-0.6</v>
      </c>
      <c r="H2165">
        <v>-8.3000000000000007</v>
      </c>
      <c r="I2165">
        <v>88.9</v>
      </c>
      <c r="J2165">
        <v>77.7</v>
      </c>
      <c r="K2165">
        <v>0.3</v>
      </c>
      <c r="L2165">
        <v>1.7</v>
      </c>
      <c r="M2165">
        <v>2.4</v>
      </c>
      <c r="N2165">
        <v>0.44700000000000006</v>
      </c>
      <c r="O2165">
        <v>-0.5</v>
      </c>
      <c r="P2165">
        <v>-5.2</v>
      </c>
      <c r="Q2165">
        <v>0</v>
      </c>
      <c r="R2165">
        <v>-9.8000000000000007</v>
      </c>
      <c r="S2165">
        <v>0.2</v>
      </c>
      <c r="T2165">
        <v>1.1000000000000001</v>
      </c>
      <c r="U2165" t="s">
        <v>27</v>
      </c>
      <c r="V2165" t="s">
        <v>27</v>
      </c>
      <c r="W2165">
        <v>0.45400000000000001</v>
      </c>
      <c r="X2165">
        <v>0.13</v>
      </c>
      <c r="Y2165" t="s">
        <v>27</v>
      </c>
      <c r="Z2165" t="s">
        <v>27</v>
      </c>
      <c r="AA2165" t="s">
        <v>27</v>
      </c>
      <c r="AB2165" t="s">
        <v>27</v>
      </c>
      <c r="AC2165" t="s">
        <v>27</v>
      </c>
      <c r="AD2165" t="s">
        <v>27</v>
      </c>
      <c r="AE2165" t="s">
        <v>27</v>
      </c>
      <c r="AF2165" t="s">
        <v>27</v>
      </c>
      <c r="AG2165">
        <v>5.53</v>
      </c>
    </row>
    <row r="2166" spans="1:33" x14ac:dyDescent="0.25">
      <c r="A2166" t="s">
        <v>57</v>
      </c>
      <c r="B2166" s="3">
        <v>45627</v>
      </c>
      <c r="C2166">
        <v>2024336</v>
      </c>
      <c r="D2166">
        <v>0.57999999999999996</v>
      </c>
      <c r="E2166" t="s">
        <v>27</v>
      </c>
      <c r="F2166">
        <v>-6.7</v>
      </c>
      <c r="G2166">
        <v>-0.8</v>
      </c>
      <c r="H2166">
        <v>-11.4</v>
      </c>
      <c r="I2166">
        <v>88.5</v>
      </c>
      <c r="J2166">
        <v>81.900000000000006</v>
      </c>
      <c r="K2166">
        <v>0.2</v>
      </c>
      <c r="L2166">
        <v>1.4</v>
      </c>
      <c r="M2166">
        <v>0.4</v>
      </c>
      <c r="N2166">
        <v>0.43800000000000017</v>
      </c>
      <c r="O2166">
        <v>-0.5</v>
      </c>
      <c r="P2166">
        <v>-7.8</v>
      </c>
      <c r="Q2166">
        <v>-0.4</v>
      </c>
      <c r="R2166">
        <v>-13.1</v>
      </c>
      <c r="S2166">
        <v>0.2</v>
      </c>
      <c r="T2166">
        <v>1.1000000000000001</v>
      </c>
      <c r="U2166" t="s">
        <v>27</v>
      </c>
      <c r="V2166" t="s">
        <v>27</v>
      </c>
      <c r="W2166">
        <v>0.47299999999999998</v>
      </c>
      <c r="X2166">
        <v>0.105</v>
      </c>
      <c r="Y2166" t="s">
        <v>27</v>
      </c>
      <c r="Z2166" t="s">
        <v>27</v>
      </c>
      <c r="AA2166" t="s">
        <v>27</v>
      </c>
      <c r="AB2166" t="s">
        <v>27</v>
      </c>
      <c r="AC2166" t="s">
        <v>27</v>
      </c>
      <c r="AD2166" t="s">
        <v>27</v>
      </c>
      <c r="AE2166" t="s">
        <v>27</v>
      </c>
      <c r="AF2166" t="s">
        <v>27</v>
      </c>
      <c r="AG2166">
        <v>5.47</v>
      </c>
    </row>
    <row r="2167" spans="1:33" x14ac:dyDescent="0.25">
      <c r="A2167" t="s">
        <v>57</v>
      </c>
      <c r="B2167" s="3">
        <v>45628</v>
      </c>
      <c r="C2167">
        <v>2024337</v>
      </c>
      <c r="D2167">
        <v>3.07</v>
      </c>
      <c r="E2167" t="s">
        <v>27</v>
      </c>
      <c r="F2167">
        <v>-8.6999999999999993</v>
      </c>
      <c r="G2167">
        <v>-1.5</v>
      </c>
      <c r="H2167">
        <v>-13.1</v>
      </c>
      <c r="I2167">
        <v>87.1</v>
      </c>
      <c r="J2167">
        <v>81.3</v>
      </c>
      <c r="K2167">
        <v>0.2</v>
      </c>
      <c r="L2167">
        <v>1.4</v>
      </c>
      <c r="M2167">
        <v>0</v>
      </c>
      <c r="N2167">
        <v>0.43300000000000027</v>
      </c>
      <c r="O2167">
        <v>-0.7</v>
      </c>
      <c r="P2167">
        <v>-10</v>
      </c>
      <c r="Q2167">
        <v>-1</v>
      </c>
      <c r="R2167">
        <v>-14.9</v>
      </c>
      <c r="S2167">
        <v>0.2</v>
      </c>
      <c r="T2167">
        <v>1</v>
      </c>
      <c r="U2167" t="s">
        <v>27</v>
      </c>
      <c r="V2167" t="s">
        <v>27</v>
      </c>
      <c r="W2167">
        <v>0.44500000000000001</v>
      </c>
      <c r="X2167">
        <v>0.10199999999999999</v>
      </c>
      <c r="Y2167" t="s">
        <v>27</v>
      </c>
      <c r="Z2167" t="s">
        <v>27</v>
      </c>
      <c r="AA2167" t="s">
        <v>27</v>
      </c>
      <c r="AB2167" t="s">
        <v>27</v>
      </c>
      <c r="AC2167" t="s">
        <v>27</v>
      </c>
      <c r="AD2167" t="s">
        <v>27</v>
      </c>
      <c r="AE2167" t="s">
        <v>27</v>
      </c>
      <c r="AF2167" t="s">
        <v>27</v>
      </c>
      <c r="AG2167">
        <v>5.41</v>
      </c>
    </row>
    <row r="2168" spans="1:33" x14ac:dyDescent="0.25">
      <c r="A2168" t="s">
        <v>57</v>
      </c>
      <c r="B2168" s="3">
        <v>45629</v>
      </c>
      <c r="C2168">
        <v>2024338</v>
      </c>
      <c r="D2168">
        <v>3.79</v>
      </c>
      <c r="E2168" t="s">
        <v>27</v>
      </c>
      <c r="F2168">
        <v>-4.3</v>
      </c>
      <c r="G2168">
        <v>3</v>
      </c>
      <c r="H2168">
        <v>-9.9</v>
      </c>
      <c r="I2168">
        <v>90.9</v>
      </c>
      <c r="J2168">
        <v>74.8</v>
      </c>
      <c r="K2168">
        <v>0</v>
      </c>
      <c r="L2168">
        <v>0.9</v>
      </c>
      <c r="M2168">
        <v>0</v>
      </c>
      <c r="N2168">
        <v>0.42200000000000015</v>
      </c>
      <c r="O2168">
        <v>-1</v>
      </c>
      <c r="P2168">
        <v>-5.5</v>
      </c>
      <c r="Q2168">
        <v>3.7</v>
      </c>
      <c r="R2168">
        <v>-11.2</v>
      </c>
      <c r="S2168">
        <v>0.1</v>
      </c>
      <c r="T2168">
        <v>1</v>
      </c>
      <c r="U2168" t="s">
        <v>27</v>
      </c>
      <c r="V2168" t="s">
        <v>27</v>
      </c>
      <c r="W2168">
        <v>0.56799999999999995</v>
      </c>
      <c r="X2168">
        <v>0.191</v>
      </c>
      <c r="Y2168" t="s">
        <v>27</v>
      </c>
      <c r="Z2168" t="s">
        <v>27</v>
      </c>
      <c r="AA2168" t="s">
        <v>27</v>
      </c>
      <c r="AB2168" t="s">
        <v>27</v>
      </c>
      <c r="AC2168" t="s">
        <v>27</v>
      </c>
      <c r="AD2168" t="s">
        <v>27</v>
      </c>
      <c r="AE2168" t="s">
        <v>27</v>
      </c>
      <c r="AF2168" t="s">
        <v>27</v>
      </c>
      <c r="AG2168">
        <v>5.35</v>
      </c>
    </row>
    <row r="2169" spans="1:33" x14ac:dyDescent="0.25">
      <c r="A2169" t="s">
        <v>57</v>
      </c>
      <c r="B2169" s="3">
        <v>45630</v>
      </c>
      <c r="C2169">
        <v>2024339</v>
      </c>
      <c r="D2169">
        <v>4.16</v>
      </c>
      <c r="E2169" t="s">
        <v>27</v>
      </c>
      <c r="F2169">
        <v>-2.9</v>
      </c>
      <c r="G2169">
        <v>2.2999999999999998</v>
      </c>
      <c r="H2169">
        <v>-6.1</v>
      </c>
      <c r="I2169">
        <v>91.3</v>
      </c>
      <c r="J2169">
        <v>76.8</v>
      </c>
      <c r="K2169">
        <v>0.1</v>
      </c>
      <c r="L2169">
        <v>1</v>
      </c>
      <c r="M2169">
        <v>0</v>
      </c>
      <c r="N2169">
        <v>0.41700000000000026</v>
      </c>
      <c r="O2169">
        <v>-0.9</v>
      </c>
      <c r="P2169">
        <v>-4</v>
      </c>
      <c r="Q2169">
        <v>4.4000000000000004</v>
      </c>
      <c r="R2169">
        <v>-7.6</v>
      </c>
      <c r="S2169">
        <v>0.1</v>
      </c>
      <c r="T2169">
        <v>1</v>
      </c>
      <c r="U2169" t="s">
        <v>27</v>
      </c>
      <c r="V2169" t="s">
        <v>27</v>
      </c>
      <c r="W2169">
        <v>0.55400000000000005</v>
      </c>
      <c r="X2169">
        <v>0.16700000000000001</v>
      </c>
      <c r="Y2169" t="s">
        <v>27</v>
      </c>
      <c r="Z2169" t="s">
        <v>27</v>
      </c>
      <c r="AA2169" t="s">
        <v>27</v>
      </c>
      <c r="AB2169" t="s">
        <v>27</v>
      </c>
      <c r="AC2169" t="s">
        <v>27</v>
      </c>
      <c r="AD2169" t="s">
        <v>27</v>
      </c>
      <c r="AE2169" t="s">
        <v>27</v>
      </c>
      <c r="AF2169" t="s">
        <v>27</v>
      </c>
      <c r="AG2169">
        <v>5.3</v>
      </c>
    </row>
    <row r="2170" spans="1:33" x14ac:dyDescent="0.25">
      <c r="A2170" t="s">
        <v>57</v>
      </c>
      <c r="B2170" s="3">
        <v>45631</v>
      </c>
      <c r="C2170">
        <v>2024340</v>
      </c>
      <c r="D2170">
        <v>3.5</v>
      </c>
      <c r="E2170" t="s">
        <v>27</v>
      </c>
      <c r="F2170">
        <v>-3.2</v>
      </c>
      <c r="G2170">
        <v>3.4</v>
      </c>
      <c r="H2170">
        <v>-7.6</v>
      </c>
      <c r="I2170">
        <v>89.7</v>
      </c>
      <c r="J2170">
        <v>68.8</v>
      </c>
      <c r="K2170">
        <v>0.1</v>
      </c>
      <c r="L2170">
        <v>1</v>
      </c>
      <c r="M2170">
        <v>0</v>
      </c>
      <c r="N2170">
        <v>0.42600000000000016</v>
      </c>
      <c r="O2170">
        <v>-0.8</v>
      </c>
      <c r="P2170">
        <v>-4.2</v>
      </c>
      <c r="Q2170">
        <v>5.3</v>
      </c>
      <c r="R2170">
        <v>-8.9</v>
      </c>
      <c r="S2170">
        <v>0.1</v>
      </c>
      <c r="T2170">
        <v>1</v>
      </c>
      <c r="U2170" t="s">
        <v>27</v>
      </c>
      <c r="V2170" t="s">
        <v>27</v>
      </c>
      <c r="W2170">
        <v>0.53700000000000003</v>
      </c>
      <c r="X2170">
        <v>0.24399999999999999</v>
      </c>
      <c r="Y2170" t="s">
        <v>27</v>
      </c>
      <c r="Z2170" t="s">
        <v>27</v>
      </c>
      <c r="AA2170" t="s">
        <v>27</v>
      </c>
      <c r="AB2170" t="s">
        <v>27</v>
      </c>
      <c r="AC2170" t="s">
        <v>27</v>
      </c>
      <c r="AD2170" t="s">
        <v>27</v>
      </c>
      <c r="AE2170" t="s">
        <v>27</v>
      </c>
      <c r="AF2170" t="s">
        <v>27</v>
      </c>
      <c r="AG2170">
        <v>5.24</v>
      </c>
    </row>
    <row r="2171" spans="1:33" x14ac:dyDescent="0.25">
      <c r="A2171" t="s">
        <v>57</v>
      </c>
      <c r="B2171" s="3">
        <v>45632</v>
      </c>
      <c r="C2171">
        <v>2024341</v>
      </c>
      <c r="D2171">
        <v>0.86</v>
      </c>
      <c r="E2171" t="s">
        <v>27</v>
      </c>
      <c r="F2171">
        <v>-4.9000000000000004</v>
      </c>
      <c r="G2171">
        <v>-2.1</v>
      </c>
      <c r="H2171">
        <v>-7.2</v>
      </c>
      <c r="I2171">
        <v>91.2</v>
      </c>
      <c r="J2171">
        <v>83.6</v>
      </c>
      <c r="K2171">
        <v>0.5</v>
      </c>
      <c r="L2171">
        <v>2</v>
      </c>
      <c r="M2171">
        <v>0</v>
      </c>
      <c r="N2171">
        <v>0.41300000000000026</v>
      </c>
      <c r="O2171">
        <v>-0.7</v>
      </c>
      <c r="P2171">
        <v>-5.6</v>
      </c>
      <c r="Q2171">
        <v>-2.2999999999999998</v>
      </c>
      <c r="R2171">
        <v>-7.7</v>
      </c>
      <c r="S2171">
        <v>0.1</v>
      </c>
      <c r="T2171">
        <v>1</v>
      </c>
      <c r="U2171" t="s">
        <v>27</v>
      </c>
      <c r="V2171" t="s">
        <v>27</v>
      </c>
      <c r="W2171">
        <v>0.439</v>
      </c>
      <c r="X2171">
        <v>8.5999999999999993E-2</v>
      </c>
      <c r="Y2171" t="s">
        <v>27</v>
      </c>
      <c r="Z2171" t="s">
        <v>27</v>
      </c>
      <c r="AA2171" t="s">
        <v>27</v>
      </c>
      <c r="AB2171" t="s">
        <v>27</v>
      </c>
      <c r="AC2171" t="s">
        <v>27</v>
      </c>
      <c r="AD2171" t="s">
        <v>27</v>
      </c>
      <c r="AE2171" t="s">
        <v>27</v>
      </c>
      <c r="AF2171" t="s">
        <v>27</v>
      </c>
      <c r="AG2171">
        <v>5.2</v>
      </c>
    </row>
    <row r="2172" spans="1:33" x14ac:dyDescent="0.25">
      <c r="A2172" t="s">
        <v>57</v>
      </c>
      <c r="B2172" s="3">
        <v>45633</v>
      </c>
      <c r="C2172">
        <v>2024342</v>
      </c>
      <c r="D2172">
        <v>1.21</v>
      </c>
      <c r="E2172" t="s">
        <v>27</v>
      </c>
      <c r="F2172">
        <v>-2.8</v>
      </c>
      <c r="G2172">
        <v>2</v>
      </c>
      <c r="H2172">
        <v>-6.5</v>
      </c>
      <c r="I2172">
        <v>88</v>
      </c>
      <c r="J2172">
        <v>71.8</v>
      </c>
      <c r="K2172">
        <v>0.9</v>
      </c>
      <c r="L2172">
        <v>3.6</v>
      </c>
      <c r="M2172">
        <v>0</v>
      </c>
      <c r="N2172">
        <v>0.41900000000000004</v>
      </c>
      <c r="O2172">
        <v>-0.4</v>
      </c>
      <c r="P2172">
        <v>-3.4</v>
      </c>
      <c r="Q2172">
        <v>1.8</v>
      </c>
      <c r="R2172">
        <v>-6.9</v>
      </c>
      <c r="S2172">
        <v>0.1</v>
      </c>
      <c r="T2172">
        <v>1</v>
      </c>
      <c r="U2172" t="s">
        <v>27</v>
      </c>
      <c r="V2172" t="s">
        <v>27</v>
      </c>
      <c r="W2172">
        <v>0.505</v>
      </c>
      <c r="X2172">
        <v>0.19800000000000001</v>
      </c>
      <c r="Y2172" t="s">
        <v>27</v>
      </c>
      <c r="Z2172" t="s">
        <v>27</v>
      </c>
      <c r="AA2172" t="s">
        <v>27</v>
      </c>
      <c r="AB2172" t="s">
        <v>27</v>
      </c>
      <c r="AC2172" t="s">
        <v>27</v>
      </c>
      <c r="AD2172" t="s">
        <v>27</v>
      </c>
      <c r="AE2172" t="s">
        <v>27</v>
      </c>
      <c r="AF2172" t="s">
        <v>27</v>
      </c>
      <c r="AG2172">
        <v>5.15</v>
      </c>
    </row>
    <row r="2173" spans="1:33" x14ac:dyDescent="0.25">
      <c r="A2173" t="s">
        <v>57</v>
      </c>
      <c r="B2173" s="3">
        <v>45634</v>
      </c>
      <c r="C2173">
        <v>2024343</v>
      </c>
      <c r="D2173">
        <v>0.2</v>
      </c>
      <c r="E2173" t="s">
        <v>27</v>
      </c>
      <c r="F2173">
        <v>-3.5</v>
      </c>
      <c r="G2173">
        <v>-1.6</v>
      </c>
      <c r="H2173">
        <v>-4.9000000000000004</v>
      </c>
      <c r="I2173">
        <v>86.3</v>
      </c>
      <c r="J2173">
        <v>73.2</v>
      </c>
      <c r="K2173">
        <v>0.7</v>
      </c>
      <c r="L2173">
        <v>2.4</v>
      </c>
      <c r="M2173">
        <v>4.5999999999999996</v>
      </c>
      <c r="N2173">
        <v>0.45400000000000018</v>
      </c>
      <c r="O2173">
        <v>-0.3</v>
      </c>
      <c r="P2173">
        <v>-4.2</v>
      </c>
      <c r="Q2173">
        <v>-0.9</v>
      </c>
      <c r="R2173">
        <v>-5.8</v>
      </c>
      <c r="S2173">
        <v>0.1</v>
      </c>
      <c r="T2173">
        <v>1</v>
      </c>
      <c r="U2173" t="s">
        <v>27</v>
      </c>
      <c r="V2173" t="s">
        <v>27</v>
      </c>
      <c r="W2173">
        <v>0.39600000000000002</v>
      </c>
      <c r="X2173">
        <v>0.14499999999999999</v>
      </c>
      <c r="Y2173" t="s">
        <v>27</v>
      </c>
      <c r="Z2173" t="s">
        <v>27</v>
      </c>
      <c r="AA2173" t="s">
        <v>27</v>
      </c>
      <c r="AB2173" t="s">
        <v>27</v>
      </c>
      <c r="AC2173" t="s">
        <v>27</v>
      </c>
      <c r="AD2173" t="s">
        <v>27</v>
      </c>
      <c r="AE2173" t="s">
        <v>27</v>
      </c>
      <c r="AF2173" t="s">
        <v>27</v>
      </c>
      <c r="AG2173">
        <v>5.1100000000000003</v>
      </c>
    </row>
    <row r="2174" spans="1:33" x14ac:dyDescent="0.25">
      <c r="A2174" t="s">
        <v>57</v>
      </c>
      <c r="B2174" s="3">
        <v>45635</v>
      </c>
      <c r="C2174">
        <v>2024344</v>
      </c>
      <c r="D2174">
        <v>3.13</v>
      </c>
      <c r="E2174" t="s">
        <v>27</v>
      </c>
      <c r="F2174">
        <v>-7.3</v>
      </c>
      <c r="G2174">
        <v>-1.1000000000000001</v>
      </c>
      <c r="H2174">
        <v>-13.1</v>
      </c>
      <c r="I2174">
        <v>84.2</v>
      </c>
      <c r="J2174">
        <v>56.8</v>
      </c>
      <c r="K2174">
        <v>0.3</v>
      </c>
      <c r="L2174">
        <v>2</v>
      </c>
      <c r="M2174">
        <v>2.6</v>
      </c>
      <c r="N2174">
        <v>0.45300000000000029</v>
      </c>
      <c r="O2174">
        <v>-0.4</v>
      </c>
      <c r="P2174">
        <v>-8.6</v>
      </c>
      <c r="Q2174">
        <v>-0.8</v>
      </c>
      <c r="R2174">
        <v>-14.7</v>
      </c>
      <c r="S2174">
        <v>0.1</v>
      </c>
      <c r="T2174">
        <v>0.9</v>
      </c>
      <c r="U2174" t="s">
        <v>27</v>
      </c>
      <c r="V2174" t="s">
        <v>27</v>
      </c>
      <c r="W2174">
        <v>0.32100000000000001</v>
      </c>
      <c r="X2174">
        <v>0.24399999999999999</v>
      </c>
      <c r="Y2174" t="s">
        <v>27</v>
      </c>
      <c r="Z2174" t="s">
        <v>27</v>
      </c>
      <c r="AA2174" t="s">
        <v>27</v>
      </c>
      <c r="AB2174" t="s">
        <v>27</v>
      </c>
      <c r="AC2174" t="s">
        <v>27</v>
      </c>
      <c r="AD2174" t="s">
        <v>27</v>
      </c>
      <c r="AE2174" t="s">
        <v>27</v>
      </c>
      <c r="AF2174" t="s">
        <v>27</v>
      </c>
      <c r="AG2174">
        <v>5.08</v>
      </c>
    </row>
    <row r="2175" spans="1:33" x14ac:dyDescent="0.25">
      <c r="A2175" t="s">
        <v>57</v>
      </c>
      <c r="B2175" s="3">
        <v>45636</v>
      </c>
      <c r="C2175">
        <v>2024345</v>
      </c>
      <c r="D2175">
        <v>2.13</v>
      </c>
      <c r="E2175" t="s">
        <v>27</v>
      </c>
      <c r="F2175">
        <v>-7.5</v>
      </c>
      <c r="G2175">
        <v>-0.2</v>
      </c>
      <c r="H2175">
        <v>-14</v>
      </c>
      <c r="I2175">
        <v>86.2</v>
      </c>
      <c r="J2175">
        <v>60.2</v>
      </c>
      <c r="K2175">
        <v>0</v>
      </c>
      <c r="L2175">
        <v>1.1000000000000001</v>
      </c>
      <c r="M2175">
        <v>0</v>
      </c>
      <c r="N2175">
        <v>0.44300000000000006</v>
      </c>
      <c r="O2175">
        <v>-0.9</v>
      </c>
      <c r="P2175">
        <v>-8.6999999999999993</v>
      </c>
      <c r="Q2175">
        <v>-0.1</v>
      </c>
      <c r="R2175">
        <v>-15.5</v>
      </c>
      <c r="S2175">
        <v>0.1</v>
      </c>
      <c r="T2175">
        <v>0.9</v>
      </c>
      <c r="U2175" t="s">
        <v>27</v>
      </c>
      <c r="V2175" t="s">
        <v>27</v>
      </c>
      <c r="W2175">
        <v>0.36299999999999999</v>
      </c>
      <c r="X2175">
        <v>0.24</v>
      </c>
      <c r="Y2175" t="s">
        <v>27</v>
      </c>
      <c r="Z2175" t="s">
        <v>27</v>
      </c>
      <c r="AA2175" t="s">
        <v>27</v>
      </c>
      <c r="AB2175" t="s">
        <v>27</v>
      </c>
      <c r="AC2175" t="s">
        <v>27</v>
      </c>
      <c r="AD2175" t="s">
        <v>27</v>
      </c>
      <c r="AE2175" t="s">
        <v>27</v>
      </c>
      <c r="AF2175" t="s">
        <v>27</v>
      </c>
      <c r="AG2175">
        <v>5.04</v>
      </c>
    </row>
    <row r="2176" spans="1:33" x14ac:dyDescent="0.25">
      <c r="A2176" t="s">
        <v>57</v>
      </c>
      <c r="B2176" s="3">
        <v>45637</v>
      </c>
      <c r="C2176">
        <v>2024346</v>
      </c>
      <c r="D2176">
        <v>0.8</v>
      </c>
      <c r="E2176" t="s">
        <v>27</v>
      </c>
      <c r="F2176">
        <v>-5</v>
      </c>
      <c r="G2176">
        <v>-2.7</v>
      </c>
      <c r="H2176">
        <v>-8.6</v>
      </c>
      <c r="I2176">
        <v>87.6</v>
      </c>
      <c r="J2176">
        <v>79.8</v>
      </c>
      <c r="K2176">
        <v>0.6</v>
      </c>
      <c r="L2176">
        <v>1.7</v>
      </c>
      <c r="M2176">
        <v>0</v>
      </c>
      <c r="N2176">
        <v>0.45100000000000007</v>
      </c>
      <c r="O2176">
        <v>-0.7</v>
      </c>
      <c r="P2176">
        <v>-5.6</v>
      </c>
      <c r="Q2176">
        <v>-2.2999999999999998</v>
      </c>
      <c r="R2176">
        <v>-9.8000000000000007</v>
      </c>
      <c r="S2176">
        <v>0.1</v>
      </c>
      <c r="T2176">
        <v>0.9</v>
      </c>
      <c r="U2176" t="s">
        <v>27</v>
      </c>
      <c r="V2176" t="s">
        <v>27</v>
      </c>
      <c r="W2176">
        <v>0.39900000000000002</v>
      </c>
      <c r="X2176">
        <v>0.10100000000000001</v>
      </c>
      <c r="Y2176" t="s">
        <v>27</v>
      </c>
      <c r="Z2176" t="s">
        <v>27</v>
      </c>
      <c r="AA2176" t="s">
        <v>27</v>
      </c>
      <c r="AB2176" t="s">
        <v>27</v>
      </c>
      <c r="AC2176" t="s">
        <v>27</v>
      </c>
      <c r="AD2176" t="s">
        <v>27</v>
      </c>
      <c r="AE2176" t="s">
        <v>27</v>
      </c>
      <c r="AF2176" t="s">
        <v>27</v>
      </c>
      <c r="AG2176">
        <v>5.01</v>
      </c>
    </row>
    <row r="2177" spans="1:33" x14ac:dyDescent="0.25">
      <c r="A2177" t="s">
        <v>57</v>
      </c>
      <c r="B2177" s="3">
        <v>45638</v>
      </c>
      <c r="C2177">
        <v>2024347</v>
      </c>
      <c r="D2177">
        <v>1.97</v>
      </c>
      <c r="E2177" t="s">
        <v>27</v>
      </c>
      <c r="F2177">
        <v>-4.9000000000000004</v>
      </c>
      <c r="G2177">
        <v>-1.3</v>
      </c>
      <c r="H2177">
        <v>-8.6</v>
      </c>
      <c r="I2177">
        <v>84.8</v>
      </c>
      <c r="J2177">
        <v>70.099999999999994</v>
      </c>
      <c r="K2177">
        <v>0.4</v>
      </c>
      <c r="L2177">
        <v>1.5</v>
      </c>
      <c r="M2177">
        <v>0</v>
      </c>
      <c r="N2177">
        <v>0.45500000000000007</v>
      </c>
      <c r="O2177">
        <v>-0.6</v>
      </c>
      <c r="P2177">
        <v>-5.8</v>
      </c>
      <c r="Q2177">
        <v>-0.6</v>
      </c>
      <c r="R2177">
        <v>-10.199999999999999</v>
      </c>
      <c r="S2177">
        <v>0.1</v>
      </c>
      <c r="T2177">
        <v>0.9</v>
      </c>
      <c r="U2177" t="s">
        <v>27</v>
      </c>
      <c r="V2177" t="s">
        <v>27</v>
      </c>
      <c r="W2177">
        <v>0.39</v>
      </c>
      <c r="X2177">
        <v>0.16600000000000001</v>
      </c>
      <c r="Y2177" t="s">
        <v>27</v>
      </c>
      <c r="Z2177" t="s">
        <v>27</v>
      </c>
      <c r="AA2177" t="s">
        <v>27</v>
      </c>
      <c r="AB2177" t="s">
        <v>27</v>
      </c>
      <c r="AC2177" t="s">
        <v>27</v>
      </c>
      <c r="AD2177" t="s">
        <v>27</v>
      </c>
      <c r="AE2177" t="s">
        <v>27</v>
      </c>
      <c r="AF2177" t="s">
        <v>27</v>
      </c>
      <c r="AG2177">
        <v>4.99</v>
      </c>
    </row>
    <row r="2178" spans="1:33" x14ac:dyDescent="0.25">
      <c r="A2178" t="s">
        <v>57</v>
      </c>
      <c r="B2178" s="3">
        <v>45639</v>
      </c>
      <c r="C2178">
        <v>2024348</v>
      </c>
      <c r="D2178">
        <v>0.17</v>
      </c>
      <c r="E2178" t="s">
        <v>27</v>
      </c>
      <c r="F2178">
        <v>-4.2</v>
      </c>
      <c r="G2178">
        <v>-3</v>
      </c>
      <c r="H2178">
        <v>-5.2</v>
      </c>
      <c r="I2178">
        <v>91.2</v>
      </c>
      <c r="J2178">
        <v>88</v>
      </c>
      <c r="K2178">
        <v>0.7</v>
      </c>
      <c r="L2178">
        <v>2.4</v>
      </c>
      <c r="M2178">
        <v>0.9</v>
      </c>
      <c r="N2178">
        <v>0.46700000000000008</v>
      </c>
      <c r="O2178">
        <v>-0.5</v>
      </c>
      <c r="P2178">
        <v>-4.7</v>
      </c>
      <c r="Q2178">
        <v>-3.3</v>
      </c>
      <c r="R2178">
        <v>-6.1</v>
      </c>
      <c r="S2178">
        <v>0.1</v>
      </c>
      <c r="T2178">
        <v>0.9</v>
      </c>
      <c r="U2178" t="s">
        <v>27</v>
      </c>
      <c r="V2178" t="s">
        <v>27</v>
      </c>
      <c r="W2178">
        <v>0.42899999999999999</v>
      </c>
      <c r="X2178">
        <v>5.8999999999999997E-2</v>
      </c>
      <c r="Y2178" t="s">
        <v>27</v>
      </c>
      <c r="Z2178" t="s">
        <v>27</v>
      </c>
      <c r="AA2178" t="s">
        <v>27</v>
      </c>
      <c r="AB2178" t="s">
        <v>27</v>
      </c>
      <c r="AC2178" t="s">
        <v>27</v>
      </c>
      <c r="AD2178" t="s">
        <v>27</v>
      </c>
      <c r="AE2178" t="s">
        <v>27</v>
      </c>
      <c r="AF2178" t="s">
        <v>27</v>
      </c>
      <c r="AG2178">
        <v>4.97</v>
      </c>
    </row>
    <row r="2179" spans="1:33" x14ac:dyDescent="0.25">
      <c r="A2179" t="s">
        <v>57</v>
      </c>
      <c r="B2179" s="3">
        <v>45640</v>
      </c>
      <c r="C2179">
        <v>2024349</v>
      </c>
      <c r="D2179">
        <v>2.33</v>
      </c>
      <c r="E2179" t="s">
        <v>27</v>
      </c>
      <c r="F2179">
        <v>-2.1</v>
      </c>
      <c r="G2179">
        <v>0.9</v>
      </c>
      <c r="H2179">
        <v>-5.8</v>
      </c>
      <c r="I2179">
        <v>87.4</v>
      </c>
      <c r="J2179">
        <v>77.2</v>
      </c>
      <c r="K2179">
        <v>1.1000000000000001</v>
      </c>
      <c r="L2179">
        <v>3.8</v>
      </c>
      <c r="M2179">
        <v>1.5</v>
      </c>
      <c r="N2179">
        <v>0.45999999999999996</v>
      </c>
      <c r="O2179">
        <v>-0.3</v>
      </c>
      <c r="P2179">
        <v>-2.9</v>
      </c>
      <c r="Q2179">
        <v>1.4</v>
      </c>
      <c r="R2179">
        <v>-7.1</v>
      </c>
      <c r="S2179">
        <v>0.1</v>
      </c>
      <c r="T2179">
        <v>0.9</v>
      </c>
      <c r="U2179" t="s">
        <v>27</v>
      </c>
      <c r="V2179" t="s">
        <v>27</v>
      </c>
      <c r="W2179">
        <v>0.503</v>
      </c>
      <c r="X2179">
        <v>0.14899999999999999</v>
      </c>
      <c r="Y2179" t="s">
        <v>27</v>
      </c>
      <c r="Z2179" t="s">
        <v>27</v>
      </c>
      <c r="AA2179" t="s">
        <v>27</v>
      </c>
      <c r="AB2179" t="s">
        <v>27</v>
      </c>
      <c r="AC2179" t="s">
        <v>27</v>
      </c>
      <c r="AD2179" t="s">
        <v>27</v>
      </c>
      <c r="AE2179" t="s">
        <v>27</v>
      </c>
      <c r="AF2179" t="s">
        <v>27</v>
      </c>
      <c r="AG2179">
        <v>4.9400000000000004</v>
      </c>
    </row>
    <row r="2180" spans="1:33" x14ac:dyDescent="0.25">
      <c r="A2180" t="s">
        <v>57</v>
      </c>
      <c r="B2180" s="3">
        <v>45641</v>
      </c>
      <c r="C2180">
        <v>2024350</v>
      </c>
      <c r="D2180">
        <v>3.26</v>
      </c>
      <c r="E2180" t="s">
        <v>27</v>
      </c>
      <c r="F2180">
        <v>-6.4</v>
      </c>
      <c r="G2180">
        <v>-2.4</v>
      </c>
      <c r="H2180">
        <v>-13.2</v>
      </c>
      <c r="I2180">
        <v>81.7</v>
      </c>
      <c r="J2180">
        <v>60.7</v>
      </c>
      <c r="K2180">
        <v>0.7</v>
      </c>
      <c r="L2180">
        <v>2.8</v>
      </c>
      <c r="M2180">
        <v>0.8</v>
      </c>
      <c r="N2180">
        <v>0.45500000000000007</v>
      </c>
      <c r="O2180">
        <v>-0.4</v>
      </c>
      <c r="P2180">
        <v>-7.4</v>
      </c>
      <c r="Q2180">
        <v>-1.6</v>
      </c>
      <c r="R2180">
        <v>-14.5</v>
      </c>
      <c r="S2180">
        <v>0.1</v>
      </c>
      <c r="T2180">
        <v>0.9</v>
      </c>
      <c r="U2180" t="s">
        <v>27</v>
      </c>
      <c r="V2180" t="s">
        <v>27</v>
      </c>
      <c r="W2180">
        <v>0.31</v>
      </c>
      <c r="X2180">
        <v>0.20100000000000001</v>
      </c>
      <c r="Y2180" t="s">
        <v>27</v>
      </c>
      <c r="Z2180" t="s">
        <v>27</v>
      </c>
      <c r="AA2180" t="s">
        <v>27</v>
      </c>
      <c r="AB2180" t="s">
        <v>27</v>
      </c>
      <c r="AC2180" t="s">
        <v>27</v>
      </c>
      <c r="AD2180" t="s">
        <v>27</v>
      </c>
      <c r="AE2180" t="s">
        <v>27</v>
      </c>
      <c r="AF2180" t="s">
        <v>27</v>
      </c>
      <c r="AG2180">
        <v>4.93</v>
      </c>
    </row>
    <row r="2181" spans="1:33" x14ac:dyDescent="0.25">
      <c r="A2181" t="s">
        <v>57</v>
      </c>
      <c r="B2181" s="3">
        <v>45642</v>
      </c>
      <c r="C2181">
        <v>2024351</v>
      </c>
      <c r="D2181">
        <v>0.05</v>
      </c>
      <c r="E2181" t="s">
        <v>27</v>
      </c>
      <c r="F2181">
        <v>-6.2</v>
      </c>
      <c r="G2181">
        <v>-4.5999999999999996</v>
      </c>
      <c r="H2181">
        <v>-9.1</v>
      </c>
      <c r="I2181">
        <v>89.5</v>
      </c>
      <c r="J2181">
        <v>83.2</v>
      </c>
      <c r="K2181">
        <v>0.7</v>
      </c>
      <c r="L2181">
        <v>2.2999999999999998</v>
      </c>
      <c r="M2181">
        <v>2.6</v>
      </c>
      <c r="N2181">
        <v>0.52200000000000002</v>
      </c>
      <c r="O2181">
        <v>-1.4</v>
      </c>
      <c r="P2181">
        <v>-6.8</v>
      </c>
      <c r="Q2181">
        <v>-4.5999999999999996</v>
      </c>
      <c r="R2181">
        <v>-10.5</v>
      </c>
      <c r="S2181">
        <v>0.1</v>
      </c>
      <c r="T2181">
        <v>0.9</v>
      </c>
      <c r="U2181" t="s">
        <v>27</v>
      </c>
      <c r="V2181" t="s">
        <v>27</v>
      </c>
      <c r="W2181">
        <v>0.36099999999999999</v>
      </c>
      <c r="X2181">
        <v>7.2999999999999995E-2</v>
      </c>
      <c r="Y2181" t="s">
        <v>27</v>
      </c>
      <c r="Z2181" t="s">
        <v>27</v>
      </c>
      <c r="AA2181" t="s">
        <v>27</v>
      </c>
      <c r="AB2181" t="s">
        <v>27</v>
      </c>
      <c r="AC2181" t="s">
        <v>27</v>
      </c>
      <c r="AD2181" t="s">
        <v>27</v>
      </c>
      <c r="AE2181" t="s">
        <v>27</v>
      </c>
      <c r="AF2181" t="s">
        <v>27</v>
      </c>
      <c r="AG2181">
        <v>4.92</v>
      </c>
    </row>
    <row r="2182" spans="1:33" x14ac:dyDescent="0.25">
      <c r="A2182" t="s">
        <v>57</v>
      </c>
      <c r="B2182" s="3">
        <v>45643</v>
      </c>
      <c r="C2182">
        <v>2024352</v>
      </c>
      <c r="D2182">
        <v>0</v>
      </c>
      <c r="E2182" t="s">
        <v>27</v>
      </c>
      <c r="F2182">
        <v>-5.6</v>
      </c>
      <c r="G2182">
        <v>-4.0999999999999996</v>
      </c>
      <c r="H2182">
        <v>-7.5</v>
      </c>
      <c r="I2182">
        <v>91.3</v>
      </c>
      <c r="J2182">
        <v>89.6</v>
      </c>
      <c r="K2182">
        <v>0.6</v>
      </c>
      <c r="L2182">
        <v>1.6</v>
      </c>
      <c r="M2182">
        <v>11.1</v>
      </c>
      <c r="N2182">
        <v>0.63600000000000012</v>
      </c>
      <c r="O2182">
        <v>-1.1000000000000001</v>
      </c>
      <c r="P2182">
        <v>-6</v>
      </c>
      <c r="Q2182">
        <v>-4.7</v>
      </c>
      <c r="R2182">
        <v>-8</v>
      </c>
      <c r="S2182">
        <v>0.1</v>
      </c>
      <c r="T2182">
        <v>0.9</v>
      </c>
      <c r="U2182" t="s">
        <v>27</v>
      </c>
      <c r="V2182" t="s">
        <v>27</v>
      </c>
      <c r="W2182">
        <v>0.40500000000000003</v>
      </c>
      <c r="X2182">
        <v>4.7E-2</v>
      </c>
      <c r="Y2182" t="s">
        <v>27</v>
      </c>
      <c r="Z2182" t="s">
        <v>27</v>
      </c>
      <c r="AA2182" t="s">
        <v>27</v>
      </c>
      <c r="AB2182" t="s">
        <v>27</v>
      </c>
      <c r="AC2182" t="s">
        <v>27</v>
      </c>
      <c r="AD2182" t="s">
        <v>27</v>
      </c>
      <c r="AE2182" t="s">
        <v>27</v>
      </c>
      <c r="AF2182" t="s">
        <v>27</v>
      </c>
      <c r="AG2182">
        <v>4.91</v>
      </c>
    </row>
    <row r="2183" spans="1:33" x14ac:dyDescent="0.25">
      <c r="A2183" t="s">
        <v>57</v>
      </c>
      <c r="B2183" s="3">
        <v>45644</v>
      </c>
      <c r="C2183">
        <v>2024353</v>
      </c>
      <c r="D2183">
        <v>1.91</v>
      </c>
      <c r="E2183" t="s">
        <v>27</v>
      </c>
      <c r="F2183">
        <v>-2</v>
      </c>
      <c r="G2183">
        <v>0.5</v>
      </c>
      <c r="H2183">
        <v>-7.4</v>
      </c>
      <c r="I2183">
        <v>88.1</v>
      </c>
      <c r="J2183">
        <v>73.900000000000006</v>
      </c>
      <c r="K2183">
        <v>1.2</v>
      </c>
      <c r="L2183">
        <v>3.7</v>
      </c>
      <c r="M2183">
        <v>8</v>
      </c>
      <c r="N2183">
        <v>0.66200000000000014</v>
      </c>
      <c r="O2183">
        <v>-0.7</v>
      </c>
      <c r="P2183">
        <v>-2.7</v>
      </c>
      <c r="Q2183">
        <v>0.9</v>
      </c>
      <c r="R2183">
        <v>-9</v>
      </c>
      <c r="S2183">
        <v>0.1</v>
      </c>
      <c r="T2183">
        <v>0.9</v>
      </c>
      <c r="U2183" t="s">
        <v>27</v>
      </c>
      <c r="V2183" t="s">
        <v>27</v>
      </c>
      <c r="W2183">
        <v>0.46600000000000003</v>
      </c>
      <c r="X2183">
        <v>0.16500000000000001</v>
      </c>
      <c r="Y2183" t="s">
        <v>27</v>
      </c>
      <c r="Z2183" t="s">
        <v>27</v>
      </c>
      <c r="AA2183" t="s">
        <v>27</v>
      </c>
      <c r="AB2183" t="s">
        <v>27</v>
      </c>
      <c r="AC2183" t="s">
        <v>27</v>
      </c>
      <c r="AD2183" t="s">
        <v>27</v>
      </c>
      <c r="AE2183" t="s">
        <v>27</v>
      </c>
      <c r="AF2183" t="s">
        <v>27</v>
      </c>
      <c r="AG2183">
        <v>4.9000000000000004</v>
      </c>
    </row>
    <row r="2184" spans="1:33" x14ac:dyDescent="0.25">
      <c r="A2184" t="s">
        <v>57</v>
      </c>
      <c r="B2184" s="3">
        <v>45645</v>
      </c>
      <c r="C2184">
        <v>2024354</v>
      </c>
      <c r="D2184">
        <v>7.0000000000000007E-2</v>
      </c>
      <c r="E2184" t="s">
        <v>27</v>
      </c>
      <c r="F2184">
        <v>-3.9</v>
      </c>
      <c r="G2184">
        <v>0.6</v>
      </c>
      <c r="H2184">
        <v>-10.8</v>
      </c>
      <c r="I2184">
        <v>90.8</v>
      </c>
      <c r="J2184">
        <v>81.400000000000006</v>
      </c>
      <c r="K2184">
        <v>0.6</v>
      </c>
      <c r="L2184">
        <v>2.1</v>
      </c>
      <c r="M2184">
        <v>0.3</v>
      </c>
      <c r="N2184">
        <v>0.64700000000000002</v>
      </c>
      <c r="O2184">
        <v>-0.6</v>
      </c>
      <c r="P2184">
        <v>-4.7</v>
      </c>
      <c r="Q2184">
        <v>-0.2</v>
      </c>
      <c r="R2184">
        <v>-12.4</v>
      </c>
      <c r="S2184">
        <v>0.1</v>
      </c>
      <c r="T2184">
        <v>0.9</v>
      </c>
      <c r="U2184" t="s">
        <v>27</v>
      </c>
      <c r="V2184" t="s">
        <v>27</v>
      </c>
      <c r="W2184">
        <v>0.52</v>
      </c>
      <c r="X2184">
        <v>0.11899999999999999</v>
      </c>
      <c r="Y2184" t="s">
        <v>27</v>
      </c>
      <c r="Z2184" t="s">
        <v>27</v>
      </c>
      <c r="AA2184" t="s">
        <v>27</v>
      </c>
      <c r="AB2184" t="s">
        <v>27</v>
      </c>
      <c r="AC2184" t="s">
        <v>27</v>
      </c>
      <c r="AD2184" t="s">
        <v>27</v>
      </c>
      <c r="AE2184" t="s">
        <v>27</v>
      </c>
      <c r="AF2184" t="s">
        <v>27</v>
      </c>
      <c r="AG2184">
        <v>4.9000000000000004</v>
      </c>
    </row>
    <row r="2185" spans="1:33" x14ac:dyDescent="0.25">
      <c r="A2185" t="s">
        <v>57</v>
      </c>
      <c r="B2185" s="3">
        <v>45646</v>
      </c>
      <c r="C2185">
        <v>2024355</v>
      </c>
      <c r="D2185">
        <v>1.01</v>
      </c>
      <c r="E2185" t="s">
        <v>27</v>
      </c>
      <c r="F2185">
        <v>-2</v>
      </c>
      <c r="G2185">
        <v>0.4</v>
      </c>
      <c r="H2185">
        <v>-7.2</v>
      </c>
      <c r="I2185">
        <v>93.9</v>
      </c>
      <c r="J2185">
        <v>90</v>
      </c>
      <c r="K2185">
        <v>0.3</v>
      </c>
      <c r="L2185">
        <v>1.7</v>
      </c>
      <c r="M2185">
        <v>1.2</v>
      </c>
      <c r="N2185">
        <v>0.62800000000000011</v>
      </c>
      <c r="O2185">
        <v>-0.5</v>
      </c>
      <c r="P2185">
        <v>-2.8</v>
      </c>
      <c r="Q2185">
        <v>0.4</v>
      </c>
      <c r="R2185">
        <v>-8.6</v>
      </c>
      <c r="S2185">
        <v>0.1</v>
      </c>
      <c r="T2185">
        <v>0.9</v>
      </c>
      <c r="U2185" t="s">
        <v>27</v>
      </c>
      <c r="V2185" t="s">
        <v>27</v>
      </c>
      <c r="W2185">
        <v>0.56399999999999995</v>
      </c>
      <c r="X2185">
        <v>6.3E-2</v>
      </c>
      <c r="Y2185" t="s">
        <v>27</v>
      </c>
      <c r="Z2185" t="s">
        <v>27</v>
      </c>
      <c r="AA2185" t="s">
        <v>27</v>
      </c>
      <c r="AB2185" t="s">
        <v>27</v>
      </c>
      <c r="AC2185" t="s">
        <v>27</v>
      </c>
      <c r="AD2185" t="s">
        <v>27</v>
      </c>
      <c r="AE2185" t="s">
        <v>27</v>
      </c>
      <c r="AF2185" t="s">
        <v>27</v>
      </c>
      <c r="AG2185">
        <v>4.9000000000000004</v>
      </c>
    </row>
    <row r="2186" spans="1:33" x14ac:dyDescent="0.25">
      <c r="A2186" t="s">
        <v>57</v>
      </c>
      <c r="B2186" s="3">
        <v>45647</v>
      </c>
      <c r="C2186">
        <v>2024356</v>
      </c>
      <c r="D2186">
        <v>0.91</v>
      </c>
      <c r="E2186" t="s">
        <v>27</v>
      </c>
      <c r="F2186">
        <v>-1.4</v>
      </c>
      <c r="G2186">
        <v>1.9</v>
      </c>
      <c r="H2186">
        <v>-6.3</v>
      </c>
      <c r="I2186">
        <v>93.3</v>
      </c>
      <c r="J2186">
        <v>85.6</v>
      </c>
      <c r="K2186">
        <v>0.5</v>
      </c>
      <c r="L2186">
        <v>2.2000000000000002</v>
      </c>
      <c r="M2186">
        <v>6.1</v>
      </c>
      <c r="N2186">
        <v>0.67900000000000005</v>
      </c>
      <c r="O2186">
        <v>-0.4</v>
      </c>
      <c r="P2186">
        <v>-2.4</v>
      </c>
      <c r="Q2186">
        <v>1</v>
      </c>
      <c r="R2186">
        <v>-7.8</v>
      </c>
      <c r="S2186">
        <v>0.2</v>
      </c>
      <c r="T2186">
        <v>0.9</v>
      </c>
      <c r="U2186" t="s">
        <v>27</v>
      </c>
      <c r="V2186" t="s">
        <v>27</v>
      </c>
      <c r="W2186">
        <v>0.60099999999999998</v>
      </c>
      <c r="X2186">
        <v>0.10100000000000001</v>
      </c>
      <c r="Y2186" t="s">
        <v>27</v>
      </c>
      <c r="Z2186" t="s">
        <v>27</v>
      </c>
      <c r="AA2186" t="s">
        <v>27</v>
      </c>
      <c r="AB2186" t="s">
        <v>27</v>
      </c>
      <c r="AC2186" t="s">
        <v>27</v>
      </c>
      <c r="AD2186" t="s">
        <v>27</v>
      </c>
      <c r="AE2186" t="s">
        <v>27</v>
      </c>
      <c r="AF2186" t="s">
        <v>27</v>
      </c>
      <c r="AG2186">
        <v>4.9000000000000004</v>
      </c>
    </row>
    <row r="2187" spans="1:33" x14ac:dyDescent="0.25">
      <c r="A2187" t="s">
        <v>57</v>
      </c>
      <c r="B2187" s="3">
        <v>45648</v>
      </c>
      <c r="C2187">
        <v>2024357</v>
      </c>
      <c r="D2187">
        <v>0.16</v>
      </c>
      <c r="E2187" t="s">
        <v>27</v>
      </c>
      <c r="F2187">
        <v>-3.7</v>
      </c>
      <c r="G2187">
        <v>-0.9</v>
      </c>
      <c r="H2187">
        <v>-9.1</v>
      </c>
      <c r="I2187">
        <v>91.7</v>
      </c>
      <c r="J2187">
        <v>85.4</v>
      </c>
      <c r="K2187">
        <v>0.4</v>
      </c>
      <c r="L2187">
        <v>1.8</v>
      </c>
      <c r="M2187">
        <v>2.1</v>
      </c>
      <c r="N2187">
        <v>0.66300000000000003</v>
      </c>
      <c r="O2187">
        <v>-0.4</v>
      </c>
      <c r="P2187">
        <v>-4.5</v>
      </c>
      <c r="Q2187">
        <v>-0.3</v>
      </c>
      <c r="R2187">
        <v>-10.5</v>
      </c>
      <c r="S2187">
        <v>0.2</v>
      </c>
      <c r="T2187">
        <v>0.9</v>
      </c>
      <c r="U2187" t="s">
        <v>27</v>
      </c>
      <c r="V2187" t="s">
        <v>27</v>
      </c>
      <c r="W2187">
        <v>0.49</v>
      </c>
      <c r="X2187">
        <v>8.4000000000000005E-2</v>
      </c>
      <c r="Y2187" t="s">
        <v>27</v>
      </c>
      <c r="Z2187" t="s">
        <v>27</v>
      </c>
      <c r="AA2187" t="s">
        <v>27</v>
      </c>
      <c r="AB2187" t="s">
        <v>27</v>
      </c>
      <c r="AC2187" t="s">
        <v>27</v>
      </c>
      <c r="AD2187" t="s">
        <v>27</v>
      </c>
      <c r="AE2187" t="s">
        <v>27</v>
      </c>
      <c r="AF2187" t="s">
        <v>27</v>
      </c>
      <c r="AG2187">
        <v>4.9000000000000004</v>
      </c>
    </row>
    <row r="2188" spans="1:33" x14ac:dyDescent="0.25">
      <c r="A2188" t="s">
        <v>57</v>
      </c>
      <c r="B2188" s="3">
        <v>45649</v>
      </c>
      <c r="C2188">
        <v>2024358</v>
      </c>
      <c r="D2188">
        <v>3.59</v>
      </c>
      <c r="E2188" t="s">
        <v>27</v>
      </c>
      <c r="F2188">
        <v>-2.2000000000000002</v>
      </c>
      <c r="G2188">
        <v>0.5</v>
      </c>
      <c r="H2188">
        <v>-4</v>
      </c>
      <c r="I2188">
        <v>91.7</v>
      </c>
      <c r="J2188">
        <v>79.099999999999994</v>
      </c>
      <c r="K2188">
        <v>0.7</v>
      </c>
      <c r="L2188">
        <v>3</v>
      </c>
      <c r="M2188">
        <v>0.4</v>
      </c>
      <c r="N2188">
        <v>0.66600000000000015</v>
      </c>
      <c r="O2188">
        <v>-0.4</v>
      </c>
      <c r="P2188">
        <v>-2.8</v>
      </c>
      <c r="Q2188">
        <v>2.1</v>
      </c>
      <c r="R2188">
        <v>-5.3</v>
      </c>
      <c r="S2188">
        <v>0.2</v>
      </c>
      <c r="T2188">
        <v>0.9</v>
      </c>
      <c r="U2188" t="s">
        <v>27</v>
      </c>
      <c r="V2188" t="s">
        <v>27</v>
      </c>
      <c r="W2188">
        <v>0.5</v>
      </c>
      <c r="X2188">
        <v>0.13200000000000001</v>
      </c>
      <c r="Y2188" t="s">
        <v>27</v>
      </c>
      <c r="Z2188" t="s">
        <v>27</v>
      </c>
      <c r="AA2188" t="s">
        <v>27</v>
      </c>
      <c r="AB2188" t="s">
        <v>27</v>
      </c>
      <c r="AC2188" t="s">
        <v>27</v>
      </c>
      <c r="AD2188" t="s">
        <v>27</v>
      </c>
      <c r="AE2188" t="s">
        <v>27</v>
      </c>
      <c r="AF2188" t="s">
        <v>27</v>
      </c>
      <c r="AG2188">
        <v>4.92</v>
      </c>
    </row>
    <row r="2189" spans="1:33" x14ac:dyDescent="0.25">
      <c r="A2189" t="s">
        <v>57</v>
      </c>
      <c r="B2189" s="3">
        <v>45650</v>
      </c>
      <c r="C2189">
        <v>2024359</v>
      </c>
      <c r="D2189">
        <v>1.62</v>
      </c>
      <c r="E2189" t="s">
        <v>27</v>
      </c>
      <c r="F2189">
        <v>-2.2000000000000002</v>
      </c>
      <c r="G2189">
        <v>0.7</v>
      </c>
      <c r="H2189">
        <v>-8.3000000000000007</v>
      </c>
      <c r="I2189">
        <v>89.7</v>
      </c>
      <c r="J2189">
        <v>80.599999999999994</v>
      </c>
      <c r="K2189">
        <v>0.7</v>
      </c>
      <c r="L2189">
        <v>2.2000000000000002</v>
      </c>
      <c r="M2189">
        <v>1.6</v>
      </c>
      <c r="N2189">
        <v>0.65300000000000002</v>
      </c>
      <c r="O2189">
        <v>-0.4</v>
      </c>
      <c r="P2189">
        <v>-3.1</v>
      </c>
      <c r="Q2189">
        <v>0.5</v>
      </c>
      <c r="R2189">
        <v>-10</v>
      </c>
      <c r="S2189">
        <v>0.2</v>
      </c>
      <c r="T2189">
        <v>0.9</v>
      </c>
      <c r="U2189" t="s">
        <v>27</v>
      </c>
      <c r="V2189" t="s">
        <v>27</v>
      </c>
      <c r="W2189">
        <v>0.51600000000000001</v>
      </c>
      <c r="X2189">
        <v>0.124</v>
      </c>
      <c r="Y2189" t="s">
        <v>27</v>
      </c>
      <c r="Z2189" t="s">
        <v>27</v>
      </c>
      <c r="AA2189" t="s">
        <v>27</v>
      </c>
      <c r="AB2189" t="s">
        <v>27</v>
      </c>
      <c r="AC2189" t="s">
        <v>27</v>
      </c>
      <c r="AD2189" t="s">
        <v>27</v>
      </c>
      <c r="AE2189" t="s">
        <v>27</v>
      </c>
      <c r="AF2189" t="s">
        <v>27</v>
      </c>
      <c r="AG2189">
        <v>4.93</v>
      </c>
    </row>
    <row r="2190" spans="1:33" x14ac:dyDescent="0.25">
      <c r="A2190" t="s">
        <v>57</v>
      </c>
      <c r="B2190" s="3">
        <v>45651</v>
      </c>
      <c r="C2190">
        <v>2024360</v>
      </c>
      <c r="D2190">
        <v>0.22</v>
      </c>
      <c r="E2190" t="s">
        <v>27</v>
      </c>
      <c r="F2190">
        <v>-7.4</v>
      </c>
      <c r="G2190">
        <v>-4.2</v>
      </c>
      <c r="H2190">
        <v>-13.6</v>
      </c>
      <c r="I2190">
        <v>89.1</v>
      </c>
      <c r="J2190">
        <v>84.5</v>
      </c>
      <c r="K2190">
        <v>0.5</v>
      </c>
      <c r="L2190">
        <v>2</v>
      </c>
      <c r="M2190">
        <v>1</v>
      </c>
      <c r="N2190">
        <v>0.66400000000000015</v>
      </c>
      <c r="O2190">
        <v>-0.5</v>
      </c>
      <c r="P2190">
        <v>-8.5</v>
      </c>
      <c r="Q2190">
        <v>-4.8</v>
      </c>
      <c r="R2190">
        <v>-15.3</v>
      </c>
      <c r="S2190">
        <v>0.2</v>
      </c>
      <c r="T2190">
        <v>0.9</v>
      </c>
      <c r="U2190" t="s">
        <v>27</v>
      </c>
      <c r="V2190" t="s">
        <v>27</v>
      </c>
      <c r="W2190">
        <v>0.377</v>
      </c>
      <c r="X2190">
        <v>6.9000000000000006E-2</v>
      </c>
      <c r="Y2190" t="s">
        <v>27</v>
      </c>
      <c r="Z2190" t="s">
        <v>27</v>
      </c>
      <c r="AA2190" t="s">
        <v>27</v>
      </c>
      <c r="AB2190" t="s">
        <v>27</v>
      </c>
      <c r="AC2190" t="s">
        <v>27</v>
      </c>
      <c r="AD2190" t="s">
        <v>27</v>
      </c>
      <c r="AE2190" t="s">
        <v>27</v>
      </c>
      <c r="AF2190" t="s">
        <v>27</v>
      </c>
      <c r="AG2190">
        <v>4.95</v>
      </c>
    </row>
    <row r="2191" spans="1:33" x14ac:dyDescent="0.25">
      <c r="A2191" t="s">
        <v>57</v>
      </c>
      <c r="B2191" s="3">
        <v>45652</v>
      </c>
      <c r="C2191">
        <v>2024361</v>
      </c>
      <c r="D2191">
        <v>0.04</v>
      </c>
      <c r="E2191" t="s">
        <v>27</v>
      </c>
      <c r="F2191">
        <v>-3.3</v>
      </c>
      <c r="G2191">
        <v>-0.8</v>
      </c>
      <c r="H2191">
        <v>-8.1999999999999993</v>
      </c>
      <c r="I2191">
        <v>90.3</v>
      </c>
      <c r="J2191">
        <v>85.6</v>
      </c>
      <c r="K2191">
        <v>0.8</v>
      </c>
      <c r="L2191">
        <v>3.1</v>
      </c>
      <c r="M2191">
        <v>3.7</v>
      </c>
      <c r="N2191">
        <v>0.68400000000000016</v>
      </c>
      <c r="O2191">
        <v>-0.6</v>
      </c>
      <c r="P2191">
        <v>-4</v>
      </c>
      <c r="Q2191">
        <v>-1.1000000000000001</v>
      </c>
      <c r="R2191">
        <v>-10.1</v>
      </c>
      <c r="S2191">
        <v>0.2</v>
      </c>
      <c r="T2191">
        <v>0.9</v>
      </c>
      <c r="U2191" t="s">
        <v>27</v>
      </c>
      <c r="V2191" t="s">
        <v>27</v>
      </c>
      <c r="W2191">
        <v>0.49299999999999999</v>
      </c>
      <c r="X2191">
        <v>8.3000000000000004E-2</v>
      </c>
      <c r="Y2191" t="s">
        <v>27</v>
      </c>
      <c r="Z2191" t="s">
        <v>27</v>
      </c>
      <c r="AA2191" t="s">
        <v>27</v>
      </c>
      <c r="AB2191" t="s">
        <v>27</v>
      </c>
      <c r="AC2191" t="s">
        <v>27</v>
      </c>
      <c r="AD2191" t="s">
        <v>27</v>
      </c>
      <c r="AE2191" t="s">
        <v>27</v>
      </c>
      <c r="AF2191" t="s">
        <v>27</v>
      </c>
      <c r="AG2191">
        <v>4.97</v>
      </c>
    </row>
    <row r="2192" spans="1:33" x14ac:dyDescent="0.25">
      <c r="A2192" t="s">
        <v>57</v>
      </c>
      <c r="B2192" s="3">
        <v>45653</v>
      </c>
      <c r="C2192">
        <v>2024362</v>
      </c>
      <c r="D2192">
        <v>0.26</v>
      </c>
      <c r="E2192" t="s">
        <v>27</v>
      </c>
      <c r="F2192">
        <v>-6.8</v>
      </c>
      <c r="G2192">
        <v>-1.9</v>
      </c>
      <c r="H2192">
        <v>-12.5</v>
      </c>
      <c r="I2192">
        <v>89</v>
      </c>
      <c r="J2192">
        <v>82.6</v>
      </c>
      <c r="K2192">
        <v>0.1</v>
      </c>
      <c r="L2192">
        <v>0.9</v>
      </c>
      <c r="M2192">
        <v>5.2</v>
      </c>
      <c r="N2192">
        <v>0.7260000000000002</v>
      </c>
      <c r="O2192">
        <v>-0.6</v>
      </c>
      <c r="P2192">
        <v>-7.6</v>
      </c>
      <c r="Q2192">
        <v>-0.9</v>
      </c>
      <c r="R2192">
        <v>-14.1</v>
      </c>
      <c r="S2192">
        <v>0.2</v>
      </c>
      <c r="T2192">
        <v>0.9</v>
      </c>
      <c r="U2192" t="s">
        <v>27</v>
      </c>
      <c r="V2192" t="s">
        <v>27</v>
      </c>
      <c r="W2192">
        <v>0.438</v>
      </c>
      <c r="X2192">
        <v>9.1999999999999998E-2</v>
      </c>
      <c r="Y2192" t="s">
        <v>27</v>
      </c>
      <c r="Z2192" t="s">
        <v>27</v>
      </c>
      <c r="AA2192" t="s">
        <v>27</v>
      </c>
      <c r="AB2192" t="s">
        <v>27</v>
      </c>
      <c r="AC2192" t="s">
        <v>27</v>
      </c>
      <c r="AD2192" t="s">
        <v>27</v>
      </c>
      <c r="AE2192" t="s">
        <v>27</v>
      </c>
      <c r="AF2192" t="s">
        <v>27</v>
      </c>
      <c r="AG2192">
        <v>5</v>
      </c>
    </row>
    <row r="2193" spans="1:33" x14ac:dyDescent="0.25">
      <c r="A2193" t="s">
        <v>57</v>
      </c>
      <c r="B2193" s="3">
        <v>45654</v>
      </c>
      <c r="C2193">
        <v>2024363</v>
      </c>
      <c r="D2193">
        <v>0.12</v>
      </c>
      <c r="E2193" t="s">
        <v>27</v>
      </c>
      <c r="F2193">
        <v>-3.1</v>
      </c>
      <c r="G2193">
        <v>0.1</v>
      </c>
      <c r="H2193">
        <v>-6.1</v>
      </c>
      <c r="I2193">
        <v>91.2</v>
      </c>
      <c r="J2193">
        <v>83.5</v>
      </c>
      <c r="K2193">
        <v>0</v>
      </c>
      <c r="L2193">
        <v>0.9</v>
      </c>
      <c r="M2193">
        <v>5.2</v>
      </c>
      <c r="N2193">
        <v>0.74399999999999999</v>
      </c>
      <c r="O2193">
        <v>-0.7</v>
      </c>
      <c r="P2193">
        <v>-3.7</v>
      </c>
      <c r="Q2193">
        <v>0.6</v>
      </c>
      <c r="R2193">
        <v>-7.9</v>
      </c>
      <c r="S2193">
        <v>0.2</v>
      </c>
      <c r="T2193">
        <v>0.9</v>
      </c>
      <c r="U2193" t="s">
        <v>27</v>
      </c>
      <c r="V2193" t="s">
        <v>27</v>
      </c>
      <c r="W2193">
        <v>0.51500000000000001</v>
      </c>
      <c r="X2193">
        <v>0.10199999999999999</v>
      </c>
      <c r="Y2193" t="s">
        <v>27</v>
      </c>
      <c r="Z2193" t="s">
        <v>27</v>
      </c>
      <c r="AA2193" t="s">
        <v>27</v>
      </c>
      <c r="AB2193" t="s">
        <v>27</v>
      </c>
      <c r="AC2193" t="s">
        <v>27</v>
      </c>
      <c r="AD2193" t="s">
        <v>27</v>
      </c>
      <c r="AE2193" t="s">
        <v>27</v>
      </c>
      <c r="AF2193" t="s">
        <v>27</v>
      </c>
      <c r="AG2193">
        <v>5.0199999999999996</v>
      </c>
    </row>
    <row r="2194" spans="1:33" x14ac:dyDescent="0.25">
      <c r="A2194" t="s">
        <v>57</v>
      </c>
      <c r="B2194" s="3">
        <v>45655</v>
      </c>
      <c r="C2194">
        <v>2024364</v>
      </c>
      <c r="D2194">
        <v>0</v>
      </c>
      <c r="E2194" t="s">
        <v>27</v>
      </c>
      <c r="F2194">
        <v>-4.3</v>
      </c>
      <c r="G2194">
        <v>0.1</v>
      </c>
      <c r="H2194">
        <v>-8.4</v>
      </c>
      <c r="I2194">
        <v>90</v>
      </c>
      <c r="J2194">
        <v>83.4</v>
      </c>
      <c r="K2194">
        <v>0.1</v>
      </c>
      <c r="L2194">
        <v>2.2000000000000002</v>
      </c>
      <c r="M2194">
        <v>0.1</v>
      </c>
      <c r="N2194">
        <v>0.73400000000000021</v>
      </c>
      <c r="O2194">
        <v>-0.6</v>
      </c>
      <c r="P2194">
        <v>-5.3</v>
      </c>
      <c r="Q2194">
        <v>-0.5</v>
      </c>
      <c r="R2194">
        <v>-9.8000000000000007</v>
      </c>
      <c r="S2194">
        <v>0.2</v>
      </c>
      <c r="T2194">
        <v>0.9</v>
      </c>
      <c r="U2194" t="s">
        <v>27</v>
      </c>
      <c r="V2194" t="s">
        <v>27</v>
      </c>
      <c r="W2194">
        <v>0.51300000000000001</v>
      </c>
      <c r="X2194">
        <v>0.10199999999999999</v>
      </c>
      <c r="Y2194" t="s">
        <v>27</v>
      </c>
      <c r="Z2194" t="s">
        <v>27</v>
      </c>
      <c r="AA2194" t="s">
        <v>27</v>
      </c>
      <c r="AB2194" t="s">
        <v>27</v>
      </c>
      <c r="AC2194" t="s">
        <v>27</v>
      </c>
      <c r="AD2194" t="s">
        <v>27</v>
      </c>
      <c r="AE2194" t="s">
        <v>27</v>
      </c>
      <c r="AF2194" t="s">
        <v>27</v>
      </c>
      <c r="AG2194">
        <v>5.05</v>
      </c>
    </row>
    <row r="2195" spans="1:33" x14ac:dyDescent="0.25">
      <c r="A2195" t="s">
        <v>57</v>
      </c>
      <c r="B2195" s="3">
        <v>45656</v>
      </c>
      <c r="C2195">
        <v>2024365</v>
      </c>
      <c r="D2195">
        <v>0.01</v>
      </c>
      <c r="E2195" t="s">
        <v>27</v>
      </c>
      <c r="F2195">
        <v>-4.4000000000000004</v>
      </c>
      <c r="G2195">
        <v>-2.6</v>
      </c>
      <c r="H2195">
        <v>-6.1</v>
      </c>
      <c r="I2195">
        <v>87.1</v>
      </c>
      <c r="J2195">
        <v>78.900000000000006</v>
      </c>
      <c r="K2195">
        <v>0.5</v>
      </c>
      <c r="L2195">
        <v>2.2000000000000002</v>
      </c>
      <c r="M2195">
        <v>0.3</v>
      </c>
      <c r="N2195">
        <v>0.73400000000000021</v>
      </c>
      <c r="O2195">
        <v>-0.5</v>
      </c>
      <c r="P2195">
        <v>-5</v>
      </c>
      <c r="Q2195">
        <v>-1.9</v>
      </c>
      <c r="R2195">
        <v>-7</v>
      </c>
      <c r="S2195">
        <v>0.2</v>
      </c>
      <c r="T2195">
        <v>0.9</v>
      </c>
      <c r="U2195" t="s">
        <v>27</v>
      </c>
      <c r="V2195" t="s">
        <v>27</v>
      </c>
      <c r="W2195">
        <v>0.39600000000000002</v>
      </c>
      <c r="X2195">
        <v>0.106</v>
      </c>
      <c r="Y2195" t="s">
        <v>27</v>
      </c>
      <c r="Z2195" t="s">
        <v>27</v>
      </c>
      <c r="AA2195" t="s">
        <v>27</v>
      </c>
      <c r="AB2195" t="s">
        <v>27</v>
      </c>
      <c r="AC2195" t="s">
        <v>27</v>
      </c>
      <c r="AD2195" t="s">
        <v>27</v>
      </c>
      <c r="AE2195" t="s">
        <v>27</v>
      </c>
      <c r="AF2195" t="s">
        <v>27</v>
      </c>
      <c r="AG2195">
        <v>5.09</v>
      </c>
    </row>
    <row r="2196" spans="1:33" x14ac:dyDescent="0.25">
      <c r="A2196" t="s">
        <v>57</v>
      </c>
      <c r="B2196" s="3">
        <v>45657</v>
      </c>
      <c r="C2196">
        <v>2024366</v>
      </c>
      <c r="D2196">
        <v>1.93</v>
      </c>
      <c r="E2196" t="s">
        <v>27</v>
      </c>
      <c r="F2196">
        <v>-6.8</v>
      </c>
      <c r="G2196">
        <v>-2.8</v>
      </c>
      <c r="H2196">
        <v>-12.2</v>
      </c>
      <c r="I2196">
        <v>88</v>
      </c>
      <c r="J2196">
        <v>76.5</v>
      </c>
      <c r="K2196">
        <v>0.4</v>
      </c>
      <c r="L2196">
        <v>1.9</v>
      </c>
      <c r="M2196">
        <v>0</v>
      </c>
      <c r="N2196">
        <v>0.71500000000000008</v>
      </c>
      <c r="O2196">
        <v>-0.5</v>
      </c>
      <c r="P2196">
        <v>-7</v>
      </c>
      <c r="Q2196">
        <v>0.9</v>
      </c>
      <c r="R2196">
        <v>-13.9</v>
      </c>
      <c r="S2196">
        <v>0.2</v>
      </c>
      <c r="T2196">
        <v>0.8</v>
      </c>
      <c r="U2196" t="s">
        <v>27</v>
      </c>
      <c r="V2196" t="s">
        <v>27</v>
      </c>
      <c r="W2196">
        <v>0.38100000000000001</v>
      </c>
      <c r="X2196">
        <v>0.11700000000000001</v>
      </c>
      <c r="Y2196" t="s">
        <v>27</v>
      </c>
      <c r="Z2196" t="s">
        <v>27</v>
      </c>
      <c r="AA2196" t="s">
        <v>27</v>
      </c>
      <c r="AB2196" t="s">
        <v>27</v>
      </c>
      <c r="AC2196" t="s">
        <v>27</v>
      </c>
      <c r="AD2196" t="s">
        <v>27</v>
      </c>
      <c r="AE2196" t="s">
        <v>27</v>
      </c>
      <c r="AF2196" t="s">
        <v>27</v>
      </c>
      <c r="AG2196">
        <v>5.12</v>
      </c>
    </row>
    <row r="2197" spans="1:33" x14ac:dyDescent="0.25">
      <c r="A2197" t="s">
        <v>57</v>
      </c>
      <c r="B2197" s="3">
        <v>45658</v>
      </c>
      <c r="C2197">
        <v>2025001</v>
      </c>
      <c r="D2197">
        <v>0.68</v>
      </c>
      <c r="E2197" t="s">
        <v>27</v>
      </c>
      <c r="F2197">
        <v>-6.4</v>
      </c>
      <c r="G2197">
        <v>-4.9000000000000004</v>
      </c>
      <c r="H2197">
        <v>-7</v>
      </c>
      <c r="I2197">
        <v>88.7</v>
      </c>
      <c r="J2197">
        <v>79</v>
      </c>
      <c r="K2197">
        <v>0.3</v>
      </c>
      <c r="L2197">
        <v>1.3</v>
      </c>
      <c r="M2197">
        <v>0</v>
      </c>
      <c r="N2197">
        <v>0.69600000000000017</v>
      </c>
      <c r="O2197">
        <v>-0.5</v>
      </c>
      <c r="P2197">
        <v>-6.9</v>
      </c>
      <c r="Q2197">
        <v>-4.5</v>
      </c>
      <c r="R2197">
        <v>-7.7</v>
      </c>
      <c r="S2197">
        <v>0.2</v>
      </c>
      <c r="T2197">
        <v>0.8</v>
      </c>
      <c r="U2197" t="s">
        <v>27</v>
      </c>
      <c r="V2197" t="s">
        <v>27</v>
      </c>
      <c r="W2197">
        <v>0.33400000000000002</v>
      </c>
      <c r="X2197">
        <v>8.8999999999999996E-2</v>
      </c>
      <c r="Y2197" t="s">
        <v>27</v>
      </c>
      <c r="Z2197" t="s">
        <v>27</v>
      </c>
      <c r="AA2197" t="s">
        <v>27</v>
      </c>
      <c r="AB2197" t="s">
        <v>27</v>
      </c>
      <c r="AC2197" t="s">
        <v>27</v>
      </c>
      <c r="AD2197" t="s">
        <v>27</v>
      </c>
      <c r="AE2197" t="s">
        <v>27</v>
      </c>
      <c r="AF2197" t="s">
        <v>27</v>
      </c>
      <c r="AG2197">
        <v>5.14</v>
      </c>
    </row>
    <row r="2198" spans="1:33" x14ac:dyDescent="0.25">
      <c r="A2198" t="s">
        <v>57</v>
      </c>
      <c r="B2198" s="3">
        <v>45659</v>
      </c>
      <c r="C2198">
        <v>2025002</v>
      </c>
      <c r="D2198">
        <v>0.66</v>
      </c>
      <c r="E2198" t="s">
        <v>27</v>
      </c>
      <c r="F2198">
        <v>-6.8</v>
      </c>
      <c r="G2198">
        <v>-5.7</v>
      </c>
      <c r="H2198">
        <v>-8.4</v>
      </c>
      <c r="I2198">
        <v>90.2</v>
      </c>
      <c r="J2198">
        <v>87.6</v>
      </c>
      <c r="K2198">
        <v>0.5</v>
      </c>
      <c r="L2198">
        <v>1.5</v>
      </c>
      <c r="M2198">
        <v>0</v>
      </c>
      <c r="N2198">
        <v>0.70600000000000018</v>
      </c>
      <c r="O2198">
        <v>-0.6</v>
      </c>
      <c r="P2198">
        <v>-7.3</v>
      </c>
      <c r="Q2198">
        <v>-5.2</v>
      </c>
      <c r="R2198">
        <v>-9.6999999999999993</v>
      </c>
      <c r="S2198">
        <v>0.2</v>
      </c>
      <c r="T2198">
        <v>0.8</v>
      </c>
      <c r="U2198" t="s">
        <v>27</v>
      </c>
      <c r="V2198" t="s">
        <v>27</v>
      </c>
      <c r="W2198">
        <v>0.34899999999999998</v>
      </c>
      <c r="X2198">
        <v>4.9000000000000002E-2</v>
      </c>
      <c r="Y2198" t="s">
        <v>27</v>
      </c>
      <c r="Z2198" t="s">
        <v>27</v>
      </c>
      <c r="AA2198" t="s">
        <v>27</v>
      </c>
      <c r="AB2198" t="s">
        <v>27</v>
      </c>
      <c r="AC2198" t="s">
        <v>27</v>
      </c>
      <c r="AD2198" t="s">
        <v>27</v>
      </c>
      <c r="AE2198" t="s">
        <v>27</v>
      </c>
      <c r="AF2198" t="s">
        <v>27</v>
      </c>
      <c r="AG2198">
        <v>5.18</v>
      </c>
    </row>
    <row r="2199" spans="1:33" x14ac:dyDescent="0.25">
      <c r="A2199" t="s">
        <v>57</v>
      </c>
      <c r="B2199" s="3">
        <v>45660</v>
      </c>
      <c r="C2199">
        <v>2025003</v>
      </c>
      <c r="D2199">
        <v>0.16</v>
      </c>
      <c r="E2199" t="s">
        <v>27</v>
      </c>
      <c r="F2199">
        <v>-4.2</v>
      </c>
      <c r="G2199">
        <v>-2.5</v>
      </c>
      <c r="H2199">
        <v>-6.4</v>
      </c>
      <c r="I2199">
        <v>91.1</v>
      </c>
      <c r="J2199">
        <v>84.7</v>
      </c>
      <c r="K2199">
        <v>0.6</v>
      </c>
      <c r="L2199">
        <v>1.6</v>
      </c>
      <c r="M2199">
        <v>4.4000000000000004</v>
      </c>
      <c r="N2199">
        <v>0.72300000000000009</v>
      </c>
      <c r="O2199">
        <v>-0.5</v>
      </c>
      <c r="P2199">
        <v>-4.7</v>
      </c>
      <c r="Q2199">
        <v>-2.1</v>
      </c>
      <c r="R2199">
        <v>-7</v>
      </c>
      <c r="S2199">
        <v>0.2</v>
      </c>
      <c r="T2199">
        <v>0.8</v>
      </c>
      <c r="U2199" t="s">
        <v>27</v>
      </c>
      <c r="V2199" t="s">
        <v>27</v>
      </c>
      <c r="W2199">
        <v>0.43</v>
      </c>
      <c r="X2199">
        <v>7.8E-2</v>
      </c>
      <c r="Y2199" t="s">
        <v>27</v>
      </c>
      <c r="Z2199" t="s">
        <v>27</v>
      </c>
      <c r="AA2199" t="s">
        <v>27</v>
      </c>
      <c r="AB2199" t="s">
        <v>27</v>
      </c>
      <c r="AC2199" t="s">
        <v>27</v>
      </c>
      <c r="AD2199" t="s">
        <v>27</v>
      </c>
      <c r="AE2199" t="s">
        <v>27</v>
      </c>
      <c r="AF2199" t="s">
        <v>27</v>
      </c>
      <c r="AG2199">
        <v>5.22</v>
      </c>
    </row>
    <row r="2200" spans="1:33" x14ac:dyDescent="0.25">
      <c r="A2200" t="s">
        <v>57</v>
      </c>
      <c r="B2200" s="3">
        <v>45661</v>
      </c>
      <c r="C2200">
        <v>2025004</v>
      </c>
      <c r="D2200">
        <v>3.4</v>
      </c>
      <c r="E2200" t="s">
        <v>27</v>
      </c>
      <c r="F2200">
        <v>-3.2</v>
      </c>
      <c r="G2200">
        <v>0</v>
      </c>
      <c r="H2200">
        <v>-5.5</v>
      </c>
      <c r="I2200">
        <v>89.8</v>
      </c>
      <c r="J2200">
        <v>76.8</v>
      </c>
      <c r="K2200">
        <v>0.4</v>
      </c>
      <c r="L2200">
        <v>1.7</v>
      </c>
      <c r="M2200">
        <v>1.1000000000000001</v>
      </c>
      <c r="N2200">
        <v>0.71400000000000019</v>
      </c>
      <c r="O2200">
        <v>-0.5</v>
      </c>
      <c r="P2200">
        <v>-3.8</v>
      </c>
      <c r="Q2200">
        <v>3.4</v>
      </c>
      <c r="R2200">
        <v>-7.2</v>
      </c>
      <c r="S2200">
        <v>0.2</v>
      </c>
      <c r="T2200">
        <v>0.8</v>
      </c>
      <c r="U2200" t="s">
        <v>27</v>
      </c>
      <c r="V2200" t="s">
        <v>27</v>
      </c>
      <c r="W2200">
        <v>0.46899999999999997</v>
      </c>
      <c r="X2200">
        <v>0.14199999999999999</v>
      </c>
      <c r="Y2200" t="s">
        <v>27</v>
      </c>
      <c r="Z2200" t="s">
        <v>27</v>
      </c>
      <c r="AA2200" t="s">
        <v>27</v>
      </c>
      <c r="AB2200" t="s">
        <v>27</v>
      </c>
      <c r="AC2200" t="s">
        <v>27</v>
      </c>
      <c r="AD2200" t="s">
        <v>27</v>
      </c>
      <c r="AE2200" t="s">
        <v>27</v>
      </c>
      <c r="AF2200" t="s">
        <v>27</v>
      </c>
      <c r="AG2200">
        <v>5.27</v>
      </c>
    </row>
    <row r="2201" spans="1:33" x14ac:dyDescent="0.25">
      <c r="A2201" t="s">
        <v>57</v>
      </c>
      <c r="B2201" s="3">
        <v>45662</v>
      </c>
      <c r="C2201">
        <v>2025005</v>
      </c>
      <c r="D2201">
        <v>1.32</v>
      </c>
      <c r="E2201" t="s">
        <v>27</v>
      </c>
      <c r="F2201">
        <v>-3.1</v>
      </c>
      <c r="G2201">
        <v>0.5</v>
      </c>
      <c r="H2201">
        <v>-7.4</v>
      </c>
      <c r="I2201">
        <v>90</v>
      </c>
      <c r="J2201">
        <v>82.4</v>
      </c>
      <c r="K2201">
        <v>0.2</v>
      </c>
      <c r="L2201">
        <v>2.1</v>
      </c>
      <c r="M2201">
        <v>1.9</v>
      </c>
      <c r="N2201">
        <v>0.70000000000000018</v>
      </c>
      <c r="O2201">
        <v>-0.5</v>
      </c>
      <c r="P2201">
        <v>-3.7</v>
      </c>
      <c r="Q2201">
        <v>0.8</v>
      </c>
      <c r="R2201">
        <v>-9.1999999999999993</v>
      </c>
      <c r="S2201">
        <v>0.2</v>
      </c>
      <c r="T2201">
        <v>0.8</v>
      </c>
      <c r="U2201" t="s">
        <v>27</v>
      </c>
      <c r="V2201" t="s">
        <v>27</v>
      </c>
      <c r="W2201">
        <v>0.52</v>
      </c>
      <c r="X2201">
        <v>0.111</v>
      </c>
      <c r="Y2201" t="s">
        <v>27</v>
      </c>
      <c r="Z2201" t="s">
        <v>27</v>
      </c>
      <c r="AA2201" t="s">
        <v>27</v>
      </c>
      <c r="AB2201" t="s">
        <v>27</v>
      </c>
      <c r="AC2201" t="s">
        <v>27</v>
      </c>
      <c r="AD2201" t="s">
        <v>27</v>
      </c>
      <c r="AE2201" t="s">
        <v>27</v>
      </c>
      <c r="AF2201" t="s">
        <v>27</v>
      </c>
      <c r="AG2201">
        <v>5.32</v>
      </c>
    </row>
    <row r="2202" spans="1:33" x14ac:dyDescent="0.25">
      <c r="A2202" t="s">
        <v>57</v>
      </c>
      <c r="B2202" s="3">
        <v>45663</v>
      </c>
      <c r="C2202">
        <v>2025006</v>
      </c>
      <c r="D2202">
        <v>4.04</v>
      </c>
      <c r="E2202" t="s">
        <v>27</v>
      </c>
      <c r="F2202">
        <v>-5.0999999999999996</v>
      </c>
      <c r="G2202">
        <v>-1.1000000000000001</v>
      </c>
      <c r="H2202">
        <v>-11.3</v>
      </c>
      <c r="I2202">
        <v>89.9</v>
      </c>
      <c r="J2202">
        <v>81.900000000000006</v>
      </c>
      <c r="K2202">
        <v>0.6</v>
      </c>
      <c r="L2202">
        <v>1.9</v>
      </c>
      <c r="M2202">
        <v>1.6</v>
      </c>
      <c r="N2202">
        <v>0.71300000000000008</v>
      </c>
      <c r="O2202">
        <v>-0.5</v>
      </c>
      <c r="P2202">
        <v>-5.8</v>
      </c>
      <c r="Q2202">
        <v>1.9</v>
      </c>
      <c r="R2202">
        <v>-13.2</v>
      </c>
      <c r="S2202">
        <v>0.2</v>
      </c>
      <c r="T2202">
        <v>0.8</v>
      </c>
      <c r="U2202" t="s">
        <v>27</v>
      </c>
      <c r="V2202" t="s">
        <v>27</v>
      </c>
      <c r="W2202">
        <v>0.46</v>
      </c>
      <c r="X2202">
        <v>0.10199999999999999</v>
      </c>
      <c r="Y2202" t="s">
        <v>27</v>
      </c>
      <c r="Z2202" t="s">
        <v>27</v>
      </c>
      <c r="AA2202" t="s">
        <v>27</v>
      </c>
      <c r="AB2202" t="s">
        <v>27</v>
      </c>
      <c r="AC2202" t="s">
        <v>27</v>
      </c>
      <c r="AD2202" t="s">
        <v>27</v>
      </c>
      <c r="AE2202" t="s">
        <v>27</v>
      </c>
      <c r="AF2202" t="s">
        <v>27</v>
      </c>
      <c r="AG2202">
        <v>5.37</v>
      </c>
    </row>
    <row r="2203" spans="1:33" x14ac:dyDescent="0.25">
      <c r="A2203" t="s">
        <v>57</v>
      </c>
      <c r="B2203" s="3">
        <v>45664</v>
      </c>
      <c r="C2203">
        <v>2025007</v>
      </c>
      <c r="D2203">
        <v>1.57</v>
      </c>
      <c r="E2203" t="s">
        <v>27</v>
      </c>
      <c r="F2203">
        <v>-8.5</v>
      </c>
      <c r="G2203">
        <v>-4.8</v>
      </c>
      <c r="H2203">
        <v>-13.7</v>
      </c>
      <c r="I2203">
        <v>89.8</v>
      </c>
      <c r="J2203">
        <v>83.4</v>
      </c>
      <c r="K2203">
        <v>0.4</v>
      </c>
      <c r="L2203">
        <v>1.4</v>
      </c>
      <c r="M2203">
        <v>0</v>
      </c>
      <c r="N2203">
        <v>0.69800000000000018</v>
      </c>
      <c r="O2203">
        <v>-0.5</v>
      </c>
      <c r="P2203">
        <v>-9.4</v>
      </c>
      <c r="Q2203">
        <v>-3.4</v>
      </c>
      <c r="R2203">
        <v>-15.4</v>
      </c>
      <c r="S2203">
        <v>0.2</v>
      </c>
      <c r="T2203">
        <v>0.8</v>
      </c>
      <c r="U2203" t="s">
        <v>27</v>
      </c>
      <c r="V2203" t="s">
        <v>27</v>
      </c>
      <c r="W2203">
        <v>0.35599999999999998</v>
      </c>
      <c r="X2203">
        <v>7.0999999999999994E-2</v>
      </c>
      <c r="Y2203" t="s">
        <v>27</v>
      </c>
      <c r="Z2203" t="s">
        <v>27</v>
      </c>
      <c r="AA2203" t="s">
        <v>27</v>
      </c>
      <c r="AB2203" t="s">
        <v>27</v>
      </c>
      <c r="AC2203" t="s">
        <v>27</v>
      </c>
      <c r="AD2203" t="s">
        <v>27</v>
      </c>
      <c r="AE2203" t="s">
        <v>27</v>
      </c>
      <c r="AF2203" t="s">
        <v>27</v>
      </c>
      <c r="AG2203">
        <v>5.43</v>
      </c>
    </row>
    <row r="2204" spans="1:33" x14ac:dyDescent="0.25">
      <c r="A2204" t="s">
        <v>57</v>
      </c>
      <c r="B2204" s="3">
        <v>45665</v>
      </c>
      <c r="C2204">
        <v>2025008</v>
      </c>
      <c r="D2204">
        <v>1.37</v>
      </c>
      <c r="E2204" t="s">
        <v>27</v>
      </c>
      <c r="F2204">
        <v>-3</v>
      </c>
      <c r="G2204">
        <v>1.3</v>
      </c>
      <c r="H2204">
        <v>-8.6</v>
      </c>
      <c r="I2204">
        <v>91.1</v>
      </c>
      <c r="J2204">
        <v>78.099999999999994</v>
      </c>
      <c r="K2204">
        <v>0.6</v>
      </c>
      <c r="L2204">
        <v>2.2000000000000002</v>
      </c>
      <c r="M2204">
        <v>0</v>
      </c>
      <c r="N2204">
        <v>0.7280000000000002</v>
      </c>
      <c r="O2204">
        <v>-0.6</v>
      </c>
      <c r="P2204">
        <v>-4</v>
      </c>
      <c r="Q2204">
        <v>1.7</v>
      </c>
      <c r="R2204">
        <v>-10.7</v>
      </c>
      <c r="S2204">
        <v>0.2</v>
      </c>
      <c r="T2204">
        <v>0.8</v>
      </c>
      <c r="U2204" t="s">
        <v>27</v>
      </c>
      <c r="V2204" t="s">
        <v>27</v>
      </c>
      <c r="W2204">
        <v>0.52500000000000002</v>
      </c>
      <c r="X2204">
        <v>0.14699999999999999</v>
      </c>
      <c r="Y2204" t="s">
        <v>27</v>
      </c>
      <c r="Z2204" t="s">
        <v>27</v>
      </c>
      <c r="AA2204" t="s">
        <v>27</v>
      </c>
      <c r="AB2204" t="s">
        <v>27</v>
      </c>
      <c r="AC2204" t="s">
        <v>27</v>
      </c>
      <c r="AD2204" t="s">
        <v>27</v>
      </c>
      <c r="AE2204" t="s">
        <v>27</v>
      </c>
      <c r="AF2204" t="s">
        <v>27</v>
      </c>
      <c r="AG2204">
        <v>5.49</v>
      </c>
    </row>
    <row r="2205" spans="1:33" x14ac:dyDescent="0.25">
      <c r="A2205" t="s">
        <v>57</v>
      </c>
      <c r="B2205" s="3">
        <v>45666</v>
      </c>
      <c r="C2205">
        <v>2025009</v>
      </c>
      <c r="D2205">
        <v>2.95</v>
      </c>
      <c r="E2205" t="s">
        <v>27</v>
      </c>
      <c r="F2205">
        <v>-5.7</v>
      </c>
      <c r="G2205">
        <v>-1.4</v>
      </c>
      <c r="H2205">
        <v>-9.6999999999999993</v>
      </c>
      <c r="I2205">
        <v>90.7</v>
      </c>
      <c r="J2205">
        <v>86.3</v>
      </c>
      <c r="K2205">
        <v>0.5</v>
      </c>
      <c r="L2205">
        <v>1.8</v>
      </c>
      <c r="M2205">
        <v>0</v>
      </c>
      <c r="N2205">
        <v>0.70600000000000018</v>
      </c>
      <c r="O2205">
        <v>-0.6</v>
      </c>
      <c r="P2205">
        <v>-6.4</v>
      </c>
      <c r="Q2205">
        <v>-0.9</v>
      </c>
      <c r="R2205">
        <v>-11.6</v>
      </c>
      <c r="S2205">
        <v>0.2</v>
      </c>
      <c r="T2205">
        <v>0.8</v>
      </c>
      <c r="U2205" t="s">
        <v>27</v>
      </c>
      <c r="V2205" t="s">
        <v>27</v>
      </c>
      <c r="W2205">
        <v>0.47499999999999998</v>
      </c>
      <c r="X2205">
        <v>7.4999999999999997E-2</v>
      </c>
      <c r="Y2205" t="s">
        <v>27</v>
      </c>
      <c r="Z2205" t="s">
        <v>27</v>
      </c>
      <c r="AA2205" t="s">
        <v>27</v>
      </c>
      <c r="AB2205" t="s">
        <v>27</v>
      </c>
      <c r="AC2205" t="s">
        <v>27</v>
      </c>
      <c r="AD2205" t="s">
        <v>27</v>
      </c>
      <c r="AE2205" t="s">
        <v>27</v>
      </c>
      <c r="AF2205" t="s">
        <v>27</v>
      </c>
      <c r="AG2205">
        <v>5.56</v>
      </c>
    </row>
    <row r="2206" spans="1:33" x14ac:dyDescent="0.25">
      <c r="A2206" t="s">
        <v>57</v>
      </c>
      <c r="B2206" s="3">
        <v>45667</v>
      </c>
      <c r="C2206">
        <v>2025010</v>
      </c>
      <c r="D2206">
        <v>7.0000000000000007E-2</v>
      </c>
      <c r="E2206" t="s">
        <v>27</v>
      </c>
      <c r="F2206">
        <v>-4.0999999999999996</v>
      </c>
      <c r="G2206">
        <v>-1.6</v>
      </c>
      <c r="H2206">
        <v>-6.6</v>
      </c>
      <c r="I2206">
        <v>92</v>
      </c>
      <c r="J2206">
        <v>89.4</v>
      </c>
      <c r="K2206">
        <v>1</v>
      </c>
      <c r="L2206">
        <v>3</v>
      </c>
      <c r="M2206">
        <v>10.6</v>
      </c>
      <c r="N2206">
        <v>0.875</v>
      </c>
      <c r="O2206">
        <v>-0.6</v>
      </c>
      <c r="P2206">
        <v>-4.5999999999999996</v>
      </c>
      <c r="Q2206">
        <v>-1.9</v>
      </c>
      <c r="R2206">
        <v>-7.2</v>
      </c>
      <c r="S2206">
        <v>0.2</v>
      </c>
      <c r="T2206">
        <v>0.8</v>
      </c>
      <c r="U2206" t="s">
        <v>27</v>
      </c>
      <c r="V2206" t="s">
        <v>27</v>
      </c>
      <c r="W2206">
        <v>0.48599999999999999</v>
      </c>
      <c r="X2206">
        <v>5.8000000000000003E-2</v>
      </c>
      <c r="Y2206" t="s">
        <v>27</v>
      </c>
      <c r="Z2206" t="s">
        <v>27</v>
      </c>
      <c r="AA2206" t="s">
        <v>27</v>
      </c>
      <c r="AB2206" t="s">
        <v>27</v>
      </c>
      <c r="AC2206" t="s">
        <v>27</v>
      </c>
      <c r="AD2206" t="s">
        <v>27</v>
      </c>
      <c r="AE2206" t="s">
        <v>27</v>
      </c>
      <c r="AF2206" t="s">
        <v>27</v>
      </c>
      <c r="AG2206">
        <v>5.63</v>
      </c>
    </row>
    <row r="2207" spans="1:33" x14ac:dyDescent="0.25">
      <c r="A2207" t="s">
        <v>57</v>
      </c>
      <c r="B2207" s="3">
        <v>45668</v>
      </c>
      <c r="C2207">
        <v>2025011</v>
      </c>
      <c r="D2207">
        <v>1.07</v>
      </c>
      <c r="E2207" t="s">
        <v>27</v>
      </c>
      <c r="F2207">
        <v>-3.6</v>
      </c>
      <c r="G2207">
        <v>-2.7</v>
      </c>
      <c r="H2207">
        <v>-5.2</v>
      </c>
      <c r="I2207">
        <v>87.4</v>
      </c>
      <c r="J2207">
        <v>81.8</v>
      </c>
      <c r="K2207">
        <v>1.3</v>
      </c>
      <c r="L2207">
        <v>2.9</v>
      </c>
      <c r="M2207">
        <v>1.2</v>
      </c>
      <c r="N2207">
        <v>0.8580000000000001</v>
      </c>
      <c r="O2207">
        <v>-0.5</v>
      </c>
      <c r="P2207">
        <v>-4.2</v>
      </c>
      <c r="Q2207">
        <v>-2.2999999999999998</v>
      </c>
      <c r="R2207">
        <v>-6.5</v>
      </c>
      <c r="S2207">
        <v>0.2</v>
      </c>
      <c r="T2207">
        <v>0.8</v>
      </c>
      <c r="U2207" t="s">
        <v>27</v>
      </c>
      <c r="V2207" t="s">
        <v>27</v>
      </c>
      <c r="W2207">
        <v>0.41</v>
      </c>
      <c r="X2207">
        <v>9.0999999999999998E-2</v>
      </c>
      <c r="Y2207" t="s">
        <v>27</v>
      </c>
      <c r="Z2207" t="s">
        <v>27</v>
      </c>
      <c r="AA2207" t="s">
        <v>27</v>
      </c>
      <c r="AB2207" t="s">
        <v>27</v>
      </c>
      <c r="AC2207" t="s">
        <v>27</v>
      </c>
      <c r="AD2207" t="s">
        <v>27</v>
      </c>
      <c r="AE2207" t="s">
        <v>27</v>
      </c>
      <c r="AF2207" t="s">
        <v>27</v>
      </c>
      <c r="AG2207">
        <v>5.7</v>
      </c>
    </row>
    <row r="2208" spans="1:33" x14ac:dyDescent="0.25">
      <c r="A2208" t="s">
        <v>57</v>
      </c>
      <c r="B2208" s="3">
        <v>45669</v>
      </c>
      <c r="C2208">
        <v>2025012</v>
      </c>
      <c r="D2208">
        <v>0.62</v>
      </c>
      <c r="E2208" t="s">
        <v>27</v>
      </c>
      <c r="F2208">
        <v>-4.9000000000000004</v>
      </c>
      <c r="G2208">
        <v>-3.5</v>
      </c>
      <c r="H2208">
        <v>-6.9</v>
      </c>
      <c r="I2208">
        <v>86.8</v>
      </c>
      <c r="J2208">
        <v>81.3</v>
      </c>
      <c r="K2208">
        <v>0.9</v>
      </c>
      <c r="L2208">
        <v>2.2999999999999998</v>
      </c>
      <c r="M2208">
        <v>0.5</v>
      </c>
      <c r="N2208">
        <v>0.83400000000000007</v>
      </c>
      <c r="O2208">
        <v>-0.4</v>
      </c>
      <c r="P2208">
        <v>-5.7</v>
      </c>
      <c r="Q2208">
        <v>-3.4</v>
      </c>
      <c r="R2208">
        <v>-8.6</v>
      </c>
      <c r="S2208">
        <v>0.2</v>
      </c>
      <c r="T2208">
        <v>0.8</v>
      </c>
      <c r="U2208" t="s">
        <v>27</v>
      </c>
      <c r="V2208" t="s">
        <v>27</v>
      </c>
      <c r="W2208">
        <v>0.38400000000000001</v>
      </c>
      <c r="X2208">
        <v>8.7999999999999995E-2</v>
      </c>
      <c r="Y2208" t="s">
        <v>27</v>
      </c>
      <c r="Z2208" t="s">
        <v>27</v>
      </c>
      <c r="AA2208" t="s">
        <v>27</v>
      </c>
      <c r="AB2208" t="s">
        <v>27</v>
      </c>
      <c r="AC2208" t="s">
        <v>27</v>
      </c>
      <c r="AD2208" t="s">
        <v>27</v>
      </c>
      <c r="AE2208" t="s">
        <v>27</v>
      </c>
      <c r="AF2208" t="s">
        <v>27</v>
      </c>
      <c r="AG2208">
        <v>5.77</v>
      </c>
    </row>
    <row r="2209" spans="1:33" x14ac:dyDescent="0.25">
      <c r="A2209" t="s">
        <v>57</v>
      </c>
      <c r="B2209" s="3">
        <v>45670</v>
      </c>
      <c r="C2209">
        <v>2025013</v>
      </c>
      <c r="D2209">
        <v>1.95</v>
      </c>
      <c r="E2209" t="s">
        <v>27</v>
      </c>
      <c r="F2209">
        <v>-6.6</v>
      </c>
      <c r="G2209">
        <v>-0.3</v>
      </c>
      <c r="H2209">
        <v>-10.9</v>
      </c>
      <c r="I2209">
        <v>85.6</v>
      </c>
      <c r="J2209">
        <v>58.2</v>
      </c>
      <c r="K2209">
        <v>0.3</v>
      </c>
      <c r="L2209">
        <v>2.2000000000000002</v>
      </c>
      <c r="M2209">
        <v>4</v>
      </c>
      <c r="N2209">
        <v>0.81500000000000017</v>
      </c>
      <c r="O2209">
        <v>-0.4</v>
      </c>
      <c r="P2209">
        <v>-8</v>
      </c>
      <c r="Q2209">
        <v>-1</v>
      </c>
      <c r="R2209">
        <v>-12.9</v>
      </c>
      <c r="S2209">
        <v>0.1</v>
      </c>
      <c r="T2209">
        <v>0.8</v>
      </c>
      <c r="U2209" t="s">
        <v>27</v>
      </c>
      <c r="V2209" t="s">
        <v>27</v>
      </c>
      <c r="W2209">
        <v>0.34899999999999998</v>
      </c>
      <c r="X2209">
        <v>0.251</v>
      </c>
      <c r="Y2209" t="s">
        <v>27</v>
      </c>
      <c r="Z2209" t="s">
        <v>27</v>
      </c>
      <c r="AA2209" t="s">
        <v>27</v>
      </c>
      <c r="AB2209" t="s">
        <v>27</v>
      </c>
      <c r="AC2209" t="s">
        <v>27</v>
      </c>
      <c r="AD2209" t="s">
        <v>27</v>
      </c>
      <c r="AE2209" t="s">
        <v>27</v>
      </c>
      <c r="AF2209" t="s">
        <v>27</v>
      </c>
      <c r="AG2209">
        <v>5.85</v>
      </c>
    </row>
    <row r="2210" spans="1:33" x14ac:dyDescent="0.25">
      <c r="A2210" t="s">
        <v>57</v>
      </c>
      <c r="B2210" s="3">
        <v>45671</v>
      </c>
      <c r="C2210">
        <v>2025014</v>
      </c>
      <c r="D2210">
        <v>4.46</v>
      </c>
      <c r="E2210" t="s">
        <v>27</v>
      </c>
      <c r="F2210">
        <v>-3.6</v>
      </c>
      <c r="G2210">
        <v>3.6</v>
      </c>
      <c r="H2210">
        <v>-10.1</v>
      </c>
      <c r="I2210">
        <v>89.9</v>
      </c>
      <c r="J2210">
        <v>71.7</v>
      </c>
      <c r="K2210">
        <v>0.2</v>
      </c>
      <c r="L2210">
        <v>1.6</v>
      </c>
      <c r="M2210">
        <v>0</v>
      </c>
      <c r="N2210">
        <v>0.79100000000000015</v>
      </c>
      <c r="O2210">
        <v>-0.4</v>
      </c>
      <c r="P2210">
        <v>-4.7</v>
      </c>
      <c r="Q2210">
        <v>5.8</v>
      </c>
      <c r="R2210">
        <v>-11.7</v>
      </c>
      <c r="S2210">
        <v>0.2</v>
      </c>
      <c r="T2210">
        <v>0.8</v>
      </c>
      <c r="U2210" t="s">
        <v>27</v>
      </c>
      <c r="V2210" t="s">
        <v>27</v>
      </c>
      <c r="W2210">
        <v>0.56699999999999995</v>
      </c>
      <c r="X2210">
        <v>0.224</v>
      </c>
      <c r="Y2210" t="s">
        <v>27</v>
      </c>
      <c r="Z2210" t="s">
        <v>27</v>
      </c>
      <c r="AA2210" t="s">
        <v>27</v>
      </c>
      <c r="AB2210" t="s">
        <v>27</v>
      </c>
      <c r="AC2210" t="s">
        <v>27</v>
      </c>
      <c r="AD2210" t="s">
        <v>27</v>
      </c>
      <c r="AE2210" t="s">
        <v>27</v>
      </c>
      <c r="AF2210" t="s">
        <v>27</v>
      </c>
      <c r="AG2210">
        <v>5.93</v>
      </c>
    </row>
    <row r="2211" spans="1:33" x14ac:dyDescent="0.25">
      <c r="A2211" t="s">
        <v>57</v>
      </c>
      <c r="B2211" s="3">
        <v>45672</v>
      </c>
      <c r="C2211">
        <v>2025015</v>
      </c>
      <c r="D2211">
        <v>5.39</v>
      </c>
      <c r="E2211" t="s">
        <v>27</v>
      </c>
      <c r="F2211">
        <v>-2.7</v>
      </c>
      <c r="G2211">
        <v>4.0999999999999996</v>
      </c>
      <c r="H2211">
        <v>-6</v>
      </c>
      <c r="I2211">
        <v>90.8</v>
      </c>
      <c r="J2211">
        <v>78.599999999999994</v>
      </c>
      <c r="K2211">
        <v>0.4</v>
      </c>
      <c r="L2211">
        <v>1.6</v>
      </c>
      <c r="M2211">
        <v>0</v>
      </c>
      <c r="N2211">
        <v>0.78500000000000014</v>
      </c>
      <c r="O2211">
        <v>-0.5</v>
      </c>
      <c r="P2211">
        <v>-3.3</v>
      </c>
      <c r="Q2211">
        <v>7.9</v>
      </c>
      <c r="R2211">
        <v>-7.5</v>
      </c>
      <c r="S2211">
        <v>0.2</v>
      </c>
      <c r="T2211">
        <v>0.8</v>
      </c>
      <c r="U2211" t="s">
        <v>27</v>
      </c>
      <c r="V2211" t="s">
        <v>27</v>
      </c>
      <c r="W2211">
        <v>0.64300000000000002</v>
      </c>
      <c r="X2211">
        <v>0.17499999999999999</v>
      </c>
      <c r="Y2211" t="s">
        <v>27</v>
      </c>
      <c r="Z2211" t="s">
        <v>27</v>
      </c>
      <c r="AA2211" t="s">
        <v>27</v>
      </c>
      <c r="AB2211" t="s">
        <v>27</v>
      </c>
      <c r="AC2211" t="s">
        <v>27</v>
      </c>
      <c r="AD2211" t="s">
        <v>27</v>
      </c>
      <c r="AE2211" t="s">
        <v>27</v>
      </c>
      <c r="AF2211" t="s">
        <v>27</v>
      </c>
      <c r="AG2211">
        <v>6.02</v>
      </c>
    </row>
    <row r="2212" spans="1:33" x14ac:dyDescent="0.25">
      <c r="A2212" t="s">
        <v>57</v>
      </c>
      <c r="B2212" s="3">
        <v>45673</v>
      </c>
      <c r="C2212">
        <v>2025016</v>
      </c>
      <c r="D2212">
        <v>2.25</v>
      </c>
      <c r="E2212" t="s">
        <v>27</v>
      </c>
      <c r="F2212">
        <v>-5.8</v>
      </c>
      <c r="G2212">
        <v>0.5</v>
      </c>
      <c r="H2212">
        <v>-8.6999999999999993</v>
      </c>
      <c r="I2212">
        <v>85.1</v>
      </c>
      <c r="J2212">
        <v>64.900000000000006</v>
      </c>
      <c r="K2212">
        <v>1.1000000000000001</v>
      </c>
      <c r="L2212">
        <v>4.5999999999999996</v>
      </c>
      <c r="M2212">
        <v>0.6</v>
      </c>
      <c r="N2212">
        <v>0.82600000000000007</v>
      </c>
      <c r="O2212">
        <v>-0.6</v>
      </c>
      <c r="P2212">
        <v>-6.8</v>
      </c>
      <c r="Q2212">
        <v>2.1</v>
      </c>
      <c r="R2212">
        <v>-10.1</v>
      </c>
      <c r="S2212">
        <v>0.2</v>
      </c>
      <c r="T2212">
        <v>0.8</v>
      </c>
      <c r="U2212" t="s">
        <v>27</v>
      </c>
      <c r="V2212" t="s">
        <v>27</v>
      </c>
      <c r="W2212">
        <v>0.41</v>
      </c>
      <c r="X2212">
        <v>0.222</v>
      </c>
      <c r="Y2212" t="s">
        <v>27</v>
      </c>
      <c r="Z2212" t="s">
        <v>27</v>
      </c>
      <c r="AA2212" t="s">
        <v>27</v>
      </c>
      <c r="AB2212" t="s">
        <v>27</v>
      </c>
      <c r="AC2212" t="s">
        <v>27</v>
      </c>
      <c r="AD2212" t="s">
        <v>27</v>
      </c>
      <c r="AE2212" t="s">
        <v>27</v>
      </c>
      <c r="AF2212" t="s">
        <v>27</v>
      </c>
      <c r="AG2212">
        <v>6.11</v>
      </c>
    </row>
    <row r="2213" spans="1:33" x14ac:dyDescent="0.25">
      <c r="A2213" t="s">
        <v>57</v>
      </c>
      <c r="B2213" s="3">
        <v>45674</v>
      </c>
      <c r="C2213">
        <v>2025017</v>
      </c>
      <c r="D2213">
        <v>1.88</v>
      </c>
      <c r="E2213" t="s">
        <v>27</v>
      </c>
      <c r="F2213">
        <v>-7.9</v>
      </c>
      <c r="G2213">
        <v>-6</v>
      </c>
      <c r="H2213">
        <v>-10.3</v>
      </c>
      <c r="I2213">
        <v>79.400000000000006</v>
      </c>
      <c r="J2213">
        <v>72.599999999999994</v>
      </c>
      <c r="K2213">
        <v>1.3</v>
      </c>
      <c r="L2213">
        <v>2.7</v>
      </c>
      <c r="M2213">
        <v>0</v>
      </c>
      <c r="N2213">
        <v>0.79700000000000015</v>
      </c>
      <c r="O2213">
        <v>-0.6</v>
      </c>
      <c r="P2213">
        <v>-8.5</v>
      </c>
      <c r="Q2213">
        <v>-4.9000000000000004</v>
      </c>
      <c r="R2213">
        <v>-11.5</v>
      </c>
      <c r="S2213">
        <v>0.2</v>
      </c>
      <c r="T2213">
        <v>0.8</v>
      </c>
      <c r="U2213" t="s">
        <v>27</v>
      </c>
      <c r="V2213" t="s">
        <v>27</v>
      </c>
      <c r="W2213">
        <v>0.28199999999999997</v>
      </c>
      <c r="X2213">
        <v>0.106</v>
      </c>
      <c r="Y2213" t="s">
        <v>27</v>
      </c>
      <c r="Z2213" t="s">
        <v>27</v>
      </c>
      <c r="AA2213" t="s">
        <v>27</v>
      </c>
      <c r="AB2213" t="s">
        <v>27</v>
      </c>
      <c r="AC2213" t="s">
        <v>27</v>
      </c>
      <c r="AD2213" t="s">
        <v>27</v>
      </c>
      <c r="AE2213" t="s">
        <v>27</v>
      </c>
      <c r="AF2213" t="s">
        <v>27</v>
      </c>
      <c r="AG2213">
        <v>6.2</v>
      </c>
    </row>
    <row r="2214" spans="1:33" x14ac:dyDescent="0.25">
      <c r="A2214" t="s">
        <v>57</v>
      </c>
      <c r="B2214" s="3">
        <v>45675</v>
      </c>
      <c r="C2214">
        <v>2025018</v>
      </c>
      <c r="D2214">
        <v>3.2</v>
      </c>
      <c r="E2214" t="s">
        <v>27</v>
      </c>
      <c r="F2214">
        <v>-12.4</v>
      </c>
      <c r="G2214">
        <v>-6.4</v>
      </c>
      <c r="H2214">
        <v>-19</v>
      </c>
      <c r="I2214">
        <v>78.5</v>
      </c>
      <c r="J2214">
        <v>54.2</v>
      </c>
      <c r="K2214">
        <v>0.3</v>
      </c>
      <c r="L2214">
        <v>2</v>
      </c>
      <c r="M2214">
        <v>0</v>
      </c>
      <c r="N2214">
        <v>0.79200000000000004</v>
      </c>
      <c r="O2214">
        <v>-0.6</v>
      </c>
      <c r="P2214">
        <v>-13.2</v>
      </c>
      <c r="Q2214">
        <v>-4</v>
      </c>
      <c r="R2214">
        <v>-20.7</v>
      </c>
      <c r="S2214">
        <v>0.1</v>
      </c>
      <c r="T2214">
        <v>0.7</v>
      </c>
      <c r="U2214" t="s">
        <v>27</v>
      </c>
      <c r="V2214" t="s">
        <v>27</v>
      </c>
      <c r="W2214">
        <v>0.20399999999999999</v>
      </c>
      <c r="X2214">
        <v>0.17199999999999999</v>
      </c>
      <c r="Y2214" t="s">
        <v>27</v>
      </c>
      <c r="Z2214" t="s">
        <v>27</v>
      </c>
      <c r="AA2214" t="s">
        <v>27</v>
      </c>
      <c r="AB2214" t="s">
        <v>27</v>
      </c>
      <c r="AC2214" t="s">
        <v>27</v>
      </c>
      <c r="AD2214" t="s">
        <v>27</v>
      </c>
      <c r="AE2214" t="s">
        <v>27</v>
      </c>
      <c r="AF2214" t="s">
        <v>27</v>
      </c>
      <c r="AG2214">
        <v>6.3</v>
      </c>
    </row>
    <row r="2215" spans="1:33" x14ac:dyDescent="0.25">
      <c r="A2215" t="s">
        <v>57</v>
      </c>
      <c r="B2215" s="3">
        <v>45676</v>
      </c>
      <c r="C2215">
        <v>2025019</v>
      </c>
      <c r="D2215">
        <v>1.36</v>
      </c>
      <c r="E2215" t="s">
        <v>27</v>
      </c>
      <c r="F2215">
        <v>-12.4</v>
      </c>
      <c r="G2215">
        <v>-8.5</v>
      </c>
      <c r="H2215">
        <v>-21.2</v>
      </c>
      <c r="I2215">
        <v>83</v>
      </c>
      <c r="J2215">
        <v>73.3</v>
      </c>
      <c r="K2215">
        <v>0.8</v>
      </c>
      <c r="L2215">
        <v>2.5</v>
      </c>
      <c r="M2215">
        <v>4.4000000000000004</v>
      </c>
      <c r="N2215">
        <v>0.79</v>
      </c>
      <c r="O2215">
        <v>-0.7</v>
      </c>
      <c r="P2215">
        <v>-13.3</v>
      </c>
      <c r="Q2215">
        <v>-7.4</v>
      </c>
      <c r="R2215">
        <v>-22.9</v>
      </c>
      <c r="S2215">
        <v>0.1</v>
      </c>
      <c r="T2215">
        <v>0.7</v>
      </c>
      <c r="U2215" t="s">
        <v>27</v>
      </c>
      <c r="V2215" t="s">
        <v>27</v>
      </c>
      <c r="W2215">
        <v>0.23599999999999999</v>
      </c>
      <c r="X2215">
        <v>8.5999999999999993E-2</v>
      </c>
      <c r="Y2215" t="s">
        <v>27</v>
      </c>
      <c r="Z2215" t="s">
        <v>27</v>
      </c>
      <c r="AA2215" t="s">
        <v>27</v>
      </c>
      <c r="AB2215" t="s">
        <v>27</v>
      </c>
      <c r="AC2215" t="s">
        <v>27</v>
      </c>
      <c r="AD2215" t="s">
        <v>27</v>
      </c>
      <c r="AE2215" t="s">
        <v>27</v>
      </c>
      <c r="AF2215" t="s">
        <v>27</v>
      </c>
      <c r="AG2215">
        <v>6.4</v>
      </c>
    </row>
    <row r="2216" spans="1:33" x14ac:dyDescent="0.25">
      <c r="A2216" t="s">
        <v>57</v>
      </c>
      <c r="B2216" s="3">
        <v>45677</v>
      </c>
      <c r="C2216">
        <v>2025020</v>
      </c>
      <c r="D2216">
        <v>3.41</v>
      </c>
      <c r="E2216" t="s">
        <v>27</v>
      </c>
      <c r="F2216">
        <v>-15</v>
      </c>
      <c r="G2216">
        <v>-7.2</v>
      </c>
      <c r="H2216">
        <v>-22.2</v>
      </c>
      <c r="I2216">
        <v>79.5</v>
      </c>
      <c r="J2216">
        <v>66.5</v>
      </c>
      <c r="K2216">
        <v>0.4</v>
      </c>
      <c r="L2216">
        <v>1.5</v>
      </c>
      <c r="M2216">
        <v>0</v>
      </c>
      <c r="N2216">
        <v>0.78600000000000003</v>
      </c>
      <c r="O2216">
        <v>-0.8</v>
      </c>
      <c r="P2216">
        <v>-15.9</v>
      </c>
      <c r="Q2216">
        <v>-5</v>
      </c>
      <c r="R2216">
        <v>-23.8</v>
      </c>
      <c r="S2216">
        <v>0.1</v>
      </c>
      <c r="T2216">
        <v>0.7</v>
      </c>
      <c r="U2216" t="s">
        <v>27</v>
      </c>
      <c r="V2216" t="s">
        <v>27</v>
      </c>
      <c r="W2216">
        <v>0.23699999999999999</v>
      </c>
      <c r="X2216">
        <v>0.11899999999999999</v>
      </c>
      <c r="Y2216" t="s">
        <v>27</v>
      </c>
      <c r="Z2216" t="s">
        <v>27</v>
      </c>
      <c r="AA2216" t="s">
        <v>27</v>
      </c>
      <c r="AB2216" t="s">
        <v>27</v>
      </c>
      <c r="AC2216" t="s">
        <v>27</v>
      </c>
      <c r="AD2216" t="s">
        <v>27</v>
      </c>
      <c r="AE2216" t="s">
        <v>27</v>
      </c>
      <c r="AF2216" t="s">
        <v>27</v>
      </c>
      <c r="AG2216">
        <v>6.51</v>
      </c>
    </row>
    <row r="2217" spans="1:33" x14ac:dyDescent="0.25">
      <c r="A2217" t="s">
        <v>57</v>
      </c>
      <c r="B2217" s="3">
        <v>45678</v>
      </c>
      <c r="C2217">
        <v>2025021</v>
      </c>
      <c r="D2217">
        <v>3.2</v>
      </c>
      <c r="E2217" t="s">
        <v>27</v>
      </c>
      <c r="F2217">
        <v>-8</v>
      </c>
      <c r="G2217">
        <v>-2.8</v>
      </c>
      <c r="H2217">
        <v>-14.9</v>
      </c>
      <c r="I2217">
        <v>74.7</v>
      </c>
      <c r="J2217">
        <v>56.3</v>
      </c>
      <c r="K2217">
        <v>1.1000000000000001</v>
      </c>
      <c r="L2217">
        <v>3.1</v>
      </c>
      <c r="M2217">
        <v>0</v>
      </c>
      <c r="N2217">
        <v>0.78400000000000003</v>
      </c>
      <c r="O2217">
        <v>-1</v>
      </c>
      <c r="P2217">
        <v>-8.8000000000000007</v>
      </c>
      <c r="Q2217">
        <v>-1.6</v>
      </c>
      <c r="R2217">
        <v>-15.9</v>
      </c>
      <c r="S2217">
        <v>0.1</v>
      </c>
      <c r="T2217">
        <v>0.7</v>
      </c>
      <c r="U2217" t="s">
        <v>27</v>
      </c>
      <c r="V2217" t="s">
        <v>27</v>
      </c>
      <c r="W2217">
        <v>0.27900000000000003</v>
      </c>
      <c r="X2217">
        <v>0.217</v>
      </c>
      <c r="Y2217" t="s">
        <v>27</v>
      </c>
      <c r="Z2217" t="s">
        <v>27</v>
      </c>
      <c r="AA2217" t="s">
        <v>27</v>
      </c>
      <c r="AB2217" t="s">
        <v>27</v>
      </c>
      <c r="AC2217" t="s">
        <v>27</v>
      </c>
      <c r="AD2217" t="s">
        <v>27</v>
      </c>
      <c r="AE2217" t="s">
        <v>27</v>
      </c>
      <c r="AF2217" t="s">
        <v>27</v>
      </c>
      <c r="AG2217">
        <v>6.61</v>
      </c>
    </row>
    <row r="2218" spans="1:33" x14ac:dyDescent="0.25">
      <c r="A2218" t="s">
        <v>57</v>
      </c>
      <c r="B2218" s="3">
        <v>45679</v>
      </c>
      <c r="C2218">
        <v>2025022</v>
      </c>
      <c r="D2218">
        <v>4.41</v>
      </c>
      <c r="E2218" t="s">
        <v>27</v>
      </c>
      <c r="F2218">
        <v>-7.7</v>
      </c>
      <c r="G2218">
        <v>-0.7</v>
      </c>
      <c r="H2218">
        <v>-15.1</v>
      </c>
      <c r="I2218">
        <v>76.3</v>
      </c>
      <c r="J2218">
        <v>43.7</v>
      </c>
      <c r="K2218">
        <v>0.5</v>
      </c>
      <c r="L2218">
        <v>1.9</v>
      </c>
      <c r="M2218">
        <v>0</v>
      </c>
      <c r="N2218">
        <v>0.78200000000000003</v>
      </c>
      <c r="O2218">
        <v>-1</v>
      </c>
      <c r="P2218">
        <v>-8.8000000000000007</v>
      </c>
      <c r="Q2218">
        <v>1.4</v>
      </c>
      <c r="R2218">
        <v>-16.5</v>
      </c>
      <c r="S2218">
        <v>0.1</v>
      </c>
      <c r="T2218">
        <v>0.7</v>
      </c>
      <c r="U2218" t="s">
        <v>27</v>
      </c>
      <c r="V2218" t="s">
        <v>27</v>
      </c>
      <c r="W2218">
        <v>0.254</v>
      </c>
      <c r="X2218">
        <v>0.32700000000000001</v>
      </c>
      <c r="Y2218" t="s">
        <v>27</v>
      </c>
      <c r="Z2218" t="s">
        <v>27</v>
      </c>
      <c r="AA2218" t="s">
        <v>27</v>
      </c>
      <c r="AB2218" t="s">
        <v>27</v>
      </c>
      <c r="AC2218" t="s">
        <v>27</v>
      </c>
      <c r="AD2218" t="s">
        <v>27</v>
      </c>
      <c r="AE2218" t="s">
        <v>27</v>
      </c>
      <c r="AF2218" t="s">
        <v>27</v>
      </c>
      <c r="AG2218">
        <v>6.73</v>
      </c>
    </row>
    <row r="2219" spans="1:33" x14ac:dyDescent="0.25">
      <c r="A2219" t="s">
        <v>57</v>
      </c>
      <c r="B2219" s="3">
        <v>45680</v>
      </c>
      <c r="C2219">
        <v>2025023</v>
      </c>
      <c r="D2219">
        <v>2.12</v>
      </c>
      <c r="E2219" t="s">
        <v>27</v>
      </c>
      <c r="F2219">
        <v>-6.5</v>
      </c>
      <c r="G2219">
        <v>-0.9</v>
      </c>
      <c r="H2219">
        <v>-11.8</v>
      </c>
      <c r="I2219">
        <v>82.9</v>
      </c>
      <c r="J2219">
        <v>58.5</v>
      </c>
      <c r="K2219">
        <v>0.7</v>
      </c>
      <c r="L2219">
        <v>2.5</v>
      </c>
      <c r="M2219">
        <v>0</v>
      </c>
      <c r="N2219">
        <v>0.79600000000000004</v>
      </c>
      <c r="O2219">
        <v>-1</v>
      </c>
      <c r="P2219">
        <v>-7.2</v>
      </c>
      <c r="Q2219">
        <v>-0.3</v>
      </c>
      <c r="R2219">
        <v>-12.9</v>
      </c>
      <c r="S2219">
        <v>0.1</v>
      </c>
      <c r="T2219">
        <v>0.7</v>
      </c>
      <c r="U2219" t="s">
        <v>27</v>
      </c>
      <c r="V2219" t="s">
        <v>27</v>
      </c>
      <c r="W2219">
        <v>0.33400000000000002</v>
      </c>
      <c r="X2219">
        <v>0.23699999999999999</v>
      </c>
      <c r="Y2219" t="s">
        <v>27</v>
      </c>
      <c r="Z2219" t="s">
        <v>27</v>
      </c>
      <c r="AA2219" t="s">
        <v>27</v>
      </c>
      <c r="AB2219" t="s">
        <v>27</v>
      </c>
      <c r="AC2219" t="s">
        <v>27</v>
      </c>
      <c r="AD2219" t="s">
        <v>27</v>
      </c>
      <c r="AE2219" t="s">
        <v>27</v>
      </c>
      <c r="AF2219" t="s">
        <v>27</v>
      </c>
      <c r="AG2219">
        <v>6.84</v>
      </c>
    </row>
    <row r="2220" spans="1:33" x14ac:dyDescent="0.25">
      <c r="A2220" t="s">
        <v>57</v>
      </c>
      <c r="B2220" s="3">
        <v>45681</v>
      </c>
      <c r="C2220">
        <v>2025024</v>
      </c>
      <c r="D2220">
        <v>1.32</v>
      </c>
      <c r="E2220" t="s">
        <v>27</v>
      </c>
      <c r="F2220">
        <v>-8.1</v>
      </c>
      <c r="G2220">
        <v>-6.4</v>
      </c>
      <c r="H2220">
        <v>-12.7</v>
      </c>
      <c r="I2220">
        <v>82.8</v>
      </c>
      <c r="J2220">
        <v>74.2</v>
      </c>
      <c r="K2220">
        <v>1.1000000000000001</v>
      </c>
      <c r="L2220">
        <v>2.5</v>
      </c>
      <c r="M2220">
        <v>0</v>
      </c>
      <c r="N2220">
        <v>0.78900000000000015</v>
      </c>
      <c r="O2220">
        <v>-1</v>
      </c>
      <c r="P2220">
        <v>-8.8000000000000007</v>
      </c>
      <c r="Q2220">
        <v>-5.8</v>
      </c>
      <c r="R2220">
        <v>-14</v>
      </c>
      <c r="S2220">
        <v>0.1</v>
      </c>
      <c r="T2220">
        <v>0.7</v>
      </c>
      <c r="U2220" t="s">
        <v>27</v>
      </c>
      <c r="V2220" t="s">
        <v>27</v>
      </c>
      <c r="W2220">
        <v>0.28100000000000003</v>
      </c>
      <c r="X2220">
        <v>9.8000000000000004E-2</v>
      </c>
      <c r="Y2220" t="s">
        <v>27</v>
      </c>
      <c r="Z2220" t="s">
        <v>27</v>
      </c>
      <c r="AA2220" t="s">
        <v>27</v>
      </c>
      <c r="AB2220" t="s">
        <v>27</v>
      </c>
      <c r="AC2220" t="s">
        <v>27</v>
      </c>
      <c r="AD2220" t="s">
        <v>27</v>
      </c>
      <c r="AE2220" t="s">
        <v>27</v>
      </c>
      <c r="AF2220" t="s">
        <v>27</v>
      </c>
      <c r="AG2220">
        <v>6.96</v>
      </c>
    </row>
    <row r="2221" spans="1:33" x14ac:dyDescent="0.25">
      <c r="A2221" t="s">
        <v>57</v>
      </c>
      <c r="B2221" s="3">
        <v>45682</v>
      </c>
      <c r="C2221">
        <v>2025025</v>
      </c>
      <c r="D2221">
        <v>1.73</v>
      </c>
      <c r="E2221" t="s">
        <v>27</v>
      </c>
      <c r="F2221">
        <v>-12.6</v>
      </c>
      <c r="G2221">
        <v>-7.4</v>
      </c>
      <c r="H2221">
        <v>-17.8</v>
      </c>
      <c r="I2221">
        <v>83.1</v>
      </c>
      <c r="J2221">
        <v>77.2</v>
      </c>
      <c r="K2221">
        <v>0.4</v>
      </c>
      <c r="L2221">
        <v>2.2000000000000002</v>
      </c>
      <c r="M2221">
        <v>0</v>
      </c>
      <c r="N2221">
        <v>0.79400000000000004</v>
      </c>
      <c r="O2221">
        <v>-1</v>
      </c>
      <c r="P2221">
        <v>-13.5</v>
      </c>
      <c r="Q2221">
        <v>-6.6</v>
      </c>
      <c r="R2221">
        <v>-19.399999999999999</v>
      </c>
      <c r="S2221">
        <v>0</v>
      </c>
      <c r="T2221">
        <v>0.6</v>
      </c>
      <c r="U2221" t="s">
        <v>27</v>
      </c>
      <c r="V2221" t="s">
        <v>27</v>
      </c>
      <c r="W2221">
        <v>0.27</v>
      </c>
      <c r="X2221">
        <v>0.08</v>
      </c>
      <c r="Y2221" t="s">
        <v>27</v>
      </c>
      <c r="Z2221" t="s">
        <v>27</v>
      </c>
      <c r="AA2221" t="s">
        <v>27</v>
      </c>
      <c r="AB2221" t="s">
        <v>27</v>
      </c>
      <c r="AC2221" t="s">
        <v>27</v>
      </c>
      <c r="AD2221" t="s">
        <v>27</v>
      </c>
      <c r="AE2221" t="s">
        <v>27</v>
      </c>
      <c r="AF2221" t="s">
        <v>27</v>
      </c>
      <c r="AG2221">
        <v>7.09</v>
      </c>
    </row>
    <row r="2222" spans="1:33" x14ac:dyDescent="0.25">
      <c r="A2222" t="s">
        <v>57</v>
      </c>
      <c r="B2222" s="3">
        <v>45683</v>
      </c>
      <c r="C2222">
        <v>2025026</v>
      </c>
      <c r="D2222">
        <v>5.53</v>
      </c>
      <c r="E2222" t="s">
        <v>27</v>
      </c>
      <c r="F2222">
        <v>-9</v>
      </c>
      <c r="G2222">
        <v>-0.3</v>
      </c>
      <c r="H2222">
        <v>-16.100000000000001</v>
      </c>
      <c r="I2222">
        <v>78.599999999999994</v>
      </c>
      <c r="J2222">
        <v>48.1</v>
      </c>
      <c r="K2222">
        <v>0.3</v>
      </c>
      <c r="L2222">
        <v>1.8</v>
      </c>
      <c r="M2222">
        <v>0</v>
      </c>
      <c r="N2222">
        <v>0.78700000000000014</v>
      </c>
      <c r="O2222">
        <v>-1</v>
      </c>
      <c r="P2222">
        <v>-10</v>
      </c>
      <c r="Q2222">
        <v>3.3</v>
      </c>
      <c r="R2222">
        <v>-17.600000000000001</v>
      </c>
      <c r="S2222">
        <v>0</v>
      </c>
      <c r="T2222">
        <v>0.6</v>
      </c>
      <c r="U2222" t="s">
        <v>27</v>
      </c>
      <c r="V2222" t="s">
        <v>27</v>
      </c>
      <c r="W2222">
        <v>0.28799999999999998</v>
      </c>
      <c r="X2222">
        <v>0.311</v>
      </c>
      <c r="Y2222" t="s">
        <v>27</v>
      </c>
      <c r="Z2222" t="s">
        <v>27</v>
      </c>
      <c r="AA2222" t="s">
        <v>27</v>
      </c>
      <c r="AB2222" t="s">
        <v>27</v>
      </c>
      <c r="AC2222" t="s">
        <v>27</v>
      </c>
      <c r="AD2222" t="s">
        <v>27</v>
      </c>
      <c r="AE2222" t="s">
        <v>27</v>
      </c>
      <c r="AF2222" t="s">
        <v>27</v>
      </c>
      <c r="AG2222">
        <v>7.21</v>
      </c>
    </row>
    <row r="2223" spans="1:33" x14ac:dyDescent="0.25">
      <c r="A2223" t="s">
        <v>57</v>
      </c>
      <c r="B2223" s="3">
        <v>45684</v>
      </c>
      <c r="C2223">
        <v>2025027</v>
      </c>
      <c r="D2223">
        <v>6.22</v>
      </c>
      <c r="E2223" t="s">
        <v>27</v>
      </c>
      <c r="F2223">
        <v>-5</v>
      </c>
      <c r="G2223">
        <v>4</v>
      </c>
      <c r="H2223">
        <v>-11.6</v>
      </c>
      <c r="I2223">
        <v>75.8</v>
      </c>
      <c r="J2223">
        <v>37.799999999999997</v>
      </c>
      <c r="K2223">
        <v>0.5</v>
      </c>
      <c r="L2223">
        <v>2.2000000000000002</v>
      </c>
      <c r="M2223">
        <v>0</v>
      </c>
      <c r="N2223">
        <v>0.78200000000000003</v>
      </c>
      <c r="O2223">
        <v>-1.1000000000000001</v>
      </c>
      <c r="P2223">
        <v>-6.4</v>
      </c>
      <c r="Q2223">
        <v>6.1</v>
      </c>
      <c r="R2223">
        <v>-13.5</v>
      </c>
      <c r="S2223">
        <v>0</v>
      </c>
      <c r="T2223">
        <v>0.7</v>
      </c>
      <c r="U2223" t="s">
        <v>27</v>
      </c>
      <c r="V2223" t="s">
        <v>27</v>
      </c>
      <c r="W2223">
        <v>0.307</v>
      </c>
      <c r="X2223">
        <v>0.505</v>
      </c>
      <c r="Y2223" t="s">
        <v>27</v>
      </c>
      <c r="Z2223" t="s">
        <v>27</v>
      </c>
      <c r="AA2223" t="s">
        <v>27</v>
      </c>
      <c r="AB2223" t="s">
        <v>27</v>
      </c>
      <c r="AC2223" t="s">
        <v>27</v>
      </c>
      <c r="AD2223" t="s">
        <v>27</v>
      </c>
      <c r="AE2223" t="s">
        <v>27</v>
      </c>
      <c r="AF2223" t="s">
        <v>27</v>
      </c>
      <c r="AG2223">
        <v>7.34</v>
      </c>
    </row>
    <row r="2224" spans="1:33" x14ac:dyDescent="0.25">
      <c r="A2224" t="s">
        <v>57</v>
      </c>
      <c r="B2224" s="3">
        <v>45685</v>
      </c>
      <c r="C2224">
        <v>2025028</v>
      </c>
      <c r="D2224">
        <v>6.57</v>
      </c>
      <c r="E2224" t="s">
        <v>27</v>
      </c>
      <c r="F2224">
        <v>-4.9000000000000004</v>
      </c>
      <c r="G2224">
        <v>7.1</v>
      </c>
      <c r="H2224">
        <v>-11</v>
      </c>
      <c r="I2224">
        <v>76.8</v>
      </c>
      <c r="J2224">
        <v>31.2</v>
      </c>
      <c r="K2224">
        <v>0.2</v>
      </c>
      <c r="L2224">
        <v>1.3</v>
      </c>
      <c r="M2224">
        <v>2.8</v>
      </c>
      <c r="N2224">
        <v>0.77900000000000014</v>
      </c>
      <c r="O2224">
        <v>-1.1000000000000001</v>
      </c>
      <c r="P2224">
        <v>-5.9</v>
      </c>
      <c r="Q2224">
        <v>10.9</v>
      </c>
      <c r="R2224">
        <v>-12.5</v>
      </c>
      <c r="S2224">
        <v>0</v>
      </c>
      <c r="T2224">
        <v>0.6</v>
      </c>
      <c r="U2224" t="s">
        <v>27</v>
      </c>
      <c r="V2224" t="s">
        <v>27</v>
      </c>
      <c r="W2224">
        <v>0.314</v>
      </c>
      <c r="X2224">
        <v>0.69199999999999995</v>
      </c>
      <c r="Y2224" t="s">
        <v>27</v>
      </c>
      <c r="Z2224" t="s">
        <v>27</v>
      </c>
      <c r="AA2224" t="s">
        <v>27</v>
      </c>
      <c r="AB2224" t="s">
        <v>27</v>
      </c>
      <c r="AC2224" t="s">
        <v>27</v>
      </c>
      <c r="AD2224" t="s">
        <v>27</v>
      </c>
      <c r="AE2224" t="s">
        <v>27</v>
      </c>
      <c r="AF2224" t="s">
        <v>27</v>
      </c>
      <c r="AG2224">
        <v>7.47</v>
      </c>
    </row>
    <row r="2225" spans="1:33" x14ac:dyDescent="0.25">
      <c r="A2225" t="s">
        <v>57</v>
      </c>
      <c r="B2225" s="3">
        <v>45686</v>
      </c>
      <c r="C2225">
        <v>2025029</v>
      </c>
      <c r="D2225">
        <v>6.79</v>
      </c>
      <c r="E2225" t="s">
        <v>27</v>
      </c>
      <c r="F2225">
        <v>-4.5</v>
      </c>
      <c r="G2225">
        <v>5.2</v>
      </c>
      <c r="H2225">
        <v>-14.1</v>
      </c>
      <c r="I2225">
        <v>65.900000000000006</v>
      </c>
      <c r="J2225">
        <v>25.7</v>
      </c>
      <c r="K2225">
        <v>0.6</v>
      </c>
      <c r="L2225">
        <v>2.5</v>
      </c>
      <c r="M2225">
        <v>4</v>
      </c>
      <c r="N2225">
        <v>0.77100000000000013</v>
      </c>
      <c r="O2225">
        <v>-1.2</v>
      </c>
      <c r="P2225">
        <v>-5.8</v>
      </c>
      <c r="Q2225">
        <v>8.6</v>
      </c>
      <c r="R2225">
        <v>-15.8</v>
      </c>
      <c r="S2225">
        <v>0</v>
      </c>
      <c r="T2225">
        <v>0.6</v>
      </c>
      <c r="U2225" t="s">
        <v>27</v>
      </c>
      <c r="V2225" t="s">
        <v>27</v>
      </c>
      <c r="W2225">
        <v>0.22700000000000001</v>
      </c>
      <c r="X2225">
        <v>0.65600000000000003</v>
      </c>
      <c r="Y2225" t="s">
        <v>27</v>
      </c>
      <c r="Z2225" t="s">
        <v>27</v>
      </c>
      <c r="AA2225" t="s">
        <v>27</v>
      </c>
      <c r="AB2225" t="s">
        <v>27</v>
      </c>
      <c r="AC2225" t="s">
        <v>27</v>
      </c>
      <c r="AD2225" t="s">
        <v>27</v>
      </c>
      <c r="AE2225" t="s">
        <v>27</v>
      </c>
      <c r="AF2225" t="s">
        <v>27</v>
      </c>
      <c r="AG2225">
        <v>7.61</v>
      </c>
    </row>
    <row r="2226" spans="1:33" x14ac:dyDescent="0.25">
      <c r="A2226" t="s">
        <v>57</v>
      </c>
      <c r="B2226" s="3">
        <v>45687</v>
      </c>
      <c r="C2226">
        <v>2025030</v>
      </c>
      <c r="D2226">
        <v>2.83</v>
      </c>
      <c r="E2226" t="s">
        <v>27</v>
      </c>
      <c r="F2226">
        <v>-2.7</v>
      </c>
      <c r="G2226">
        <v>3.1</v>
      </c>
      <c r="H2226">
        <v>-5.2</v>
      </c>
      <c r="I2226">
        <v>64.099999999999994</v>
      </c>
      <c r="J2226">
        <v>31.3</v>
      </c>
      <c r="K2226">
        <v>0.6</v>
      </c>
      <c r="L2226">
        <v>1.8</v>
      </c>
      <c r="M2226">
        <v>3.3</v>
      </c>
      <c r="N2226">
        <v>0.76100000000000012</v>
      </c>
      <c r="O2226">
        <v>-1.2</v>
      </c>
      <c r="P2226">
        <v>-3.4</v>
      </c>
      <c r="Q2226">
        <v>4.0999999999999996</v>
      </c>
      <c r="R2226">
        <v>-6.7</v>
      </c>
      <c r="S2226">
        <v>0</v>
      </c>
      <c r="T2226">
        <v>0.7</v>
      </c>
      <c r="U2226" t="s">
        <v>27</v>
      </c>
      <c r="V2226" t="s">
        <v>27</v>
      </c>
      <c r="W2226">
        <v>0.23799999999999999</v>
      </c>
      <c r="X2226">
        <v>0.52200000000000002</v>
      </c>
      <c r="Y2226" t="s">
        <v>27</v>
      </c>
      <c r="Z2226" t="s">
        <v>27</v>
      </c>
      <c r="AA2226" t="s">
        <v>27</v>
      </c>
      <c r="AB2226" t="s">
        <v>27</v>
      </c>
      <c r="AC2226" t="s">
        <v>27</v>
      </c>
      <c r="AD2226" t="s">
        <v>27</v>
      </c>
      <c r="AE2226" t="s">
        <v>27</v>
      </c>
      <c r="AF2226" t="s">
        <v>27</v>
      </c>
      <c r="AG2226">
        <v>7.75</v>
      </c>
    </row>
    <row r="2227" spans="1:33" x14ac:dyDescent="0.25">
      <c r="A2227" t="s">
        <v>57</v>
      </c>
      <c r="B2227" s="3">
        <v>45688</v>
      </c>
      <c r="C2227">
        <v>2025031</v>
      </c>
      <c r="D2227">
        <v>0.64</v>
      </c>
      <c r="E2227" t="s">
        <v>27</v>
      </c>
      <c r="F2227">
        <v>-3.6</v>
      </c>
      <c r="G2227">
        <v>-1.3</v>
      </c>
      <c r="H2227">
        <v>-5.6</v>
      </c>
      <c r="I2227">
        <v>90.1</v>
      </c>
      <c r="J2227">
        <v>77.599999999999994</v>
      </c>
      <c r="K2227">
        <v>0.6</v>
      </c>
      <c r="L2227">
        <v>2</v>
      </c>
      <c r="M2227">
        <v>2.6</v>
      </c>
      <c r="N2227">
        <v>0.80900000000000016</v>
      </c>
      <c r="O2227">
        <v>-1</v>
      </c>
      <c r="P2227">
        <v>-4</v>
      </c>
      <c r="Q2227">
        <v>0</v>
      </c>
      <c r="R2227">
        <v>-6.3</v>
      </c>
      <c r="S2227">
        <v>0</v>
      </c>
      <c r="T2227">
        <v>0.6</v>
      </c>
      <c r="U2227" t="s">
        <v>27</v>
      </c>
      <c r="V2227" t="s">
        <v>27</v>
      </c>
      <c r="W2227">
        <v>0.43</v>
      </c>
      <c r="X2227">
        <v>0.124</v>
      </c>
      <c r="Y2227" t="s">
        <v>27</v>
      </c>
      <c r="Z2227" t="s">
        <v>27</v>
      </c>
      <c r="AA2227" t="s">
        <v>27</v>
      </c>
      <c r="AB2227" t="s">
        <v>27</v>
      </c>
      <c r="AC2227" t="s">
        <v>27</v>
      </c>
      <c r="AD2227" t="s">
        <v>27</v>
      </c>
      <c r="AE2227" t="s">
        <v>27</v>
      </c>
      <c r="AF2227" t="s">
        <v>27</v>
      </c>
      <c r="AG2227">
        <v>7.9</v>
      </c>
    </row>
    <row r="2228" spans="1:33" x14ac:dyDescent="0.25">
      <c r="A2228" t="s">
        <v>57</v>
      </c>
      <c r="B2228" s="3">
        <v>45689</v>
      </c>
      <c r="C2228">
        <v>2025032</v>
      </c>
      <c r="D2228">
        <v>2.4300000000000002</v>
      </c>
      <c r="E2228" t="s">
        <v>27</v>
      </c>
      <c r="F2228">
        <v>-7.6</v>
      </c>
      <c r="G2228">
        <v>-2.9</v>
      </c>
      <c r="H2228">
        <v>-12.4</v>
      </c>
      <c r="I2228">
        <v>77.7</v>
      </c>
      <c r="J2228">
        <v>57.6</v>
      </c>
      <c r="K2228">
        <v>1.2</v>
      </c>
      <c r="L2228">
        <v>3.7</v>
      </c>
      <c r="M2228">
        <v>7.5</v>
      </c>
      <c r="N2228">
        <v>0.85700000000000021</v>
      </c>
      <c r="O2228">
        <v>-0.9</v>
      </c>
      <c r="P2228">
        <v>-8.1999999999999993</v>
      </c>
      <c r="Q2228">
        <v>-3</v>
      </c>
      <c r="R2228">
        <v>-13.8</v>
      </c>
      <c r="S2228">
        <v>0</v>
      </c>
      <c r="T2228">
        <v>0.6</v>
      </c>
      <c r="U2228" t="s">
        <v>27</v>
      </c>
      <c r="V2228" t="s">
        <v>27</v>
      </c>
      <c r="W2228">
        <v>0.28299999999999997</v>
      </c>
      <c r="X2228">
        <v>0.20799999999999999</v>
      </c>
      <c r="Y2228" t="s">
        <v>27</v>
      </c>
      <c r="Z2228" t="s">
        <v>27</v>
      </c>
      <c r="AA2228" t="s">
        <v>27</v>
      </c>
      <c r="AB2228" t="s">
        <v>27</v>
      </c>
      <c r="AC2228" t="s">
        <v>27</v>
      </c>
      <c r="AD2228" t="s">
        <v>27</v>
      </c>
      <c r="AE2228" t="s">
        <v>27</v>
      </c>
      <c r="AF2228" t="s">
        <v>27</v>
      </c>
      <c r="AG2228">
        <v>8.0399999999999991</v>
      </c>
    </row>
    <row r="2229" spans="1:33" x14ac:dyDescent="0.25">
      <c r="A2229" t="s">
        <v>57</v>
      </c>
      <c r="B2229" s="3">
        <v>45690</v>
      </c>
      <c r="C2229">
        <v>2025033</v>
      </c>
      <c r="D2229">
        <v>0.91</v>
      </c>
      <c r="E2229" t="s">
        <v>27</v>
      </c>
      <c r="F2229">
        <v>-11.5</v>
      </c>
      <c r="G2229">
        <v>-5.4</v>
      </c>
      <c r="H2229">
        <v>-18.600000000000001</v>
      </c>
      <c r="I2229">
        <v>82.4</v>
      </c>
      <c r="J2229">
        <v>63.4</v>
      </c>
      <c r="K2229">
        <v>0.2</v>
      </c>
      <c r="L2229">
        <v>1.4</v>
      </c>
      <c r="M2229">
        <v>0</v>
      </c>
      <c r="N2229">
        <v>0.85200000000000009</v>
      </c>
      <c r="O2229">
        <v>-0.8</v>
      </c>
      <c r="P2229">
        <v>-12.1</v>
      </c>
      <c r="Q2229">
        <v>-1.8</v>
      </c>
      <c r="R2229">
        <v>-20.399999999999999</v>
      </c>
      <c r="S2229">
        <v>0</v>
      </c>
      <c r="T2229">
        <v>0.6</v>
      </c>
      <c r="U2229" t="s">
        <v>27</v>
      </c>
      <c r="V2229" t="s">
        <v>27</v>
      </c>
      <c r="W2229">
        <v>0.26</v>
      </c>
      <c r="X2229">
        <v>0.15</v>
      </c>
      <c r="Y2229" t="s">
        <v>27</v>
      </c>
      <c r="Z2229" t="s">
        <v>27</v>
      </c>
      <c r="AA2229" t="s">
        <v>27</v>
      </c>
      <c r="AB2229" t="s">
        <v>27</v>
      </c>
      <c r="AC2229" t="s">
        <v>27</v>
      </c>
      <c r="AD2229" t="s">
        <v>27</v>
      </c>
      <c r="AE2229" t="s">
        <v>27</v>
      </c>
      <c r="AF2229" t="s">
        <v>27</v>
      </c>
      <c r="AG2229">
        <v>8.1999999999999993</v>
      </c>
    </row>
    <row r="2230" spans="1:33" x14ac:dyDescent="0.25">
      <c r="A2230" t="s">
        <v>57</v>
      </c>
      <c r="B2230" s="3">
        <v>45691</v>
      </c>
      <c r="C2230">
        <v>2025034</v>
      </c>
      <c r="D2230">
        <v>0.02</v>
      </c>
      <c r="E2230" t="s">
        <v>27</v>
      </c>
      <c r="F2230">
        <v>-11.5</v>
      </c>
      <c r="G2230">
        <v>-8.9</v>
      </c>
      <c r="H2230">
        <v>-16.899999999999999</v>
      </c>
      <c r="I2230">
        <v>82.5</v>
      </c>
      <c r="J2230">
        <v>70.900000000000006</v>
      </c>
      <c r="K2230">
        <v>0.4</v>
      </c>
      <c r="L2230">
        <v>1.5</v>
      </c>
      <c r="M2230">
        <v>4.5</v>
      </c>
      <c r="N2230">
        <v>0.8490000000000002</v>
      </c>
      <c r="O2230">
        <v>-0.8</v>
      </c>
      <c r="P2230">
        <v>-11.6</v>
      </c>
      <c r="Q2230">
        <v>-7.8</v>
      </c>
      <c r="R2230">
        <v>-16.7</v>
      </c>
      <c r="S2230">
        <v>0</v>
      </c>
      <c r="T2230">
        <v>0.6</v>
      </c>
      <c r="U2230" t="s">
        <v>27</v>
      </c>
      <c r="V2230" t="s">
        <v>27</v>
      </c>
      <c r="W2230">
        <v>0.221</v>
      </c>
      <c r="X2230">
        <v>9.0999999999999998E-2</v>
      </c>
      <c r="Y2230" t="s">
        <v>27</v>
      </c>
      <c r="Z2230" t="s">
        <v>27</v>
      </c>
      <c r="AA2230" t="s">
        <v>27</v>
      </c>
      <c r="AB2230" t="s">
        <v>27</v>
      </c>
      <c r="AC2230" t="s">
        <v>27</v>
      </c>
      <c r="AD2230" t="s">
        <v>27</v>
      </c>
      <c r="AE2230" t="s">
        <v>27</v>
      </c>
      <c r="AF2230" t="s">
        <v>27</v>
      </c>
      <c r="AG2230">
        <v>8.35</v>
      </c>
    </row>
    <row r="2231" spans="1:33" x14ac:dyDescent="0.25">
      <c r="A2231" t="s">
        <v>57</v>
      </c>
      <c r="B2231" s="3">
        <v>45692</v>
      </c>
      <c r="C2231">
        <v>2025035</v>
      </c>
      <c r="D2231">
        <v>0.42</v>
      </c>
      <c r="E2231" t="s">
        <v>27</v>
      </c>
      <c r="F2231">
        <v>-17.399999999999999</v>
      </c>
      <c r="G2231">
        <v>-9.9</v>
      </c>
      <c r="H2231">
        <v>-24.8</v>
      </c>
      <c r="I2231">
        <v>76.5</v>
      </c>
      <c r="J2231">
        <v>66</v>
      </c>
      <c r="K2231">
        <v>0.5</v>
      </c>
      <c r="L2231">
        <v>1.8</v>
      </c>
      <c r="M2231">
        <v>3.7</v>
      </c>
      <c r="N2231">
        <v>0.84100000000000019</v>
      </c>
      <c r="O2231">
        <v>-0.9</v>
      </c>
      <c r="P2231">
        <v>-17.3</v>
      </c>
      <c r="Q2231">
        <v>-4.0999999999999996</v>
      </c>
      <c r="R2231">
        <v>-25.9</v>
      </c>
      <c r="S2231">
        <v>0</v>
      </c>
      <c r="T2231">
        <v>0.5</v>
      </c>
      <c r="U2231" t="s">
        <v>27</v>
      </c>
      <c r="V2231" t="s">
        <v>27</v>
      </c>
      <c r="W2231">
        <v>0.19</v>
      </c>
      <c r="X2231">
        <v>9.8000000000000004E-2</v>
      </c>
      <c r="Y2231" t="s">
        <v>27</v>
      </c>
      <c r="Z2231" t="s">
        <v>27</v>
      </c>
      <c r="AA2231" t="s">
        <v>27</v>
      </c>
      <c r="AB2231" t="s">
        <v>27</v>
      </c>
      <c r="AC2231" t="s">
        <v>27</v>
      </c>
      <c r="AD2231" t="s">
        <v>27</v>
      </c>
      <c r="AE2231" t="s">
        <v>27</v>
      </c>
      <c r="AF2231" t="s">
        <v>27</v>
      </c>
      <c r="AG2231">
        <v>8.52</v>
      </c>
    </row>
    <row r="2232" spans="1:33" x14ac:dyDescent="0.25">
      <c r="A2232" t="s">
        <v>57</v>
      </c>
      <c r="B2232" s="3">
        <v>45693</v>
      </c>
      <c r="C2232">
        <v>2025036</v>
      </c>
      <c r="D2232">
        <v>0.75</v>
      </c>
      <c r="E2232" t="s">
        <v>27</v>
      </c>
      <c r="F2232">
        <v>-17.8</v>
      </c>
      <c r="G2232">
        <v>-11.4</v>
      </c>
      <c r="H2232">
        <v>-25</v>
      </c>
      <c r="I2232">
        <v>76.599999999999994</v>
      </c>
      <c r="J2232">
        <v>64.8</v>
      </c>
      <c r="K2232">
        <v>0.5</v>
      </c>
      <c r="L2232">
        <v>2.2999999999999998</v>
      </c>
      <c r="M2232">
        <v>0</v>
      </c>
      <c r="N2232">
        <v>0.82100000000000017</v>
      </c>
      <c r="O2232">
        <v>-0.9</v>
      </c>
      <c r="P2232">
        <v>-18.100000000000001</v>
      </c>
      <c r="Q2232">
        <v>-7.4</v>
      </c>
      <c r="R2232">
        <v>-26.5</v>
      </c>
      <c r="S2232">
        <v>0</v>
      </c>
      <c r="T2232">
        <v>0.5</v>
      </c>
      <c r="U2232" t="s">
        <v>27</v>
      </c>
      <c r="V2232" t="s">
        <v>27</v>
      </c>
      <c r="W2232">
        <v>0.16600000000000001</v>
      </c>
      <c r="X2232">
        <v>0.09</v>
      </c>
      <c r="Y2232" t="s">
        <v>27</v>
      </c>
      <c r="Z2232" t="s">
        <v>27</v>
      </c>
      <c r="AA2232" t="s">
        <v>27</v>
      </c>
      <c r="AB2232" t="s">
        <v>27</v>
      </c>
      <c r="AC2232" t="s">
        <v>27</v>
      </c>
      <c r="AD2232" t="s">
        <v>27</v>
      </c>
      <c r="AE2232" t="s">
        <v>27</v>
      </c>
      <c r="AF2232" t="s">
        <v>27</v>
      </c>
      <c r="AG2232">
        <v>8.68</v>
      </c>
    </row>
    <row r="2233" spans="1:33" x14ac:dyDescent="0.25">
      <c r="A2233" t="s">
        <v>57</v>
      </c>
      <c r="B2233" s="3">
        <v>45694</v>
      </c>
      <c r="C2233">
        <v>2025037</v>
      </c>
      <c r="D2233">
        <v>0.51</v>
      </c>
      <c r="E2233" t="s">
        <v>27</v>
      </c>
      <c r="F2233">
        <v>-14.1</v>
      </c>
      <c r="G2233">
        <v>-8.6</v>
      </c>
      <c r="H2233">
        <v>-21</v>
      </c>
      <c r="I2233">
        <v>80.2</v>
      </c>
      <c r="J2233">
        <v>70.2</v>
      </c>
      <c r="K2233">
        <v>0.3</v>
      </c>
      <c r="L2233">
        <v>1.5</v>
      </c>
      <c r="M2233">
        <v>0</v>
      </c>
      <c r="N2233">
        <v>0.81300000000000017</v>
      </c>
      <c r="O2233">
        <v>-1</v>
      </c>
      <c r="P2233">
        <v>-14.1</v>
      </c>
      <c r="Q2233">
        <v>-4.5</v>
      </c>
      <c r="R2233">
        <v>-22.7</v>
      </c>
      <c r="S2233">
        <v>0</v>
      </c>
      <c r="T2233">
        <v>0.6</v>
      </c>
      <c r="U2233" t="s">
        <v>27</v>
      </c>
      <c r="V2233" t="s">
        <v>27</v>
      </c>
      <c r="W2233">
        <v>0.224</v>
      </c>
      <c r="X2233">
        <v>9.5000000000000001E-2</v>
      </c>
      <c r="Y2233" t="s">
        <v>27</v>
      </c>
      <c r="Z2233" t="s">
        <v>27</v>
      </c>
      <c r="AA2233" t="s">
        <v>27</v>
      </c>
      <c r="AB2233" t="s">
        <v>27</v>
      </c>
      <c r="AC2233" t="s">
        <v>27</v>
      </c>
      <c r="AD2233" t="s">
        <v>27</v>
      </c>
      <c r="AE2233" t="s">
        <v>27</v>
      </c>
      <c r="AF2233" t="s">
        <v>27</v>
      </c>
      <c r="AG2233">
        <v>8.85</v>
      </c>
    </row>
    <row r="2234" spans="1:33" x14ac:dyDescent="0.25">
      <c r="A2234" t="s">
        <v>57</v>
      </c>
      <c r="B2234" s="3">
        <v>45695</v>
      </c>
      <c r="C2234">
        <v>2025038</v>
      </c>
      <c r="D2234">
        <v>6.2</v>
      </c>
      <c r="E2234" t="s">
        <v>27</v>
      </c>
      <c r="F2234">
        <v>-14.9</v>
      </c>
      <c r="G2234">
        <v>-5</v>
      </c>
      <c r="H2234">
        <v>-22.2</v>
      </c>
      <c r="I2234">
        <v>74.099999999999994</v>
      </c>
      <c r="J2234">
        <v>49.1</v>
      </c>
      <c r="K2234">
        <v>0.4</v>
      </c>
      <c r="L2234">
        <v>1.8</v>
      </c>
      <c r="M2234">
        <v>0</v>
      </c>
      <c r="N2234">
        <v>0.81700000000000017</v>
      </c>
      <c r="O2234">
        <v>-1.1000000000000001</v>
      </c>
      <c r="P2234">
        <v>-15.8</v>
      </c>
      <c r="Q2234">
        <v>0</v>
      </c>
      <c r="R2234">
        <v>-24.2</v>
      </c>
      <c r="S2234">
        <v>0</v>
      </c>
      <c r="T2234">
        <v>0.5</v>
      </c>
      <c r="U2234" t="s">
        <v>27</v>
      </c>
      <c r="V2234" t="s">
        <v>27</v>
      </c>
      <c r="W2234">
        <v>0.20699999999999999</v>
      </c>
      <c r="X2234">
        <v>0.215</v>
      </c>
      <c r="Y2234" t="s">
        <v>27</v>
      </c>
      <c r="Z2234" t="s">
        <v>27</v>
      </c>
      <c r="AA2234" t="s">
        <v>27</v>
      </c>
      <c r="AB2234" t="s">
        <v>27</v>
      </c>
      <c r="AC2234" t="s">
        <v>27</v>
      </c>
      <c r="AD2234" t="s">
        <v>27</v>
      </c>
      <c r="AE2234" t="s">
        <v>27</v>
      </c>
      <c r="AF2234" t="s">
        <v>27</v>
      </c>
      <c r="AG2234">
        <v>9.02</v>
      </c>
    </row>
    <row r="2235" spans="1:33" x14ac:dyDescent="0.25">
      <c r="A2235" t="s">
        <v>57</v>
      </c>
      <c r="B2235" s="3">
        <v>45696</v>
      </c>
      <c r="C2235">
        <v>2025039</v>
      </c>
      <c r="D2235">
        <v>0.28999999999999998</v>
      </c>
      <c r="E2235" t="s">
        <v>27</v>
      </c>
      <c r="F2235">
        <v>-13.9</v>
      </c>
      <c r="G2235">
        <v>-8.6999999999999993</v>
      </c>
      <c r="H2235">
        <v>-20.3</v>
      </c>
      <c r="I2235">
        <v>80.7</v>
      </c>
      <c r="J2235">
        <v>72.099999999999994</v>
      </c>
      <c r="K2235">
        <v>0.5</v>
      </c>
      <c r="L2235">
        <v>1.9</v>
      </c>
      <c r="M2235">
        <v>0.7</v>
      </c>
      <c r="N2235">
        <v>0.8620000000000001</v>
      </c>
      <c r="O2235">
        <v>-1.2</v>
      </c>
      <c r="P2235">
        <v>-14.5</v>
      </c>
      <c r="Q2235">
        <v>-7.2</v>
      </c>
      <c r="R2235">
        <v>-22.8</v>
      </c>
      <c r="S2235">
        <v>0</v>
      </c>
      <c r="T2235">
        <v>0.5</v>
      </c>
      <c r="U2235" t="s">
        <v>27</v>
      </c>
      <c r="V2235" t="s">
        <v>27</v>
      </c>
      <c r="W2235">
        <v>0.22800000000000001</v>
      </c>
      <c r="X2235">
        <v>8.7999999999999995E-2</v>
      </c>
      <c r="Y2235" t="s">
        <v>27</v>
      </c>
      <c r="Z2235" t="s">
        <v>27</v>
      </c>
      <c r="AA2235" t="s">
        <v>27</v>
      </c>
      <c r="AB2235" t="s">
        <v>27</v>
      </c>
      <c r="AC2235" t="s">
        <v>27</v>
      </c>
      <c r="AD2235" t="s">
        <v>27</v>
      </c>
      <c r="AE2235" t="s">
        <v>27</v>
      </c>
      <c r="AF2235" t="s">
        <v>27</v>
      </c>
      <c r="AG2235">
        <v>9.19</v>
      </c>
    </row>
    <row r="2236" spans="1:33" x14ac:dyDescent="0.25">
      <c r="A2236" t="s">
        <v>57</v>
      </c>
      <c r="B2236" s="3">
        <v>45697</v>
      </c>
      <c r="C2236">
        <v>2025040</v>
      </c>
      <c r="D2236">
        <v>2.59</v>
      </c>
      <c r="E2236" t="s">
        <v>27</v>
      </c>
      <c r="F2236">
        <v>-17.399999999999999</v>
      </c>
      <c r="G2236">
        <v>-9.4</v>
      </c>
      <c r="H2236">
        <v>-22.3</v>
      </c>
      <c r="I2236">
        <v>75.2</v>
      </c>
      <c r="J2236">
        <v>57.7</v>
      </c>
      <c r="K2236">
        <v>0.5</v>
      </c>
      <c r="L2236">
        <v>2.2999999999999998</v>
      </c>
      <c r="M2236">
        <v>0</v>
      </c>
      <c r="N2236">
        <v>0.85400000000000009</v>
      </c>
      <c r="O2236">
        <v>-1.3</v>
      </c>
      <c r="P2236">
        <v>-18.2</v>
      </c>
      <c r="Q2236">
        <v>-4.7</v>
      </c>
      <c r="R2236">
        <v>-24.7</v>
      </c>
      <c r="S2236">
        <v>-0.1</v>
      </c>
      <c r="T2236">
        <v>0.5</v>
      </c>
      <c r="U2236" t="s">
        <v>27</v>
      </c>
      <c r="V2236" t="s">
        <v>27</v>
      </c>
      <c r="W2236">
        <v>0.17299999999999999</v>
      </c>
      <c r="X2236">
        <v>0.127</v>
      </c>
      <c r="Y2236" t="s">
        <v>27</v>
      </c>
      <c r="Z2236" t="s">
        <v>27</v>
      </c>
      <c r="AA2236" t="s">
        <v>27</v>
      </c>
      <c r="AB2236" t="s">
        <v>27</v>
      </c>
      <c r="AC2236" t="s">
        <v>27</v>
      </c>
      <c r="AD2236" t="s">
        <v>27</v>
      </c>
      <c r="AE2236" t="s">
        <v>27</v>
      </c>
      <c r="AF2236" t="s">
        <v>27</v>
      </c>
      <c r="AG2236">
        <v>9.3699999999999992</v>
      </c>
    </row>
    <row r="2237" spans="1:33" x14ac:dyDescent="0.25">
      <c r="A2237" t="s">
        <v>57</v>
      </c>
      <c r="B2237" s="3">
        <v>45698</v>
      </c>
      <c r="C2237">
        <v>2025041</v>
      </c>
      <c r="D2237">
        <v>4.72</v>
      </c>
      <c r="E2237" t="s">
        <v>27</v>
      </c>
      <c r="F2237">
        <v>-17.7</v>
      </c>
      <c r="G2237">
        <v>-13.3</v>
      </c>
      <c r="H2237">
        <v>-24.3</v>
      </c>
      <c r="I2237">
        <v>75.8</v>
      </c>
      <c r="J2237">
        <v>66.2</v>
      </c>
      <c r="K2237">
        <v>0.9</v>
      </c>
      <c r="L2237">
        <v>2.5</v>
      </c>
      <c r="M2237">
        <v>1.2</v>
      </c>
      <c r="N2237">
        <v>0.8450000000000002</v>
      </c>
      <c r="O2237">
        <v>-1.3</v>
      </c>
      <c r="P2237">
        <v>-17.899999999999999</v>
      </c>
      <c r="Q2237">
        <v>-8.1</v>
      </c>
      <c r="R2237">
        <v>-26.5</v>
      </c>
      <c r="S2237">
        <v>-0.1</v>
      </c>
      <c r="T2237">
        <v>0.5</v>
      </c>
      <c r="U2237" t="s">
        <v>27</v>
      </c>
      <c r="V2237" t="s">
        <v>27</v>
      </c>
      <c r="W2237">
        <v>0.14599999999999999</v>
      </c>
      <c r="X2237">
        <v>7.4999999999999997E-2</v>
      </c>
      <c r="Y2237" t="s">
        <v>27</v>
      </c>
      <c r="Z2237" t="s">
        <v>27</v>
      </c>
      <c r="AA2237" t="s">
        <v>27</v>
      </c>
      <c r="AB2237" t="s">
        <v>27</v>
      </c>
      <c r="AC2237" t="s">
        <v>27</v>
      </c>
      <c r="AD2237" t="s">
        <v>27</v>
      </c>
      <c r="AE2237" t="s">
        <v>27</v>
      </c>
      <c r="AF2237" t="s">
        <v>27</v>
      </c>
      <c r="AG2237">
        <v>9.5500000000000007</v>
      </c>
    </row>
    <row r="2238" spans="1:33" x14ac:dyDescent="0.25">
      <c r="A2238" t="s">
        <v>57</v>
      </c>
      <c r="B2238" s="3">
        <v>45699</v>
      </c>
      <c r="C2238">
        <v>2025042</v>
      </c>
      <c r="D2238">
        <v>6.8</v>
      </c>
      <c r="E2238" t="s">
        <v>27</v>
      </c>
      <c r="F2238">
        <v>-19.7</v>
      </c>
      <c r="G2238">
        <v>-12.1</v>
      </c>
      <c r="H2238">
        <v>-25.6</v>
      </c>
      <c r="I2238">
        <v>71</v>
      </c>
      <c r="J2238">
        <v>53.3</v>
      </c>
      <c r="K2238">
        <v>0.7</v>
      </c>
      <c r="L2238">
        <v>2.6</v>
      </c>
      <c r="M2238">
        <v>0</v>
      </c>
      <c r="N2238">
        <v>0.84300000000000019</v>
      </c>
      <c r="O2238">
        <v>-1.4</v>
      </c>
      <c r="P2238">
        <v>-20.6</v>
      </c>
      <c r="Q2238">
        <v>-8.4</v>
      </c>
      <c r="R2238">
        <v>-27.1</v>
      </c>
      <c r="S2238">
        <v>-0.1</v>
      </c>
      <c r="T2238">
        <v>0.5</v>
      </c>
      <c r="U2238" t="s">
        <v>27</v>
      </c>
      <c r="V2238" t="s">
        <v>27</v>
      </c>
      <c r="W2238">
        <v>0.129</v>
      </c>
      <c r="X2238">
        <v>0.113</v>
      </c>
      <c r="Y2238" t="s">
        <v>27</v>
      </c>
      <c r="Z2238" t="s">
        <v>27</v>
      </c>
      <c r="AA2238" t="s">
        <v>27</v>
      </c>
      <c r="AB2238" t="s">
        <v>27</v>
      </c>
      <c r="AC2238" t="s">
        <v>27</v>
      </c>
      <c r="AD2238" t="s">
        <v>27</v>
      </c>
      <c r="AE2238" t="s">
        <v>27</v>
      </c>
      <c r="AF2238" t="s">
        <v>27</v>
      </c>
      <c r="AG2238">
        <v>9.74</v>
      </c>
    </row>
    <row r="2239" spans="1:33" x14ac:dyDescent="0.25">
      <c r="A2239" t="s">
        <v>57</v>
      </c>
      <c r="B2239" s="3">
        <v>45700</v>
      </c>
      <c r="C2239">
        <v>2025043</v>
      </c>
      <c r="D2239">
        <v>7.5</v>
      </c>
      <c r="E2239" t="s">
        <v>27</v>
      </c>
      <c r="F2239">
        <v>-18.3</v>
      </c>
      <c r="G2239">
        <v>-7.5</v>
      </c>
      <c r="H2239">
        <v>-26.8</v>
      </c>
      <c r="I2239">
        <v>71.900000000000006</v>
      </c>
      <c r="J2239">
        <v>49.1</v>
      </c>
      <c r="K2239">
        <v>0.6</v>
      </c>
      <c r="L2239">
        <v>2.2000000000000002</v>
      </c>
      <c r="M2239">
        <v>0</v>
      </c>
      <c r="N2239">
        <v>0.83700000000000019</v>
      </c>
      <c r="O2239">
        <v>-1.5</v>
      </c>
      <c r="P2239">
        <v>-19</v>
      </c>
      <c r="Q2239">
        <v>-3.8</v>
      </c>
      <c r="R2239">
        <v>-28.2</v>
      </c>
      <c r="S2239">
        <v>-0.1</v>
      </c>
      <c r="T2239">
        <v>0.5</v>
      </c>
      <c r="U2239" t="s">
        <v>27</v>
      </c>
      <c r="V2239" t="s">
        <v>27</v>
      </c>
      <c r="W2239">
        <v>0.17100000000000001</v>
      </c>
      <c r="X2239">
        <v>0.17699999999999999</v>
      </c>
      <c r="Y2239" t="s">
        <v>27</v>
      </c>
      <c r="Z2239" t="s">
        <v>27</v>
      </c>
      <c r="AA2239" t="s">
        <v>27</v>
      </c>
      <c r="AB2239" t="s">
        <v>27</v>
      </c>
      <c r="AC2239" t="s">
        <v>27</v>
      </c>
      <c r="AD2239" t="s">
        <v>27</v>
      </c>
      <c r="AE2239" t="s">
        <v>27</v>
      </c>
      <c r="AF2239" t="s">
        <v>27</v>
      </c>
      <c r="AG2239">
        <v>9.92</v>
      </c>
    </row>
    <row r="2240" spans="1:33" x14ac:dyDescent="0.25">
      <c r="A2240" t="s">
        <v>57</v>
      </c>
      <c r="B2240" s="3">
        <v>45701</v>
      </c>
      <c r="C2240">
        <v>2025044</v>
      </c>
      <c r="D2240">
        <v>7.38</v>
      </c>
      <c r="E2240" t="s">
        <v>27</v>
      </c>
      <c r="F2240">
        <v>-12.6</v>
      </c>
      <c r="G2240">
        <v>-5.9</v>
      </c>
      <c r="H2240">
        <v>-20.5</v>
      </c>
      <c r="I2240">
        <v>64.400000000000006</v>
      </c>
      <c r="J2240">
        <v>28.5</v>
      </c>
      <c r="K2240">
        <v>1</v>
      </c>
      <c r="L2240">
        <v>2.4</v>
      </c>
      <c r="M2240">
        <v>0</v>
      </c>
      <c r="N2240">
        <v>0.84300000000000019</v>
      </c>
      <c r="O2240">
        <v>-1.6</v>
      </c>
      <c r="P2240">
        <v>-13.2</v>
      </c>
      <c r="Q2240">
        <v>-2</v>
      </c>
      <c r="R2240">
        <v>-22.3</v>
      </c>
      <c r="S2240">
        <v>-0.1</v>
      </c>
      <c r="T2240">
        <v>0.5</v>
      </c>
      <c r="U2240" t="s">
        <v>27</v>
      </c>
      <c r="V2240" t="s">
        <v>27</v>
      </c>
      <c r="W2240">
        <v>0.112</v>
      </c>
      <c r="X2240">
        <v>0.28100000000000003</v>
      </c>
      <c r="Y2240" t="s">
        <v>27</v>
      </c>
      <c r="Z2240" t="s">
        <v>27</v>
      </c>
      <c r="AA2240" t="s">
        <v>27</v>
      </c>
      <c r="AB2240" t="s">
        <v>27</v>
      </c>
      <c r="AC2240" t="s">
        <v>27</v>
      </c>
      <c r="AD2240" t="s">
        <v>27</v>
      </c>
      <c r="AE2240" t="s">
        <v>27</v>
      </c>
      <c r="AF2240" t="s">
        <v>27</v>
      </c>
      <c r="AG2240">
        <v>10.119999999999999</v>
      </c>
    </row>
    <row r="2241" spans="1:33" x14ac:dyDescent="0.25">
      <c r="A2241" t="s">
        <v>57</v>
      </c>
      <c r="B2241" s="3">
        <v>45702</v>
      </c>
      <c r="C2241">
        <v>2025045</v>
      </c>
      <c r="D2241">
        <v>4.67</v>
      </c>
      <c r="E2241" t="s">
        <v>27</v>
      </c>
      <c r="F2241">
        <v>-8.6</v>
      </c>
      <c r="G2241">
        <v>-4.0999999999999996</v>
      </c>
      <c r="H2241">
        <v>-11.9</v>
      </c>
      <c r="I2241">
        <v>79.2</v>
      </c>
      <c r="J2241">
        <v>58.7</v>
      </c>
      <c r="K2241">
        <v>0.7</v>
      </c>
      <c r="L2241">
        <v>3</v>
      </c>
      <c r="M2241">
        <v>3.4</v>
      </c>
      <c r="N2241">
        <v>0.85900000000000021</v>
      </c>
      <c r="O2241">
        <v>-1.6</v>
      </c>
      <c r="P2241">
        <v>-8.9</v>
      </c>
      <c r="Q2241">
        <v>0.8</v>
      </c>
      <c r="R2241">
        <v>-13</v>
      </c>
      <c r="S2241">
        <v>-0.1</v>
      </c>
      <c r="T2241">
        <v>0.5</v>
      </c>
      <c r="U2241" t="s">
        <v>27</v>
      </c>
      <c r="V2241" t="s">
        <v>27</v>
      </c>
      <c r="W2241">
        <v>0.26500000000000001</v>
      </c>
      <c r="X2241">
        <v>0.186</v>
      </c>
      <c r="Y2241" t="s">
        <v>27</v>
      </c>
      <c r="Z2241" t="s">
        <v>27</v>
      </c>
      <c r="AA2241" t="s">
        <v>27</v>
      </c>
      <c r="AB2241" t="s">
        <v>27</v>
      </c>
      <c r="AC2241" t="s">
        <v>27</v>
      </c>
      <c r="AD2241" t="s">
        <v>27</v>
      </c>
      <c r="AE2241" t="s">
        <v>27</v>
      </c>
      <c r="AF2241" t="s">
        <v>27</v>
      </c>
      <c r="AG2241">
        <v>10.31</v>
      </c>
    </row>
    <row r="2242" spans="1:33" x14ac:dyDescent="0.25">
      <c r="A2242" t="s">
        <v>57</v>
      </c>
      <c r="B2242" s="3">
        <v>45703</v>
      </c>
      <c r="C2242">
        <v>2025046</v>
      </c>
      <c r="D2242">
        <v>6.04</v>
      </c>
      <c r="E2242" t="s">
        <v>27</v>
      </c>
      <c r="F2242">
        <v>-6.5</v>
      </c>
      <c r="G2242">
        <v>-2.2999999999999998</v>
      </c>
      <c r="H2242">
        <v>-8.6999999999999993</v>
      </c>
      <c r="I2242">
        <v>78.599999999999994</v>
      </c>
      <c r="J2242">
        <v>56.9</v>
      </c>
      <c r="K2242">
        <v>0.7</v>
      </c>
      <c r="L2242">
        <v>2.2000000000000002</v>
      </c>
      <c r="M2242">
        <v>4.2</v>
      </c>
      <c r="N2242">
        <v>0.89300000000000002</v>
      </c>
      <c r="O2242">
        <v>-1.5</v>
      </c>
      <c r="P2242">
        <v>-6.5</v>
      </c>
      <c r="Q2242">
        <v>2.2999999999999998</v>
      </c>
      <c r="R2242">
        <v>-9.6</v>
      </c>
      <c r="S2242">
        <v>-0.1</v>
      </c>
      <c r="T2242">
        <v>0.5</v>
      </c>
      <c r="U2242" t="s">
        <v>27</v>
      </c>
      <c r="V2242" t="s">
        <v>27</v>
      </c>
      <c r="W2242">
        <v>0.29299999999999998</v>
      </c>
      <c r="X2242">
        <v>0.222</v>
      </c>
      <c r="Y2242" t="s">
        <v>27</v>
      </c>
      <c r="Z2242" t="s">
        <v>27</v>
      </c>
      <c r="AA2242" t="s">
        <v>27</v>
      </c>
      <c r="AB2242" t="s">
        <v>27</v>
      </c>
      <c r="AC2242" t="s">
        <v>27</v>
      </c>
      <c r="AD2242" t="s">
        <v>27</v>
      </c>
      <c r="AE2242" t="s">
        <v>27</v>
      </c>
      <c r="AF2242" t="s">
        <v>27</v>
      </c>
      <c r="AG2242">
        <v>10.51</v>
      </c>
    </row>
    <row r="2243" spans="1:33" x14ac:dyDescent="0.25">
      <c r="A2243" t="s">
        <v>57</v>
      </c>
      <c r="B2243" s="3">
        <v>45704</v>
      </c>
      <c r="C2243">
        <v>2025047</v>
      </c>
      <c r="D2243">
        <v>0.33</v>
      </c>
      <c r="E2243" t="s">
        <v>27</v>
      </c>
      <c r="F2243">
        <v>-6.3</v>
      </c>
      <c r="G2243">
        <v>-3.7</v>
      </c>
      <c r="H2243">
        <v>-8.3000000000000007</v>
      </c>
      <c r="I2243">
        <v>87.5</v>
      </c>
      <c r="J2243">
        <v>80.599999999999994</v>
      </c>
      <c r="K2243">
        <v>0.4</v>
      </c>
      <c r="L2243">
        <v>1.4</v>
      </c>
      <c r="M2243">
        <v>4.0999999999999996</v>
      </c>
      <c r="N2243">
        <v>0.96600000000000019</v>
      </c>
      <c r="O2243">
        <v>-1.3</v>
      </c>
      <c r="P2243">
        <v>-6.2</v>
      </c>
      <c r="Q2243">
        <v>-1.8</v>
      </c>
      <c r="R2243">
        <v>-8.8000000000000007</v>
      </c>
      <c r="S2243">
        <v>-0.1</v>
      </c>
      <c r="T2243">
        <v>0.5</v>
      </c>
      <c r="U2243" t="s">
        <v>27</v>
      </c>
      <c r="V2243" t="s">
        <v>27</v>
      </c>
      <c r="W2243">
        <v>0.375</v>
      </c>
      <c r="X2243">
        <v>0.09</v>
      </c>
      <c r="Y2243" t="s">
        <v>27</v>
      </c>
      <c r="Z2243" t="s">
        <v>27</v>
      </c>
      <c r="AA2243" t="s">
        <v>27</v>
      </c>
      <c r="AB2243" t="s">
        <v>27</v>
      </c>
      <c r="AC2243" t="s">
        <v>27</v>
      </c>
      <c r="AD2243" t="s">
        <v>27</v>
      </c>
      <c r="AE2243" t="s">
        <v>27</v>
      </c>
      <c r="AF2243" t="s">
        <v>27</v>
      </c>
      <c r="AG2243">
        <v>10.71</v>
      </c>
    </row>
    <row r="2244" spans="1:33" x14ac:dyDescent="0.25">
      <c r="A2244" t="s">
        <v>57</v>
      </c>
      <c r="B2244" s="3">
        <v>45705</v>
      </c>
      <c r="C2244">
        <v>2025048</v>
      </c>
      <c r="D2244">
        <v>4.2699999999999996</v>
      </c>
      <c r="E2244" t="s">
        <v>27</v>
      </c>
      <c r="F2244">
        <v>-5.2</v>
      </c>
      <c r="G2244">
        <v>-1.4</v>
      </c>
      <c r="H2244">
        <v>-7.2</v>
      </c>
      <c r="I2244">
        <v>85.4</v>
      </c>
      <c r="J2244">
        <v>71.8</v>
      </c>
      <c r="K2244">
        <v>0.5</v>
      </c>
      <c r="L2244">
        <v>1.7</v>
      </c>
      <c r="M2244">
        <v>3.6</v>
      </c>
      <c r="N2244">
        <v>0.95500000000000007</v>
      </c>
      <c r="O2244">
        <v>-1.1000000000000001</v>
      </c>
      <c r="P2244">
        <v>-5.0999999999999996</v>
      </c>
      <c r="Q2244">
        <v>2.8</v>
      </c>
      <c r="R2244">
        <v>-8.1</v>
      </c>
      <c r="S2244">
        <v>-0.1</v>
      </c>
      <c r="T2244">
        <v>0.5</v>
      </c>
      <c r="U2244" t="s">
        <v>27</v>
      </c>
      <c r="V2244" t="s">
        <v>27</v>
      </c>
      <c r="W2244">
        <v>0.39500000000000002</v>
      </c>
      <c r="X2244">
        <v>0.155</v>
      </c>
      <c r="Y2244" t="s">
        <v>27</v>
      </c>
      <c r="Z2244" t="s">
        <v>27</v>
      </c>
      <c r="AA2244" t="s">
        <v>27</v>
      </c>
      <c r="AB2244" t="s">
        <v>27</v>
      </c>
      <c r="AC2244" t="s">
        <v>27</v>
      </c>
      <c r="AD2244" t="s">
        <v>27</v>
      </c>
      <c r="AE2244" t="s">
        <v>27</v>
      </c>
      <c r="AF2244" t="s">
        <v>27</v>
      </c>
      <c r="AG2244">
        <v>10.91</v>
      </c>
    </row>
    <row r="2245" spans="1:33" x14ac:dyDescent="0.25">
      <c r="A2245" t="s">
        <v>57</v>
      </c>
      <c r="B2245" s="3">
        <v>45706</v>
      </c>
      <c r="C2245">
        <v>2025049</v>
      </c>
      <c r="D2245">
        <v>3.54</v>
      </c>
      <c r="E2245" t="s">
        <v>27</v>
      </c>
      <c r="F2245">
        <v>-4.9000000000000004</v>
      </c>
      <c r="G2245">
        <v>-2.2000000000000002</v>
      </c>
      <c r="H2245">
        <v>-6.7</v>
      </c>
      <c r="I2245">
        <v>87</v>
      </c>
      <c r="J2245">
        <v>75.8</v>
      </c>
      <c r="K2245">
        <v>0.5</v>
      </c>
      <c r="L2245">
        <v>1.6</v>
      </c>
      <c r="M2245">
        <v>1.8</v>
      </c>
      <c r="N2245">
        <v>0.92200000000000015</v>
      </c>
      <c r="O2245">
        <v>-0.9</v>
      </c>
      <c r="P2245">
        <v>-4.9000000000000004</v>
      </c>
      <c r="Q2245">
        <v>0.4</v>
      </c>
      <c r="R2245">
        <v>-7.7</v>
      </c>
      <c r="S2245">
        <v>0</v>
      </c>
      <c r="T2245">
        <v>0.5</v>
      </c>
      <c r="U2245" t="s">
        <v>27</v>
      </c>
      <c r="V2245" t="s">
        <v>27</v>
      </c>
      <c r="W2245">
        <v>0.39200000000000002</v>
      </c>
      <c r="X2245">
        <v>0.125</v>
      </c>
      <c r="Y2245" t="s">
        <v>27</v>
      </c>
      <c r="Z2245" t="s">
        <v>27</v>
      </c>
      <c r="AA2245" t="s">
        <v>27</v>
      </c>
      <c r="AB2245" t="s">
        <v>27</v>
      </c>
      <c r="AC2245" t="s">
        <v>27</v>
      </c>
      <c r="AD2245" t="s">
        <v>27</v>
      </c>
      <c r="AE2245" t="s">
        <v>27</v>
      </c>
      <c r="AF2245" t="s">
        <v>27</v>
      </c>
      <c r="AG2245">
        <v>11.13</v>
      </c>
    </row>
    <row r="2246" spans="1:33" x14ac:dyDescent="0.25">
      <c r="A2246" t="s">
        <v>57</v>
      </c>
      <c r="B2246" s="3">
        <v>45707</v>
      </c>
      <c r="C2246">
        <v>2025050</v>
      </c>
      <c r="D2246">
        <v>1.39</v>
      </c>
      <c r="E2246" t="s">
        <v>27</v>
      </c>
      <c r="F2246">
        <v>-4</v>
      </c>
      <c r="G2246">
        <v>-2.4</v>
      </c>
      <c r="H2246">
        <v>-5.2</v>
      </c>
      <c r="I2246">
        <v>89.7</v>
      </c>
      <c r="J2246">
        <v>82.1</v>
      </c>
      <c r="K2246">
        <v>0.8</v>
      </c>
      <c r="L2246">
        <v>2.2999999999999998</v>
      </c>
      <c r="M2246">
        <v>3.5</v>
      </c>
      <c r="N2246">
        <v>0.96400000000000019</v>
      </c>
      <c r="O2246">
        <v>-0.8</v>
      </c>
      <c r="P2246">
        <v>-4.3</v>
      </c>
      <c r="Q2246">
        <v>-2.1</v>
      </c>
      <c r="R2246">
        <v>-5.7</v>
      </c>
      <c r="S2246">
        <v>0</v>
      </c>
      <c r="T2246">
        <v>0.5</v>
      </c>
      <c r="U2246" t="s">
        <v>27</v>
      </c>
      <c r="V2246" t="s">
        <v>27</v>
      </c>
      <c r="W2246">
        <v>0.42</v>
      </c>
      <c r="X2246">
        <v>9.1999999999999998E-2</v>
      </c>
      <c r="Y2246" t="s">
        <v>27</v>
      </c>
      <c r="Z2246" t="s">
        <v>27</v>
      </c>
      <c r="AA2246" t="s">
        <v>27</v>
      </c>
      <c r="AB2246" t="s">
        <v>27</v>
      </c>
      <c r="AC2246" t="s">
        <v>27</v>
      </c>
      <c r="AD2246" t="s">
        <v>27</v>
      </c>
      <c r="AE2246" t="s">
        <v>27</v>
      </c>
      <c r="AF2246" t="s">
        <v>27</v>
      </c>
      <c r="AG2246">
        <v>11.33</v>
      </c>
    </row>
    <row r="2247" spans="1:33" x14ac:dyDescent="0.25">
      <c r="A2247" t="s">
        <v>57</v>
      </c>
      <c r="B2247" s="3">
        <v>45708</v>
      </c>
      <c r="C2247">
        <v>2025051</v>
      </c>
      <c r="D2247">
        <v>5.01</v>
      </c>
      <c r="E2247" t="s">
        <v>27</v>
      </c>
      <c r="F2247">
        <v>-2.2999999999999998</v>
      </c>
      <c r="G2247">
        <v>1.9</v>
      </c>
      <c r="H2247">
        <v>-6.2</v>
      </c>
      <c r="I2247">
        <v>85.6</v>
      </c>
      <c r="J2247">
        <v>66.099999999999994</v>
      </c>
      <c r="K2247">
        <v>1</v>
      </c>
      <c r="L2247">
        <v>3.2</v>
      </c>
      <c r="M2247">
        <v>2.6</v>
      </c>
      <c r="N2247">
        <v>0.94900000000000007</v>
      </c>
      <c r="O2247">
        <v>-0.6</v>
      </c>
      <c r="P2247">
        <v>-2.8</v>
      </c>
      <c r="Q2247">
        <v>4.7</v>
      </c>
      <c r="R2247">
        <v>-7.6</v>
      </c>
      <c r="S2247">
        <v>0</v>
      </c>
      <c r="T2247">
        <v>0.5</v>
      </c>
      <c r="U2247" t="s">
        <v>27</v>
      </c>
      <c r="V2247" t="s">
        <v>27</v>
      </c>
      <c r="W2247">
        <v>0.46400000000000002</v>
      </c>
      <c r="X2247">
        <v>0.23799999999999999</v>
      </c>
      <c r="Y2247" t="s">
        <v>27</v>
      </c>
      <c r="Z2247" t="s">
        <v>27</v>
      </c>
      <c r="AA2247" t="s">
        <v>27</v>
      </c>
      <c r="AB2247" t="s">
        <v>27</v>
      </c>
      <c r="AC2247" t="s">
        <v>27</v>
      </c>
      <c r="AD2247" t="s">
        <v>27</v>
      </c>
      <c r="AE2247" t="s">
        <v>27</v>
      </c>
      <c r="AF2247" t="s">
        <v>27</v>
      </c>
      <c r="AG2247">
        <v>11.55</v>
      </c>
    </row>
    <row r="2248" spans="1:33" x14ac:dyDescent="0.25">
      <c r="A2248" t="s">
        <v>57</v>
      </c>
      <c r="B2248" s="3">
        <v>45709</v>
      </c>
      <c r="C2248">
        <v>2025052</v>
      </c>
      <c r="D2248">
        <v>1.27</v>
      </c>
      <c r="E2248" t="s">
        <v>27</v>
      </c>
      <c r="F2248">
        <v>-2.9</v>
      </c>
      <c r="G2248">
        <v>-0.6</v>
      </c>
      <c r="H2248">
        <v>-5</v>
      </c>
      <c r="I2248">
        <v>91</v>
      </c>
      <c r="J2248">
        <v>80.400000000000006</v>
      </c>
      <c r="K2248">
        <v>0.5</v>
      </c>
      <c r="L2248">
        <v>1.9</v>
      </c>
      <c r="M2248">
        <v>4.3</v>
      </c>
      <c r="N2248">
        <v>0.9870000000000001</v>
      </c>
      <c r="O2248">
        <v>-0.5</v>
      </c>
      <c r="P2248">
        <v>-3.2</v>
      </c>
      <c r="Q2248">
        <v>0.2</v>
      </c>
      <c r="R2248">
        <v>-6</v>
      </c>
      <c r="S2248">
        <v>0</v>
      </c>
      <c r="T2248">
        <v>0.5</v>
      </c>
      <c r="U2248" t="s">
        <v>27</v>
      </c>
      <c r="V2248" t="s">
        <v>27</v>
      </c>
      <c r="W2248">
        <v>0.47099999999999997</v>
      </c>
      <c r="X2248">
        <v>0.115</v>
      </c>
      <c r="Y2248" t="s">
        <v>27</v>
      </c>
      <c r="Z2248" t="s">
        <v>27</v>
      </c>
      <c r="AA2248" t="s">
        <v>27</v>
      </c>
      <c r="AB2248" t="s">
        <v>27</v>
      </c>
      <c r="AC2248" t="s">
        <v>27</v>
      </c>
      <c r="AD2248" t="s">
        <v>27</v>
      </c>
      <c r="AE2248" t="s">
        <v>27</v>
      </c>
      <c r="AF2248" t="s">
        <v>27</v>
      </c>
      <c r="AG2248">
        <v>11.76</v>
      </c>
    </row>
    <row r="2249" spans="1:33" x14ac:dyDescent="0.25">
      <c r="A2249" t="s">
        <v>57</v>
      </c>
      <c r="B2249" s="3">
        <v>45710</v>
      </c>
      <c r="C2249">
        <v>2025053</v>
      </c>
      <c r="D2249">
        <v>2.64</v>
      </c>
      <c r="E2249" t="s">
        <v>27</v>
      </c>
      <c r="F2249">
        <v>-0.9</v>
      </c>
      <c r="G2249">
        <v>1.7</v>
      </c>
      <c r="H2249">
        <v>-3.5</v>
      </c>
      <c r="I2249">
        <v>93.3</v>
      </c>
      <c r="J2249">
        <v>85.7</v>
      </c>
      <c r="K2249">
        <v>0.9</v>
      </c>
      <c r="L2249">
        <v>2.8</v>
      </c>
      <c r="M2249">
        <v>4.2</v>
      </c>
      <c r="N2249">
        <v>0.9870000000000001</v>
      </c>
      <c r="O2249">
        <v>-0.4</v>
      </c>
      <c r="P2249">
        <v>-1.2</v>
      </c>
      <c r="Q2249">
        <v>2.2999999999999998</v>
      </c>
      <c r="R2249">
        <v>-4.4000000000000004</v>
      </c>
      <c r="S2249">
        <v>0</v>
      </c>
      <c r="T2249">
        <v>0.5</v>
      </c>
      <c r="U2249" t="s">
        <v>27</v>
      </c>
      <c r="V2249" t="s">
        <v>27</v>
      </c>
      <c r="W2249">
        <v>0.59199999999999997</v>
      </c>
      <c r="X2249">
        <v>9.9000000000000005E-2</v>
      </c>
      <c r="Y2249" t="s">
        <v>27</v>
      </c>
      <c r="Z2249" t="s">
        <v>27</v>
      </c>
      <c r="AA2249" t="s">
        <v>27</v>
      </c>
      <c r="AB2249" t="s">
        <v>27</v>
      </c>
      <c r="AC2249" t="s">
        <v>27</v>
      </c>
      <c r="AD2249" t="s">
        <v>27</v>
      </c>
      <c r="AE2249" t="s">
        <v>27</v>
      </c>
      <c r="AF2249" t="s">
        <v>27</v>
      </c>
      <c r="AG2249">
        <v>11.98</v>
      </c>
    </row>
    <row r="2250" spans="1:33" x14ac:dyDescent="0.25">
      <c r="A2250" t="s">
        <v>57</v>
      </c>
      <c r="B2250" s="3">
        <v>45711</v>
      </c>
      <c r="C2250">
        <v>2025054</v>
      </c>
      <c r="D2250">
        <v>5.79</v>
      </c>
      <c r="E2250" t="s">
        <v>27</v>
      </c>
      <c r="F2250">
        <v>0.6</v>
      </c>
      <c r="G2250">
        <v>4.0999999999999996</v>
      </c>
      <c r="H2250">
        <v>-1.8</v>
      </c>
      <c r="I2250">
        <v>90.3</v>
      </c>
      <c r="J2250">
        <v>67.7</v>
      </c>
      <c r="K2250">
        <v>0.7</v>
      </c>
      <c r="L2250">
        <v>4</v>
      </c>
      <c r="M2250">
        <v>8.6</v>
      </c>
      <c r="N2250">
        <v>1.038</v>
      </c>
      <c r="O2250">
        <v>-0.3</v>
      </c>
      <c r="P2250">
        <v>0.3</v>
      </c>
      <c r="Q2250">
        <v>5.5</v>
      </c>
      <c r="R2250">
        <v>-3</v>
      </c>
      <c r="S2250">
        <v>0</v>
      </c>
      <c r="T2250">
        <v>0.5</v>
      </c>
      <c r="U2250" t="s">
        <v>27</v>
      </c>
      <c r="V2250" t="s">
        <v>27</v>
      </c>
      <c r="W2250">
        <v>0.55400000000000005</v>
      </c>
      <c r="X2250">
        <v>0.26400000000000001</v>
      </c>
      <c r="Y2250" t="s">
        <v>27</v>
      </c>
      <c r="Z2250" t="s">
        <v>27</v>
      </c>
      <c r="AA2250" t="s">
        <v>27</v>
      </c>
      <c r="AB2250" t="s">
        <v>27</v>
      </c>
      <c r="AC2250" t="s">
        <v>27</v>
      </c>
      <c r="AD2250" t="s">
        <v>27</v>
      </c>
      <c r="AE2250" t="s">
        <v>27</v>
      </c>
      <c r="AF2250" t="s">
        <v>27</v>
      </c>
      <c r="AG2250">
        <v>12.21</v>
      </c>
    </row>
    <row r="2251" spans="1:33" x14ac:dyDescent="0.25">
      <c r="A2251" t="s">
        <v>57</v>
      </c>
      <c r="B2251" s="3">
        <v>45712</v>
      </c>
      <c r="C2251">
        <v>2025055</v>
      </c>
      <c r="D2251">
        <v>0.53</v>
      </c>
      <c r="E2251" t="s">
        <v>27</v>
      </c>
      <c r="F2251">
        <v>-2.2999999999999998</v>
      </c>
      <c r="G2251">
        <v>-0.2</v>
      </c>
      <c r="H2251">
        <v>-6.1</v>
      </c>
      <c r="I2251">
        <v>89.4</v>
      </c>
      <c r="J2251">
        <v>79.599999999999994</v>
      </c>
      <c r="K2251">
        <v>0.6</v>
      </c>
      <c r="L2251">
        <v>2.4</v>
      </c>
      <c r="M2251">
        <v>2.2999999999999998</v>
      </c>
      <c r="N2251">
        <v>1.034</v>
      </c>
      <c r="O2251">
        <v>-0.3</v>
      </c>
      <c r="P2251">
        <v>-2.9</v>
      </c>
      <c r="Q2251">
        <v>0.3</v>
      </c>
      <c r="R2251">
        <v>-7.7</v>
      </c>
      <c r="S2251">
        <v>0</v>
      </c>
      <c r="T2251">
        <v>0.5</v>
      </c>
      <c r="U2251" t="s">
        <v>27</v>
      </c>
      <c r="V2251" t="s">
        <v>27</v>
      </c>
      <c r="W2251">
        <v>0.47899999999999998</v>
      </c>
      <c r="X2251">
        <v>0.123</v>
      </c>
      <c r="Y2251" t="s">
        <v>27</v>
      </c>
      <c r="Z2251" t="s">
        <v>27</v>
      </c>
      <c r="AA2251" t="s">
        <v>27</v>
      </c>
      <c r="AB2251" t="s">
        <v>27</v>
      </c>
      <c r="AC2251" t="s">
        <v>27</v>
      </c>
      <c r="AD2251" t="s">
        <v>27</v>
      </c>
      <c r="AE2251" t="s">
        <v>27</v>
      </c>
      <c r="AF2251" t="s">
        <v>27</v>
      </c>
      <c r="AG2251">
        <v>12.42</v>
      </c>
    </row>
    <row r="2252" spans="1:33" x14ac:dyDescent="0.25">
      <c r="A2252" t="s">
        <v>57</v>
      </c>
      <c r="B2252" s="3">
        <v>45713</v>
      </c>
      <c r="C2252">
        <v>2025056</v>
      </c>
      <c r="D2252">
        <v>2.04</v>
      </c>
      <c r="E2252" t="s">
        <v>27</v>
      </c>
      <c r="F2252">
        <v>-1.3</v>
      </c>
      <c r="G2252">
        <v>1.8</v>
      </c>
      <c r="H2252">
        <v>-3.2</v>
      </c>
      <c r="I2252">
        <v>89.4</v>
      </c>
      <c r="J2252">
        <v>81.900000000000006</v>
      </c>
      <c r="K2252">
        <v>1</v>
      </c>
      <c r="L2252">
        <v>3</v>
      </c>
      <c r="M2252">
        <v>2.4</v>
      </c>
      <c r="N2252">
        <v>1.0570000000000002</v>
      </c>
      <c r="O2252">
        <v>-0.2</v>
      </c>
      <c r="P2252">
        <v>-1.7</v>
      </c>
      <c r="Q2252">
        <v>3.4</v>
      </c>
      <c r="R2252">
        <v>-4.3</v>
      </c>
      <c r="S2252">
        <v>0</v>
      </c>
      <c r="T2252">
        <v>0.5</v>
      </c>
      <c r="U2252" t="s">
        <v>27</v>
      </c>
      <c r="V2252" t="s">
        <v>27</v>
      </c>
      <c r="W2252">
        <v>0.57099999999999995</v>
      </c>
      <c r="X2252">
        <v>0.126</v>
      </c>
      <c r="Y2252" t="s">
        <v>27</v>
      </c>
      <c r="Z2252" t="s">
        <v>27</v>
      </c>
      <c r="AA2252" t="s">
        <v>27</v>
      </c>
      <c r="AB2252" t="s">
        <v>27</v>
      </c>
      <c r="AC2252" t="s">
        <v>27</v>
      </c>
      <c r="AD2252" t="s">
        <v>27</v>
      </c>
      <c r="AE2252" t="s">
        <v>27</v>
      </c>
      <c r="AF2252" t="s">
        <v>27</v>
      </c>
      <c r="AG2252">
        <v>12.65</v>
      </c>
    </row>
    <row r="2253" spans="1:33" x14ac:dyDescent="0.25">
      <c r="A2253" t="s">
        <v>57</v>
      </c>
      <c r="B2253" s="3">
        <v>45714</v>
      </c>
      <c r="C2253">
        <v>2025057</v>
      </c>
      <c r="D2253">
        <v>9.61</v>
      </c>
      <c r="E2253" t="s">
        <v>27</v>
      </c>
      <c r="F2253">
        <v>-1.4</v>
      </c>
      <c r="G2253">
        <v>3.5</v>
      </c>
      <c r="H2253">
        <v>-7</v>
      </c>
      <c r="I2253">
        <v>90</v>
      </c>
      <c r="J2253">
        <v>77.099999999999994</v>
      </c>
      <c r="K2253">
        <v>0.5</v>
      </c>
      <c r="L2253">
        <v>1.8</v>
      </c>
      <c r="M2253">
        <v>4.2</v>
      </c>
      <c r="N2253">
        <v>1.016</v>
      </c>
      <c r="O2253">
        <v>-0.2</v>
      </c>
      <c r="P2253">
        <v>-1.4</v>
      </c>
      <c r="Q2253">
        <v>10.8</v>
      </c>
      <c r="R2253">
        <v>-8.4</v>
      </c>
      <c r="S2253">
        <v>0</v>
      </c>
      <c r="T2253">
        <v>0.5</v>
      </c>
      <c r="U2253" t="s">
        <v>27</v>
      </c>
      <c r="V2253" t="s">
        <v>27</v>
      </c>
      <c r="W2253">
        <v>0.60599999999999998</v>
      </c>
      <c r="X2253">
        <v>0.18</v>
      </c>
      <c r="Y2253" t="s">
        <v>27</v>
      </c>
      <c r="Z2253" t="s">
        <v>27</v>
      </c>
      <c r="AA2253" t="s">
        <v>27</v>
      </c>
      <c r="AB2253" t="s">
        <v>27</v>
      </c>
      <c r="AC2253" t="s">
        <v>27</v>
      </c>
      <c r="AD2253" t="s">
        <v>27</v>
      </c>
      <c r="AE2253" t="s">
        <v>27</v>
      </c>
      <c r="AF2253" t="s">
        <v>27</v>
      </c>
      <c r="AG2253">
        <v>12.88</v>
      </c>
    </row>
    <row r="2254" spans="1:33" x14ac:dyDescent="0.25">
      <c r="A2254" t="s">
        <v>57</v>
      </c>
      <c r="B2254" s="3">
        <v>45715</v>
      </c>
      <c r="C2254">
        <v>2025058</v>
      </c>
      <c r="D2254">
        <v>7.76</v>
      </c>
      <c r="E2254" t="s">
        <v>27</v>
      </c>
      <c r="F2254">
        <v>-0.2</v>
      </c>
      <c r="G2254">
        <v>5.7</v>
      </c>
      <c r="H2254">
        <v>-4.7</v>
      </c>
      <c r="I2254">
        <v>88.7</v>
      </c>
      <c r="J2254">
        <v>65.8</v>
      </c>
      <c r="K2254">
        <v>0.4</v>
      </c>
      <c r="L2254">
        <v>1.6</v>
      </c>
      <c r="M2254">
        <v>0</v>
      </c>
      <c r="N2254">
        <v>1.01</v>
      </c>
      <c r="O2254">
        <v>-0.2</v>
      </c>
      <c r="P2254">
        <v>-0.5</v>
      </c>
      <c r="Q2254">
        <v>10.5</v>
      </c>
      <c r="R2254">
        <v>-6</v>
      </c>
      <c r="S2254">
        <v>0</v>
      </c>
      <c r="T2254">
        <v>0.5</v>
      </c>
      <c r="U2254" t="s">
        <v>27</v>
      </c>
      <c r="V2254" t="s">
        <v>27</v>
      </c>
      <c r="W2254">
        <v>0.60099999999999998</v>
      </c>
      <c r="X2254">
        <v>0.312</v>
      </c>
      <c r="Y2254" t="s">
        <v>27</v>
      </c>
      <c r="Z2254" t="s">
        <v>27</v>
      </c>
      <c r="AA2254" t="s">
        <v>27</v>
      </c>
      <c r="AB2254" t="s">
        <v>27</v>
      </c>
      <c r="AC2254" t="s">
        <v>27</v>
      </c>
      <c r="AD2254" t="s">
        <v>27</v>
      </c>
      <c r="AE2254" t="s">
        <v>27</v>
      </c>
      <c r="AF2254" t="s">
        <v>27</v>
      </c>
      <c r="AG2254">
        <v>13.12</v>
      </c>
    </row>
    <row r="2255" spans="1:33" x14ac:dyDescent="0.25">
      <c r="A2255" t="s">
        <v>57</v>
      </c>
      <c r="B2255" s="3">
        <v>45716</v>
      </c>
      <c r="C2255">
        <v>2025059</v>
      </c>
      <c r="D2255">
        <v>10.76</v>
      </c>
      <c r="E2255" t="s">
        <v>27</v>
      </c>
      <c r="F2255">
        <v>0.8</v>
      </c>
      <c r="G2255">
        <v>9.5</v>
      </c>
      <c r="H2255">
        <v>-3.4</v>
      </c>
      <c r="I2255">
        <v>84.3</v>
      </c>
      <c r="J2255">
        <v>49.1</v>
      </c>
      <c r="K2255">
        <v>0.3</v>
      </c>
      <c r="L2255">
        <v>1.7</v>
      </c>
      <c r="M2255">
        <v>0</v>
      </c>
      <c r="N2255">
        <v>0.97500000000000009</v>
      </c>
      <c r="O2255">
        <v>-0.2</v>
      </c>
      <c r="P2255">
        <v>0.5</v>
      </c>
      <c r="Q2255">
        <v>13.3</v>
      </c>
      <c r="R2255">
        <v>-5</v>
      </c>
      <c r="S2255">
        <v>0</v>
      </c>
      <c r="T2255">
        <v>0.5</v>
      </c>
      <c r="U2255" t="s">
        <v>27</v>
      </c>
      <c r="V2255" t="s">
        <v>27</v>
      </c>
      <c r="W2255">
        <v>0.58399999999999996</v>
      </c>
      <c r="X2255">
        <v>0.60499999999999998</v>
      </c>
      <c r="Y2255" t="s">
        <v>27</v>
      </c>
      <c r="Z2255" t="s">
        <v>27</v>
      </c>
      <c r="AA2255" t="s">
        <v>27</v>
      </c>
      <c r="AB2255" t="s">
        <v>27</v>
      </c>
      <c r="AC2255" t="s">
        <v>27</v>
      </c>
      <c r="AD2255" t="s">
        <v>27</v>
      </c>
      <c r="AE2255" t="s">
        <v>27</v>
      </c>
      <c r="AF2255" t="s">
        <v>27</v>
      </c>
      <c r="AG2255">
        <v>13.35</v>
      </c>
    </row>
    <row r="2256" spans="1:33" x14ac:dyDescent="0.25">
      <c r="A2256" t="s">
        <v>57</v>
      </c>
      <c r="B2256" s="3">
        <v>45717</v>
      </c>
      <c r="C2256">
        <v>2025060</v>
      </c>
      <c r="D2256">
        <v>14.17</v>
      </c>
      <c r="E2256" t="s">
        <v>27</v>
      </c>
      <c r="F2256">
        <v>0.7</v>
      </c>
      <c r="G2256">
        <v>9.3000000000000007</v>
      </c>
      <c r="H2256">
        <v>-4.5999999999999996</v>
      </c>
      <c r="I2256">
        <v>79.599999999999994</v>
      </c>
      <c r="J2256">
        <v>47.6</v>
      </c>
      <c r="K2256">
        <v>0.4</v>
      </c>
      <c r="L2256">
        <v>1.9</v>
      </c>
      <c r="M2256">
        <v>0</v>
      </c>
      <c r="N2256">
        <v>0.95600000000000018</v>
      </c>
      <c r="O2256">
        <v>-0.1</v>
      </c>
      <c r="P2256">
        <v>0.3</v>
      </c>
      <c r="Q2256">
        <v>14.8</v>
      </c>
      <c r="R2256">
        <v>-6.1</v>
      </c>
      <c r="S2256">
        <v>0</v>
      </c>
      <c r="T2256">
        <v>0.5</v>
      </c>
      <c r="U2256" t="s">
        <v>27</v>
      </c>
      <c r="V2256" t="s">
        <v>27</v>
      </c>
      <c r="W2256">
        <v>0.55800000000000005</v>
      </c>
      <c r="X2256">
        <v>0.61399999999999999</v>
      </c>
      <c r="Y2256" t="s">
        <v>27</v>
      </c>
      <c r="Z2256" t="s">
        <v>27</v>
      </c>
      <c r="AA2256" t="s">
        <v>27</v>
      </c>
      <c r="AB2256" t="s">
        <v>27</v>
      </c>
      <c r="AC2256" t="s">
        <v>27</v>
      </c>
      <c r="AD2256" t="s">
        <v>27</v>
      </c>
      <c r="AE2256" t="s">
        <v>27</v>
      </c>
      <c r="AF2256" t="s">
        <v>27</v>
      </c>
      <c r="AG2256">
        <v>13.59</v>
      </c>
    </row>
    <row r="2257" spans="1:33" x14ac:dyDescent="0.25">
      <c r="A2257" t="s">
        <v>57</v>
      </c>
      <c r="B2257" s="3">
        <v>45718</v>
      </c>
      <c r="C2257">
        <v>2025061</v>
      </c>
      <c r="D2257">
        <v>12.51</v>
      </c>
      <c r="E2257" t="s">
        <v>27</v>
      </c>
      <c r="F2257">
        <v>0.5</v>
      </c>
      <c r="G2257">
        <v>8.1</v>
      </c>
      <c r="H2257">
        <v>-5.9</v>
      </c>
      <c r="I2257">
        <v>75</v>
      </c>
      <c r="J2257">
        <v>40.700000000000003</v>
      </c>
      <c r="K2257">
        <v>0</v>
      </c>
      <c r="L2257">
        <v>1.6</v>
      </c>
      <c r="M2257">
        <v>0</v>
      </c>
      <c r="N2257">
        <v>0.94900000000000007</v>
      </c>
      <c r="O2257">
        <v>-0.1</v>
      </c>
      <c r="P2257">
        <v>-0.2</v>
      </c>
      <c r="Q2257">
        <v>11.8</v>
      </c>
      <c r="R2257">
        <v>-7.5</v>
      </c>
      <c r="S2257">
        <v>0</v>
      </c>
      <c r="T2257">
        <v>0.5</v>
      </c>
      <c r="U2257" t="s">
        <v>27</v>
      </c>
      <c r="V2257" t="s">
        <v>27</v>
      </c>
      <c r="W2257">
        <v>0.438</v>
      </c>
      <c r="X2257">
        <v>0.63800000000000001</v>
      </c>
      <c r="Y2257" t="s">
        <v>27</v>
      </c>
      <c r="Z2257" t="s">
        <v>27</v>
      </c>
      <c r="AA2257" t="s">
        <v>27</v>
      </c>
      <c r="AB2257" t="s">
        <v>27</v>
      </c>
      <c r="AC2257" t="s">
        <v>27</v>
      </c>
      <c r="AD2257" t="s">
        <v>27</v>
      </c>
      <c r="AE2257" t="s">
        <v>27</v>
      </c>
      <c r="AF2257" t="s">
        <v>27</v>
      </c>
      <c r="AG2257">
        <v>13.82</v>
      </c>
    </row>
    <row r="2258" spans="1:33" x14ac:dyDescent="0.25">
      <c r="A2258" t="s">
        <v>57</v>
      </c>
      <c r="B2258" s="3">
        <v>45719</v>
      </c>
      <c r="C2258">
        <v>2025062</v>
      </c>
      <c r="D2258">
        <v>12.69</v>
      </c>
      <c r="E2258" t="s">
        <v>27</v>
      </c>
      <c r="F2258">
        <v>-1.3</v>
      </c>
      <c r="G2258">
        <v>3.7</v>
      </c>
      <c r="H2258">
        <v>-7.9</v>
      </c>
      <c r="I2258">
        <v>72.400000000000006</v>
      </c>
      <c r="J2258">
        <v>47.9</v>
      </c>
      <c r="K2258">
        <v>0</v>
      </c>
      <c r="L2258">
        <v>1.3</v>
      </c>
      <c r="M2258">
        <v>0</v>
      </c>
      <c r="N2258">
        <v>0.94600000000000017</v>
      </c>
      <c r="O2258">
        <v>-0.1</v>
      </c>
      <c r="P2258">
        <v>-1.7</v>
      </c>
      <c r="Q2258">
        <v>9</v>
      </c>
      <c r="R2258">
        <v>-9.3000000000000007</v>
      </c>
      <c r="S2258">
        <v>0</v>
      </c>
      <c r="T2258">
        <v>0.5</v>
      </c>
      <c r="U2258" t="s">
        <v>27</v>
      </c>
      <c r="V2258" t="s">
        <v>27</v>
      </c>
      <c r="W2258">
        <v>0.38200000000000001</v>
      </c>
      <c r="X2258">
        <v>0.41499999999999998</v>
      </c>
      <c r="Y2258" t="s">
        <v>27</v>
      </c>
      <c r="Z2258" t="s">
        <v>27</v>
      </c>
      <c r="AA2258" t="s">
        <v>27</v>
      </c>
      <c r="AB2258" t="s">
        <v>27</v>
      </c>
      <c r="AC2258" t="s">
        <v>27</v>
      </c>
      <c r="AD2258" t="s">
        <v>27</v>
      </c>
      <c r="AE2258" t="s">
        <v>27</v>
      </c>
      <c r="AF2258" t="s">
        <v>27</v>
      </c>
      <c r="AG2258">
        <v>14.07</v>
      </c>
    </row>
    <row r="2259" spans="1:33" x14ac:dyDescent="0.25">
      <c r="A2259" t="s">
        <v>57</v>
      </c>
      <c r="B2259" s="3">
        <v>45720</v>
      </c>
      <c r="C2259">
        <v>2025063</v>
      </c>
      <c r="D2259">
        <v>9.66</v>
      </c>
      <c r="E2259" t="s">
        <v>27</v>
      </c>
      <c r="F2259">
        <v>-3.1</v>
      </c>
      <c r="G2259">
        <v>5.2</v>
      </c>
      <c r="H2259">
        <v>-10.6</v>
      </c>
      <c r="I2259">
        <v>79</v>
      </c>
      <c r="J2259">
        <v>42.7</v>
      </c>
      <c r="K2259">
        <v>0.1</v>
      </c>
      <c r="L2259">
        <v>1.5</v>
      </c>
      <c r="M2259">
        <v>0.4</v>
      </c>
      <c r="N2259">
        <v>0.99199999999999999</v>
      </c>
      <c r="O2259">
        <v>-0.2</v>
      </c>
      <c r="P2259">
        <v>-3.6</v>
      </c>
      <c r="Q2259">
        <v>7.9</v>
      </c>
      <c r="R2259">
        <v>-12.3</v>
      </c>
      <c r="S2259">
        <v>0</v>
      </c>
      <c r="T2259">
        <v>0.5</v>
      </c>
      <c r="U2259" t="s">
        <v>27</v>
      </c>
      <c r="V2259" t="s">
        <v>27</v>
      </c>
      <c r="W2259">
        <v>0.377</v>
      </c>
      <c r="X2259">
        <v>0.50600000000000001</v>
      </c>
      <c r="Y2259" t="s">
        <v>27</v>
      </c>
      <c r="Z2259" t="s">
        <v>27</v>
      </c>
      <c r="AA2259" t="s">
        <v>27</v>
      </c>
      <c r="AB2259" t="s">
        <v>27</v>
      </c>
      <c r="AC2259" t="s">
        <v>27</v>
      </c>
      <c r="AD2259" t="s">
        <v>27</v>
      </c>
      <c r="AE2259" t="s">
        <v>27</v>
      </c>
      <c r="AF2259" t="s">
        <v>27</v>
      </c>
      <c r="AG2259">
        <v>14.31</v>
      </c>
    </row>
    <row r="2260" spans="1:33" x14ac:dyDescent="0.25">
      <c r="A2260" t="s">
        <v>57</v>
      </c>
      <c r="B2260" s="3">
        <v>45721</v>
      </c>
      <c r="C2260">
        <v>2025064</v>
      </c>
      <c r="D2260">
        <v>9.74</v>
      </c>
      <c r="E2260" t="s">
        <v>27</v>
      </c>
      <c r="F2260">
        <v>-3.2</v>
      </c>
      <c r="G2260">
        <v>3.2</v>
      </c>
      <c r="H2260">
        <v>-8.1</v>
      </c>
      <c r="I2260">
        <v>79.5</v>
      </c>
      <c r="J2260">
        <v>45.5</v>
      </c>
      <c r="K2260">
        <v>0.1</v>
      </c>
      <c r="L2260">
        <v>1.4</v>
      </c>
      <c r="M2260">
        <v>0</v>
      </c>
      <c r="N2260">
        <v>0.9800000000000002</v>
      </c>
      <c r="O2260">
        <v>-0.2</v>
      </c>
      <c r="P2260">
        <v>-3.5</v>
      </c>
      <c r="Q2260">
        <v>8.1</v>
      </c>
      <c r="R2260">
        <v>-10</v>
      </c>
      <c r="S2260">
        <v>0</v>
      </c>
      <c r="T2260">
        <v>0.5</v>
      </c>
      <c r="U2260" t="s">
        <v>27</v>
      </c>
      <c r="V2260" t="s">
        <v>27</v>
      </c>
      <c r="W2260">
        <v>0.34899999999999998</v>
      </c>
      <c r="X2260">
        <v>0.41799999999999998</v>
      </c>
      <c r="Y2260" t="s">
        <v>27</v>
      </c>
      <c r="Z2260" t="s">
        <v>27</v>
      </c>
      <c r="AA2260" t="s">
        <v>27</v>
      </c>
      <c r="AB2260" t="s">
        <v>27</v>
      </c>
      <c r="AC2260" t="s">
        <v>27</v>
      </c>
      <c r="AD2260" t="s">
        <v>27</v>
      </c>
      <c r="AE2260" t="s">
        <v>27</v>
      </c>
      <c r="AF2260" t="s">
        <v>27</v>
      </c>
      <c r="AG2260">
        <v>14.55</v>
      </c>
    </row>
    <row r="2261" spans="1:33" x14ac:dyDescent="0.25">
      <c r="A2261" t="s">
        <v>57</v>
      </c>
      <c r="B2261" s="3">
        <v>45722</v>
      </c>
      <c r="C2261">
        <v>2025065</v>
      </c>
      <c r="D2261">
        <v>5.76</v>
      </c>
      <c r="E2261" t="s">
        <v>27</v>
      </c>
      <c r="F2261">
        <v>-3.7</v>
      </c>
      <c r="G2261">
        <v>1.5</v>
      </c>
      <c r="H2261">
        <v>-11.1</v>
      </c>
      <c r="I2261">
        <v>80.900000000000006</v>
      </c>
      <c r="J2261">
        <v>56.8</v>
      </c>
      <c r="K2261">
        <v>0.9</v>
      </c>
      <c r="L2261">
        <v>2.8</v>
      </c>
      <c r="M2261">
        <v>6.2</v>
      </c>
      <c r="N2261">
        <v>0.9740000000000002</v>
      </c>
      <c r="O2261">
        <v>-0.3</v>
      </c>
      <c r="P2261">
        <v>-4.3</v>
      </c>
      <c r="Q2261">
        <v>4.9000000000000004</v>
      </c>
      <c r="R2261">
        <v>-12.7</v>
      </c>
      <c r="S2261">
        <v>0</v>
      </c>
      <c r="T2261">
        <v>0.5</v>
      </c>
      <c r="U2261" t="s">
        <v>27</v>
      </c>
      <c r="V2261" t="s">
        <v>27</v>
      </c>
      <c r="W2261">
        <v>0.38500000000000001</v>
      </c>
      <c r="X2261">
        <v>0.29299999999999998</v>
      </c>
      <c r="Y2261" t="s">
        <v>27</v>
      </c>
      <c r="Z2261" t="s">
        <v>27</v>
      </c>
      <c r="AA2261" t="s">
        <v>27</v>
      </c>
      <c r="AB2261" t="s">
        <v>27</v>
      </c>
      <c r="AC2261" t="s">
        <v>27</v>
      </c>
      <c r="AD2261" t="s">
        <v>27</v>
      </c>
      <c r="AE2261" t="s">
        <v>27</v>
      </c>
      <c r="AF2261" t="s">
        <v>27</v>
      </c>
      <c r="AG2261">
        <v>14.8</v>
      </c>
    </row>
    <row r="2262" spans="1:33" x14ac:dyDescent="0.25">
      <c r="A2262" t="s">
        <v>57</v>
      </c>
      <c r="B2262" s="3">
        <v>45723</v>
      </c>
      <c r="C2262">
        <v>2025066</v>
      </c>
      <c r="D2262">
        <v>10.199999999999999</v>
      </c>
      <c r="E2262" t="s">
        <v>27</v>
      </c>
      <c r="F2262">
        <v>-3</v>
      </c>
      <c r="G2262">
        <v>5.8</v>
      </c>
      <c r="H2262">
        <v>-12.4</v>
      </c>
      <c r="I2262">
        <v>65.599999999999994</v>
      </c>
      <c r="J2262">
        <v>32.4</v>
      </c>
      <c r="K2262">
        <v>0.6</v>
      </c>
      <c r="L2262">
        <v>2.6</v>
      </c>
      <c r="M2262">
        <v>0</v>
      </c>
      <c r="N2262">
        <v>0.9700000000000002</v>
      </c>
      <c r="O2262">
        <v>-0.3</v>
      </c>
      <c r="P2262">
        <v>-3.5</v>
      </c>
      <c r="Q2262">
        <v>9.1</v>
      </c>
      <c r="R2262">
        <v>-14</v>
      </c>
      <c r="S2262">
        <v>0</v>
      </c>
      <c r="T2262">
        <v>0.5</v>
      </c>
      <c r="U2262" t="s">
        <v>27</v>
      </c>
      <c r="V2262" t="s">
        <v>27</v>
      </c>
      <c r="W2262">
        <v>0.29899999999999999</v>
      </c>
      <c r="X2262">
        <v>0.624</v>
      </c>
      <c r="Y2262" t="s">
        <v>27</v>
      </c>
      <c r="Z2262" t="s">
        <v>27</v>
      </c>
      <c r="AA2262" t="s">
        <v>27</v>
      </c>
      <c r="AB2262" t="s">
        <v>27</v>
      </c>
      <c r="AC2262" t="s">
        <v>27</v>
      </c>
      <c r="AD2262" t="s">
        <v>27</v>
      </c>
      <c r="AE2262" t="s">
        <v>27</v>
      </c>
      <c r="AF2262" t="s">
        <v>27</v>
      </c>
      <c r="AG2262">
        <v>15.04</v>
      </c>
    </row>
    <row r="2263" spans="1:33" x14ac:dyDescent="0.25">
      <c r="A2263" t="s">
        <v>57</v>
      </c>
      <c r="B2263" s="3">
        <v>45724</v>
      </c>
      <c r="C2263">
        <v>2025067</v>
      </c>
      <c r="D2263">
        <v>6.08</v>
      </c>
      <c r="E2263" t="s">
        <v>27</v>
      </c>
      <c r="F2263">
        <v>0.3</v>
      </c>
      <c r="G2263">
        <v>5.0999999999999996</v>
      </c>
      <c r="H2263">
        <v>-2.8</v>
      </c>
      <c r="I2263">
        <v>68.3</v>
      </c>
      <c r="J2263">
        <v>44.4</v>
      </c>
      <c r="K2263">
        <v>0.6</v>
      </c>
      <c r="L2263">
        <v>2.1</v>
      </c>
      <c r="M2263">
        <v>0</v>
      </c>
      <c r="N2263">
        <v>0.96000000000000019</v>
      </c>
      <c r="O2263">
        <v>-0.3</v>
      </c>
      <c r="P2263">
        <v>-0.2</v>
      </c>
      <c r="Q2263">
        <v>6.6</v>
      </c>
      <c r="R2263">
        <v>-4.9000000000000004</v>
      </c>
      <c r="S2263">
        <v>0.1</v>
      </c>
      <c r="T2263">
        <v>0.5</v>
      </c>
      <c r="U2263" t="s">
        <v>27</v>
      </c>
      <c r="V2263" t="s">
        <v>27</v>
      </c>
      <c r="W2263">
        <v>0.39100000000000001</v>
      </c>
      <c r="X2263">
        <v>0.49</v>
      </c>
      <c r="Y2263" t="s">
        <v>27</v>
      </c>
      <c r="Z2263" t="s">
        <v>27</v>
      </c>
      <c r="AA2263" t="s">
        <v>27</v>
      </c>
      <c r="AB2263" t="s">
        <v>27</v>
      </c>
      <c r="AC2263" t="s">
        <v>27</v>
      </c>
      <c r="AD2263" t="s">
        <v>27</v>
      </c>
      <c r="AE2263" t="s">
        <v>27</v>
      </c>
      <c r="AF2263" t="s">
        <v>27</v>
      </c>
      <c r="AG2263">
        <v>15.29</v>
      </c>
    </row>
    <row r="2264" spans="1:33" x14ac:dyDescent="0.25">
      <c r="A2264" t="s">
        <v>57</v>
      </c>
      <c r="B2264" s="3">
        <v>45725</v>
      </c>
      <c r="C2264">
        <v>2025068</v>
      </c>
      <c r="D2264">
        <v>8.98</v>
      </c>
      <c r="E2264" t="s">
        <v>27</v>
      </c>
      <c r="F2264">
        <v>1.3</v>
      </c>
      <c r="G2264">
        <v>6.4</v>
      </c>
      <c r="H2264">
        <v>-3.5</v>
      </c>
      <c r="I2264">
        <v>62.9</v>
      </c>
      <c r="J2264">
        <v>39.5</v>
      </c>
      <c r="K2264">
        <v>1.6</v>
      </c>
      <c r="L2264">
        <v>3.8</v>
      </c>
      <c r="M2264">
        <v>0</v>
      </c>
      <c r="N2264">
        <v>0.95700000000000007</v>
      </c>
      <c r="O2264">
        <v>-0.3</v>
      </c>
      <c r="P2264">
        <v>0.7</v>
      </c>
      <c r="Q2264">
        <v>9.6999999999999993</v>
      </c>
      <c r="R2264">
        <v>-4.5999999999999996</v>
      </c>
      <c r="S2264">
        <v>0.1</v>
      </c>
      <c r="T2264">
        <v>0.5</v>
      </c>
      <c r="U2264" t="s">
        <v>27</v>
      </c>
      <c r="V2264" t="s">
        <v>27</v>
      </c>
      <c r="W2264">
        <v>0.379</v>
      </c>
      <c r="X2264">
        <v>0.57999999999999996</v>
      </c>
      <c r="Y2264" t="s">
        <v>27</v>
      </c>
      <c r="Z2264" t="s">
        <v>27</v>
      </c>
      <c r="AA2264" t="s">
        <v>27</v>
      </c>
      <c r="AB2264" t="s">
        <v>27</v>
      </c>
      <c r="AC2264" t="s">
        <v>27</v>
      </c>
      <c r="AD2264" t="s">
        <v>27</v>
      </c>
      <c r="AE2264" t="s">
        <v>27</v>
      </c>
      <c r="AF2264" t="s">
        <v>27</v>
      </c>
      <c r="AG2264">
        <v>15.55</v>
      </c>
    </row>
    <row r="2265" spans="1:33" x14ac:dyDescent="0.25">
      <c r="A2265" t="s">
        <v>57</v>
      </c>
      <c r="B2265" s="3">
        <v>45726</v>
      </c>
      <c r="C2265">
        <v>2025069</v>
      </c>
      <c r="D2265">
        <v>9.43</v>
      </c>
      <c r="E2265" t="s">
        <v>27</v>
      </c>
      <c r="F2265">
        <v>-3.8</v>
      </c>
      <c r="G2265">
        <v>1.4</v>
      </c>
      <c r="H2265">
        <v>-7.3</v>
      </c>
      <c r="I2265">
        <v>69.400000000000006</v>
      </c>
      <c r="J2265">
        <v>38</v>
      </c>
      <c r="K2265">
        <v>1.1000000000000001</v>
      </c>
      <c r="L2265">
        <v>2.8</v>
      </c>
      <c r="M2265">
        <v>6.2</v>
      </c>
      <c r="N2265">
        <v>0.98200000000000021</v>
      </c>
      <c r="O2265">
        <v>-0.3</v>
      </c>
      <c r="P2265">
        <v>-3.8</v>
      </c>
      <c r="Q2265">
        <v>6.5</v>
      </c>
      <c r="R2265">
        <v>-9.1999999999999993</v>
      </c>
      <c r="S2265">
        <v>0</v>
      </c>
      <c r="T2265">
        <v>0.5</v>
      </c>
      <c r="U2265" t="s">
        <v>27</v>
      </c>
      <c r="V2265" t="s">
        <v>27</v>
      </c>
      <c r="W2265">
        <v>0.25700000000000001</v>
      </c>
      <c r="X2265">
        <v>0.41899999999999998</v>
      </c>
      <c r="Y2265" t="s">
        <v>27</v>
      </c>
      <c r="Z2265" t="s">
        <v>27</v>
      </c>
      <c r="AA2265" t="s">
        <v>27</v>
      </c>
      <c r="AB2265" t="s">
        <v>27</v>
      </c>
      <c r="AC2265" t="s">
        <v>27</v>
      </c>
      <c r="AD2265" t="s">
        <v>27</v>
      </c>
      <c r="AE2265" t="s">
        <v>27</v>
      </c>
      <c r="AF2265" t="s">
        <v>27</v>
      </c>
      <c r="AG2265">
        <v>15.8</v>
      </c>
    </row>
    <row r="2266" spans="1:33" x14ac:dyDescent="0.25">
      <c r="A2266" t="s">
        <v>57</v>
      </c>
      <c r="B2266" s="3">
        <v>45727</v>
      </c>
      <c r="C2266">
        <v>2025070</v>
      </c>
      <c r="D2266">
        <v>3.13</v>
      </c>
      <c r="E2266" t="s">
        <v>27</v>
      </c>
      <c r="F2266">
        <v>-5.3</v>
      </c>
      <c r="G2266">
        <v>-1.1000000000000001</v>
      </c>
      <c r="H2266">
        <v>-11.4</v>
      </c>
      <c r="I2266">
        <v>85.3</v>
      </c>
      <c r="J2266">
        <v>73.2</v>
      </c>
      <c r="K2266">
        <v>0.3</v>
      </c>
      <c r="L2266">
        <v>1.4</v>
      </c>
      <c r="M2266">
        <v>0</v>
      </c>
      <c r="N2266">
        <v>0.9910000000000001</v>
      </c>
      <c r="O2266">
        <v>-0.3</v>
      </c>
      <c r="P2266">
        <v>-5.6</v>
      </c>
      <c r="Q2266">
        <v>0.6</v>
      </c>
      <c r="R2266">
        <v>-13</v>
      </c>
      <c r="S2266">
        <v>0.1</v>
      </c>
      <c r="T2266">
        <v>0.5</v>
      </c>
      <c r="U2266" t="s">
        <v>27</v>
      </c>
      <c r="V2266" t="s">
        <v>27</v>
      </c>
      <c r="W2266">
        <v>0.41099999999999998</v>
      </c>
      <c r="X2266">
        <v>0.15</v>
      </c>
      <c r="Y2266" t="s">
        <v>27</v>
      </c>
      <c r="Z2266" t="s">
        <v>27</v>
      </c>
      <c r="AA2266" t="s">
        <v>27</v>
      </c>
      <c r="AB2266" t="s">
        <v>27</v>
      </c>
      <c r="AC2266" t="s">
        <v>27</v>
      </c>
      <c r="AD2266" t="s">
        <v>27</v>
      </c>
      <c r="AE2266" t="s">
        <v>27</v>
      </c>
      <c r="AF2266" t="s">
        <v>27</v>
      </c>
      <c r="AG2266">
        <v>16.05</v>
      </c>
    </row>
    <row r="2267" spans="1:33" x14ac:dyDescent="0.25">
      <c r="A2267" t="s">
        <v>57</v>
      </c>
      <c r="B2267" s="3">
        <v>45728</v>
      </c>
      <c r="C2267">
        <v>2025071</v>
      </c>
      <c r="D2267">
        <v>3.97</v>
      </c>
      <c r="E2267" t="s">
        <v>27</v>
      </c>
      <c r="F2267">
        <v>-1.5</v>
      </c>
      <c r="G2267">
        <v>1.3</v>
      </c>
      <c r="H2267">
        <v>-4.5</v>
      </c>
      <c r="I2267">
        <v>90.2</v>
      </c>
      <c r="J2267">
        <v>79.8</v>
      </c>
      <c r="K2267">
        <v>0.6</v>
      </c>
      <c r="L2267">
        <v>2.4</v>
      </c>
      <c r="M2267">
        <v>2.2999999999999998</v>
      </c>
      <c r="N2267">
        <v>1.04</v>
      </c>
      <c r="O2267">
        <v>-0.3</v>
      </c>
      <c r="P2267">
        <v>-1.8</v>
      </c>
      <c r="Q2267">
        <v>3.4</v>
      </c>
      <c r="R2267">
        <v>-5.3</v>
      </c>
      <c r="S2267">
        <v>0.1</v>
      </c>
      <c r="T2267">
        <v>0.6</v>
      </c>
      <c r="U2267" t="s">
        <v>27</v>
      </c>
      <c r="V2267" t="s">
        <v>27</v>
      </c>
      <c r="W2267">
        <v>0.53600000000000003</v>
      </c>
      <c r="X2267">
        <v>0.13600000000000001</v>
      </c>
      <c r="Y2267" t="s">
        <v>27</v>
      </c>
      <c r="Z2267" t="s">
        <v>27</v>
      </c>
      <c r="AA2267" t="s">
        <v>27</v>
      </c>
      <c r="AB2267" t="s">
        <v>27</v>
      </c>
      <c r="AC2267" t="s">
        <v>27</v>
      </c>
      <c r="AD2267" t="s">
        <v>27</v>
      </c>
      <c r="AE2267" t="s">
        <v>27</v>
      </c>
      <c r="AF2267" t="s">
        <v>27</v>
      </c>
      <c r="AG2267">
        <v>16.309999999999999</v>
      </c>
    </row>
    <row r="2268" spans="1:33" x14ac:dyDescent="0.25">
      <c r="A2268" t="s">
        <v>57</v>
      </c>
      <c r="B2268" s="3">
        <v>45729</v>
      </c>
      <c r="C2268">
        <v>2025072</v>
      </c>
      <c r="D2268">
        <v>7.83</v>
      </c>
      <c r="E2268" t="s">
        <v>27</v>
      </c>
      <c r="F2268">
        <v>-4.0999999999999996</v>
      </c>
      <c r="G2268">
        <v>-0.4</v>
      </c>
      <c r="H2268">
        <v>-12.3</v>
      </c>
      <c r="I2268">
        <v>86.1</v>
      </c>
      <c r="J2268">
        <v>62.6</v>
      </c>
      <c r="K2268">
        <v>0.9</v>
      </c>
      <c r="L2268">
        <v>3.3</v>
      </c>
      <c r="M2268">
        <v>29.6</v>
      </c>
      <c r="N2268">
        <v>1.2000000000000002</v>
      </c>
      <c r="O2268">
        <v>-0.3</v>
      </c>
      <c r="P2268">
        <v>-4.2</v>
      </c>
      <c r="Q2268">
        <v>3.9</v>
      </c>
      <c r="R2268">
        <v>-14.2</v>
      </c>
      <c r="S2268">
        <v>0.1</v>
      </c>
      <c r="T2268">
        <v>0.5</v>
      </c>
      <c r="U2268" t="s">
        <v>27</v>
      </c>
      <c r="V2268" t="s">
        <v>27</v>
      </c>
      <c r="W2268">
        <v>0.372</v>
      </c>
      <c r="X2268">
        <v>0.222</v>
      </c>
      <c r="Y2268" t="s">
        <v>27</v>
      </c>
      <c r="Z2268" t="s">
        <v>27</v>
      </c>
      <c r="AA2268" t="s">
        <v>27</v>
      </c>
      <c r="AB2268" t="s">
        <v>27</v>
      </c>
      <c r="AC2268" t="s">
        <v>27</v>
      </c>
      <c r="AD2268" t="s">
        <v>27</v>
      </c>
      <c r="AE2268" t="s">
        <v>27</v>
      </c>
      <c r="AF2268" t="s">
        <v>27</v>
      </c>
      <c r="AG2268">
        <v>16.559999999999999</v>
      </c>
    </row>
    <row r="2269" spans="1:33" x14ac:dyDescent="0.25">
      <c r="A2269" t="s">
        <v>57</v>
      </c>
      <c r="B2269" s="3">
        <v>45730</v>
      </c>
      <c r="C2269">
        <v>2025073</v>
      </c>
      <c r="D2269">
        <v>7.77</v>
      </c>
      <c r="E2269" t="s">
        <v>27</v>
      </c>
      <c r="F2269">
        <v>-8</v>
      </c>
      <c r="G2269">
        <v>-0.7</v>
      </c>
      <c r="H2269">
        <v>-16.7</v>
      </c>
      <c r="I2269">
        <v>78.7</v>
      </c>
      <c r="J2269">
        <v>52.5</v>
      </c>
      <c r="K2269">
        <v>0.4</v>
      </c>
      <c r="L2269">
        <v>1.9</v>
      </c>
      <c r="M2269">
        <v>0</v>
      </c>
      <c r="N2269">
        <v>1.1890000000000001</v>
      </c>
      <c r="O2269">
        <v>-0.3</v>
      </c>
      <c r="P2269">
        <v>-8.3000000000000007</v>
      </c>
      <c r="Q2269">
        <v>3.6</v>
      </c>
      <c r="R2269">
        <v>-18.600000000000001</v>
      </c>
      <c r="S2269">
        <v>0</v>
      </c>
      <c r="T2269">
        <v>0.5</v>
      </c>
      <c r="U2269" t="s">
        <v>27</v>
      </c>
      <c r="V2269" t="s">
        <v>27</v>
      </c>
      <c r="W2269">
        <v>0.30499999999999999</v>
      </c>
      <c r="X2269">
        <v>0.27600000000000002</v>
      </c>
      <c r="Y2269" t="s">
        <v>27</v>
      </c>
      <c r="Z2269" t="s">
        <v>27</v>
      </c>
      <c r="AA2269" t="s">
        <v>27</v>
      </c>
      <c r="AB2269" t="s">
        <v>27</v>
      </c>
      <c r="AC2269" t="s">
        <v>27</v>
      </c>
      <c r="AD2269" t="s">
        <v>27</v>
      </c>
      <c r="AE2269" t="s">
        <v>27</v>
      </c>
      <c r="AF2269" t="s">
        <v>27</v>
      </c>
      <c r="AG2269">
        <v>16.82</v>
      </c>
    </row>
    <row r="2270" spans="1:33" x14ac:dyDescent="0.25">
      <c r="A2270" t="s">
        <v>57</v>
      </c>
      <c r="B2270" s="3">
        <v>45731</v>
      </c>
      <c r="C2270">
        <v>2025074</v>
      </c>
      <c r="D2270">
        <v>1.5</v>
      </c>
      <c r="E2270" t="s">
        <v>27</v>
      </c>
      <c r="F2270">
        <v>-4.5</v>
      </c>
      <c r="G2270">
        <v>-0.6</v>
      </c>
      <c r="H2270">
        <v>-8.3000000000000007</v>
      </c>
      <c r="I2270">
        <v>88.6</v>
      </c>
      <c r="J2270">
        <v>78</v>
      </c>
      <c r="K2270">
        <v>0.5</v>
      </c>
      <c r="L2270">
        <v>2.5</v>
      </c>
      <c r="M2270">
        <v>0</v>
      </c>
      <c r="N2270">
        <v>1.2430000000000001</v>
      </c>
      <c r="O2270">
        <v>-0.2</v>
      </c>
      <c r="P2270">
        <v>-4.8</v>
      </c>
      <c r="Q2270">
        <v>2.2000000000000002</v>
      </c>
      <c r="R2270">
        <v>-9.6999999999999993</v>
      </c>
      <c r="S2270">
        <v>0.1</v>
      </c>
      <c r="T2270">
        <v>0.5</v>
      </c>
      <c r="U2270" t="s">
        <v>27</v>
      </c>
      <c r="V2270" t="s">
        <v>27</v>
      </c>
      <c r="W2270">
        <v>0.45500000000000002</v>
      </c>
      <c r="X2270">
        <v>0.128</v>
      </c>
      <c r="Y2270" t="s">
        <v>27</v>
      </c>
      <c r="Z2270" t="s">
        <v>27</v>
      </c>
      <c r="AA2270" t="s">
        <v>27</v>
      </c>
      <c r="AB2270" t="s">
        <v>27</v>
      </c>
      <c r="AC2270" t="s">
        <v>27</v>
      </c>
      <c r="AD2270" t="s">
        <v>27</v>
      </c>
      <c r="AE2270" t="s">
        <v>27</v>
      </c>
      <c r="AF2270" t="s">
        <v>27</v>
      </c>
      <c r="AG2270">
        <v>17.079999999999998</v>
      </c>
    </row>
    <row r="2271" spans="1:33" x14ac:dyDescent="0.25">
      <c r="A2271" t="s">
        <v>57</v>
      </c>
      <c r="B2271" s="3">
        <v>45732</v>
      </c>
      <c r="C2271">
        <v>2025075</v>
      </c>
      <c r="D2271">
        <v>5.73</v>
      </c>
      <c r="E2271" t="s">
        <v>27</v>
      </c>
      <c r="F2271">
        <v>-5.2</v>
      </c>
      <c r="G2271">
        <v>-0.1</v>
      </c>
      <c r="H2271">
        <v>-8.6</v>
      </c>
      <c r="I2271">
        <v>83.5</v>
      </c>
      <c r="J2271">
        <v>60.3</v>
      </c>
      <c r="K2271">
        <v>0.6</v>
      </c>
      <c r="L2271">
        <v>3.1</v>
      </c>
      <c r="M2271">
        <v>0</v>
      </c>
      <c r="N2271">
        <v>1.2300000000000002</v>
      </c>
      <c r="O2271">
        <v>-0.2</v>
      </c>
      <c r="P2271">
        <v>-5.3</v>
      </c>
      <c r="Q2271">
        <v>5.4</v>
      </c>
      <c r="R2271">
        <v>-10.199999999999999</v>
      </c>
      <c r="S2271">
        <v>0.1</v>
      </c>
      <c r="T2271">
        <v>0.5</v>
      </c>
      <c r="U2271" t="s">
        <v>27</v>
      </c>
      <c r="V2271" t="s">
        <v>27</v>
      </c>
      <c r="W2271">
        <v>0.36599999999999999</v>
      </c>
      <c r="X2271">
        <v>0.24099999999999999</v>
      </c>
      <c r="Y2271" t="s">
        <v>27</v>
      </c>
      <c r="Z2271" t="s">
        <v>27</v>
      </c>
      <c r="AA2271" t="s">
        <v>27</v>
      </c>
      <c r="AB2271" t="s">
        <v>27</v>
      </c>
      <c r="AC2271" t="s">
        <v>27</v>
      </c>
      <c r="AD2271" t="s">
        <v>27</v>
      </c>
      <c r="AE2271" t="s">
        <v>27</v>
      </c>
      <c r="AF2271" t="s">
        <v>27</v>
      </c>
      <c r="AG2271">
        <v>17.34</v>
      </c>
    </row>
    <row r="2272" spans="1:33" x14ac:dyDescent="0.25">
      <c r="A2272" t="s">
        <v>57</v>
      </c>
      <c r="B2272" s="3">
        <v>45733</v>
      </c>
      <c r="C2272">
        <v>2025076</v>
      </c>
      <c r="D2272">
        <v>9.43</v>
      </c>
      <c r="E2272" t="s">
        <v>27</v>
      </c>
      <c r="F2272">
        <v>-6.6</v>
      </c>
      <c r="G2272">
        <v>1</v>
      </c>
      <c r="H2272">
        <v>-13.6</v>
      </c>
      <c r="I2272">
        <v>74.7</v>
      </c>
      <c r="J2272">
        <v>43.4</v>
      </c>
      <c r="K2272">
        <v>0.8</v>
      </c>
      <c r="L2272">
        <v>3.3</v>
      </c>
      <c r="M2272">
        <v>2</v>
      </c>
      <c r="N2272">
        <v>1.1940000000000002</v>
      </c>
      <c r="O2272">
        <v>-0.3</v>
      </c>
      <c r="P2272">
        <v>-6.9</v>
      </c>
      <c r="Q2272">
        <v>6</v>
      </c>
      <c r="R2272">
        <v>-15.5</v>
      </c>
      <c r="S2272">
        <v>0.1</v>
      </c>
      <c r="T2272">
        <v>0.5</v>
      </c>
      <c r="U2272" t="s">
        <v>27</v>
      </c>
      <c r="V2272" t="s">
        <v>27</v>
      </c>
      <c r="W2272">
        <v>0.28499999999999998</v>
      </c>
      <c r="X2272">
        <v>0.372</v>
      </c>
      <c r="Y2272" t="s">
        <v>27</v>
      </c>
      <c r="Z2272" t="s">
        <v>27</v>
      </c>
      <c r="AA2272" t="s">
        <v>27</v>
      </c>
      <c r="AB2272" t="s">
        <v>27</v>
      </c>
      <c r="AC2272" t="s">
        <v>27</v>
      </c>
      <c r="AD2272" t="s">
        <v>27</v>
      </c>
      <c r="AE2272" t="s">
        <v>27</v>
      </c>
      <c r="AF2272" t="s">
        <v>27</v>
      </c>
      <c r="AG2272">
        <v>17.600000000000001</v>
      </c>
    </row>
    <row r="2273" spans="1:33" x14ac:dyDescent="0.25">
      <c r="A2273" t="s">
        <v>57</v>
      </c>
      <c r="B2273" s="3">
        <v>45734</v>
      </c>
      <c r="C2273">
        <v>2025077</v>
      </c>
      <c r="D2273">
        <v>13.42</v>
      </c>
      <c r="E2273" t="s">
        <v>27</v>
      </c>
      <c r="F2273">
        <v>-6</v>
      </c>
      <c r="G2273">
        <v>0.6</v>
      </c>
      <c r="H2273">
        <v>-13.8</v>
      </c>
      <c r="I2273">
        <v>70.5</v>
      </c>
      <c r="J2273">
        <v>37.299999999999997</v>
      </c>
      <c r="K2273">
        <v>0</v>
      </c>
      <c r="L2273">
        <v>1.7</v>
      </c>
      <c r="M2273">
        <v>10.3</v>
      </c>
      <c r="N2273">
        <v>1.2020000000000002</v>
      </c>
      <c r="O2273">
        <v>-0.3</v>
      </c>
      <c r="P2273">
        <v>-5.7</v>
      </c>
      <c r="Q2273">
        <v>7.3</v>
      </c>
      <c r="R2273">
        <v>-15.4</v>
      </c>
      <c r="S2273">
        <v>0.1</v>
      </c>
      <c r="T2273">
        <v>0.5</v>
      </c>
      <c r="U2273" t="s">
        <v>27</v>
      </c>
      <c r="V2273" t="s">
        <v>27</v>
      </c>
      <c r="W2273">
        <v>0.23799999999999999</v>
      </c>
      <c r="X2273">
        <v>0.4</v>
      </c>
      <c r="Y2273" t="s">
        <v>27</v>
      </c>
      <c r="Z2273" t="s">
        <v>27</v>
      </c>
      <c r="AA2273" t="s">
        <v>27</v>
      </c>
      <c r="AB2273" t="s">
        <v>27</v>
      </c>
      <c r="AC2273" t="s">
        <v>27</v>
      </c>
      <c r="AD2273" t="s">
        <v>27</v>
      </c>
      <c r="AE2273" t="s">
        <v>27</v>
      </c>
      <c r="AF2273" t="s">
        <v>27</v>
      </c>
      <c r="AG2273">
        <v>17.850000000000001</v>
      </c>
    </row>
    <row r="2274" spans="1:33" x14ac:dyDescent="0.25">
      <c r="A2274" t="s">
        <v>57</v>
      </c>
      <c r="B2274" s="3">
        <v>45735</v>
      </c>
      <c r="C2274">
        <v>2025078</v>
      </c>
      <c r="D2274">
        <v>6.03</v>
      </c>
      <c r="E2274" t="s">
        <v>27</v>
      </c>
      <c r="F2274">
        <v>-5.7</v>
      </c>
      <c r="G2274">
        <v>0.3</v>
      </c>
      <c r="H2274">
        <v>-14.6</v>
      </c>
      <c r="I2274">
        <v>80.5</v>
      </c>
      <c r="J2274">
        <v>59</v>
      </c>
      <c r="K2274">
        <v>0.7</v>
      </c>
      <c r="L2274">
        <v>2.9</v>
      </c>
      <c r="M2274">
        <v>0</v>
      </c>
      <c r="N2274">
        <v>1.2000000000000002</v>
      </c>
      <c r="O2274">
        <v>-0.2</v>
      </c>
      <c r="P2274">
        <v>-6.2</v>
      </c>
      <c r="Q2274">
        <v>3.1</v>
      </c>
      <c r="R2274">
        <v>-16.3</v>
      </c>
      <c r="S2274">
        <v>0.1</v>
      </c>
      <c r="T2274">
        <v>0.5</v>
      </c>
      <c r="U2274" t="s">
        <v>27</v>
      </c>
      <c r="V2274" t="s">
        <v>27</v>
      </c>
      <c r="W2274">
        <v>0.36699999999999999</v>
      </c>
      <c r="X2274">
        <v>0.255</v>
      </c>
      <c r="Y2274" t="s">
        <v>27</v>
      </c>
      <c r="Z2274" t="s">
        <v>27</v>
      </c>
      <c r="AA2274" t="s">
        <v>27</v>
      </c>
      <c r="AB2274" t="s">
        <v>27</v>
      </c>
      <c r="AC2274" t="s">
        <v>27</v>
      </c>
      <c r="AD2274" t="s">
        <v>27</v>
      </c>
      <c r="AE2274" t="s">
        <v>27</v>
      </c>
      <c r="AF2274" t="s">
        <v>27</v>
      </c>
      <c r="AG2274">
        <v>18.12</v>
      </c>
    </row>
    <row r="2275" spans="1:33" x14ac:dyDescent="0.25">
      <c r="A2275" t="s">
        <v>57</v>
      </c>
      <c r="B2275" s="3">
        <v>45736</v>
      </c>
      <c r="C2275">
        <v>2025079</v>
      </c>
      <c r="D2275">
        <v>12.41</v>
      </c>
      <c r="E2275" t="s">
        <v>27</v>
      </c>
      <c r="F2275">
        <v>-1.2</v>
      </c>
      <c r="G2275">
        <v>4.2</v>
      </c>
      <c r="H2275">
        <v>-3.4</v>
      </c>
      <c r="I2275">
        <v>72.7</v>
      </c>
      <c r="J2275">
        <v>44.6</v>
      </c>
      <c r="K2275">
        <v>1.2</v>
      </c>
      <c r="L2275">
        <v>2.9</v>
      </c>
      <c r="M2275">
        <v>0</v>
      </c>
      <c r="N2275">
        <v>1.1600000000000001</v>
      </c>
      <c r="O2275">
        <v>-0.2</v>
      </c>
      <c r="P2275">
        <v>-0.8</v>
      </c>
      <c r="Q2275">
        <v>8.8000000000000007</v>
      </c>
      <c r="R2275">
        <v>-4</v>
      </c>
      <c r="S2275">
        <v>0.1</v>
      </c>
      <c r="T2275">
        <v>0.6</v>
      </c>
      <c r="U2275" t="s">
        <v>27</v>
      </c>
      <c r="V2275" t="s">
        <v>27</v>
      </c>
      <c r="W2275">
        <v>0.36699999999999999</v>
      </c>
      <c r="X2275">
        <v>0.45600000000000002</v>
      </c>
      <c r="Y2275" t="s">
        <v>27</v>
      </c>
      <c r="Z2275" t="s">
        <v>27</v>
      </c>
      <c r="AA2275" t="s">
        <v>27</v>
      </c>
      <c r="AB2275" t="s">
        <v>27</v>
      </c>
      <c r="AC2275" t="s">
        <v>27</v>
      </c>
      <c r="AD2275" t="s">
        <v>27</v>
      </c>
      <c r="AE2275" t="s">
        <v>27</v>
      </c>
      <c r="AF2275" t="s">
        <v>27</v>
      </c>
      <c r="AG2275">
        <v>18.38</v>
      </c>
    </row>
    <row r="2276" spans="1:33" x14ac:dyDescent="0.25">
      <c r="A2276" t="s">
        <v>57</v>
      </c>
      <c r="B2276" s="3">
        <v>45737</v>
      </c>
      <c r="C2276">
        <v>2025080</v>
      </c>
      <c r="D2276">
        <v>13.24</v>
      </c>
      <c r="E2276" t="s">
        <v>27</v>
      </c>
      <c r="F2276">
        <v>-1.6</v>
      </c>
      <c r="G2276">
        <v>4.2</v>
      </c>
      <c r="H2276">
        <v>-6.7</v>
      </c>
      <c r="I2276">
        <v>73.900000000000006</v>
      </c>
      <c r="J2276">
        <v>41.3</v>
      </c>
      <c r="K2276">
        <v>1.1000000000000001</v>
      </c>
      <c r="L2276">
        <v>3.2</v>
      </c>
      <c r="M2276">
        <v>8.8000000000000007</v>
      </c>
      <c r="N2276">
        <v>1.157</v>
      </c>
      <c r="O2276">
        <v>-0.3</v>
      </c>
      <c r="P2276">
        <v>-1.5</v>
      </c>
      <c r="Q2276">
        <v>8.1999999999999993</v>
      </c>
      <c r="R2276">
        <v>-8.5</v>
      </c>
      <c r="S2276">
        <v>0.1</v>
      </c>
      <c r="T2276">
        <v>0.5</v>
      </c>
      <c r="U2276" t="s">
        <v>27</v>
      </c>
      <c r="V2276" t="s">
        <v>27</v>
      </c>
      <c r="W2276">
        <v>0.33900000000000002</v>
      </c>
      <c r="X2276">
        <v>0.48199999999999998</v>
      </c>
      <c r="Y2276" t="s">
        <v>27</v>
      </c>
      <c r="Z2276" t="s">
        <v>27</v>
      </c>
      <c r="AA2276" t="s">
        <v>27</v>
      </c>
      <c r="AB2276" t="s">
        <v>27</v>
      </c>
      <c r="AC2276" t="s">
        <v>27</v>
      </c>
      <c r="AD2276" t="s">
        <v>27</v>
      </c>
      <c r="AE2276" t="s">
        <v>27</v>
      </c>
      <c r="AF2276" t="s">
        <v>27</v>
      </c>
      <c r="AG2276">
        <v>18.649999999999999</v>
      </c>
    </row>
    <row r="2277" spans="1:33" x14ac:dyDescent="0.25">
      <c r="A2277" t="s">
        <v>57</v>
      </c>
      <c r="B2277" s="3">
        <v>45738</v>
      </c>
      <c r="C2277">
        <v>2025081</v>
      </c>
      <c r="D2277">
        <v>9.9600000000000009</v>
      </c>
      <c r="E2277" t="s">
        <v>27</v>
      </c>
      <c r="F2277">
        <v>-3</v>
      </c>
      <c r="G2277">
        <v>0.7</v>
      </c>
      <c r="H2277">
        <v>-6.7</v>
      </c>
      <c r="I2277">
        <v>77.599999999999994</v>
      </c>
      <c r="J2277">
        <v>54.5</v>
      </c>
      <c r="K2277">
        <v>1</v>
      </c>
      <c r="L2277">
        <v>3</v>
      </c>
      <c r="M2277">
        <v>6.5</v>
      </c>
      <c r="N2277">
        <v>1.2190000000000001</v>
      </c>
      <c r="O2277">
        <v>-0.2</v>
      </c>
      <c r="P2277">
        <v>-2.7</v>
      </c>
      <c r="Q2277">
        <v>4.7</v>
      </c>
      <c r="R2277">
        <v>-8.1</v>
      </c>
      <c r="S2277">
        <v>0.1</v>
      </c>
      <c r="T2277">
        <v>0.5</v>
      </c>
      <c r="U2277" t="s">
        <v>27</v>
      </c>
      <c r="V2277" t="s">
        <v>27</v>
      </c>
      <c r="W2277">
        <v>0.34899999999999998</v>
      </c>
      <c r="X2277">
        <v>0.29099999999999998</v>
      </c>
      <c r="Y2277" t="s">
        <v>27</v>
      </c>
      <c r="Z2277" t="s">
        <v>27</v>
      </c>
      <c r="AA2277" t="s">
        <v>27</v>
      </c>
      <c r="AB2277" t="s">
        <v>27</v>
      </c>
      <c r="AC2277" t="s">
        <v>27</v>
      </c>
      <c r="AD2277" t="s">
        <v>27</v>
      </c>
      <c r="AE2277" t="s">
        <v>27</v>
      </c>
      <c r="AF2277" t="s">
        <v>27</v>
      </c>
      <c r="AG2277">
        <v>18.91</v>
      </c>
    </row>
    <row r="2278" spans="1:33" x14ac:dyDescent="0.25">
      <c r="A2278" t="s">
        <v>57</v>
      </c>
      <c r="B2278" s="3">
        <v>45739</v>
      </c>
      <c r="C2278">
        <v>2025082</v>
      </c>
      <c r="D2278">
        <v>0.6</v>
      </c>
      <c r="E2278" t="s">
        <v>27</v>
      </c>
      <c r="F2278">
        <v>-1.6</v>
      </c>
      <c r="G2278">
        <v>2.2999999999999998</v>
      </c>
      <c r="H2278">
        <v>-6.1</v>
      </c>
      <c r="I2278">
        <v>90.7</v>
      </c>
      <c r="J2278">
        <v>83.4</v>
      </c>
      <c r="K2278">
        <v>0.6</v>
      </c>
      <c r="L2278">
        <v>2.9</v>
      </c>
      <c r="M2278">
        <v>14.1</v>
      </c>
      <c r="N2278">
        <v>1.365</v>
      </c>
      <c r="O2278">
        <v>-0.2</v>
      </c>
      <c r="P2278">
        <v>-2</v>
      </c>
      <c r="Q2278">
        <v>1.9</v>
      </c>
      <c r="R2278">
        <v>-7.4</v>
      </c>
      <c r="S2278">
        <v>0.1</v>
      </c>
      <c r="T2278">
        <v>0.6</v>
      </c>
      <c r="U2278" t="s">
        <v>27</v>
      </c>
      <c r="V2278" t="s">
        <v>27</v>
      </c>
      <c r="W2278">
        <v>0.6</v>
      </c>
      <c r="X2278">
        <v>0.11899999999999999</v>
      </c>
      <c r="Y2278" t="s">
        <v>27</v>
      </c>
      <c r="Z2278" t="s">
        <v>27</v>
      </c>
      <c r="AA2278" t="s">
        <v>27</v>
      </c>
      <c r="AB2278" t="s">
        <v>27</v>
      </c>
      <c r="AC2278" t="s">
        <v>27</v>
      </c>
      <c r="AD2278" t="s">
        <v>27</v>
      </c>
      <c r="AE2278" t="s">
        <v>27</v>
      </c>
      <c r="AF2278" t="s">
        <v>27</v>
      </c>
      <c r="AG2278">
        <v>19.170000000000002</v>
      </c>
    </row>
    <row r="2279" spans="1:33" x14ac:dyDescent="0.25">
      <c r="A2279" t="s">
        <v>57</v>
      </c>
      <c r="B2279" s="3">
        <v>45740</v>
      </c>
      <c r="C2279">
        <v>2025083</v>
      </c>
      <c r="D2279">
        <v>6.18</v>
      </c>
      <c r="E2279" t="s">
        <v>27</v>
      </c>
      <c r="F2279">
        <v>2.4</v>
      </c>
      <c r="G2279">
        <v>4.9000000000000004</v>
      </c>
      <c r="H2279">
        <v>0.9</v>
      </c>
      <c r="I2279">
        <v>90.3</v>
      </c>
      <c r="J2279">
        <v>75.900000000000006</v>
      </c>
      <c r="K2279">
        <v>0.6</v>
      </c>
      <c r="L2279">
        <v>3</v>
      </c>
      <c r="M2279">
        <v>6.8</v>
      </c>
      <c r="N2279">
        <v>1.284</v>
      </c>
      <c r="O2279">
        <v>-0.2</v>
      </c>
      <c r="P2279">
        <v>1.9</v>
      </c>
      <c r="Q2279">
        <v>5.8</v>
      </c>
      <c r="R2279">
        <v>0.1</v>
      </c>
      <c r="S2279">
        <v>0.2</v>
      </c>
      <c r="T2279">
        <v>0.6</v>
      </c>
      <c r="U2279" t="s">
        <v>27</v>
      </c>
      <c r="V2279" t="s">
        <v>27</v>
      </c>
      <c r="W2279">
        <v>0.65700000000000003</v>
      </c>
      <c r="X2279">
        <v>0.20899999999999999</v>
      </c>
      <c r="Y2279" t="s">
        <v>27</v>
      </c>
      <c r="Z2279" t="s">
        <v>27</v>
      </c>
      <c r="AA2279" t="s">
        <v>27</v>
      </c>
      <c r="AB2279" t="s">
        <v>27</v>
      </c>
      <c r="AC2279" t="s">
        <v>27</v>
      </c>
      <c r="AD2279" t="s">
        <v>27</v>
      </c>
      <c r="AE2279" t="s">
        <v>27</v>
      </c>
      <c r="AF2279" t="s">
        <v>27</v>
      </c>
      <c r="AG2279">
        <v>19.43</v>
      </c>
    </row>
    <row r="2280" spans="1:33" x14ac:dyDescent="0.25">
      <c r="A2280" t="s">
        <v>57</v>
      </c>
      <c r="B2280" s="3">
        <v>45741</v>
      </c>
      <c r="C2280">
        <v>2025084</v>
      </c>
      <c r="D2280">
        <v>16.690000000000001</v>
      </c>
      <c r="E2280" t="s">
        <v>27</v>
      </c>
      <c r="F2280">
        <v>4.7</v>
      </c>
      <c r="G2280">
        <v>13.6</v>
      </c>
      <c r="H2280">
        <v>-0.6</v>
      </c>
      <c r="I2280">
        <v>86.4</v>
      </c>
      <c r="J2280">
        <v>53.8</v>
      </c>
      <c r="K2280">
        <v>0.3</v>
      </c>
      <c r="L2280">
        <v>2.5</v>
      </c>
      <c r="M2280">
        <v>0.9</v>
      </c>
      <c r="N2280">
        <v>1.1600000000000001</v>
      </c>
      <c r="O2280">
        <v>-0.2</v>
      </c>
      <c r="P2280">
        <v>5</v>
      </c>
      <c r="Q2280">
        <v>16.8</v>
      </c>
      <c r="R2280">
        <v>-1.6</v>
      </c>
      <c r="S2280">
        <v>0.1</v>
      </c>
      <c r="T2280">
        <v>0.6</v>
      </c>
      <c r="U2280" t="s">
        <v>27</v>
      </c>
      <c r="V2280" t="s">
        <v>27</v>
      </c>
      <c r="W2280">
        <v>0.83599999999999997</v>
      </c>
      <c r="X2280">
        <v>0.71799999999999997</v>
      </c>
      <c r="Y2280" t="s">
        <v>27</v>
      </c>
      <c r="Z2280" t="s">
        <v>27</v>
      </c>
      <c r="AA2280" t="s">
        <v>27</v>
      </c>
      <c r="AB2280" t="s">
        <v>27</v>
      </c>
      <c r="AC2280" t="s">
        <v>27</v>
      </c>
      <c r="AD2280" t="s">
        <v>27</v>
      </c>
      <c r="AE2280" t="s">
        <v>27</v>
      </c>
      <c r="AF2280" t="s">
        <v>27</v>
      </c>
      <c r="AG2280">
        <v>19.7</v>
      </c>
    </row>
    <row r="2281" spans="1:33" x14ac:dyDescent="0.25">
      <c r="A2281" t="s">
        <v>57</v>
      </c>
      <c r="B2281" s="3">
        <v>45742</v>
      </c>
      <c r="C2281">
        <v>2025085</v>
      </c>
      <c r="D2281">
        <v>17.12</v>
      </c>
      <c r="E2281" t="s">
        <v>27</v>
      </c>
      <c r="F2281">
        <v>5.8</v>
      </c>
      <c r="G2281">
        <v>15.9</v>
      </c>
      <c r="H2281">
        <v>-0.8</v>
      </c>
      <c r="I2281">
        <v>78.599999999999994</v>
      </c>
      <c r="J2281">
        <v>37.799999999999997</v>
      </c>
      <c r="K2281">
        <v>0.5</v>
      </c>
      <c r="L2281">
        <v>2.1</v>
      </c>
      <c r="M2281">
        <v>0</v>
      </c>
      <c r="N2281">
        <v>1.0980000000000001</v>
      </c>
      <c r="O2281">
        <v>-0.1</v>
      </c>
      <c r="P2281">
        <v>5.9</v>
      </c>
      <c r="Q2281">
        <v>20.6</v>
      </c>
      <c r="R2281">
        <v>-1.9</v>
      </c>
      <c r="S2281">
        <v>0.1</v>
      </c>
      <c r="T2281">
        <v>0.6</v>
      </c>
      <c r="U2281" t="s">
        <v>27</v>
      </c>
      <c r="V2281" t="s">
        <v>27</v>
      </c>
      <c r="W2281">
        <v>0.68100000000000005</v>
      </c>
      <c r="X2281">
        <v>1.121</v>
      </c>
      <c r="Y2281" t="s">
        <v>27</v>
      </c>
      <c r="Z2281" t="s">
        <v>27</v>
      </c>
      <c r="AA2281" t="s">
        <v>27</v>
      </c>
      <c r="AB2281" t="s">
        <v>27</v>
      </c>
      <c r="AC2281" t="s">
        <v>27</v>
      </c>
      <c r="AD2281" t="s">
        <v>27</v>
      </c>
      <c r="AE2281" t="s">
        <v>27</v>
      </c>
      <c r="AF2281" t="s">
        <v>27</v>
      </c>
      <c r="AG2281">
        <v>19.96</v>
      </c>
    </row>
    <row r="2282" spans="1:33" x14ac:dyDescent="0.25">
      <c r="A2282" t="s">
        <v>57</v>
      </c>
      <c r="B2282" s="3">
        <v>45743</v>
      </c>
      <c r="C2282">
        <v>2025086</v>
      </c>
      <c r="D2282">
        <v>10.220000000000001</v>
      </c>
      <c r="E2282" t="s">
        <v>27</v>
      </c>
      <c r="F2282">
        <v>3.4</v>
      </c>
      <c r="G2282">
        <v>7.7</v>
      </c>
      <c r="H2282">
        <v>-1.2</v>
      </c>
      <c r="I2282">
        <v>80.599999999999994</v>
      </c>
      <c r="J2282">
        <v>49</v>
      </c>
      <c r="K2282">
        <v>0.9</v>
      </c>
      <c r="L2282">
        <v>3.1</v>
      </c>
      <c r="M2282">
        <v>3.2</v>
      </c>
      <c r="N2282">
        <v>1.0670000000000002</v>
      </c>
      <c r="O2282">
        <v>-0.1</v>
      </c>
      <c r="P2282">
        <v>2.7</v>
      </c>
      <c r="Q2282">
        <v>9.1999999999999993</v>
      </c>
      <c r="R2282">
        <v>-2.2999999999999998</v>
      </c>
      <c r="S2282">
        <v>0.1</v>
      </c>
      <c r="T2282">
        <v>0.6</v>
      </c>
      <c r="U2282" t="s">
        <v>27</v>
      </c>
      <c r="V2282" t="s">
        <v>27</v>
      </c>
      <c r="W2282">
        <v>0.51400000000000001</v>
      </c>
      <c r="X2282">
        <v>0.53500000000000003</v>
      </c>
      <c r="Y2282" t="s">
        <v>27</v>
      </c>
      <c r="Z2282" t="s">
        <v>27</v>
      </c>
      <c r="AA2282" t="s">
        <v>27</v>
      </c>
      <c r="AB2282" t="s">
        <v>27</v>
      </c>
      <c r="AC2282" t="s">
        <v>27</v>
      </c>
      <c r="AD2282" t="s">
        <v>27</v>
      </c>
      <c r="AE2282" t="s">
        <v>27</v>
      </c>
      <c r="AF2282" t="s">
        <v>27</v>
      </c>
      <c r="AG2282">
        <v>20.22</v>
      </c>
    </row>
    <row r="2283" spans="1:33" x14ac:dyDescent="0.25">
      <c r="A2283" t="s">
        <v>57</v>
      </c>
      <c r="B2283" s="3">
        <v>45744</v>
      </c>
      <c r="C2283">
        <v>2025087</v>
      </c>
      <c r="D2283">
        <v>9.0299999999999994</v>
      </c>
      <c r="E2283" t="s">
        <v>27</v>
      </c>
      <c r="F2283">
        <v>1.5</v>
      </c>
      <c r="G2283">
        <v>7.7</v>
      </c>
      <c r="H2283">
        <v>-0.3</v>
      </c>
      <c r="I2283">
        <v>89</v>
      </c>
      <c r="J2283">
        <v>55.5</v>
      </c>
      <c r="K2283">
        <v>0.6</v>
      </c>
      <c r="L2283">
        <v>2.2999999999999998</v>
      </c>
      <c r="M2283">
        <v>7.1</v>
      </c>
      <c r="N2283">
        <v>1.0850000000000002</v>
      </c>
      <c r="O2283">
        <v>0</v>
      </c>
      <c r="P2283">
        <v>1.5</v>
      </c>
      <c r="Q2283">
        <v>12.7</v>
      </c>
      <c r="R2283">
        <v>-1.1000000000000001</v>
      </c>
      <c r="S2283">
        <v>0.1</v>
      </c>
      <c r="T2283">
        <v>0.6</v>
      </c>
      <c r="U2283" t="s">
        <v>27</v>
      </c>
      <c r="V2283" t="s">
        <v>27</v>
      </c>
      <c r="W2283">
        <v>0.58099999999999996</v>
      </c>
      <c r="X2283">
        <v>0.46600000000000003</v>
      </c>
      <c r="Y2283" t="s">
        <v>27</v>
      </c>
      <c r="Z2283" t="s">
        <v>27</v>
      </c>
      <c r="AA2283" t="s">
        <v>27</v>
      </c>
      <c r="AB2283" t="s">
        <v>27</v>
      </c>
      <c r="AC2283" t="s">
        <v>27</v>
      </c>
      <c r="AD2283" t="s">
        <v>27</v>
      </c>
      <c r="AE2283" t="s">
        <v>27</v>
      </c>
      <c r="AF2283" t="s">
        <v>27</v>
      </c>
      <c r="AG2283">
        <v>20.48</v>
      </c>
    </row>
    <row r="2284" spans="1:33" x14ac:dyDescent="0.25">
      <c r="A2284" t="s">
        <v>57</v>
      </c>
      <c r="B2284" s="3">
        <v>45745</v>
      </c>
      <c r="C2284">
        <v>2025088</v>
      </c>
      <c r="D2284">
        <v>14.54</v>
      </c>
      <c r="E2284" t="s">
        <v>27</v>
      </c>
      <c r="F2284">
        <v>-0.1</v>
      </c>
      <c r="G2284">
        <v>7.1</v>
      </c>
      <c r="H2284">
        <v>-4.9000000000000004</v>
      </c>
      <c r="I2284">
        <v>76.8</v>
      </c>
      <c r="J2284">
        <v>36</v>
      </c>
      <c r="K2284">
        <v>0.4</v>
      </c>
      <c r="L2284">
        <v>2</v>
      </c>
      <c r="M2284">
        <v>1.5</v>
      </c>
      <c r="N2284">
        <v>1.0530000000000002</v>
      </c>
      <c r="O2284">
        <v>0</v>
      </c>
      <c r="P2284">
        <v>-0.1</v>
      </c>
      <c r="Q2284">
        <v>11.9</v>
      </c>
      <c r="R2284">
        <v>-6.6</v>
      </c>
      <c r="S2284">
        <v>0.1</v>
      </c>
      <c r="T2284">
        <v>0.6</v>
      </c>
      <c r="U2284" t="s">
        <v>27</v>
      </c>
      <c r="V2284" t="s">
        <v>27</v>
      </c>
      <c r="W2284">
        <v>0.36299999999999999</v>
      </c>
      <c r="X2284">
        <v>0.64500000000000002</v>
      </c>
      <c r="Y2284" t="s">
        <v>27</v>
      </c>
      <c r="Z2284" t="s">
        <v>27</v>
      </c>
      <c r="AA2284" t="s">
        <v>27</v>
      </c>
      <c r="AB2284" t="s">
        <v>27</v>
      </c>
      <c r="AC2284" t="s">
        <v>27</v>
      </c>
      <c r="AD2284" t="s">
        <v>27</v>
      </c>
      <c r="AE2284" t="s">
        <v>27</v>
      </c>
      <c r="AF2284" t="s">
        <v>27</v>
      </c>
      <c r="AG2284">
        <v>20.74</v>
      </c>
    </row>
    <row r="2285" spans="1:33" x14ac:dyDescent="0.25">
      <c r="A2285" t="s">
        <v>57</v>
      </c>
      <c r="B2285" s="3">
        <v>45746</v>
      </c>
      <c r="C2285">
        <v>2025089</v>
      </c>
      <c r="D2285">
        <v>17.13</v>
      </c>
      <c r="E2285" t="s">
        <v>27</v>
      </c>
      <c r="F2285">
        <v>0.8</v>
      </c>
      <c r="G2285">
        <v>8.5</v>
      </c>
      <c r="H2285">
        <v>-7.7</v>
      </c>
      <c r="I2285">
        <v>63</v>
      </c>
      <c r="J2285">
        <v>30.8</v>
      </c>
      <c r="K2285">
        <v>0.8</v>
      </c>
      <c r="L2285">
        <v>2.4</v>
      </c>
      <c r="M2285">
        <v>0</v>
      </c>
      <c r="N2285">
        <v>1.032</v>
      </c>
      <c r="O2285">
        <v>0</v>
      </c>
      <c r="P2285">
        <v>0.8</v>
      </c>
      <c r="Q2285">
        <v>14.2</v>
      </c>
      <c r="R2285">
        <v>-9.5</v>
      </c>
      <c r="S2285">
        <v>0.1</v>
      </c>
      <c r="T2285">
        <v>0.6</v>
      </c>
      <c r="U2285" t="s">
        <v>27</v>
      </c>
      <c r="V2285" t="s">
        <v>27</v>
      </c>
      <c r="W2285">
        <v>0.34100000000000003</v>
      </c>
      <c r="X2285">
        <v>0.76600000000000001</v>
      </c>
      <c r="Y2285" t="s">
        <v>27</v>
      </c>
      <c r="Z2285" t="s">
        <v>27</v>
      </c>
      <c r="AA2285" t="s">
        <v>27</v>
      </c>
      <c r="AB2285" t="s">
        <v>27</v>
      </c>
      <c r="AC2285" t="s">
        <v>27</v>
      </c>
      <c r="AD2285" t="s">
        <v>27</v>
      </c>
      <c r="AE2285" t="s">
        <v>27</v>
      </c>
      <c r="AF2285" t="s">
        <v>27</v>
      </c>
      <c r="AG2285">
        <v>21</v>
      </c>
    </row>
    <row r="2286" spans="1:33" x14ac:dyDescent="0.25">
      <c r="A2286" t="s">
        <v>57</v>
      </c>
      <c r="B2286" s="3">
        <v>45747</v>
      </c>
      <c r="C2286">
        <v>2025090</v>
      </c>
      <c r="D2286">
        <v>7.83</v>
      </c>
      <c r="E2286" t="s">
        <v>27</v>
      </c>
      <c r="F2286">
        <v>0.1</v>
      </c>
      <c r="G2286">
        <v>3.5</v>
      </c>
      <c r="H2286">
        <v>-2.4</v>
      </c>
      <c r="I2286">
        <v>88.1</v>
      </c>
      <c r="J2286">
        <v>59.4</v>
      </c>
      <c r="K2286">
        <v>0.8</v>
      </c>
      <c r="L2286">
        <v>2.9</v>
      </c>
      <c r="M2286">
        <v>7.8</v>
      </c>
      <c r="N2286">
        <v>1.0570000000000002</v>
      </c>
      <c r="O2286">
        <v>0.1</v>
      </c>
      <c r="P2286">
        <v>0</v>
      </c>
      <c r="Q2286">
        <v>8.1999999999999993</v>
      </c>
      <c r="R2286">
        <v>-3.6</v>
      </c>
      <c r="S2286">
        <v>0.1</v>
      </c>
      <c r="T2286">
        <v>0.6</v>
      </c>
      <c r="U2286" t="s">
        <v>27</v>
      </c>
      <c r="V2286" t="s">
        <v>27</v>
      </c>
      <c r="W2286">
        <v>0.46500000000000002</v>
      </c>
      <c r="X2286">
        <v>0.318</v>
      </c>
      <c r="Y2286" t="s">
        <v>27</v>
      </c>
      <c r="Z2286" t="s">
        <v>27</v>
      </c>
      <c r="AA2286" t="s">
        <v>27</v>
      </c>
      <c r="AB2286" t="s">
        <v>27</v>
      </c>
      <c r="AC2286" t="s">
        <v>27</v>
      </c>
      <c r="AD2286" t="s">
        <v>27</v>
      </c>
      <c r="AE2286" t="s">
        <v>27</v>
      </c>
      <c r="AF2286" t="s">
        <v>27</v>
      </c>
      <c r="AG2286">
        <v>21.27</v>
      </c>
    </row>
    <row r="2287" spans="1:33" x14ac:dyDescent="0.25">
      <c r="A2287" t="s">
        <v>57</v>
      </c>
      <c r="B2287" s="3">
        <v>45748</v>
      </c>
      <c r="C2287">
        <v>2025091</v>
      </c>
      <c r="D2287">
        <v>11.28</v>
      </c>
      <c r="E2287" t="s">
        <v>27</v>
      </c>
      <c r="F2287">
        <v>-0.1</v>
      </c>
      <c r="G2287">
        <v>5.9</v>
      </c>
      <c r="H2287">
        <v>-2.6</v>
      </c>
      <c r="I2287">
        <v>82.8</v>
      </c>
      <c r="J2287">
        <v>52.9</v>
      </c>
      <c r="K2287">
        <v>0.7</v>
      </c>
      <c r="L2287">
        <v>2.7</v>
      </c>
      <c r="M2287">
        <v>1.8</v>
      </c>
      <c r="N2287">
        <v>1.054</v>
      </c>
      <c r="O2287">
        <v>0.1</v>
      </c>
      <c r="P2287">
        <v>-0.1</v>
      </c>
      <c r="Q2287">
        <v>8.9</v>
      </c>
      <c r="R2287">
        <v>-3.9</v>
      </c>
      <c r="S2287">
        <v>0.1</v>
      </c>
      <c r="T2287">
        <v>0.6</v>
      </c>
      <c r="U2287" t="s">
        <v>27</v>
      </c>
      <c r="V2287" t="s">
        <v>27</v>
      </c>
      <c r="W2287">
        <v>0.49</v>
      </c>
      <c r="X2287">
        <v>0.436</v>
      </c>
      <c r="Y2287" t="s">
        <v>27</v>
      </c>
      <c r="Z2287" t="s">
        <v>27</v>
      </c>
      <c r="AA2287" t="s">
        <v>27</v>
      </c>
      <c r="AB2287" t="s">
        <v>27</v>
      </c>
      <c r="AC2287" t="s">
        <v>27</v>
      </c>
      <c r="AD2287" t="s">
        <v>27</v>
      </c>
      <c r="AE2287" t="s">
        <v>27</v>
      </c>
      <c r="AF2287" t="s">
        <v>27</v>
      </c>
      <c r="AG2287">
        <v>21.52</v>
      </c>
    </row>
    <row r="2288" spans="1:33" x14ac:dyDescent="0.25">
      <c r="A2288" t="s">
        <v>57</v>
      </c>
      <c r="B2288" s="3">
        <v>45749</v>
      </c>
      <c r="C2288">
        <v>2025092</v>
      </c>
      <c r="D2288">
        <v>13.38</v>
      </c>
      <c r="E2288" t="s">
        <v>27</v>
      </c>
      <c r="F2288">
        <v>-0.6</v>
      </c>
      <c r="G2288">
        <v>4</v>
      </c>
      <c r="H2288">
        <v>-2.4</v>
      </c>
      <c r="I2288">
        <v>81.8</v>
      </c>
      <c r="J2288">
        <v>58.1</v>
      </c>
      <c r="K2288">
        <v>1.2</v>
      </c>
      <c r="L2288">
        <v>2.6</v>
      </c>
      <c r="M2288">
        <v>5.4</v>
      </c>
      <c r="N2288">
        <v>1.0670000000000002</v>
      </c>
      <c r="O2288">
        <v>0.1</v>
      </c>
      <c r="P2288">
        <v>0</v>
      </c>
      <c r="Q2288">
        <v>10.3</v>
      </c>
      <c r="R2288">
        <v>-3.5</v>
      </c>
      <c r="S2288">
        <v>0.1</v>
      </c>
      <c r="T2288">
        <v>0.6</v>
      </c>
      <c r="U2288" t="s">
        <v>27</v>
      </c>
      <c r="V2288" t="s">
        <v>27</v>
      </c>
      <c r="W2288">
        <v>0.47099999999999997</v>
      </c>
      <c r="X2288">
        <v>0.34</v>
      </c>
      <c r="Y2288" t="s">
        <v>27</v>
      </c>
      <c r="Z2288" t="s">
        <v>27</v>
      </c>
      <c r="AA2288" t="s">
        <v>27</v>
      </c>
      <c r="AB2288" t="s">
        <v>27</v>
      </c>
      <c r="AC2288" t="s">
        <v>27</v>
      </c>
      <c r="AD2288" t="s">
        <v>27</v>
      </c>
      <c r="AE2288" t="s">
        <v>27</v>
      </c>
      <c r="AF2288" t="s">
        <v>27</v>
      </c>
      <c r="AG2288">
        <v>21.78</v>
      </c>
    </row>
    <row r="2289" spans="1:33" x14ac:dyDescent="0.25">
      <c r="A2289" t="s">
        <v>57</v>
      </c>
      <c r="B2289" s="3">
        <v>45750</v>
      </c>
      <c r="C2289">
        <v>2025093</v>
      </c>
      <c r="D2289">
        <v>19.100000000000001</v>
      </c>
      <c r="E2289" t="s">
        <v>27</v>
      </c>
      <c r="F2289">
        <v>-1.4</v>
      </c>
      <c r="G2289">
        <v>4.5999999999999996</v>
      </c>
      <c r="H2289">
        <v>-8.4</v>
      </c>
      <c r="I2289">
        <v>63.3</v>
      </c>
      <c r="J2289">
        <v>29.5</v>
      </c>
      <c r="K2289">
        <v>1</v>
      </c>
      <c r="L2289">
        <v>2.9</v>
      </c>
      <c r="M2289">
        <v>0.8</v>
      </c>
      <c r="N2289">
        <v>1.0610000000000002</v>
      </c>
      <c r="O2289">
        <v>0</v>
      </c>
      <c r="P2289">
        <v>-1.1000000000000001</v>
      </c>
      <c r="Q2289">
        <v>9.5</v>
      </c>
      <c r="R2289">
        <v>-10.1</v>
      </c>
      <c r="S2289">
        <v>0.1</v>
      </c>
      <c r="T2289">
        <v>0.5</v>
      </c>
      <c r="U2289" t="s">
        <v>27</v>
      </c>
      <c r="V2289" t="s">
        <v>27</v>
      </c>
      <c r="W2289">
        <v>0.25</v>
      </c>
      <c r="X2289">
        <v>0.59699999999999998</v>
      </c>
      <c r="Y2289" t="s">
        <v>27</v>
      </c>
      <c r="Z2289" t="s">
        <v>27</v>
      </c>
      <c r="AA2289" t="s">
        <v>27</v>
      </c>
      <c r="AB2289" t="s">
        <v>27</v>
      </c>
      <c r="AC2289" t="s">
        <v>27</v>
      </c>
      <c r="AD2289" t="s">
        <v>27</v>
      </c>
      <c r="AE2289" t="s">
        <v>27</v>
      </c>
      <c r="AF2289" t="s">
        <v>27</v>
      </c>
      <c r="AG2289">
        <v>22.03</v>
      </c>
    </row>
    <row r="2290" spans="1:33" x14ac:dyDescent="0.25">
      <c r="A2290" t="s">
        <v>57</v>
      </c>
      <c r="B2290" s="3">
        <v>45751</v>
      </c>
      <c r="C2290">
        <v>2025094</v>
      </c>
      <c r="D2290">
        <v>21.76</v>
      </c>
      <c r="E2290" t="s">
        <v>27</v>
      </c>
      <c r="F2290">
        <v>-0.1</v>
      </c>
      <c r="G2290">
        <v>9.1999999999999993</v>
      </c>
      <c r="H2290">
        <v>-9.1999999999999993</v>
      </c>
      <c r="I2290">
        <v>57.2</v>
      </c>
      <c r="J2290">
        <v>20</v>
      </c>
      <c r="K2290">
        <v>0.5</v>
      </c>
      <c r="L2290">
        <v>2.1</v>
      </c>
      <c r="M2290">
        <v>0</v>
      </c>
      <c r="N2290">
        <v>1.032</v>
      </c>
      <c r="O2290">
        <v>0</v>
      </c>
      <c r="P2290">
        <v>0.3</v>
      </c>
      <c r="Q2290">
        <v>15.2</v>
      </c>
      <c r="R2290">
        <v>-10.7</v>
      </c>
      <c r="S2290">
        <v>0.1</v>
      </c>
      <c r="T2290">
        <v>0.5</v>
      </c>
      <c r="U2290" t="s">
        <v>27</v>
      </c>
      <c r="V2290" t="s">
        <v>27</v>
      </c>
      <c r="W2290">
        <v>0.23200000000000001</v>
      </c>
      <c r="X2290">
        <v>0.92800000000000005</v>
      </c>
      <c r="Y2290" t="s">
        <v>27</v>
      </c>
      <c r="Z2290" t="s">
        <v>27</v>
      </c>
      <c r="AA2290" t="s">
        <v>27</v>
      </c>
      <c r="AB2290" t="s">
        <v>27</v>
      </c>
      <c r="AC2290" t="s">
        <v>27</v>
      </c>
      <c r="AD2290" t="s">
        <v>27</v>
      </c>
      <c r="AE2290" t="s">
        <v>27</v>
      </c>
      <c r="AF2290" t="s">
        <v>27</v>
      </c>
      <c r="AG2290">
        <v>22.29</v>
      </c>
    </row>
    <row r="2291" spans="1:33" x14ac:dyDescent="0.25">
      <c r="A2291" t="s">
        <v>57</v>
      </c>
      <c r="B2291" s="3">
        <v>45752</v>
      </c>
      <c r="C2291">
        <v>2025095</v>
      </c>
      <c r="D2291">
        <v>22.13</v>
      </c>
      <c r="E2291" t="s">
        <v>27</v>
      </c>
      <c r="F2291">
        <v>1.8</v>
      </c>
      <c r="G2291">
        <v>12.8</v>
      </c>
      <c r="H2291">
        <v>-6.8</v>
      </c>
      <c r="I2291">
        <v>61.3</v>
      </c>
      <c r="J2291">
        <v>23.9</v>
      </c>
      <c r="K2291">
        <v>0.6</v>
      </c>
      <c r="L2291">
        <v>2.8</v>
      </c>
      <c r="M2291">
        <v>0</v>
      </c>
      <c r="N2291">
        <v>1.006</v>
      </c>
      <c r="O2291">
        <v>0</v>
      </c>
      <c r="P2291">
        <v>2.2000000000000002</v>
      </c>
      <c r="Q2291">
        <v>17.899999999999999</v>
      </c>
      <c r="R2291">
        <v>-8.1999999999999993</v>
      </c>
      <c r="S2291">
        <v>0.1</v>
      </c>
      <c r="T2291">
        <v>0.5</v>
      </c>
      <c r="U2291" t="s">
        <v>27</v>
      </c>
      <c r="V2291" t="s">
        <v>27</v>
      </c>
      <c r="W2291">
        <v>0.35399999999999998</v>
      </c>
      <c r="X2291">
        <v>1.127</v>
      </c>
      <c r="Y2291" t="s">
        <v>27</v>
      </c>
      <c r="Z2291" t="s">
        <v>27</v>
      </c>
      <c r="AA2291" t="s">
        <v>27</v>
      </c>
      <c r="AB2291" t="s">
        <v>27</v>
      </c>
      <c r="AC2291" t="s">
        <v>27</v>
      </c>
      <c r="AD2291" t="s">
        <v>27</v>
      </c>
      <c r="AE2291" t="s">
        <v>27</v>
      </c>
      <c r="AF2291" t="s">
        <v>27</v>
      </c>
      <c r="AG2291">
        <v>22.55</v>
      </c>
    </row>
    <row r="2292" spans="1:33" x14ac:dyDescent="0.25">
      <c r="A2292" t="s">
        <v>57</v>
      </c>
      <c r="B2292" s="3">
        <v>45753</v>
      </c>
      <c r="C2292">
        <v>2025096</v>
      </c>
      <c r="D2292">
        <v>16.07</v>
      </c>
      <c r="E2292" t="s">
        <v>27</v>
      </c>
      <c r="F2292">
        <v>4.0999999999999996</v>
      </c>
      <c r="G2292">
        <v>13.7</v>
      </c>
      <c r="H2292">
        <v>-4</v>
      </c>
      <c r="I2292">
        <v>66.900000000000006</v>
      </c>
      <c r="J2292">
        <v>30.7</v>
      </c>
      <c r="K2292">
        <v>1</v>
      </c>
      <c r="L2292">
        <v>3.2</v>
      </c>
      <c r="M2292">
        <v>0</v>
      </c>
      <c r="N2292">
        <v>0.96800000000000019</v>
      </c>
      <c r="O2292">
        <v>0</v>
      </c>
      <c r="P2292">
        <v>4.2</v>
      </c>
      <c r="Q2292">
        <v>18.5</v>
      </c>
      <c r="R2292">
        <v>-5.5</v>
      </c>
      <c r="S2292">
        <v>0.1</v>
      </c>
      <c r="T2292">
        <v>0.5</v>
      </c>
      <c r="U2292" t="s">
        <v>27</v>
      </c>
      <c r="V2292" t="s">
        <v>27</v>
      </c>
      <c r="W2292">
        <v>0.48</v>
      </c>
      <c r="X2292">
        <v>1.0840000000000001</v>
      </c>
      <c r="Y2292" t="s">
        <v>27</v>
      </c>
      <c r="Z2292" t="s">
        <v>27</v>
      </c>
      <c r="AA2292" t="s">
        <v>27</v>
      </c>
      <c r="AB2292" t="s">
        <v>27</v>
      </c>
      <c r="AC2292" t="s">
        <v>27</v>
      </c>
      <c r="AD2292" t="s">
        <v>27</v>
      </c>
      <c r="AE2292" t="s">
        <v>27</v>
      </c>
      <c r="AF2292" t="s">
        <v>27</v>
      </c>
      <c r="AG2292">
        <v>22.8</v>
      </c>
    </row>
    <row r="2293" spans="1:33" x14ac:dyDescent="0.25">
      <c r="A2293" t="s">
        <v>57</v>
      </c>
      <c r="B2293" s="3">
        <v>45754</v>
      </c>
      <c r="C2293">
        <v>2025097</v>
      </c>
      <c r="D2293">
        <v>6.9</v>
      </c>
      <c r="E2293" t="s">
        <v>27</v>
      </c>
      <c r="F2293">
        <v>2.8</v>
      </c>
      <c r="G2293">
        <v>8.1</v>
      </c>
      <c r="H2293">
        <v>-0.9</v>
      </c>
      <c r="I2293">
        <v>93.5</v>
      </c>
      <c r="J2293">
        <v>69.7</v>
      </c>
      <c r="K2293">
        <v>0.9</v>
      </c>
      <c r="L2293">
        <v>2.9</v>
      </c>
      <c r="M2293">
        <v>36</v>
      </c>
      <c r="N2293">
        <v>0.99399999999999999</v>
      </c>
      <c r="O2293">
        <v>0.1</v>
      </c>
      <c r="P2293">
        <v>2.2999999999999998</v>
      </c>
      <c r="Q2293">
        <v>10.1</v>
      </c>
      <c r="R2293">
        <v>-1.9</v>
      </c>
      <c r="S2293">
        <v>0.1</v>
      </c>
      <c r="T2293">
        <v>0.5</v>
      </c>
      <c r="U2293" t="s">
        <v>27</v>
      </c>
      <c r="V2293" t="s">
        <v>27</v>
      </c>
      <c r="W2293">
        <v>0.754</v>
      </c>
      <c r="X2293">
        <v>0.32800000000000001</v>
      </c>
      <c r="Y2293" t="s">
        <v>27</v>
      </c>
      <c r="Z2293" t="s">
        <v>27</v>
      </c>
      <c r="AA2293" t="s">
        <v>27</v>
      </c>
      <c r="AB2293" t="s">
        <v>27</v>
      </c>
      <c r="AC2293" t="s">
        <v>27</v>
      </c>
      <c r="AD2293" t="s">
        <v>27</v>
      </c>
      <c r="AE2293" t="s">
        <v>27</v>
      </c>
      <c r="AF2293" t="s">
        <v>27</v>
      </c>
      <c r="AG2293">
        <v>23.06</v>
      </c>
    </row>
    <row r="2294" spans="1:33" x14ac:dyDescent="0.25">
      <c r="A2294" t="s">
        <v>57</v>
      </c>
      <c r="B2294" s="3">
        <v>45755</v>
      </c>
      <c r="C2294">
        <v>2025098</v>
      </c>
      <c r="D2294">
        <v>12.93</v>
      </c>
      <c r="E2294" t="s">
        <v>27</v>
      </c>
      <c r="F2294">
        <v>0.2</v>
      </c>
      <c r="G2294">
        <v>4.9000000000000004</v>
      </c>
      <c r="H2294">
        <v>-3</v>
      </c>
      <c r="I2294">
        <v>88.8</v>
      </c>
      <c r="J2294">
        <v>71.7</v>
      </c>
      <c r="K2294">
        <v>0.7</v>
      </c>
      <c r="L2294">
        <v>3.1</v>
      </c>
      <c r="M2294">
        <v>2.1</v>
      </c>
      <c r="N2294">
        <v>0.95000000000000018</v>
      </c>
      <c r="O2294">
        <v>0.1</v>
      </c>
      <c r="P2294">
        <v>0</v>
      </c>
      <c r="Q2294">
        <v>10.8</v>
      </c>
      <c r="R2294">
        <v>-4.5</v>
      </c>
      <c r="S2294">
        <v>0.1</v>
      </c>
      <c r="T2294">
        <v>0.5</v>
      </c>
      <c r="U2294" t="s">
        <v>27</v>
      </c>
      <c r="V2294" t="s">
        <v>27</v>
      </c>
      <c r="W2294">
        <v>0.62</v>
      </c>
      <c r="X2294">
        <v>0.245</v>
      </c>
      <c r="Y2294" t="s">
        <v>27</v>
      </c>
      <c r="Z2294" t="s">
        <v>27</v>
      </c>
      <c r="AA2294" t="s">
        <v>27</v>
      </c>
      <c r="AB2294" t="s">
        <v>27</v>
      </c>
      <c r="AC2294" t="s">
        <v>27</v>
      </c>
      <c r="AD2294" t="s">
        <v>27</v>
      </c>
      <c r="AE2294" t="s">
        <v>27</v>
      </c>
      <c r="AF2294" t="s">
        <v>27</v>
      </c>
      <c r="AG2294">
        <v>23.31</v>
      </c>
    </row>
    <row r="2295" spans="1:33" x14ac:dyDescent="0.25">
      <c r="A2295" t="s">
        <v>57</v>
      </c>
      <c r="B2295" s="3">
        <v>45756</v>
      </c>
      <c r="C2295">
        <v>2025099</v>
      </c>
      <c r="D2295">
        <v>17.86</v>
      </c>
      <c r="E2295" t="s">
        <v>27</v>
      </c>
      <c r="F2295">
        <v>1.5</v>
      </c>
      <c r="G2295">
        <v>7.8</v>
      </c>
      <c r="H2295">
        <v>-2.4</v>
      </c>
      <c r="I2295">
        <v>68.7</v>
      </c>
      <c r="J2295">
        <v>31.8</v>
      </c>
      <c r="K2295">
        <v>0.8</v>
      </c>
      <c r="L2295">
        <v>2.8</v>
      </c>
      <c r="M2295">
        <v>0</v>
      </c>
      <c r="N2295">
        <v>0.93600000000000017</v>
      </c>
      <c r="O2295">
        <v>0.1</v>
      </c>
      <c r="P2295">
        <v>1.6</v>
      </c>
      <c r="Q2295">
        <v>13.2</v>
      </c>
      <c r="R2295">
        <v>-3.7</v>
      </c>
      <c r="S2295">
        <v>0.1</v>
      </c>
      <c r="T2295">
        <v>0.5</v>
      </c>
      <c r="U2295" t="s">
        <v>27</v>
      </c>
      <c r="V2295" t="s">
        <v>27</v>
      </c>
      <c r="W2295">
        <v>0.33700000000000002</v>
      </c>
      <c r="X2295">
        <v>0.72299999999999998</v>
      </c>
      <c r="Y2295" t="s">
        <v>27</v>
      </c>
      <c r="Z2295" t="s">
        <v>27</v>
      </c>
      <c r="AA2295" t="s">
        <v>27</v>
      </c>
      <c r="AB2295" t="s">
        <v>27</v>
      </c>
      <c r="AC2295" t="s">
        <v>27</v>
      </c>
      <c r="AD2295" t="s">
        <v>27</v>
      </c>
      <c r="AE2295" t="s">
        <v>27</v>
      </c>
      <c r="AF2295" t="s">
        <v>27</v>
      </c>
      <c r="AG2295">
        <v>23.56</v>
      </c>
    </row>
    <row r="2296" spans="1:33" x14ac:dyDescent="0.25">
      <c r="A2296" t="s">
        <v>57</v>
      </c>
      <c r="B2296" s="3">
        <v>45757</v>
      </c>
      <c r="C2296">
        <v>2025100</v>
      </c>
      <c r="D2296">
        <v>10.56</v>
      </c>
      <c r="E2296" t="s">
        <v>27</v>
      </c>
      <c r="F2296">
        <v>3.2</v>
      </c>
      <c r="G2296">
        <v>9.1999999999999993</v>
      </c>
      <c r="H2296">
        <v>-2.2000000000000002</v>
      </c>
      <c r="I2296">
        <v>72</v>
      </c>
      <c r="J2296">
        <v>46.4</v>
      </c>
      <c r="K2296">
        <v>1</v>
      </c>
      <c r="L2296">
        <v>3.2</v>
      </c>
      <c r="M2296">
        <v>2.9</v>
      </c>
      <c r="N2296">
        <v>0.92000000000000015</v>
      </c>
      <c r="O2296">
        <v>0.1</v>
      </c>
      <c r="P2296">
        <v>2.6</v>
      </c>
      <c r="Q2296">
        <v>9.6</v>
      </c>
      <c r="R2296">
        <v>-3.9</v>
      </c>
      <c r="S2296">
        <v>0.1</v>
      </c>
      <c r="T2296">
        <v>0.5</v>
      </c>
      <c r="U2296" t="s">
        <v>27</v>
      </c>
      <c r="V2296" t="s">
        <v>27</v>
      </c>
      <c r="W2296">
        <v>0.53900000000000003</v>
      </c>
      <c r="X2296">
        <v>0.623</v>
      </c>
      <c r="Y2296" t="s">
        <v>27</v>
      </c>
      <c r="Z2296" t="s">
        <v>27</v>
      </c>
      <c r="AA2296" t="s">
        <v>27</v>
      </c>
      <c r="AB2296" t="s">
        <v>27</v>
      </c>
      <c r="AC2296" t="s">
        <v>27</v>
      </c>
      <c r="AD2296" t="s">
        <v>27</v>
      </c>
      <c r="AE2296" t="s">
        <v>27</v>
      </c>
      <c r="AF2296" t="s">
        <v>27</v>
      </c>
      <c r="AG2296">
        <v>23.81</v>
      </c>
    </row>
    <row r="2297" spans="1:33" x14ac:dyDescent="0.25">
      <c r="A2297" t="s">
        <v>57</v>
      </c>
      <c r="B2297" s="3">
        <v>45758</v>
      </c>
      <c r="C2297">
        <v>2025101</v>
      </c>
      <c r="D2297">
        <v>23.25</v>
      </c>
      <c r="E2297" t="s">
        <v>27</v>
      </c>
      <c r="F2297">
        <v>2</v>
      </c>
      <c r="G2297">
        <v>8.8000000000000007</v>
      </c>
      <c r="H2297">
        <v>-3.2</v>
      </c>
      <c r="I2297">
        <v>64.8</v>
      </c>
      <c r="J2297">
        <v>29</v>
      </c>
      <c r="K2297">
        <v>1</v>
      </c>
      <c r="L2297">
        <v>2.8</v>
      </c>
      <c r="M2297">
        <v>0</v>
      </c>
      <c r="N2297">
        <v>0.90000000000000013</v>
      </c>
      <c r="O2297">
        <v>0.1</v>
      </c>
      <c r="P2297">
        <v>2.4</v>
      </c>
      <c r="Q2297">
        <v>13.4</v>
      </c>
      <c r="R2297">
        <v>-5.2</v>
      </c>
      <c r="S2297">
        <v>0.1</v>
      </c>
      <c r="T2297">
        <v>0.5</v>
      </c>
      <c r="U2297" t="s">
        <v>27</v>
      </c>
      <c r="V2297" t="s">
        <v>27</v>
      </c>
      <c r="W2297">
        <v>0.32700000000000001</v>
      </c>
      <c r="X2297">
        <v>0.80100000000000005</v>
      </c>
      <c r="Y2297" t="s">
        <v>27</v>
      </c>
      <c r="Z2297" t="s">
        <v>27</v>
      </c>
      <c r="AA2297" t="s">
        <v>27</v>
      </c>
      <c r="AB2297" t="s">
        <v>27</v>
      </c>
      <c r="AC2297" t="s">
        <v>27</v>
      </c>
      <c r="AD2297" t="s">
        <v>27</v>
      </c>
      <c r="AE2297" t="s">
        <v>27</v>
      </c>
      <c r="AF2297" t="s">
        <v>27</v>
      </c>
      <c r="AG2297">
        <v>24.05</v>
      </c>
    </row>
    <row r="2298" spans="1:33" x14ac:dyDescent="0.25">
      <c r="A2298" t="s">
        <v>57</v>
      </c>
      <c r="B2298" s="3">
        <v>45759</v>
      </c>
      <c r="C2298">
        <v>2025102</v>
      </c>
      <c r="D2298">
        <v>15.68</v>
      </c>
      <c r="E2298" t="s">
        <v>27</v>
      </c>
      <c r="F2298">
        <v>-1.8</v>
      </c>
      <c r="G2298">
        <v>2.5</v>
      </c>
      <c r="H2298">
        <v>-4.2</v>
      </c>
      <c r="I2298">
        <v>73.3</v>
      </c>
      <c r="J2298">
        <v>42.9</v>
      </c>
      <c r="K2298">
        <v>1.3</v>
      </c>
      <c r="L2298">
        <v>3.1</v>
      </c>
      <c r="M2298">
        <v>0.1</v>
      </c>
      <c r="N2298">
        <v>0.90400000000000014</v>
      </c>
      <c r="O2298">
        <v>0</v>
      </c>
      <c r="P2298">
        <v>-1.4</v>
      </c>
      <c r="Q2298">
        <v>8.4</v>
      </c>
      <c r="R2298">
        <v>-6.1</v>
      </c>
      <c r="S2298">
        <v>0.1</v>
      </c>
      <c r="T2298">
        <v>0.5</v>
      </c>
      <c r="U2298" t="s">
        <v>27</v>
      </c>
      <c r="V2298" t="s">
        <v>27</v>
      </c>
      <c r="W2298">
        <v>0.315</v>
      </c>
      <c r="X2298">
        <v>0.41899999999999998</v>
      </c>
      <c r="Y2298" t="s">
        <v>27</v>
      </c>
      <c r="Z2298" t="s">
        <v>27</v>
      </c>
      <c r="AA2298" t="s">
        <v>27</v>
      </c>
      <c r="AB2298" t="s">
        <v>27</v>
      </c>
      <c r="AC2298" t="s">
        <v>27</v>
      </c>
      <c r="AD2298" t="s">
        <v>27</v>
      </c>
      <c r="AE2298" t="s">
        <v>27</v>
      </c>
      <c r="AF2298" t="s">
        <v>27</v>
      </c>
      <c r="AG2298">
        <v>24.3</v>
      </c>
    </row>
    <row r="2299" spans="1:33" x14ac:dyDescent="0.25">
      <c r="A2299" t="s">
        <v>57</v>
      </c>
      <c r="B2299" s="3">
        <v>45760</v>
      </c>
      <c r="C2299">
        <v>2025103</v>
      </c>
      <c r="D2299">
        <v>21.39</v>
      </c>
      <c r="E2299" t="s">
        <v>27</v>
      </c>
      <c r="F2299">
        <v>-0.6</v>
      </c>
      <c r="G2299">
        <v>7.9</v>
      </c>
      <c r="H2299">
        <v>-10</v>
      </c>
      <c r="I2299">
        <v>59.4</v>
      </c>
      <c r="J2299">
        <v>23.4</v>
      </c>
      <c r="K2299">
        <v>0.6</v>
      </c>
      <c r="L2299">
        <v>2</v>
      </c>
      <c r="M2299">
        <v>0</v>
      </c>
      <c r="N2299">
        <v>0.88600000000000012</v>
      </c>
      <c r="O2299">
        <v>0</v>
      </c>
      <c r="P2299">
        <v>-0.1</v>
      </c>
      <c r="Q2299">
        <v>13.7</v>
      </c>
      <c r="R2299">
        <v>-11.7</v>
      </c>
      <c r="S2299">
        <v>0.1</v>
      </c>
      <c r="T2299">
        <v>0.5</v>
      </c>
      <c r="U2299" t="s">
        <v>27</v>
      </c>
      <c r="V2299" t="s">
        <v>27</v>
      </c>
      <c r="W2299">
        <v>0.249</v>
      </c>
      <c r="X2299">
        <v>0.81499999999999995</v>
      </c>
      <c r="Y2299" t="s">
        <v>27</v>
      </c>
      <c r="Z2299" t="s">
        <v>27</v>
      </c>
      <c r="AA2299" t="s">
        <v>27</v>
      </c>
      <c r="AB2299" t="s">
        <v>27</v>
      </c>
      <c r="AC2299" t="s">
        <v>27</v>
      </c>
      <c r="AD2299" t="s">
        <v>27</v>
      </c>
      <c r="AE2299" t="s">
        <v>27</v>
      </c>
      <c r="AF2299" t="s">
        <v>27</v>
      </c>
      <c r="AG2299">
        <v>24.53</v>
      </c>
    </row>
    <row r="2300" spans="1:33" x14ac:dyDescent="0.25">
      <c r="A2300" t="s">
        <v>57</v>
      </c>
      <c r="B2300" s="3">
        <v>45761</v>
      </c>
      <c r="C2300">
        <v>2025104</v>
      </c>
      <c r="D2300">
        <v>22.56</v>
      </c>
      <c r="E2300" t="s">
        <v>27</v>
      </c>
      <c r="F2300">
        <v>2.7</v>
      </c>
      <c r="G2300">
        <v>11.6</v>
      </c>
      <c r="H2300">
        <v>-6.3</v>
      </c>
      <c r="I2300">
        <v>56.9</v>
      </c>
      <c r="J2300">
        <v>24.2</v>
      </c>
      <c r="K2300">
        <v>0.7</v>
      </c>
      <c r="L2300">
        <v>2.7</v>
      </c>
      <c r="M2300">
        <v>0</v>
      </c>
      <c r="N2300">
        <v>0.85400000000000009</v>
      </c>
      <c r="O2300">
        <v>0</v>
      </c>
      <c r="P2300">
        <v>2.8</v>
      </c>
      <c r="Q2300">
        <v>15.6</v>
      </c>
      <c r="R2300">
        <v>-7.9</v>
      </c>
      <c r="S2300">
        <v>0.1</v>
      </c>
      <c r="T2300">
        <v>0.5</v>
      </c>
      <c r="U2300" t="s">
        <v>27</v>
      </c>
      <c r="V2300" t="s">
        <v>27</v>
      </c>
      <c r="W2300">
        <v>0.33100000000000002</v>
      </c>
      <c r="X2300">
        <v>1.0369999999999999</v>
      </c>
      <c r="Y2300" t="s">
        <v>27</v>
      </c>
      <c r="Z2300" t="s">
        <v>27</v>
      </c>
      <c r="AA2300" t="s">
        <v>27</v>
      </c>
      <c r="AB2300" t="s">
        <v>27</v>
      </c>
      <c r="AC2300" t="s">
        <v>27</v>
      </c>
      <c r="AD2300" t="s">
        <v>27</v>
      </c>
      <c r="AE2300" t="s">
        <v>27</v>
      </c>
      <c r="AF2300" t="s">
        <v>27</v>
      </c>
      <c r="AG2300">
        <v>24.78</v>
      </c>
    </row>
    <row r="2301" spans="1:33" x14ac:dyDescent="0.25">
      <c r="A2301" t="s">
        <v>57</v>
      </c>
      <c r="B2301" s="3">
        <v>45762</v>
      </c>
      <c r="C2301">
        <v>2025105</v>
      </c>
      <c r="D2301">
        <v>24.46</v>
      </c>
      <c r="E2301" t="s">
        <v>27</v>
      </c>
      <c r="F2301">
        <v>4.5999999999999996</v>
      </c>
      <c r="G2301">
        <v>13.9</v>
      </c>
      <c r="H2301">
        <v>-3.2</v>
      </c>
      <c r="I2301">
        <v>60.3</v>
      </c>
      <c r="J2301">
        <v>21</v>
      </c>
      <c r="K2301">
        <v>0.8</v>
      </c>
      <c r="L2301">
        <v>3.2</v>
      </c>
      <c r="M2301">
        <v>0</v>
      </c>
      <c r="N2301">
        <v>0.81800000000000006</v>
      </c>
      <c r="O2301">
        <v>0.1</v>
      </c>
      <c r="P2301">
        <v>4.8</v>
      </c>
      <c r="Q2301">
        <v>17.600000000000001</v>
      </c>
      <c r="R2301">
        <v>-4.7</v>
      </c>
      <c r="S2301">
        <v>0.1</v>
      </c>
      <c r="T2301">
        <v>0.5</v>
      </c>
      <c r="U2301" t="s">
        <v>27</v>
      </c>
      <c r="V2301" t="s">
        <v>27</v>
      </c>
      <c r="W2301">
        <v>0.33300000000000002</v>
      </c>
      <c r="X2301">
        <v>1.2529999999999999</v>
      </c>
      <c r="Y2301" t="s">
        <v>27</v>
      </c>
      <c r="Z2301" t="s">
        <v>27</v>
      </c>
      <c r="AA2301" t="s">
        <v>27</v>
      </c>
      <c r="AB2301" t="s">
        <v>27</v>
      </c>
      <c r="AC2301" t="s">
        <v>27</v>
      </c>
      <c r="AD2301" t="s">
        <v>27</v>
      </c>
      <c r="AE2301" t="s">
        <v>27</v>
      </c>
      <c r="AF2301" t="s">
        <v>27</v>
      </c>
      <c r="AG2301">
        <v>25.02</v>
      </c>
    </row>
    <row r="2302" spans="1:33" x14ac:dyDescent="0.25">
      <c r="A2302" t="s">
        <v>57</v>
      </c>
      <c r="B2302" s="3">
        <v>45763</v>
      </c>
      <c r="C2302">
        <v>2025106</v>
      </c>
      <c r="D2302">
        <v>25.05</v>
      </c>
      <c r="E2302" t="s">
        <v>27</v>
      </c>
      <c r="F2302">
        <v>0.5</v>
      </c>
      <c r="G2302">
        <v>4.7</v>
      </c>
      <c r="H2302">
        <v>-6.1</v>
      </c>
      <c r="I2302">
        <v>42.8</v>
      </c>
      <c r="J2302">
        <v>26</v>
      </c>
      <c r="K2302">
        <v>1.4</v>
      </c>
      <c r="L2302">
        <v>3.8</v>
      </c>
      <c r="M2302">
        <v>0</v>
      </c>
      <c r="N2302">
        <v>0.80400000000000005</v>
      </c>
      <c r="O2302">
        <v>0</v>
      </c>
      <c r="P2302">
        <v>1.1000000000000001</v>
      </c>
      <c r="Q2302">
        <v>9.9</v>
      </c>
      <c r="R2302">
        <v>-7.9</v>
      </c>
      <c r="S2302">
        <v>0.1</v>
      </c>
      <c r="T2302">
        <v>0.4</v>
      </c>
      <c r="U2302" t="s">
        <v>27</v>
      </c>
      <c r="V2302" t="s">
        <v>27</v>
      </c>
      <c r="W2302">
        <v>0.221</v>
      </c>
      <c r="X2302">
        <v>0.629</v>
      </c>
      <c r="Y2302" t="s">
        <v>27</v>
      </c>
      <c r="Z2302" t="s">
        <v>27</v>
      </c>
      <c r="AA2302" t="s">
        <v>27</v>
      </c>
      <c r="AB2302" t="s">
        <v>27</v>
      </c>
      <c r="AC2302" t="s">
        <v>27</v>
      </c>
      <c r="AD2302" t="s">
        <v>27</v>
      </c>
      <c r="AE2302" t="s">
        <v>27</v>
      </c>
      <c r="AF2302" t="s">
        <v>27</v>
      </c>
      <c r="AG2302">
        <v>25.26</v>
      </c>
    </row>
    <row r="2303" spans="1:33" x14ac:dyDescent="0.25">
      <c r="A2303" t="s">
        <v>57</v>
      </c>
      <c r="B2303" s="3">
        <v>45764</v>
      </c>
      <c r="C2303">
        <v>2025107</v>
      </c>
      <c r="D2303">
        <v>24.46</v>
      </c>
      <c r="E2303" t="s">
        <v>27</v>
      </c>
      <c r="F2303">
        <v>0.1</v>
      </c>
      <c r="G2303">
        <v>7.9</v>
      </c>
      <c r="H2303">
        <v>-8.9</v>
      </c>
      <c r="I2303">
        <v>50.6</v>
      </c>
      <c r="J2303">
        <v>20.3</v>
      </c>
      <c r="K2303">
        <v>0.7</v>
      </c>
      <c r="L2303">
        <v>2.7</v>
      </c>
      <c r="M2303">
        <v>0</v>
      </c>
      <c r="N2303">
        <v>0.77100000000000013</v>
      </c>
      <c r="O2303">
        <v>0</v>
      </c>
      <c r="P2303">
        <v>0.5</v>
      </c>
      <c r="Q2303">
        <v>14.2</v>
      </c>
      <c r="R2303">
        <v>-10.7</v>
      </c>
      <c r="S2303">
        <v>0.1</v>
      </c>
      <c r="T2303">
        <v>0.4</v>
      </c>
      <c r="U2303" t="s">
        <v>27</v>
      </c>
      <c r="V2303" t="s">
        <v>27</v>
      </c>
      <c r="W2303">
        <v>0.217</v>
      </c>
      <c r="X2303">
        <v>0.85199999999999998</v>
      </c>
      <c r="Y2303" t="s">
        <v>27</v>
      </c>
      <c r="Z2303" t="s">
        <v>27</v>
      </c>
      <c r="AA2303" t="s">
        <v>27</v>
      </c>
      <c r="AB2303" t="s">
        <v>27</v>
      </c>
      <c r="AC2303" t="s">
        <v>27</v>
      </c>
      <c r="AD2303" t="s">
        <v>27</v>
      </c>
      <c r="AE2303" t="s">
        <v>27</v>
      </c>
      <c r="AF2303" t="s">
        <v>27</v>
      </c>
      <c r="AG2303">
        <v>25.49</v>
      </c>
    </row>
    <row r="2304" spans="1:33" x14ac:dyDescent="0.25">
      <c r="A2304" t="s">
        <v>57</v>
      </c>
      <c r="B2304" s="3">
        <v>45765</v>
      </c>
      <c r="C2304">
        <v>2025108</v>
      </c>
      <c r="D2304">
        <v>26.09</v>
      </c>
      <c r="E2304" t="s">
        <v>27</v>
      </c>
      <c r="F2304">
        <v>5.7</v>
      </c>
      <c r="G2304">
        <v>16.100000000000001</v>
      </c>
      <c r="H2304">
        <v>-5.7</v>
      </c>
      <c r="I2304">
        <v>50.2</v>
      </c>
      <c r="J2304">
        <v>24.5</v>
      </c>
      <c r="K2304">
        <v>0.8</v>
      </c>
      <c r="L2304">
        <v>2.4</v>
      </c>
      <c r="M2304">
        <v>0</v>
      </c>
      <c r="N2304">
        <v>0.7390000000000001</v>
      </c>
      <c r="O2304">
        <v>0</v>
      </c>
      <c r="P2304">
        <v>6.1</v>
      </c>
      <c r="Q2304">
        <v>21</v>
      </c>
      <c r="R2304">
        <v>-7.4</v>
      </c>
      <c r="S2304">
        <v>0.1</v>
      </c>
      <c r="T2304">
        <v>0.4</v>
      </c>
      <c r="U2304" t="s">
        <v>27</v>
      </c>
      <c r="V2304" t="s">
        <v>27</v>
      </c>
      <c r="W2304">
        <v>0.44800000000000001</v>
      </c>
      <c r="X2304">
        <v>1.381</v>
      </c>
      <c r="Y2304" t="s">
        <v>27</v>
      </c>
      <c r="Z2304" t="s">
        <v>27</v>
      </c>
      <c r="AA2304" t="s">
        <v>27</v>
      </c>
      <c r="AB2304" t="s">
        <v>27</v>
      </c>
      <c r="AC2304" t="s">
        <v>27</v>
      </c>
      <c r="AD2304" t="s">
        <v>27</v>
      </c>
      <c r="AE2304" t="s">
        <v>27</v>
      </c>
      <c r="AF2304" t="s">
        <v>27</v>
      </c>
      <c r="AG2304">
        <v>25.73</v>
      </c>
    </row>
    <row r="2305" spans="1:33" x14ac:dyDescent="0.25">
      <c r="A2305" t="s">
        <v>57</v>
      </c>
      <c r="B2305" s="3">
        <v>45766</v>
      </c>
      <c r="C2305">
        <v>2025109</v>
      </c>
      <c r="D2305">
        <v>18.78</v>
      </c>
      <c r="E2305" t="s">
        <v>27</v>
      </c>
      <c r="F2305">
        <v>3.7</v>
      </c>
      <c r="G2305">
        <v>9.6</v>
      </c>
      <c r="H2305">
        <v>0</v>
      </c>
      <c r="I2305">
        <v>66.3</v>
      </c>
      <c r="J2305">
        <v>29.4</v>
      </c>
      <c r="K2305">
        <v>1.3</v>
      </c>
      <c r="L2305">
        <v>3.9</v>
      </c>
      <c r="M2305">
        <v>2.8</v>
      </c>
      <c r="N2305">
        <v>0.69300000000000006</v>
      </c>
      <c r="O2305">
        <v>0.1</v>
      </c>
      <c r="P2305">
        <v>3.7</v>
      </c>
      <c r="Q2305">
        <v>13.1</v>
      </c>
      <c r="R2305">
        <v>-1.1000000000000001</v>
      </c>
      <c r="S2305">
        <v>0.1</v>
      </c>
      <c r="T2305">
        <v>0.5</v>
      </c>
      <c r="U2305" t="s">
        <v>27</v>
      </c>
      <c r="V2305" t="s">
        <v>27</v>
      </c>
      <c r="W2305">
        <v>0.35199999999999998</v>
      </c>
      <c r="X2305">
        <v>0.84499999999999997</v>
      </c>
      <c r="Y2305" t="s">
        <v>27</v>
      </c>
      <c r="Z2305" t="s">
        <v>27</v>
      </c>
      <c r="AA2305" t="s">
        <v>27</v>
      </c>
      <c r="AB2305" t="s">
        <v>27</v>
      </c>
      <c r="AC2305" t="s">
        <v>27</v>
      </c>
      <c r="AD2305" t="s">
        <v>27</v>
      </c>
      <c r="AE2305" t="s">
        <v>27</v>
      </c>
      <c r="AF2305" t="s">
        <v>27</v>
      </c>
      <c r="AG2305">
        <v>25.96</v>
      </c>
    </row>
    <row r="2306" spans="1:33" x14ac:dyDescent="0.25">
      <c r="A2306" t="s">
        <v>57</v>
      </c>
      <c r="B2306" s="3">
        <v>45767</v>
      </c>
      <c r="C2306">
        <v>2025110</v>
      </c>
      <c r="D2306">
        <v>15.43</v>
      </c>
      <c r="E2306" t="s">
        <v>27</v>
      </c>
      <c r="F2306">
        <v>0.8</v>
      </c>
      <c r="G2306">
        <v>5.2</v>
      </c>
      <c r="H2306">
        <v>-2</v>
      </c>
      <c r="I2306">
        <v>74.099999999999994</v>
      </c>
      <c r="J2306">
        <v>45.8</v>
      </c>
      <c r="K2306">
        <v>1.2</v>
      </c>
      <c r="L2306">
        <v>2.8</v>
      </c>
      <c r="M2306">
        <v>6.9</v>
      </c>
      <c r="N2306">
        <v>0.67700000000000005</v>
      </c>
      <c r="O2306">
        <v>0.1</v>
      </c>
      <c r="P2306">
        <v>1.2</v>
      </c>
      <c r="Q2306">
        <v>10.1</v>
      </c>
      <c r="R2306">
        <v>-3.1</v>
      </c>
      <c r="S2306">
        <v>0.1</v>
      </c>
      <c r="T2306">
        <v>0.4</v>
      </c>
      <c r="U2306" t="s">
        <v>27</v>
      </c>
      <c r="V2306" t="s">
        <v>27</v>
      </c>
      <c r="W2306">
        <v>0.40600000000000003</v>
      </c>
      <c r="X2306">
        <v>0.48</v>
      </c>
      <c r="Y2306" t="s">
        <v>27</v>
      </c>
      <c r="Z2306" t="s">
        <v>27</v>
      </c>
      <c r="AA2306" t="s">
        <v>27</v>
      </c>
      <c r="AB2306" t="s">
        <v>27</v>
      </c>
      <c r="AC2306" t="s">
        <v>27</v>
      </c>
      <c r="AD2306" t="s">
        <v>27</v>
      </c>
      <c r="AE2306" t="s">
        <v>27</v>
      </c>
      <c r="AF2306" t="s">
        <v>27</v>
      </c>
      <c r="AG2306">
        <v>26.18</v>
      </c>
    </row>
    <row r="2307" spans="1:33" x14ac:dyDescent="0.25">
      <c r="A2307" t="s">
        <v>57</v>
      </c>
      <c r="B2307" s="3">
        <v>45768</v>
      </c>
      <c r="C2307">
        <v>2025111</v>
      </c>
      <c r="D2307">
        <v>15.53</v>
      </c>
      <c r="E2307" t="s">
        <v>27</v>
      </c>
      <c r="F2307">
        <v>-1.5</v>
      </c>
      <c r="G2307">
        <v>3.5</v>
      </c>
      <c r="H2307">
        <v>-7.3</v>
      </c>
      <c r="I2307">
        <v>76.2</v>
      </c>
      <c r="J2307">
        <v>47.1</v>
      </c>
      <c r="K2307">
        <v>0.9</v>
      </c>
      <c r="L2307">
        <v>2.5</v>
      </c>
      <c r="M2307">
        <v>2.6</v>
      </c>
      <c r="N2307">
        <v>0.68000000000000016</v>
      </c>
      <c r="O2307">
        <v>0.1</v>
      </c>
      <c r="P2307">
        <v>-0.8</v>
      </c>
      <c r="Q2307">
        <v>9.8000000000000007</v>
      </c>
      <c r="R2307">
        <v>-8.8000000000000007</v>
      </c>
      <c r="S2307">
        <v>0.1</v>
      </c>
      <c r="T2307">
        <v>0.4</v>
      </c>
      <c r="U2307" t="s">
        <v>27</v>
      </c>
      <c r="V2307" t="s">
        <v>27</v>
      </c>
      <c r="W2307">
        <v>0.36899999999999999</v>
      </c>
      <c r="X2307">
        <v>0.41399999999999998</v>
      </c>
      <c r="Y2307" t="s">
        <v>27</v>
      </c>
      <c r="Z2307" t="s">
        <v>27</v>
      </c>
      <c r="AA2307" t="s">
        <v>27</v>
      </c>
      <c r="AB2307" t="s">
        <v>27</v>
      </c>
      <c r="AC2307" t="s">
        <v>27</v>
      </c>
      <c r="AD2307" t="s">
        <v>27</v>
      </c>
      <c r="AE2307" t="s">
        <v>27</v>
      </c>
      <c r="AF2307" t="s">
        <v>27</v>
      </c>
      <c r="AG2307">
        <v>26.41</v>
      </c>
    </row>
    <row r="2308" spans="1:33" x14ac:dyDescent="0.25">
      <c r="A2308" t="s">
        <v>57</v>
      </c>
      <c r="B2308" s="3">
        <v>45769</v>
      </c>
      <c r="C2308">
        <v>2025112</v>
      </c>
      <c r="D2308">
        <v>19.54</v>
      </c>
      <c r="E2308" t="s">
        <v>27</v>
      </c>
      <c r="F2308">
        <v>-1</v>
      </c>
      <c r="G2308">
        <v>6.1</v>
      </c>
      <c r="H2308">
        <v>-8.6999999999999993</v>
      </c>
      <c r="I2308">
        <v>63.3</v>
      </c>
      <c r="J2308">
        <v>31.1</v>
      </c>
      <c r="K2308">
        <v>0.5</v>
      </c>
      <c r="L2308">
        <v>2.2999999999999998</v>
      </c>
      <c r="M2308">
        <v>0.3</v>
      </c>
      <c r="N2308">
        <v>0.68100000000000005</v>
      </c>
      <c r="O2308">
        <v>0</v>
      </c>
      <c r="P2308">
        <v>-0.8</v>
      </c>
      <c r="Q2308">
        <v>12</v>
      </c>
      <c r="R2308">
        <v>-10.3</v>
      </c>
      <c r="S2308">
        <v>0.1</v>
      </c>
      <c r="T2308">
        <v>0.4</v>
      </c>
      <c r="U2308" t="s">
        <v>27</v>
      </c>
      <c r="V2308" t="s">
        <v>27</v>
      </c>
      <c r="W2308">
        <v>0.29399999999999998</v>
      </c>
      <c r="X2308">
        <v>0.65100000000000002</v>
      </c>
      <c r="Y2308" t="s">
        <v>27</v>
      </c>
      <c r="Z2308" t="s">
        <v>27</v>
      </c>
      <c r="AA2308" t="s">
        <v>27</v>
      </c>
      <c r="AB2308" t="s">
        <v>27</v>
      </c>
      <c r="AC2308" t="s">
        <v>27</v>
      </c>
      <c r="AD2308" t="s">
        <v>27</v>
      </c>
      <c r="AE2308" t="s">
        <v>27</v>
      </c>
      <c r="AF2308" t="s">
        <v>27</v>
      </c>
      <c r="AG2308">
        <v>26.63</v>
      </c>
    </row>
    <row r="2309" spans="1:33" x14ac:dyDescent="0.25">
      <c r="A2309" t="s">
        <v>57</v>
      </c>
      <c r="B2309" s="3">
        <v>45770</v>
      </c>
      <c r="C2309">
        <v>2025113</v>
      </c>
      <c r="D2309">
        <v>16.86</v>
      </c>
      <c r="E2309" t="s">
        <v>27</v>
      </c>
      <c r="F2309">
        <v>1</v>
      </c>
      <c r="G2309">
        <v>9</v>
      </c>
      <c r="H2309">
        <v>-7.2</v>
      </c>
      <c r="I2309">
        <v>63.1</v>
      </c>
      <c r="J2309">
        <v>29</v>
      </c>
      <c r="K2309">
        <v>0.5</v>
      </c>
      <c r="L2309">
        <v>2.4</v>
      </c>
      <c r="M2309">
        <v>0</v>
      </c>
      <c r="N2309">
        <v>0.67300000000000004</v>
      </c>
      <c r="O2309">
        <v>0</v>
      </c>
      <c r="P2309">
        <v>0.8</v>
      </c>
      <c r="Q2309">
        <v>14.8</v>
      </c>
      <c r="R2309">
        <v>-8.6999999999999993</v>
      </c>
      <c r="S2309">
        <v>0.1</v>
      </c>
      <c r="T2309">
        <v>0.4</v>
      </c>
      <c r="U2309" t="s">
        <v>27</v>
      </c>
      <c r="V2309" t="s">
        <v>27</v>
      </c>
      <c r="W2309">
        <v>0.33200000000000002</v>
      </c>
      <c r="X2309">
        <v>0.81299999999999994</v>
      </c>
      <c r="Y2309" t="s">
        <v>27</v>
      </c>
      <c r="Z2309" t="s">
        <v>27</v>
      </c>
      <c r="AA2309" t="s">
        <v>27</v>
      </c>
      <c r="AB2309" t="s">
        <v>27</v>
      </c>
      <c r="AC2309" t="s">
        <v>27</v>
      </c>
      <c r="AD2309" t="s">
        <v>27</v>
      </c>
      <c r="AE2309" t="s">
        <v>27</v>
      </c>
      <c r="AF2309" t="s">
        <v>27</v>
      </c>
      <c r="AG2309">
        <v>26.85</v>
      </c>
    </row>
    <row r="2310" spans="1:33" x14ac:dyDescent="0.25">
      <c r="A2310" t="s">
        <v>57</v>
      </c>
      <c r="B2310" s="3">
        <v>45771</v>
      </c>
      <c r="C2310">
        <v>2025114</v>
      </c>
      <c r="D2310">
        <v>27.58</v>
      </c>
      <c r="E2310" t="s">
        <v>27</v>
      </c>
      <c r="F2310">
        <v>4</v>
      </c>
      <c r="G2310">
        <v>13.8</v>
      </c>
      <c r="H2310">
        <v>-5.3</v>
      </c>
      <c r="I2310">
        <v>55.8</v>
      </c>
      <c r="J2310">
        <v>19.7</v>
      </c>
      <c r="K2310">
        <v>0.6</v>
      </c>
      <c r="L2310">
        <v>2.4</v>
      </c>
      <c r="M2310">
        <v>0</v>
      </c>
      <c r="N2310">
        <v>0.625</v>
      </c>
      <c r="O2310">
        <v>0</v>
      </c>
      <c r="P2310">
        <v>4.5999999999999996</v>
      </c>
      <c r="Q2310">
        <v>19.100000000000001</v>
      </c>
      <c r="R2310">
        <v>-7</v>
      </c>
      <c r="S2310">
        <v>0.1</v>
      </c>
      <c r="T2310">
        <v>0.4</v>
      </c>
      <c r="U2310" t="s">
        <v>27</v>
      </c>
      <c r="V2310" t="s">
        <v>27</v>
      </c>
      <c r="W2310">
        <v>0.311</v>
      </c>
      <c r="X2310">
        <v>1.268</v>
      </c>
      <c r="Y2310" t="s">
        <v>27</v>
      </c>
      <c r="Z2310" t="s">
        <v>27</v>
      </c>
      <c r="AA2310" t="s">
        <v>27</v>
      </c>
      <c r="AB2310" t="s">
        <v>27</v>
      </c>
      <c r="AC2310" t="s">
        <v>27</v>
      </c>
      <c r="AD2310" t="s">
        <v>27</v>
      </c>
      <c r="AE2310" t="s">
        <v>27</v>
      </c>
      <c r="AF2310" t="s">
        <v>27</v>
      </c>
      <c r="AG2310">
        <v>27.07</v>
      </c>
    </row>
    <row r="2311" spans="1:33" x14ac:dyDescent="0.25">
      <c r="A2311" t="s">
        <v>57</v>
      </c>
      <c r="B2311" s="3">
        <v>45772</v>
      </c>
      <c r="C2311">
        <v>2025115</v>
      </c>
      <c r="D2311">
        <v>28.35</v>
      </c>
      <c r="E2311" t="s">
        <v>27</v>
      </c>
      <c r="F2311">
        <v>6.6</v>
      </c>
      <c r="G2311">
        <v>16.5</v>
      </c>
      <c r="H2311">
        <v>-2.4</v>
      </c>
      <c r="I2311">
        <v>50.8</v>
      </c>
      <c r="J2311">
        <v>15.8</v>
      </c>
      <c r="K2311">
        <v>0.8</v>
      </c>
      <c r="L2311">
        <v>3</v>
      </c>
      <c r="M2311">
        <v>0</v>
      </c>
      <c r="N2311">
        <v>0.58000000000000007</v>
      </c>
      <c r="O2311">
        <v>0</v>
      </c>
      <c r="P2311">
        <v>6.9</v>
      </c>
      <c r="Q2311">
        <v>21.6</v>
      </c>
      <c r="R2311">
        <v>-4.2</v>
      </c>
      <c r="S2311">
        <v>0.1</v>
      </c>
      <c r="T2311">
        <v>0.4</v>
      </c>
      <c r="U2311" t="s">
        <v>27</v>
      </c>
      <c r="V2311" t="s">
        <v>27</v>
      </c>
      <c r="W2311">
        <v>0.29599999999999999</v>
      </c>
      <c r="X2311">
        <v>1.577</v>
      </c>
      <c r="Y2311" t="s">
        <v>27</v>
      </c>
      <c r="Z2311" t="s">
        <v>27</v>
      </c>
      <c r="AA2311" t="s">
        <v>27</v>
      </c>
      <c r="AB2311" t="s">
        <v>27</v>
      </c>
      <c r="AC2311" t="s">
        <v>27</v>
      </c>
      <c r="AD2311" t="s">
        <v>27</v>
      </c>
      <c r="AE2311" t="s">
        <v>27</v>
      </c>
      <c r="AF2311" t="s">
        <v>27</v>
      </c>
      <c r="AG2311">
        <v>27.29</v>
      </c>
    </row>
    <row r="2312" spans="1:33" x14ac:dyDescent="0.25">
      <c r="A2312" t="s">
        <v>57</v>
      </c>
      <c r="B2312" s="3">
        <v>45773</v>
      </c>
      <c r="C2312">
        <v>2025116</v>
      </c>
      <c r="D2312">
        <v>26.29</v>
      </c>
      <c r="E2312" t="s">
        <v>27</v>
      </c>
      <c r="F2312">
        <v>5.6</v>
      </c>
      <c r="G2312">
        <v>15.3</v>
      </c>
      <c r="H2312">
        <v>-3.2</v>
      </c>
      <c r="I2312">
        <v>57.5</v>
      </c>
      <c r="J2312">
        <v>24</v>
      </c>
      <c r="K2312">
        <v>0.6</v>
      </c>
      <c r="L2312">
        <v>2.6</v>
      </c>
      <c r="M2312">
        <v>0</v>
      </c>
      <c r="N2312">
        <v>0.54500000000000015</v>
      </c>
      <c r="O2312">
        <v>0</v>
      </c>
      <c r="P2312">
        <v>5.9</v>
      </c>
      <c r="Q2312">
        <v>20.3</v>
      </c>
      <c r="R2312">
        <v>-4.8</v>
      </c>
      <c r="S2312">
        <v>0.1</v>
      </c>
      <c r="T2312">
        <v>0.4</v>
      </c>
      <c r="U2312" t="s">
        <v>27</v>
      </c>
      <c r="V2312" t="s">
        <v>27</v>
      </c>
      <c r="W2312">
        <v>0.41699999999999998</v>
      </c>
      <c r="X2312">
        <v>1.321</v>
      </c>
      <c r="Y2312" t="s">
        <v>27</v>
      </c>
      <c r="Z2312" t="s">
        <v>27</v>
      </c>
      <c r="AA2312" t="s">
        <v>27</v>
      </c>
      <c r="AB2312" t="s">
        <v>27</v>
      </c>
      <c r="AC2312" t="s">
        <v>27</v>
      </c>
      <c r="AD2312" t="s">
        <v>27</v>
      </c>
      <c r="AE2312" t="s">
        <v>27</v>
      </c>
      <c r="AF2312" t="s">
        <v>27</v>
      </c>
      <c r="AG2312">
        <v>27.5</v>
      </c>
    </row>
    <row r="2313" spans="1:33" x14ac:dyDescent="0.25">
      <c r="A2313" t="s">
        <v>57</v>
      </c>
      <c r="B2313" s="3">
        <v>45774</v>
      </c>
      <c r="C2313">
        <v>2025117</v>
      </c>
      <c r="D2313">
        <v>25.49</v>
      </c>
      <c r="E2313" t="s">
        <v>27</v>
      </c>
      <c r="F2313">
        <v>5.0999999999999996</v>
      </c>
      <c r="G2313">
        <v>13</v>
      </c>
      <c r="H2313">
        <v>-2.2999999999999998</v>
      </c>
      <c r="I2313">
        <v>60.9</v>
      </c>
      <c r="J2313">
        <v>28</v>
      </c>
      <c r="K2313">
        <v>0.8</v>
      </c>
      <c r="L2313">
        <v>2.5</v>
      </c>
      <c r="M2313">
        <v>0</v>
      </c>
      <c r="N2313">
        <v>0.50800000000000001</v>
      </c>
      <c r="O2313">
        <v>0.1</v>
      </c>
      <c r="P2313">
        <v>5.5</v>
      </c>
      <c r="Q2313">
        <v>18.8</v>
      </c>
      <c r="R2313">
        <v>-3.8</v>
      </c>
      <c r="S2313">
        <v>0.1</v>
      </c>
      <c r="T2313">
        <v>0.4</v>
      </c>
      <c r="U2313" t="s">
        <v>27</v>
      </c>
      <c r="V2313" t="s">
        <v>27</v>
      </c>
      <c r="W2313">
        <v>0.42</v>
      </c>
      <c r="X2313">
        <v>1.08</v>
      </c>
      <c r="Y2313" t="s">
        <v>27</v>
      </c>
      <c r="Z2313" t="s">
        <v>27</v>
      </c>
      <c r="AA2313" t="s">
        <v>27</v>
      </c>
      <c r="AB2313" t="s">
        <v>27</v>
      </c>
      <c r="AC2313" t="s">
        <v>27</v>
      </c>
      <c r="AD2313" t="s">
        <v>27</v>
      </c>
      <c r="AE2313" t="s">
        <v>27</v>
      </c>
      <c r="AF2313" t="s">
        <v>27</v>
      </c>
      <c r="AG2313">
        <v>27.71</v>
      </c>
    </row>
    <row r="2314" spans="1:33" x14ac:dyDescent="0.25">
      <c r="A2314" t="s">
        <v>57</v>
      </c>
      <c r="B2314" s="3">
        <v>45775</v>
      </c>
      <c r="C2314">
        <v>2025118</v>
      </c>
      <c r="D2314">
        <v>11.12</v>
      </c>
      <c r="E2314" t="s">
        <v>27</v>
      </c>
      <c r="F2314">
        <v>2.5</v>
      </c>
      <c r="G2314">
        <v>8.5</v>
      </c>
      <c r="H2314">
        <v>-3.4</v>
      </c>
      <c r="I2314">
        <v>85.2</v>
      </c>
      <c r="J2314">
        <v>44.6</v>
      </c>
      <c r="K2314">
        <v>0.9</v>
      </c>
      <c r="L2314">
        <v>3.9</v>
      </c>
      <c r="M2314">
        <v>9.5</v>
      </c>
      <c r="N2314">
        <v>0.4910000000000001</v>
      </c>
      <c r="O2314">
        <v>0.1</v>
      </c>
      <c r="P2314">
        <v>1.7</v>
      </c>
      <c r="Q2314">
        <v>11</v>
      </c>
      <c r="R2314">
        <v>-4.7</v>
      </c>
      <c r="S2314">
        <v>0.1</v>
      </c>
      <c r="T2314">
        <v>0.4</v>
      </c>
      <c r="U2314" t="s">
        <v>27</v>
      </c>
      <c r="V2314" t="s">
        <v>27</v>
      </c>
      <c r="W2314">
        <v>0.49299999999999999</v>
      </c>
      <c r="X2314">
        <v>0.61199999999999999</v>
      </c>
      <c r="Y2314" t="s">
        <v>27</v>
      </c>
      <c r="Z2314" t="s">
        <v>27</v>
      </c>
      <c r="AA2314" t="s">
        <v>27</v>
      </c>
      <c r="AB2314" t="s">
        <v>27</v>
      </c>
      <c r="AC2314" t="s">
        <v>27</v>
      </c>
      <c r="AD2314" t="s">
        <v>27</v>
      </c>
      <c r="AE2314" t="s">
        <v>27</v>
      </c>
      <c r="AF2314" t="s">
        <v>27</v>
      </c>
      <c r="AG2314">
        <v>27.92</v>
      </c>
    </row>
    <row r="2315" spans="1:33" x14ac:dyDescent="0.25">
      <c r="A2315" t="s">
        <v>57</v>
      </c>
      <c r="B2315" s="3">
        <v>45776</v>
      </c>
      <c r="C2315">
        <v>2025119</v>
      </c>
      <c r="D2315">
        <v>18.63</v>
      </c>
      <c r="E2315" t="s">
        <v>27</v>
      </c>
      <c r="F2315">
        <v>3.8</v>
      </c>
      <c r="G2315">
        <v>10</v>
      </c>
      <c r="H2315">
        <v>-2.1</v>
      </c>
      <c r="I2315">
        <v>68.8</v>
      </c>
      <c r="J2315">
        <v>40.200000000000003</v>
      </c>
      <c r="K2315">
        <v>1.3</v>
      </c>
      <c r="L2315">
        <v>3.8</v>
      </c>
      <c r="M2315">
        <v>1.8</v>
      </c>
      <c r="N2315">
        <v>0.46300000000000008</v>
      </c>
      <c r="O2315">
        <v>0.1</v>
      </c>
      <c r="P2315">
        <v>3.7</v>
      </c>
      <c r="Q2315">
        <v>13.2</v>
      </c>
      <c r="R2315">
        <v>-3.4</v>
      </c>
      <c r="S2315">
        <v>0.1</v>
      </c>
      <c r="T2315">
        <v>0.4</v>
      </c>
      <c r="U2315" t="s">
        <v>27</v>
      </c>
      <c r="V2315" t="s">
        <v>27</v>
      </c>
      <c r="W2315">
        <v>0.49299999999999999</v>
      </c>
      <c r="X2315">
        <v>0.73299999999999998</v>
      </c>
      <c r="Y2315" t="s">
        <v>27</v>
      </c>
      <c r="Z2315" t="s">
        <v>27</v>
      </c>
      <c r="AA2315" t="s">
        <v>27</v>
      </c>
      <c r="AB2315" t="s">
        <v>27</v>
      </c>
      <c r="AC2315" t="s">
        <v>27</v>
      </c>
      <c r="AD2315" t="s">
        <v>27</v>
      </c>
      <c r="AE2315" t="s">
        <v>27</v>
      </c>
      <c r="AF2315" t="s">
        <v>27</v>
      </c>
      <c r="AG2315">
        <v>28.12</v>
      </c>
    </row>
    <row r="2316" spans="1:33" x14ac:dyDescent="0.25">
      <c r="A2316" t="s">
        <v>57</v>
      </c>
      <c r="B2316" s="3">
        <v>45777</v>
      </c>
      <c r="C2316">
        <v>2025120</v>
      </c>
      <c r="D2316">
        <v>26.93</v>
      </c>
      <c r="E2316" t="s">
        <v>27</v>
      </c>
      <c r="F2316">
        <v>4</v>
      </c>
      <c r="G2316">
        <v>12.8</v>
      </c>
      <c r="H2316">
        <v>-3.9</v>
      </c>
      <c r="I2316">
        <v>66</v>
      </c>
      <c r="J2316">
        <v>29.6</v>
      </c>
      <c r="K2316">
        <v>0.6</v>
      </c>
      <c r="L2316">
        <v>2.4</v>
      </c>
      <c r="M2316">
        <v>0</v>
      </c>
      <c r="N2316">
        <v>0.42399999999999993</v>
      </c>
      <c r="O2316">
        <v>0.1</v>
      </c>
      <c r="P2316">
        <v>4.5</v>
      </c>
      <c r="Q2316">
        <v>17</v>
      </c>
      <c r="R2316">
        <v>-5.2</v>
      </c>
      <c r="S2316">
        <v>0.1</v>
      </c>
      <c r="T2316">
        <v>0.4</v>
      </c>
      <c r="U2316" t="s">
        <v>27</v>
      </c>
      <c r="V2316" t="s">
        <v>27</v>
      </c>
      <c r="W2316">
        <v>0.436</v>
      </c>
      <c r="X2316">
        <v>1.0369999999999999</v>
      </c>
      <c r="Y2316" t="s">
        <v>27</v>
      </c>
      <c r="Z2316" t="s">
        <v>27</v>
      </c>
      <c r="AA2316" t="s">
        <v>27</v>
      </c>
      <c r="AB2316" t="s">
        <v>27</v>
      </c>
      <c r="AC2316" t="s">
        <v>27</v>
      </c>
      <c r="AD2316" t="s">
        <v>27</v>
      </c>
      <c r="AE2316" t="s">
        <v>27</v>
      </c>
      <c r="AF2316" t="s">
        <v>27</v>
      </c>
      <c r="AG2316">
        <v>28.32</v>
      </c>
    </row>
    <row r="2317" spans="1:33" x14ac:dyDescent="0.25">
      <c r="A2317" t="s">
        <v>57</v>
      </c>
      <c r="B2317" s="3">
        <v>45778</v>
      </c>
      <c r="C2317">
        <v>2025121</v>
      </c>
      <c r="D2317">
        <v>30.07</v>
      </c>
      <c r="E2317" t="s">
        <v>27</v>
      </c>
      <c r="F2317">
        <v>6.8</v>
      </c>
      <c r="G2317">
        <v>17.2</v>
      </c>
      <c r="H2317">
        <v>-2.8</v>
      </c>
      <c r="I2317">
        <v>60.5</v>
      </c>
      <c r="J2317">
        <v>24</v>
      </c>
      <c r="K2317">
        <v>0.7</v>
      </c>
      <c r="L2317">
        <v>2.6</v>
      </c>
      <c r="M2317">
        <v>0</v>
      </c>
      <c r="N2317">
        <v>0.375</v>
      </c>
      <c r="O2317">
        <v>0.1</v>
      </c>
      <c r="P2317">
        <v>7.1</v>
      </c>
      <c r="Q2317">
        <v>21.5</v>
      </c>
      <c r="R2317">
        <v>-4.3</v>
      </c>
      <c r="S2317">
        <v>0</v>
      </c>
      <c r="T2317">
        <v>0.3</v>
      </c>
      <c r="U2317" t="s">
        <v>27</v>
      </c>
      <c r="V2317" t="s">
        <v>27</v>
      </c>
      <c r="W2317">
        <v>0.47099999999999997</v>
      </c>
      <c r="X2317">
        <v>1.492</v>
      </c>
      <c r="Y2317" t="s">
        <v>27</v>
      </c>
      <c r="Z2317" t="s">
        <v>27</v>
      </c>
      <c r="AA2317" t="s">
        <v>27</v>
      </c>
      <c r="AB2317" t="s">
        <v>27</v>
      </c>
      <c r="AC2317" t="s">
        <v>27</v>
      </c>
      <c r="AD2317" t="s">
        <v>27</v>
      </c>
      <c r="AE2317" t="s">
        <v>27</v>
      </c>
      <c r="AF2317" t="s">
        <v>27</v>
      </c>
      <c r="AG2317">
        <v>28.52</v>
      </c>
    </row>
    <row r="2318" spans="1:33" x14ac:dyDescent="0.25">
      <c r="A2318" t="s">
        <v>57</v>
      </c>
      <c r="B2318" s="3">
        <v>45779</v>
      </c>
      <c r="C2318">
        <v>2025122</v>
      </c>
      <c r="D2318">
        <v>30.67</v>
      </c>
      <c r="E2318" t="s">
        <v>27</v>
      </c>
      <c r="F2318">
        <v>9.3000000000000007</v>
      </c>
      <c r="G2318">
        <v>20</v>
      </c>
      <c r="H2318">
        <v>-1.9</v>
      </c>
      <c r="I2318">
        <v>56.8</v>
      </c>
      <c r="J2318">
        <v>20.9</v>
      </c>
      <c r="K2318">
        <v>0.9</v>
      </c>
      <c r="L2318">
        <v>3.2</v>
      </c>
      <c r="M2318">
        <v>0</v>
      </c>
      <c r="N2318">
        <v>0.31499999999999995</v>
      </c>
      <c r="O2318">
        <v>0.3</v>
      </c>
      <c r="P2318">
        <v>9.6</v>
      </c>
      <c r="Q2318">
        <v>24.1</v>
      </c>
      <c r="R2318">
        <v>-3.2</v>
      </c>
      <c r="S2318">
        <v>0</v>
      </c>
      <c r="T2318">
        <v>0.3</v>
      </c>
      <c r="U2318" t="s">
        <v>27</v>
      </c>
      <c r="V2318" t="s">
        <v>27</v>
      </c>
      <c r="W2318">
        <v>0.48799999999999999</v>
      </c>
      <c r="X2318">
        <v>1.847</v>
      </c>
      <c r="Y2318" t="s">
        <v>27</v>
      </c>
      <c r="Z2318" t="s">
        <v>27</v>
      </c>
      <c r="AA2318" t="s">
        <v>27</v>
      </c>
      <c r="AB2318" t="s">
        <v>27</v>
      </c>
      <c r="AC2318" t="s">
        <v>27</v>
      </c>
      <c r="AD2318" t="s">
        <v>27</v>
      </c>
      <c r="AE2318" t="s">
        <v>27</v>
      </c>
      <c r="AF2318" t="s">
        <v>27</v>
      </c>
      <c r="AG2318">
        <v>28.7</v>
      </c>
    </row>
    <row r="2319" spans="1:33" x14ac:dyDescent="0.25">
      <c r="A2319" t="s">
        <v>57</v>
      </c>
      <c r="B2319" s="3">
        <v>45780</v>
      </c>
      <c r="C2319">
        <v>2025123</v>
      </c>
      <c r="D2319">
        <v>9.48</v>
      </c>
      <c r="E2319" t="s">
        <v>27</v>
      </c>
      <c r="F2319">
        <v>3.8</v>
      </c>
      <c r="G2319">
        <v>10.1</v>
      </c>
      <c r="H2319">
        <v>-2.2999999999999998</v>
      </c>
      <c r="I2319">
        <v>83.9</v>
      </c>
      <c r="J2319">
        <v>60.1</v>
      </c>
      <c r="K2319">
        <v>0.7</v>
      </c>
      <c r="L2319">
        <v>2.5</v>
      </c>
      <c r="M2319">
        <v>5.9</v>
      </c>
      <c r="N2319">
        <v>0.29499999999999993</v>
      </c>
      <c r="O2319">
        <v>0.2</v>
      </c>
      <c r="P2319">
        <v>3.1</v>
      </c>
      <c r="Q2319">
        <v>10.9</v>
      </c>
      <c r="R2319">
        <v>-3.7</v>
      </c>
      <c r="S2319">
        <v>0.1</v>
      </c>
      <c r="T2319">
        <v>0.3</v>
      </c>
      <c r="U2319" t="s">
        <v>27</v>
      </c>
      <c r="V2319" t="s">
        <v>27</v>
      </c>
      <c r="W2319">
        <v>0.74399999999999999</v>
      </c>
      <c r="X2319">
        <v>0.49399999999999999</v>
      </c>
      <c r="Y2319" t="s">
        <v>27</v>
      </c>
      <c r="Z2319" t="s">
        <v>27</v>
      </c>
      <c r="AA2319" t="s">
        <v>27</v>
      </c>
      <c r="AB2319" t="s">
        <v>27</v>
      </c>
      <c r="AC2319" t="s">
        <v>27</v>
      </c>
      <c r="AD2319" t="s">
        <v>27</v>
      </c>
      <c r="AE2319" t="s">
        <v>27</v>
      </c>
      <c r="AF2319" t="s">
        <v>27</v>
      </c>
      <c r="AG2319">
        <v>28.89</v>
      </c>
    </row>
    <row r="2320" spans="1:33" x14ac:dyDescent="0.25">
      <c r="A2320" t="s">
        <v>57</v>
      </c>
      <c r="B2320" s="3">
        <v>45781</v>
      </c>
      <c r="C2320">
        <v>2025124</v>
      </c>
      <c r="D2320">
        <v>19.829999999999998</v>
      </c>
      <c r="E2320" t="s">
        <v>27</v>
      </c>
      <c r="F2320">
        <v>1.2</v>
      </c>
      <c r="G2320">
        <v>7</v>
      </c>
      <c r="H2320">
        <v>-2.8</v>
      </c>
      <c r="I2320">
        <v>64</v>
      </c>
      <c r="J2320">
        <v>35.700000000000003</v>
      </c>
      <c r="K2320">
        <v>1.1000000000000001</v>
      </c>
      <c r="L2320">
        <v>3.5</v>
      </c>
      <c r="M2320">
        <v>2.1</v>
      </c>
      <c r="N2320">
        <v>0.26000000000000023</v>
      </c>
      <c r="O2320">
        <v>0.2</v>
      </c>
      <c r="P2320">
        <v>1.2</v>
      </c>
      <c r="Q2320">
        <v>10.4</v>
      </c>
      <c r="R2320">
        <v>-4.8</v>
      </c>
      <c r="S2320">
        <v>0.1</v>
      </c>
      <c r="T2320">
        <v>0.3</v>
      </c>
      <c r="U2320" t="s">
        <v>27</v>
      </c>
      <c r="V2320" t="s">
        <v>27</v>
      </c>
      <c r="W2320">
        <v>0.35799999999999998</v>
      </c>
      <c r="X2320">
        <v>0.64500000000000002</v>
      </c>
      <c r="Y2320" t="s">
        <v>27</v>
      </c>
      <c r="Z2320" t="s">
        <v>27</v>
      </c>
      <c r="AA2320" t="s">
        <v>27</v>
      </c>
      <c r="AB2320" t="s">
        <v>27</v>
      </c>
      <c r="AC2320" t="s">
        <v>27</v>
      </c>
      <c r="AD2320" t="s">
        <v>27</v>
      </c>
      <c r="AE2320" t="s">
        <v>27</v>
      </c>
      <c r="AF2320" t="s">
        <v>27</v>
      </c>
      <c r="AG2320">
        <v>29.07</v>
      </c>
    </row>
    <row r="2321" spans="1:33" x14ac:dyDescent="0.25">
      <c r="A2321" t="s">
        <v>57</v>
      </c>
      <c r="B2321" s="3">
        <v>45782</v>
      </c>
      <c r="C2321">
        <v>2025125</v>
      </c>
      <c r="D2321">
        <v>30</v>
      </c>
      <c r="E2321" t="s">
        <v>27</v>
      </c>
      <c r="F2321">
        <v>3.8</v>
      </c>
      <c r="G2321">
        <v>12.6</v>
      </c>
      <c r="H2321">
        <v>-5.4</v>
      </c>
      <c r="I2321">
        <v>54.6</v>
      </c>
      <c r="J2321">
        <v>17.899999999999999</v>
      </c>
      <c r="K2321">
        <v>0.6</v>
      </c>
      <c r="L2321">
        <v>2.2000000000000002</v>
      </c>
      <c r="M2321">
        <v>0</v>
      </c>
      <c r="N2321">
        <v>0.2200000000000002</v>
      </c>
      <c r="O2321">
        <v>0.2</v>
      </c>
      <c r="P2321">
        <v>4.3</v>
      </c>
      <c r="Q2321">
        <v>16.899999999999999</v>
      </c>
      <c r="R2321">
        <v>-7</v>
      </c>
      <c r="S2321">
        <v>0</v>
      </c>
      <c r="T2321">
        <v>0.3</v>
      </c>
      <c r="U2321" t="s">
        <v>27</v>
      </c>
      <c r="V2321" t="s">
        <v>27</v>
      </c>
      <c r="W2321">
        <v>0.26100000000000001</v>
      </c>
      <c r="X2321">
        <v>1.1970000000000001</v>
      </c>
      <c r="Y2321" t="s">
        <v>27</v>
      </c>
      <c r="Z2321" t="s">
        <v>27</v>
      </c>
      <c r="AA2321" t="s">
        <v>27</v>
      </c>
      <c r="AB2321" t="s">
        <v>27</v>
      </c>
      <c r="AC2321" t="s">
        <v>27</v>
      </c>
      <c r="AD2321" t="s">
        <v>27</v>
      </c>
      <c r="AE2321" t="s">
        <v>27</v>
      </c>
      <c r="AF2321" t="s">
        <v>27</v>
      </c>
      <c r="AG2321">
        <v>29.25</v>
      </c>
    </row>
    <row r="2322" spans="1:33" x14ac:dyDescent="0.25">
      <c r="A2322" t="s">
        <v>57</v>
      </c>
      <c r="B2322" s="3">
        <v>45783</v>
      </c>
      <c r="C2322">
        <v>2025126</v>
      </c>
      <c r="D2322">
        <v>30.11</v>
      </c>
      <c r="E2322" t="s">
        <v>27</v>
      </c>
      <c r="F2322">
        <v>7.3</v>
      </c>
      <c r="G2322">
        <v>17</v>
      </c>
      <c r="H2322">
        <v>-2.5</v>
      </c>
      <c r="I2322">
        <v>52.2</v>
      </c>
      <c r="J2322">
        <v>23.1</v>
      </c>
      <c r="K2322">
        <v>0.8</v>
      </c>
      <c r="L2322">
        <v>2.9</v>
      </c>
      <c r="M2322">
        <v>0</v>
      </c>
      <c r="N2322">
        <v>0.15600000000000014</v>
      </c>
      <c r="O2322">
        <v>0.1</v>
      </c>
      <c r="P2322">
        <v>7.5</v>
      </c>
      <c r="Q2322">
        <v>20.8</v>
      </c>
      <c r="R2322">
        <v>-4.0999999999999996</v>
      </c>
      <c r="S2322">
        <v>0.1</v>
      </c>
      <c r="T2322">
        <v>0.3</v>
      </c>
      <c r="U2322" t="s">
        <v>27</v>
      </c>
      <c r="V2322" t="s">
        <v>27</v>
      </c>
      <c r="W2322">
        <v>0.44600000000000001</v>
      </c>
      <c r="X2322">
        <v>1.4850000000000001</v>
      </c>
      <c r="Y2322" t="s">
        <v>27</v>
      </c>
      <c r="Z2322" t="s">
        <v>27</v>
      </c>
      <c r="AA2322" t="s">
        <v>27</v>
      </c>
      <c r="AB2322" t="s">
        <v>27</v>
      </c>
      <c r="AC2322" t="s">
        <v>27</v>
      </c>
      <c r="AD2322" t="s">
        <v>27</v>
      </c>
      <c r="AE2322" t="s">
        <v>27</v>
      </c>
      <c r="AF2322" t="s">
        <v>27</v>
      </c>
      <c r="AG2322">
        <v>29.43</v>
      </c>
    </row>
    <row r="2323" spans="1:33" x14ac:dyDescent="0.25">
      <c r="A2323" t="s">
        <v>57</v>
      </c>
      <c r="B2323" s="3">
        <v>45784</v>
      </c>
      <c r="C2323">
        <v>2025127</v>
      </c>
      <c r="D2323">
        <v>24.85</v>
      </c>
      <c r="E2323" t="s">
        <v>27</v>
      </c>
      <c r="F2323">
        <v>8.6</v>
      </c>
      <c r="G2323">
        <v>16.899999999999999</v>
      </c>
      <c r="H2323">
        <v>0.1</v>
      </c>
      <c r="I2323">
        <v>55.4</v>
      </c>
      <c r="J2323">
        <v>30.7</v>
      </c>
      <c r="K2323">
        <v>1</v>
      </c>
      <c r="L2323">
        <v>3.5</v>
      </c>
      <c r="M2323">
        <v>0</v>
      </c>
      <c r="N2323">
        <v>8.4000000000000075E-2</v>
      </c>
      <c r="O2323">
        <v>0.1</v>
      </c>
      <c r="P2323">
        <v>8.8000000000000007</v>
      </c>
      <c r="Q2323">
        <v>21.5</v>
      </c>
      <c r="R2323">
        <v>-1.1000000000000001</v>
      </c>
      <c r="S2323">
        <v>0.1</v>
      </c>
      <c r="T2323">
        <v>0.4</v>
      </c>
      <c r="U2323" t="s">
        <v>27</v>
      </c>
      <c r="V2323" t="s">
        <v>27</v>
      </c>
      <c r="W2323">
        <v>0.58899999999999997</v>
      </c>
      <c r="X2323">
        <v>1.33</v>
      </c>
      <c r="Y2323" t="s">
        <v>27</v>
      </c>
      <c r="Z2323" t="s">
        <v>27</v>
      </c>
      <c r="AA2323" t="s">
        <v>27</v>
      </c>
      <c r="AB2323" t="s">
        <v>27</v>
      </c>
      <c r="AC2323" t="s">
        <v>27</v>
      </c>
      <c r="AD2323" t="s">
        <v>27</v>
      </c>
      <c r="AE2323" t="s">
        <v>27</v>
      </c>
      <c r="AF2323" t="s">
        <v>27</v>
      </c>
      <c r="AG2323">
        <v>29.61</v>
      </c>
    </row>
    <row r="2324" spans="1:33" x14ac:dyDescent="0.25">
      <c r="A2324" t="s">
        <v>57</v>
      </c>
      <c r="B2324" s="3">
        <v>45785</v>
      </c>
      <c r="C2324">
        <v>2025128</v>
      </c>
      <c r="D2324">
        <v>29.82</v>
      </c>
      <c r="E2324" t="s">
        <v>27</v>
      </c>
      <c r="F2324">
        <v>4.3</v>
      </c>
      <c r="G2324">
        <v>11.5</v>
      </c>
      <c r="H2324">
        <v>-1.7</v>
      </c>
      <c r="I2324">
        <v>48.5</v>
      </c>
      <c r="J2324">
        <v>16.100000000000001</v>
      </c>
      <c r="K2324">
        <v>1.1000000000000001</v>
      </c>
      <c r="L2324">
        <v>3</v>
      </c>
      <c r="M2324">
        <v>0</v>
      </c>
      <c r="N2324">
        <v>4.0000000000000036E-2</v>
      </c>
      <c r="O2324">
        <v>0.3</v>
      </c>
      <c r="P2324">
        <v>5.0999999999999996</v>
      </c>
      <c r="Q2324">
        <v>15.4</v>
      </c>
      <c r="R2324">
        <v>-3</v>
      </c>
      <c r="S2324">
        <v>0.3</v>
      </c>
      <c r="T2324">
        <v>0.6</v>
      </c>
      <c r="U2324" t="s">
        <v>27</v>
      </c>
      <c r="V2324" t="s">
        <v>27</v>
      </c>
      <c r="W2324">
        <v>0.218</v>
      </c>
      <c r="X2324">
        <v>1.1359999999999999</v>
      </c>
      <c r="Y2324" t="s">
        <v>27</v>
      </c>
      <c r="Z2324" t="s">
        <v>27</v>
      </c>
      <c r="AA2324" t="s">
        <v>27</v>
      </c>
      <c r="AB2324" t="s">
        <v>27</v>
      </c>
      <c r="AC2324" t="s">
        <v>27</v>
      </c>
      <c r="AD2324" t="s">
        <v>27</v>
      </c>
      <c r="AE2324" t="s">
        <v>27</v>
      </c>
      <c r="AF2324" t="s">
        <v>27</v>
      </c>
      <c r="AG2324">
        <v>29.77</v>
      </c>
    </row>
    <row r="2325" spans="1:33" x14ac:dyDescent="0.25">
      <c r="A2325" t="s">
        <v>57</v>
      </c>
      <c r="B2325" s="3">
        <v>45786</v>
      </c>
      <c r="C2325">
        <v>2025129</v>
      </c>
      <c r="D2325">
        <v>22.39</v>
      </c>
      <c r="E2325" t="s">
        <v>27</v>
      </c>
      <c r="F2325">
        <v>6.1</v>
      </c>
      <c r="G2325">
        <v>15.8</v>
      </c>
      <c r="H2325">
        <v>-2.4</v>
      </c>
      <c r="I2325">
        <v>54.3</v>
      </c>
      <c r="J2325">
        <v>18</v>
      </c>
      <c r="K2325">
        <v>0.7</v>
      </c>
      <c r="L2325">
        <v>3</v>
      </c>
      <c r="M2325">
        <v>0</v>
      </c>
      <c r="N2325">
        <v>0</v>
      </c>
      <c r="O2325" t="s">
        <v>27</v>
      </c>
      <c r="P2325">
        <v>5.9</v>
      </c>
      <c r="Q2325">
        <v>17.600000000000001</v>
      </c>
      <c r="R2325">
        <v>-3.9</v>
      </c>
      <c r="S2325">
        <v>2.2999999999999998</v>
      </c>
      <c r="T2325">
        <v>1.4</v>
      </c>
      <c r="U2325" t="s">
        <v>27</v>
      </c>
      <c r="V2325" t="s">
        <v>27</v>
      </c>
      <c r="W2325">
        <v>0.32300000000000001</v>
      </c>
      <c r="X2325">
        <v>1.4710000000000001</v>
      </c>
      <c r="Y2325" t="s">
        <v>27</v>
      </c>
      <c r="Z2325" t="s">
        <v>27</v>
      </c>
      <c r="AA2325" t="s">
        <v>27</v>
      </c>
      <c r="AB2325" t="s">
        <v>27</v>
      </c>
      <c r="AC2325" t="s">
        <v>27</v>
      </c>
      <c r="AD2325" t="s">
        <v>27</v>
      </c>
      <c r="AE2325" t="s">
        <v>27</v>
      </c>
      <c r="AF2325" t="s">
        <v>27</v>
      </c>
      <c r="AG2325">
        <v>29.94</v>
      </c>
    </row>
    <row r="2326" spans="1:33" x14ac:dyDescent="0.25">
      <c r="A2326" t="s">
        <v>57</v>
      </c>
      <c r="B2326" s="3">
        <v>45787</v>
      </c>
      <c r="C2326">
        <v>2025130</v>
      </c>
      <c r="D2326">
        <v>13.17</v>
      </c>
      <c r="E2326" t="s">
        <v>27</v>
      </c>
      <c r="F2326">
        <v>6</v>
      </c>
      <c r="G2326">
        <v>11.7</v>
      </c>
      <c r="H2326">
        <v>-1.4</v>
      </c>
      <c r="I2326">
        <v>68.900000000000006</v>
      </c>
      <c r="J2326">
        <v>42.5</v>
      </c>
      <c r="K2326">
        <v>0.5</v>
      </c>
      <c r="L2326">
        <v>2.6</v>
      </c>
      <c r="M2326">
        <v>0</v>
      </c>
      <c r="N2326">
        <v>0</v>
      </c>
      <c r="O2326" t="s">
        <v>27</v>
      </c>
      <c r="P2326">
        <v>5.8</v>
      </c>
      <c r="Q2326">
        <v>12.9</v>
      </c>
      <c r="R2326">
        <v>-2.7</v>
      </c>
      <c r="S2326">
        <v>5.9</v>
      </c>
      <c r="T2326">
        <v>3.1</v>
      </c>
      <c r="U2326" t="s">
        <v>27</v>
      </c>
      <c r="V2326" t="s">
        <v>27</v>
      </c>
      <c r="W2326">
        <v>0.58499999999999996</v>
      </c>
      <c r="X2326">
        <v>0.79100000000000004</v>
      </c>
      <c r="Y2326" t="s">
        <v>27</v>
      </c>
      <c r="Z2326" t="s">
        <v>27</v>
      </c>
      <c r="AA2326" t="s">
        <v>27</v>
      </c>
      <c r="AB2326" t="s">
        <v>27</v>
      </c>
      <c r="AC2326" t="s">
        <v>27</v>
      </c>
      <c r="AD2326" t="s">
        <v>27</v>
      </c>
      <c r="AE2326" t="s">
        <v>27</v>
      </c>
      <c r="AF2326" t="s">
        <v>27</v>
      </c>
      <c r="AG2326">
        <v>30.1</v>
      </c>
    </row>
    <row r="2327" spans="1:33" x14ac:dyDescent="0.25">
      <c r="A2327" t="s">
        <v>57</v>
      </c>
      <c r="B2327" s="3">
        <v>45788</v>
      </c>
      <c r="C2327">
        <v>2025131</v>
      </c>
      <c r="D2327">
        <v>17.690000000000001</v>
      </c>
      <c r="E2327" t="s">
        <v>27</v>
      </c>
      <c r="F2327">
        <v>3.7</v>
      </c>
      <c r="G2327">
        <v>11.8</v>
      </c>
      <c r="H2327">
        <v>-3.3</v>
      </c>
      <c r="I2327">
        <v>77.2</v>
      </c>
      <c r="J2327">
        <v>38.6</v>
      </c>
      <c r="K2327">
        <v>0.5</v>
      </c>
      <c r="L2327">
        <v>2.2000000000000002</v>
      </c>
      <c r="M2327">
        <v>3.8</v>
      </c>
      <c r="N2327">
        <v>0</v>
      </c>
      <c r="O2327" t="s">
        <v>27</v>
      </c>
      <c r="P2327">
        <v>3.7</v>
      </c>
      <c r="Q2327">
        <v>15.8</v>
      </c>
      <c r="R2327">
        <v>-4.5999999999999996</v>
      </c>
      <c r="S2327">
        <v>5.7</v>
      </c>
      <c r="T2327">
        <v>3.7</v>
      </c>
      <c r="U2327" t="s">
        <v>27</v>
      </c>
      <c r="V2327" t="s">
        <v>27</v>
      </c>
      <c r="W2327">
        <v>0.53300000000000003</v>
      </c>
      <c r="X2327">
        <v>0.84799999999999998</v>
      </c>
      <c r="Y2327" t="s">
        <v>27</v>
      </c>
      <c r="Z2327" t="s">
        <v>27</v>
      </c>
      <c r="AA2327" t="s">
        <v>27</v>
      </c>
      <c r="AB2327" t="s">
        <v>27</v>
      </c>
      <c r="AC2327" t="s">
        <v>27</v>
      </c>
      <c r="AD2327" t="s">
        <v>27</v>
      </c>
      <c r="AE2327" t="s">
        <v>27</v>
      </c>
      <c r="AF2327" t="s">
        <v>27</v>
      </c>
      <c r="AG2327">
        <v>30.26</v>
      </c>
    </row>
    <row r="2328" spans="1:33" x14ac:dyDescent="0.25">
      <c r="A2328" t="s">
        <v>57</v>
      </c>
      <c r="B2328" s="3">
        <v>45789</v>
      </c>
      <c r="C2328">
        <v>2025132</v>
      </c>
      <c r="D2328">
        <v>9.59</v>
      </c>
      <c r="E2328" t="s">
        <v>27</v>
      </c>
      <c r="F2328">
        <v>2.6</v>
      </c>
      <c r="G2328">
        <v>6.7</v>
      </c>
      <c r="H2328">
        <v>0.5</v>
      </c>
      <c r="I2328">
        <v>93.5</v>
      </c>
      <c r="J2328">
        <v>81.7</v>
      </c>
      <c r="K2328">
        <v>0.7</v>
      </c>
      <c r="L2328">
        <v>2.8</v>
      </c>
      <c r="M2328">
        <v>20.5</v>
      </c>
      <c r="N2328">
        <v>0</v>
      </c>
      <c r="O2328" t="s">
        <v>27</v>
      </c>
      <c r="P2328">
        <v>2.1</v>
      </c>
      <c r="Q2328">
        <v>7.9</v>
      </c>
      <c r="R2328">
        <v>-0.2</v>
      </c>
      <c r="S2328">
        <v>4.4000000000000004</v>
      </c>
      <c r="T2328">
        <v>3.5</v>
      </c>
      <c r="U2328" t="s">
        <v>27</v>
      </c>
      <c r="V2328" t="s">
        <v>27</v>
      </c>
      <c r="W2328">
        <v>0.80200000000000005</v>
      </c>
      <c r="X2328">
        <v>0.18</v>
      </c>
      <c r="Y2328" t="s">
        <v>27</v>
      </c>
      <c r="Z2328" t="s">
        <v>27</v>
      </c>
      <c r="AA2328" t="s">
        <v>27</v>
      </c>
      <c r="AB2328" t="s">
        <v>27</v>
      </c>
      <c r="AC2328" t="s">
        <v>27</v>
      </c>
      <c r="AD2328" t="s">
        <v>27</v>
      </c>
      <c r="AE2328" t="s">
        <v>27</v>
      </c>
      <c r="AF2328" t="s">
        <v>27</v>
      </c>
      <c r="AG2328">
        <v>30.41</v>
      </c>
    </row>
    <row r="2329" spans="1:33" x14ac:dyDescent="0.25">
      <c r="A2329" t="s">
        <v>57</v>
      </c>
      <c r="B2329" s="3">
        <v>45790</v>
      </c>
      <c r="C2329">
        <v>2025133</v>
      </c>
      <c r="D2329">
        <v>20.079999999999998</v>
      </c>
      <c r="E2329" t="s">
        <v>27</v>
      </c>
      <c r="F2329">
        <v>5.9</v>
      </c>
      <c r="G2329">
        <v>12.1</v>
      </c>
      <c r="H2329">
        <v>2.5</v>
      </c>
      <c r="I2329">
        <v>82.9</v>
      </c>
      <c r="J2329">
        <v>46.4</v>
      </c>
      <c r="K2329">
        <v>0.7</v>
      </c>
      <c r="L2329">
        <v>2.4</v>
      </c>
      <c r="M2329">
        <v>1.3</v>
      </c>
      <c r="N2329">
        <v>0</v>
      </c>
      <c r="O2329" t="s">
        <v>27</v>
      </c>
      <c r="P2329">
        <v>5.9</v>
      </c>
      <c r="Q2329">
        <v>16</v>
      </c>
      <c r="R2329">
        <v>1.8</v>
      </c>
      <c r="S2329">
        <v>9.6999999999999993</v>
      </c>
      <c r="T2329">
        <v>5.4</v>
      </c>
      <c r="U2329" t="s">
        <v>27</v>
      </c>
      <c r="V2329" t="s">
        <v>27</v>
      </c>
      <c r="W2329">
        <v>0.65600000000000003</v>
      </c>
      <c r="X2329">
        <v>0.75800000000000001</v>
      </c>
      <c r="Y2329" t="s">
        <v>27</v>
      </c>
      <c r="Z2329" t="s">
        <v>27</v>
      </c>
      <c r="AA2329" t="s">
        <v>27</v>
      </c>
      <c r="AB2329" t="s">
        <v>27</v>
      </c>
      <c r="AC2329" t="s">
        <v>27</v>
      </c>
      <c r="AD2329" t="s">
        <v>27</v>
      </c>
      <c r="AE2329" t="s">
        <v>27</v>
      </c>
      <c r="AF2329" t="s">
        <v>27</v>
      </c>
      <c r="AG2329">
        <v>30.57</v>
      </c>
    </row>
    <row r="2330" spans="1:33" x14ac:dyDescent="0.25">
      <c r="A2330" t="s">
        <v>57</v>
      </c>
      <c r="B2330" s="3">
        <v>45791</v>
      </c>
      <c r="C2330">
        <v>2025134</v>
      </c>
      <c r="D2330">
        <v>12.5</v>
      </c>
      <c r="E2330" t="s">
        <v>27</v>
      </c>
      <c r="F2330">
        <v>4.4000000000000004</v>
      </c>
      <c r="G2330">
        <v>9.6</v>
      </c>
      <c r="H2330">
        <v>-0.1</v>
      </c>
      <c r="I2330">
        <v>78.5</v>
      </c>
      <c r="J2330">
        <v>46.6</v>
      </c>
      <c r="K2330">
        <v>1.2</v>
      </c>
      <c r="L2330">
        <v>3.4</v>
      </c>
      <c r="M2330">
        <v>2.2000000000000002</v>
      </c>
      <c r="N2330">
        <v>0</v>
      </c>
      <c r="O2330" t="s">
        <v>27</v>
      </c>
      <c r="P2330">
        <v>4.0999999999999996</v>
      </c>
      <c r="Q2330">
        <v>11.1</v>
      </c>
      <c r="R2330">
        <v>-1.5</v>
      </c>
      <c r="S2330">
        <v>6.6</v>
      </c>
      <c r="T2330">
        <v>5.3</v>
      </c>
      <c r="U2330" t="s">
        <v>27</v>
      </c>
      <c r="V2330" t="s">
        <v>27</v>
      </c>
      <c r="W2330">
        <v>0.55600000000000005</v>
      </c>
      <c r="X2330">
        <v>0.63700000000000001</v>
      </c>
      <c r="Y2330" t="s">
        <v>27</v>
      </c>
      <c r="Z2330" t="s">
        <v>27</v>
      </c>
      <c r="AA2330" t="s">
        <v>27</v>
      </c>
      <c r="AB2330" t="s">
        <v>27</v>
      </c>
      <c r="AC2330" t="s">
        <v>27</v>
      </c>
      <c r="AD2330" t="s">
        <v>27</v>
      </c>
      <c r="AE2330" t="s">
        <v>27</v>
      </c>
      <c r="AF2330" t="s">
        <v>27</v>
      </c>
      <c r="AG2330">
        <v>30.71</v>
      </c>
    </row>
    <row r="2331" spans="1:33" x14ac:dyDescent="0.25">
      <c r="A2331" t="s">
        <v>57</v>
      </c>
      <c r="B2331" s="3">
        <v>45792</v>
      </c>
      <c r="C2331">
        <v>2025135</v>
      </c>
      <c r="D2331">
        <v>21.29</v>
      </c>
      <c r="E2331" t="s">
        <v>27</v>
      </c>
      <c r="F2331">
        <v>4.3</v>
      </c>
      <c r="G2331">
        <v>10.3</v>
      </c>
      <c r="H2331">
        <v>-1.8</v>
      </c>
      <c r="I2331">
        <v>62.4</v>
      </c>
      <c r="J2331">
        <v>33.4</v>
      </c>
      <c r="K2331">
        <v>0.9</v>
      </c>
      <c r="L2331">
        <v>2.4</v>
      </c>
      <c r="M2331">
        <v>0</v>
      </c>
      <c r="N2331">
        <v>0</v>
      </c>
      <c r="O2331" t="s">
        <v>27</v>
      </c>
      <c r="P2331">
        <v>4.3</v>
      </c>
      <c r="Q2331">
        <v>13.2</v>
      </c>
      <c r="R2331">
        <v>-3.2</v>
      </c>
      <c r="S2331">
        <v>7.1</v>
      </c>
      <c r="T2331">
        <v>5.0999999999999996</v>
      </c>
      <c r="U2331" t="s">
        <v>27</v>
      </c>
      <c r="V2331" t="s">
        <v>27</v>
      </c>
      <c r="W2331">
        <v>0.41899999999999998</v>
      </c>
      <c r="X2331">
        <v>0.83499999999999996</v>
      </c>
      <c r="Y2331" t="s">
        <v>27</v>
      </c>
      <c r="Z2331" t="s">
        <v>27</v>
      </c>
      <c r="AA2331" t="s">
        <v>27</v>
      </c>
      <c r="AB2331" t="s">
        <v>27</v>
      </c>
      <c r="AC2331" t="s">
        <v>27</v>
      </c>
      <c r="AD2331" t="s">
        <v>27</v>
      </c>
      <c r="AE2331" t="s">
        <v>27</v>
      </c>
      <c r="AF2331" t="s">
        <v>27</v>
      </c>
      <c r="AG2331">
        <v>30.86</v>
      </c>
    </row>
    <row r="2332" spans="1:33" x14ac:dyDescent="0.25">
      <c r="A2332" t="s">
        <v>57</v>
      </c>
      <c r="B2332" s="3">
        <v>45793</v>
      </c>
      <c r="C2332">
        <v>2025136</v>
      </c>
      <c r="D2332">
        <v>12.79</v>
      </c>
      <c r="E2332" t="s">
        <v>27</v>
      </c>
      <c r="F2332">
        <v>3.1</v>
      </c>
      <c r="G2332">
        <v>7.5</v>
      </c>
      <c r="H2332">
        <v>0.4</v>
      </c>
      <c r="I2332">
        <v>87.7</v>
      </c>
      <c r="J2332">
        <v>65.900000000000006</v>
      </c>
      <c r="K2332">
        <v>0.7</v>
      </c>
      <c r="L2332">
        <v>2.2999999999999998</v>
      </c>
      <c r="M2332">
        <v>3</v>
      </c>
      <c r="N2332">
        <v>0</v>
      </c>
      <c r="O2332" t="s">
        <v>27</v>
      </c>
      <c r="P2332">
        <v>3</v>
      </c>
      <c r="Q2332">
        <v>8.6999999999999993</v>
      </c>
      <c r="R2332">
        <v>-0.3</v>
      </c>
      <c r="S2332">
        <v>6.9</v>
      </c>
      <c r="T2332">
        <v>5.3</v>
      </c>
      <c r="U2332" t="s">
        <v>27</v>
      </c>
      <c r="V2332" t="s">
        <v>27</v>
      </c>
      <c r="W2332">
        <v>0.68500000000000005</v>
      </c>
      <c r="X2332">
        <v>0.35399999999999998</v>
      </c>
      <c r="Y2332" t="s">
        <v>27</v>
      </c>
      <c r="Z2332" t="s">
        <v>27</v>
      </c>
      <c r="AA2332" t="s">
        <v>27</v>
      </c>
      <c r="AB2332" t="s">
        <v>27</v>
      </c>
      <c r="AC2332" t="s">
        <v>27</v>
      </c>
      <c r="AD2332" t="s">
        <v>27</v>
      </c>
      <c r="AE2332" t="s">
        <v>27</v>
      </c>
      <c r="AF2332" t="s">
        <v>27</v>
      </c>
      <c r="AG2332">
        <v>31</v>
      </c>
    </row>
    <row r="2333" spans="1:33" x14ac:dyDescent="0.25">
      <c r="A2333" t="s">
        <v>57</v>
      </c>
      <c r="B2333" s="3">
        <v>45794</v>
      </c>
      <c r="C2333">
        <v>2025137</v>
      </c>
      <c r="D2333">
        <v>11.48</v>
      </c>
      <c r="E2333" t="s">
        <v>27</v>
      </c>
      <c r="F2333">
        <v>3.8</v>
      </c>
      <c r="G2333">
        <v>10.6</v>
      </c>
      <c r="H2333">
        <v>0</v>
      </c>
      <c r="I2333">
        <v>87</v>
      </c>
      <c r="J2333">
        <v>55.9</v>
      </c>
      <c r="K2333">
        <v>0.6</v>
      </c>
      <c r="L2333">
        <v>2.5</v>
      </c>
      <c r="M2333">
        <v>11.3</v>
      </c>
      <c r="N2333">
        <v>0</v>
      </c>
      <c r="O2333" t="s">
        <v>27</v>
      </c>
      <c r="P2333">
        <v>3.7</v>
      </c>
      <c r="Q2333">
        <v>14.2</v>
      </c>
      <c r="R2333">
        <v>-1.1000000000000001</v>
      </c>
      <c r="S2333">
        <v>6.7</v>
      </c>
      <c r="T2333">
        <v>5.6</v>
      </c>
      <c r="U2333" t="s">
        <v>27</v>
      </c>
      <c r="V2333" t="s">
        <v>27</v>
      </c>
      <c r="W2333">
        <v>0.71199999999999997</v>
      </c>
      <c r="X2333">
        <v>0.56200000000000006</v>
      </c>
      <c r="Y2333" t="s">
        <v>27</v>
      </c>
      <c r="Z2333" t="s">
        <v>27</v>
      </c>
      <c r="AA2333" t="s">
        <v>27</v>
      </c>
      <c r="AB2333" t="s">
        <v>27</v>
      </c>
      <c r="AC2333" t="s">
        <v>27</v>
      </c>
      <c r="AD2333" t="s">
        <v>27</v>
      </c>
      <c r="AE2333" t="s">
        <v>27</v>
      </c>
      <c r="AF2333" t="s">
        <v>27</v>
      </c>
      <c r="AG2333">
        <v>31.14</v>
      </c>
    </row>
    <row r="2334" spans="1:33" x14ac:dyDescent="0.25">
      <c r="A2334" t="s">
        <v>57</v>
      </c>
      <c r="B2334" s="3">
        <v>45795</v>
      </c>
      <c r="C2334">
        <v>2025138</v>
      </c>
      <c r="D2334">
        <v>14.9</v>
      </c>
      <c r="E2334" t="s">
        <v>27</v>
      </c>
      <c r="F2334">
        <v>1.2</v>
      </c>
      <c r="G2334">
        <v>5.4</v>
      </c>
      <c r="H2334">
        <v>-2.4</v>
      </c>
      <c r="I2334">
        <v>86.3</v>
      </c>
      <c r="J2334">
        <v>68.2</v>
      </c>
      <c r="K2334">
        <v>0.9</v>
      </c>
      <c r="L2334">
        <v>3.1</v>
      </c>
      <c r="M2334">
        <v>2.7</v>
      </c>
      <c r="N2334">
        <v>0</v>
      </c>
      <c r="O2334" t="s">
        <v>27</v>
      </c>
      <c r="P2334">
        <v>1</v>
      </c>
      <c r="Q2334">
        <v>8</v>
      </c>
      <c r="R2334">
        <v>-3.6</v>
      </c>
      <c r="S2334">
        <v>5.6</v>
      </c>
      <c r="T2334">
        <v>4.8</v>
      </c>
      <c r="U2334" t="s">
        <v>27</v>
      </c>
      <c r="V2334" t="s">
        <v>27</v>
      </c>
      <c r="W2334">
        <v>0.61099999999999999</v>
      </c>
      <c r="X2334">
        <v>0.28499999999999998</v>
      </c>
      <c r="Y2334" t="s">
        <v>27</v>
      </c>
      <c r="Z2334" t="s">
        <v>27</v>
      </c>
      <c r="AA2334" t="s">
        <v>27</v>
      </c>
      <c r="AB2334" t="s">
        <v>27</v>
      </c>
      <c r="AC2334" t="s">
        <v>27</v>
      </c>
      <c r="AD2334" t="s">
        <v>27</v>
      </c>
      <c r="AE2334" t="s">
        <v>27</v>
      </c>
      <c r="AF2334" t="s">
        <v>27</v>
      </c>
      <c r="AG2334">
        <v>31.27</v>
      </c>
    </row>
    <row r="2335" spans="1:33" x14ac:dyDescent="0.25">
      <c r="A2335" t="s">
        <v>57</v>
      </c>
      <c r="B2335" s="3">
        <v>45796</v>
      </c>
      <c r="C2335">
        <v>2025139</v>
      </c>
      <c r="D2335">
        <v>4.4400000000000004</v>
      </c>
      <c r="E2335" t="s">
        <v>27</v>
      </c>
      <c r="F2335">
        <v>0.3</v>
      </c>
      <c r="G2335">
        <v>2.6</v>
      </c>
      <c r="H2335">
        <v>-3.4</v>
      </c>
      <c r="I2335">
        <v>92.2</v>
      </c>
      <c r="J2335">
        <v>65.599999999999994</v>
      </c>
      <c r="K2335">
        <v>0.5</v>
      </c>
      <c r="L2335">
        <v>3.1</v>
      </c>
      <c r="M2335">
        <v>4.8</v>
      </c>
      <c r="N2335">
        <v>0</v>
      </c>
      <c r="O2335" t="s">
        <v>27</v>
      </c>
      <c r="P2335">
        <v>-0.3</v>
      </c>
      <c r="Q2335">
        <v>3</v>
      </c>
      <c r="R2335">
        <v>-4.5</v>
      </c>
      <c r="S2335">
        <v>0.6</v>
      </c>
      <c r="T2335">
        <v>3.3</v>
      </c>
      <c r="U2335" t="s">
        <v>27</v>
      </c>
      <c r="V2335" t="s">
        <v>27</v>
      </c>
      <c r="W2335">
        <v>0.48399999999999999</v>
      </c>
      <c r="X2335">
        <v>0.254</v>
      </c>
      <c r="Y2335" t="s">
        <v>27</v>
      </c>
      <c r="Z2335" t="s">
        <v>27</v>
      </c>
      <c r="AA2335" t="s">
        <v>27</v>
      </c>
      <c r="AB2335" t="s">
        <v>27</v>
      </c>
      <c r="AC2335" t="s">
        <v>27</v>
      </c>
      <c r="AD2335" t="s">
        <v>27</v>
      </c>
      <c r="AE2335" t="s">
        <v>27</v>
      </c>
      <c r="AF2335" t="s">
        <v>27</v>
      </c>
      <c r="AG2335">
        <v>31.4</v>
      </c>
    </row>
    <row r="2336" spans="1:33" x14ac:dyDescent="0.25">
      <c r="A2336" t="s">
        <v>57</v>
      </c>
      <c r="B2336" s="3">
        <v>45797</v>
      </c>
      <c r="C2336">
        <v>2025140</v>
      </c>
      <c r="D2336">
        <v>21.25</v>
      </c>
      <c r="E2336" t="s">
        <v>27</v>
      </c>
      <c r="F2336">
        <v>2.5</v>
      </c>
      <c r="G2336">
        <v>8.4</v>
      </c>
      <c r="H2336">
        <v>-2.4</v>
      </c>
      <c r="I2336">
        <v>77.099999999999994</v>
      </c>
      <c r="J2336">
        <v>47.7</v>
      </c>
      <c r="K2336">
        <v>1</v>
      </c>
      <c r="L2336">
        <v>3.2</v>
      </c>
      <c r="M2336">
        <v>8.3000000000000007</v>
      </c>
      <c r="N2336">
        <v>0</v>
      </c>
      <c r="O2336" t="s">
        <v>27</v>
      </c>
      <c r="P2336">
        <v>2.4</v>
      </c>
      <c r="Q2336">
        <v>10.8</v>
      </c>
      <c r="R2336">
        <v>-3.7</v>
      </c>
      <c r="S2336">
        <v>5.2</v>
      </c>
      <c r="T2336">
        <v>3.6</v>
      </c>
      <c r="U2336" t="s">
        <v>27</v>
      </c>
      <c r="V2336" t="s">
        <v>27</v>
      </c>
      <c r="W2336">
        <v>0.52500000000000002</v>
      </c>
      <c r="X2336">
        <v>0.57599999999999996</v>
      </c>
      <c r="Y2336" t="s">
        <v>27</v>
      </c>
      <c r="Z2336" t="s">
        <v>27</v>
      </c>
      <c r="AA2336" t="s">
        <v>27</v>
      </c>
      <c r="AB2336" t="s">
        <v>27</v>
      </c>
      <c r="AC2336" t="s">
        <v>27</v>
      </c>
      <c r="AD2336" t="s">
        <v>27</v>
      </c>
      <c r="AE2336" t="s">
        <v>27</v>
      </c>
      <c r="AF2336" t="s">
        <v>27</v>
      </c>
      <c r="AG2336">
        <v>31.52</v>
      </c>
    </row>
    <row r="2337" spans="1:33" x14ac:dyDescent="0.25">
      <c r="A2337" t="s">
        <v>57</v>
      </c>
      <c r="B2337" s="3">
        <v>45798</v>
      </c>
      <c r="C2337">
        <v>2025141</v>
      </c>
      <c r="D2337">
        <v>19.62</v>
      </c>
      <c r="E2337" t="s">
        <v>27</v>
      </c>
      <c r="F2337">
        <v>3.3</v>
      </c>
      <c r="G2337">
        <v>10.9</v>
      </c>
      <c r="H2337">
        <v>-3</v>
      </c>
      <c r="I2337">
        <v>74.5</v>
      </c>
      <c r="J2337">
        <v>40.299999999999997</v>
      </c>
      <c r="K2337">
        <v>0.6</v>
      </c>
      <c r="L2337">
        <v>2.6</v>
      </c>
      <c r="M2337">
        <v>0</v>
      </c>
      <c r="N2337">
        <v>0</v>
      </c>
      <c r="O2337" t="s">
        <v>27</v>
      </c>
      <c r="P2337">
        <v>3.6</v>
      </c>
      <c r="Q2337">
        <v>14.7</v>
      </c>
      <c r="R2337">
        <v>-4.4000000000000004</v>
      </c>
      <c r="S2337">
        <v>7.1</v>
      </c>
      <c r="T2337">
        <v>4.8</v>
      </c>
      <c r="U2337" t="s">
        <v>27</v>
      </c>
      <c r="V2337" t="s">
        <v>27</v>
      </c>
      <c r="W2337">
        <v>0.52600000000000002</v>
      </c>
      <c r="X2337">
        <v>0.77900000000000003</v>
      </c>
      <c r="Y2337" t="s">
        <v>27</v>
      </c>
      <c r="Z2337" t="s">
        <v>27</v>
      </c>
      <c r="AA2337" t="s">
        <v>27</v>
      </c>
      <c r="AB2337" t="s">
        <v>27</v>
      </c>
      <c r="AC2337" t="s">
        <v>27</v>
      </c>
      <c r="AD2337" t="s">
        <v>27</v>
      </c>
      <c r="AE2337" t="s">
        <v>27</v>
      </c>
      <c r="AF2337" t="s">
        <v>27</v>
      </c>
      <c r="AG2337">
        <v>31.65</v>
      </c>
    </row>
    <row r="2338" spans="1:33" x14ac:dyDescent="0.25">
      <c r="A2338" t="s">
        <v>57</v>
      </c>
      <c r="B2338" s="3">
        <v>45799</v>
      </c>
      <c r="C2338">
        <v>2025142</v>
      </c>
      <c r="D2338">
        <v>18.93</v>
      </c>
      <c r="E2338" t="s">
        <v>27</v>
      </c>
      <c r="F2338">
        <v>5.2</v>
      </c>
      <c r="G2338">
        <v>12.2</v>
      </c>
      <c r="H2338">
        <v>-1.5</v>
      </c>
      <c r="I2338">
        <v>73.599999999999994</v>
      </c>
      <c r="J2338">
        <v>42.2</v>
      </c>
      <c r="K2338">
        <v>0.4</v>
      </c>
      <c r="L2338">
        <v>2.1</v>
      </c>
      <c r="M2338">
        <v>0.2</v>
      </c>
      <c r="N2338">
        <v>0</v>
      </c>
      <c r="O2338" t="s">
        <v>27</v>
      </c>
      <c r="P2338">
        <v>5.6</v>
      </c>
      <c r="Q2338">
        <v>17.3</v>
      </c>
      <c r="R2338">
        <v>-2.5</v>
      </c>
      <c r="S2338">
        <v>8.8000000000000007</v>
      </c>
      <c r="T2338">
        <v>5.8</v>
      </c>
      <c r="U2338" t="s">
        <v>27</v>
      </c>
      <c r="V2338" t="s">
        <v>27</v>
      </c>
      <c r="W2338">
        <v>0.6</v>
      </c>
      <c r="X2338">
        <v>0.82199999999999995</v>
      </c>
      <c r="Y2338" t="s">
        <v>27</v>
      </c>
      <c r="Z2338" t="s">
        <v>27</v>
      </c>
      <c r="AA2338" t="s">
        <v>27</v>
      </c>
      <c r="AB2338" t="s">
        <v>27</v>
      </c>
      <c r="AC2338" t="s">
        <v>27</v>
      </c>
      <c r="AD2338" t="s">
        <v>27</v>
      </c>
      <c r="AE2338" t="s">
        <v>27</v>
      </c>
      <c r="AF2338" t="s">
        <v>27</v>
      </c>
      <c r="AG2338">
        <v>31.76</v>
      </c>
    </row>
    <row r="2339" spans="1:33" x14ac:dyDescent="0.25">
      <c r="A2339" t="s">
        <v>57</v>
      </c>
      <c r="B2339" s="3">
        <v>45800</v>
      </c>
      <c r="C2339">
        <v>2025143</v>
      </c>
      <c r="D2339">
        <v>26.19</v>
      </c>
      <c r="E2339" t="s">
        <v>27</v>
      </c>
      <c r="F2339">
        <v>7.1</v>
      </c>
      <c r="G2339">
        <v>15.2</v>
      </c>
      <c r="H2339">
        <v>-1.7</v>
      </c>
      <c r="I2339">
        <v>68.7</v>
      </c>
      <c r="J2339">
        <v>31.3</v>
      </c>
      <c r="K2339">
        <v>0.7</v>
      </c>
      <c r="L2339">
        <v>2.9</v>
      </c>
      <c r="M2339">
        <v>0</v>
      </c>
      <c r="N2339">
        <v>0</v>
      </c>
      <c r="O2339" t="s">
        <v>27</v>
      </c>
      <c r="P2339">
        <v>7.6</v>
      </c>
      <c r="Q2339">
        <v>19.399999999999999</v>
      </c>
      <c r="R2339">
        <v>-2.8</v>
      </c>
      <c r="S2339">
        <v>11.4</v>
      </c>
      <c r="T2339">
        <v>7.3</v>
      </c>
      <c r="U2339" t="s">
        <v>27</v>
      </c>
      <c r="V2339" t="s">
        <v>27</v>
      </c>
      <c r="W2339">
        <v>0.53900000000000003</v>
      </c>
      <c r="X2339">
        <v>1.1830000000000001</v>
      </c>
      <c r="Y2339" t="s">
        <v>27</v>
      </c>
      <c r="Z2339" t="s">
        <v>27</v>
      </c>
      <c r="AA2339" t="s">
        <v>27</v>
      </c>
      <c r="AB2339" t="s">
        <v>27</v>
      </c>
      <c r="AC2339" t="s">
        <v>27</v>
      </c>
      <c r="AD2339" t="s">
        <v>27</v>
      </c>
      <c r="AE2339" t="s">
        <v>27</v>
      </c>
      <c r="AF2339" t="s">
        <v>27</v>
      </c>
      <c r="AG2339">
        <v>31.88</v>
      </c>
    </row>
    <row r="2340" spans="1:33" x14ac:dyDescent="0.25">
      <c r="A2340" t="s">
        <v>57</v>
      </c>
      <c r="B2340" s="3">
        <v>45801</v>
      </c>
      <c r="C2340">
        <v>2025144</v>
      </c>
      <c r="D2340">
        <v>29.14</v>
      </c>
      <c r="E2340" t="s">
        <v>27</v>
      </c>
      <c r="F2340">
        <v>9.9</v>
      </c>
      <c r="G2340">
        <v>18.3</v>
      </c>
      <c r="H2340">
        <v>0.3</v>
      </c>
      <c r="I2340">
        <v>63.2</v>
      </c>
      <c r="J2340">
        <v>32.6</v>
      </c>
      <c r="K2340">
        <v>0.9</v>
      </c>
      <c r="L2340">
        <v>2.8</v>
      </c>
      <c r="M2340">
        <v>0</v>
      </c>
      <c r="N2340">
        <v>0</v>
      </c>
      <c r="O2340" t="s">
        <v>27</v>
      </c>
      <c r="P2340">
        <v>10.199999999999999</v>
      </c>
      <c r="Q2340">
        <v>22</v>
      </c>
      <c r="R2340">
        <v>-0.7</v>
      </c>
      <c r="S2340">
        <v>12.3</v>
      </c>
      <c r="T2340">
        <v>8.4</v>
      </c>
      <c r="U2340" t="s">
        <v>27</v>
      </c>
      <c r="V2340" t="s">
        <v>27</v>
      </c>
      <c r="W2340">
        <v>0.68700000000000006</v>
      </c>
      <c r="X2340">
        <v>1.42</v>
      </c>
      <c r="Y2340" t="s">
        <v>27</v>
      </c>
      <c r="Z2340" t="s">
        <v>27</v>
      </c>
      <c r="AA2340" t="s">
        <v>27</v>
      </c>
      <c r="AB2340" t="s">
        <v>27</v>
      </c>
      <c r="AC2340" t="s">
        <v>27</v>
      </c>
      <c r="AD2340" t="s">
        <v>27</v>
      </c>
      <c r="AE2340" t="s">
        <v>27</v>
      </c>
      <c r="AF2340" t="s">
        <v>27</v>
      </c>
      <c r="AG2340">
        <v>31.99</v>
      </c>
    </row>
    <row r="2341" spans="1:33" x14ac:dyDescent="0.25">
      <c r="A2341" t="s">
        <v>57</v>
      </c>
      <c r="B2341" s="3">
        <v>45802</v>
      </c>
      <c r="C2341">
        <v>2025145</v>
      </c>
      <c r="D2341">
        <v>32.619999999999997</v>
      </c>
      <c r="E2341" t="s">
        <v>27</v>
      </c>
      <c r="F2341">
        <v>13.1</v>
      </c>
      <c r="G2341">
        <v>22.1</v>
      </c>
      <c r="H2341">
        <v>1.7</v>
      </c>
      <c r="I2341">
        <v>57.8</v>
      </c>
      <c r="J2341">
        <v>27.3</v>
      </c>
      <c r="K2341">
        <v>1.1000000000000001</v>
      </c>
      <c r="L2341">
        <v>3.4</v>
      </c>
      <c r="M2341">
        <v>4.5</v>
      </c>
      <c r="N2341">
        <v>0</v>
      </c>
      <c r="O2341" t="s">
        <v>27</v>
      </c>
      <c r="P2341">
        <v>13.4</v>
      </c>
      <c r="Q2341">
        <v>25.5</v>
      </c>
      <c r="R2341">
        <v>0.6</v>
      </c>
      <c r="S2341">
        <v>14.6</v>
      </c>
      <c r="T2341">
        <v>9.5</v>
      </c>
      <c r="U2341" t="s">
        <v>27</v>
      </c>
      <c r="V2341" t="s">
        <v>27</v>
      </c>
      <c r="W2341">
        <v>0.72599999999999998</v>
      </c>
      <c r="X2341">
        <v>1.9330000000000001</v>
      </c>
      <c r="Y2341" t="s">
        <v>27</v>
      </c>
      <c r="Z2341" t="s">
        <v>27</v>
      </c>
      <c r="AA2341" t="s">
        <v>27</v>
      </c>
      <c r="AB2341" t="s">
        <v>27</v>
      </c>
      <c r="AC2341" t="s">
        <v>27</v>
      </c>
      <c r="AD2341" t="s">
        <v>27</v>
      </c>
      <c r="AE2341" t="s">
        <v>27</v>
      </c>
      <c r="AF2341" t="s">
        <v>27</v>
      </c>
      <c r="AG2341">
        <v>32.090000000000003</v>
      </c>
    </row>
    <row r="2342" spans="1:33" x14ac:dyDescent="0.25">
      <c r="A2342" t="s">
        <v>57</v>
      </c>
      <c r="B2342" s="3">
        <v>45803</v>
      </c>
      <c r="C2342">
        <v>2025146</v>
      </c>
      <c r="D2342">
        <v>13.97</v>
      </c>
      <c r="E2342" t="s">
        <v>27</v>
      </c>
      <c r="F2342">
        <v>7.8</v>
      </c>
      <c r="G2342">
        <v>13.8</v>
      </c>
      <c r="H2342">
        <v>0.1</v>
      </c>
      <c r="I2342">
        <v>85.3</v>
      </c>
      <c r="J2342">
        <v>49.1</v>
      </c>
      <c r="K2342">
        <v>0.6</v>
      </c>
      <c r="L2342">
        <v>3.5</v>
      </c>
      <c r="M2342">
        <v>7.5</v>
      </c>
      <c r="N2342">
        <v>0</v>
      </c>
      <c r="O2342" t="s">
        <v>27</v>
      </c>
      <c r="P2342">
        <v>7.2</v>
      </c>
      <c r="Q2342">
        <v>13.6</v>
      </c>
      <c r="R2342">
        <v>-1</v>
      </c>
      <c r="S2342">
        <v>11.4</v>
      </c>
      <c r="T2342">
        <v>9.6999999999999993</v>
      </c>
      <c r="U2342" t="s">
        <v>27</v>
      </c>
      <c r="V2342" t="s">
        <v>27</v>
      </c>
      <c r="W2342">
        <v>0.77500000000000002</v>
      </c>
      <c r="X2342">
        <v>0.80300000000000005</v>
      </c>
      <c r="Y2342" t="s">
        <v>27</v>
      </c>
      <c r="Z2342" t="s">
        <v>27</v>
      </c>
      <c r="AA2342" t="s">
        <v>27</v>
      </c>
      <c r="AB2342" t="s">
        <v>27</v>
      </c>
      <c r="AC2342" t="s">
        <v>27</v>
      </c>
      <c r="AD2342" t="s">
        <v>27</v>
      </c>
      <c r="AE2342" t="s">
        <v>27</v>
      </c>
      <c r="AF2342" t="s">
        <v>27</v>
      </c>
      <c r="AG2342">
        <v>32.200000000000003</v>
      </c>
    </row>
    <row r="2343" spans="1:33" x14ac:dyDescent="0.25">
      <c r="A2343" t="s">
        <v>57</v>
      </c>
      <c r="B2343" s="3">
        <v>45804</v>
      </c>
      <c r="C2343">
        <v>2025147</v>
      </c>
      <c r="D2343">
        <v>23.34</v>
      </c>
      <c r="E2343" t="s">
        <v>27</v>
      </c>
      <c r="F2343">
        <v>9.5</v>
      </c>
      <c r="G2343">
        <v>19.600000000000001</v>
      </c>
      <c r="H2343">
        <v>-0.5</v>
      </c>
      <c r="I2343">
        <v>70.7</v>
      </c>
      <c r="J2343">
        <v>38.799999999999997</v>
      </c>
      <c r="K2343">
        <v>0.6</v>
      </c>
      <c r="L2343">
        <v>2.2000000000000002</v>
      </c>
      <c r="M2343">
        <v>0</v>
      </c>
      <c r="N2343">
        <v>0</v>
      </c>
      <c r="O2343" t="s">
        <v>27</v>
      </c>
      <c r="P2343">
        <v>9.8000000000000007</v>
      </c>
      <c r="Q2343">
        <v>21.3</v>
      </c>
      <c r="R2343">
        <v>-1.6</v>
      </c>
      <c r="S2343">
        <v>12.5</v>
      </c>
      <c r="T2343">
        <v>9.3000000000000007</v>
      </c>
      <c r="U2343" t="s">
        <v>27</v>
      </c>
      <c r="V2343" t="s">
        <v>27</v>
      </c>
      <c r="W2343">
        <v>0.88400000000000001</v>
      </c>
      <c r="X2343">
        <v>1.3939999999999999</v>
      </c>
      <c r="Y2343" t="s">
        <v>27</v>
      </c>
      <c r="Z2343" t="s">
        <v>27</v>
      </c>
      <c r="AA2343" t="s">
        <v>27</v>
      </c>
      <c r="AB2343" t="s">
        <v>27</v>
      </c>
      <c r="AC2343" t="s">
        <v>27</v>
      </c>
      <c r="AD2343" t="s">
        <v>27</v>
      </c>
      <c r="AE2343" t="s">
        <v>27</v>
      </c>
      <c r="AF2343" t="s">
        <v>27</v>
      </c>
      <c r="AG2343">
        <v>32.29</v>
      </c>
    </row>
    <row r="2344" spans="1:33" x14ac:dyDescent="0.25">
      <c r="A2344" t="s">
        <v>57</v>
      </c>
      <c r="B2344" s="3">
        <v>45805</v>
      </c>
      <c r="C2344">
        <v>2025148</v>
      </c>
      <c r="D2344">
        <v>34.28</v>
      </c>
      <c r="E2344" t="s">
        <v>27</v>
      </c>
      <c r="F2344">
        <v>14.9</v>
      </c>
      <c r="G2344">
        <v>24.8</v>
      </c>
      <c r="H2344">
        <v>2.7</v>
      </c>
      <c r="I2344">
        <v>61.4</v>
      </c>
      <c r="J2344">
        <v>29.4</v>
      </c>
      <c r="K2344">
        <v>0.8</v>
      </c>
      <c r="L2344">
        <v>2.7</v>
      </c>
      <c r="M2344">
        <v>0</v>
      </c>
      <c r="N2344">
        <v>0</v>
      </c>
      <c r="O2344" t="s">
        <v>27</v>
      </c>
      <c r="P2344">
        <v>15.3</v>
      </c>
      <c r="Q2344">
        <v>28.7</v>
      </c>
      <c r="R2344">
        <v>1.7</v>
      </c>
      <c r="S2344">
        <v>16.100000000000001</v>
      </c>
      <c r="T2344">
        <v>10.9</v>
      </c>
      <c r="U2344" t="s">
        <v>27</v>
      </c>
      <c r="V2344" t="s">
        <v>27</v>
      </c>
      <c r="W2344">
        <v>0.92</v>
      </c>
      <c r="X2344">
        <v>2.2090000000000001</v>
      </c>
      <c r="Y2344" t="s">
        <v>27</v>
      </c>
      <c r="Z2344" t="s">
        <v>27</v>
      </c>
      <c r="AA2344" t="s">
        <v>27</v>
      </c>
      <c r="AB2344" t="s">
        <v>27</v>
      </c>
      <c r="AC2344" t="s">
        <v>27</v>
      </c>
      <c r="AD2344" t="s">
        <v>27</v>
      </c>
      <c r="AE2344" t="s">
        <v>27</v>
      </c>
      <c r="AF2344" t="s">
        <v>27</v>
      </c>
      <c r="AG2344">
        <v>32.39</v>
      </c>
    </row>
    <row r="2345" spans="1:33" x14ac:dyDescent="0.25">
      <c r="A2345" t="s">
        <v>57</v>
      </c>
      <c r="B2345" s="3">
        <v>45806</v>
      </c>
      <c r="C2345">
        <v>2025149</v>
      </c>
      <c r="D2345">
        <v>15.56</v>
      </c>
      <c r="E2345" t="s">
        <v>27</v>
      </c>
      <c r="F2345">
        <v>8.6</v>
      </c>
      <c r="G2345">
        <v>15.9</v>
      </c>
      <c r="H2345">
        <v>-0.9</v>
      </c>
      <c r="I2345">
        <v>80.8</v>
      </c>
      <c r="J2345">
        <v>43.3</v>
      </c>
      <c r="K2345">
        <v>0.8</v>
      </c>
      <c r="L2345">
        <v>3.2</v>
      </c>
      <c r="M2345">
        <v>6.2</v>
      </c>
      <c r="N2345">
        <v>0</v>
      </c>
      <c r="O2345" t="s">
        <v>27</v>
      </c>
      <c r="P2345">
        <v>7.8</v>
      </c>
      <c r="Q2345">
        <v>18.8</v>
      </c>
      <c r="R2345">
        <v>-1.8</v>
      </c>
      <c r="S2345">
        <v>11.5</v>
      </c>
      <c r="T2345">
        <v>10.8</v>
      </c>
      <c r="U2345" t="s">
        <v>27</v>
      </c>
      <c r="V2345" t="s">
        <v>27</v>
      </c>
      <c r="W2345">
        <v>0.78300000000000003</v>
      </c>
      <c r="X2345">
        <v>1.0249999999999999</v>
      </c>
      <c r="Y2345" t="s">
        <v>27</v>
      </c>
      <c r="Z2345" t="s">
        <v>27</v>
      </c>
      <c r="AA2345" t="s">
        <v>27</v>
      </c>
      <c r="AB2345" t="s">
        <v>27</v>
      </c>
      <c r="AC2345" t="s">
        <v>27</v>
      </c>
      <c r="AD2345" t="s">
        <v>27</v>
      </c>
      <c r="AE2345" t="s">
        <v>27</v>
      </c>
      <c r="AF2345" t="s">
        <v>27</v>
      </c>
      <c r="AG2345">
        <v>32.479999999999997</v>
      </c>
    </row>
    <row r="2346" spans="1:33" x14ac:dyDescent="0.25">
      <c r="A2346" t="s">
        <v>57</v>
      </c>
      <c r="B2346" s="3">
        <v>45807</v>
      </c>
      <c r="C2346">
        <v>2025150</v>
      </c>
      <c r="D2346">
        <v>31.49</v>
      </c>
      <c r="E2346" t="s">
        <v>27</v>
      </c>
      <c r="F2346">
        <v>11</v>
      </c>
      <c r="G2346">
        <v>21.9</v>
      </c>
      <c r="H2346">
        <v>-1.4</v>
      </c>
      <c r="I2346">
        <v>59.5</v>
      </c>
      <c r="J2346">
        <v>24.1</v>
      </c>
      <c r="K2346">
        <v>0.7</v>
      </c>
      <c r="L2346">
        <v>2.8</v>
      </c>
      <c r="M2346">
        <v>0</v>
      </c>
      <c r="N2346">
        <v>0</v>
      </c>
      <c r="O2346" t="s">
        <v>27</v>
      </c>
      <c r="P2346">
        <v>11.4</v>
      </c>
      <c r="Q2346">
        <v>26.5</v>
      </c>
      <c r="R2346">
        <v>-2.5</v>
      </c>
      <c r="S2346">
        <v>13.5</v>
      </c>
      <c r="T2346">
        <v>10.1</v>
      </c>
      <c r="U2346" t="s">
        <v>27</v>
      </c>
      <c r="V2346" t="s">
        <v>27</v>
      </c>
      <c r="W2346">
        <v>0.63500000000000001</v>
      </c>
      <c r="X2346">
        <v>2</v>
      </c>
      <c r="Y2346" t="s">
        <v>27</v>
      </c>
      <c r="Z2346" t="s">
        <v>27</v>
      </c>
      <c r="AA2346" t="s">
        <v>27</v>
      </c>
      <c r="AB2346" t="s">
        <v>27</v>
      </c>
      <c r="AC2346" t="s">
        <v>27</v>
      </c>
      <c r="AD2346" t="s">
        <v>27</v>
      </c>
      <c r="AE2346" t="s">
        <v>27</v>
      </c>
      <c r="AF2346" t="s">
        <v>27</v>
      </c>
      <c r="AG2346">
        <v>32.56</v>
      </c>
    </row>
    <row r="2347" spans="1:33" x14ac:dyDescent="0.25">
      <c r="A2347" t="s">
        <v>57</v>
      </c>
      <c r="B2347" s="3">
        <v>45808</v>
      </c>
      <c r="C2347">
        <v>2025151</v>
      </c>
      <c r="D2347">
        <v>24.83</v>
      </c>
      <c r="E2347" t="s">
        <v>27</v>
      </c>
      <c r="F2347">
        <v>10.8</v>
      </c>
      <c r="G2347">
        <v>22</v>
      </c>
      <c r="H2347">
        <v>1.3</v>
      </c>
      <c r="I2347">
        <v>59.3</v>
      </c>
      <c r="J2347">
        <v>25.1</v>
      </c>
      <c r="K2347">
        <v>1.2</v>
      </c>
      <c r="L2347">
        <v>4.0999999999999996</v>
      </c>
      <c r="M2347">
        <v>0</v>
      </c>
      <c r="N2347">
        <v>0</v>
      </c>
      <c r="O2347" t="s">
        <v>27</v>
      </c>
      <c r="P2347">
        <v>11</v>
      </c>
      <c r="Q2347">
        <v>26</v>
      </c>
      <c r="R2347">
        <v>-0.2</v>
      </c>
      <c r="S2347">
        <v>13.2</v>
      </c>
      <c r="T2347">
        <v>11.2</v>
      </c>
      <c r="U2347" t="s">
        <v>27</v>
      </c>
      <c r="V2347" t="s">
        <v>27</v>
      </c>
      <c r="W2347">
        <v>0.66400000000000003</v>
      </c>
      <c r="X2347">
        <v>1.9810000000000001</v>
      </c>
      <c r="Y2347" t="s">
        <v>27</v>
      </c>
      <c r="Z2347" t="s">
        <v>27</v>
      </c>
      <c r="AA2347" t="s">
        <v>27</v>
      </c>
      <c r="AB2347" t="s">
        <v>27</v>
      </c>
      <c r="AC2347" t="s">
        <v>27</v>
      </c>
      <c r="AD2347" t="s">
        <v>27</v>
      </c>
      <c r="AE2347" t="s">
        <v>27</v>
      </c>
      <c r="AF2347" t="s">
        <v>27</v>
      </c>
      <c r="AG2347">
        <v>32.64</v>
      </c>
    </row>
    <row r="2348" spans="1:33" x14ac:dyDescent="0.25">
      <c r="A2348" t="s">
        <v>57</v>
      </c>
      <c r="B2348" s="3">
        <v>45809</v>
      </c>
      <c r="C2348">
        <v>2025152</v>
      </c>
      <c r="D2348">
        <v>20.73</v>
      </c>
      <c r="E2348" t="s">
        <v>27</v>
      </c>
      <c r="F2348">
        <v>5</v>
      </c>
      <c r="G2348">
        <v>10.8</v>
      </c>
      <c r="H2348">
        <v>-1.7</v>
      </c>
      <c r="I2348">
        <v>62.4</v>
      </c>
      <c r="J2348">
        <v>36.1</v>
      </c>
      <c r="K2348">
        <v>1</v>
      </c>
      <c r="L2348">
        <v>2.5</v>
      </c>
      <c r="M2348">
        <v>0</v>
      </c>
      <c r="N2348">
        <v>0</v>
      </c>
      <c r="O2348" t="s">
        <v>27</v>
      </c>
      <c r="P2348">
        <v>5.4</v>
      </c>
      <c r="Q2348">
        <v>14.9</v>
      </c>
      <c r="R2348">
        <v>-3.1</v>
      </c>
      <c r="S2348">
        <v>10</v>
      </c>
      <c r="T2348">
        <v>9.6</v>
      </c>
      <c r="U2348" t="s">
        <v>27</v>
      </c>
      <c r="V2348" t="s">
        <v>27</v>
      </c>
      <c r="W2348">
        <v>0.46800000000000003</v>
      </c>
      <c r="X2348">
        <v>0.82799999999999996</v>
      </c>
      <c r="Y2348" t="s">
        <v>27</v>
      </c>
      <c r="Z2348" t="s">
        <v>27</v>
      </c>
      <c r="AA2348" t="s">
        <v>27</v>
      </c>
      <c r="AB2348" t="s">
        <v>27</v>
      </c>
      <c r="AC2348" t="s">
        <v>27</v>
      </c>
      <c r="AD2348" t="s">
        <v>27</v>
      </c>
      <c r="AE2348" t="s">
        <v>27</v>
      </c>
      <c r="AF2348" t="s">
        <v>27</v>
      </c>
      <c r="AG2348">
        <v>32.71</v>
      </c>
    </row>
    <row r="2349" spans="1:33" x14ac:dyDescent="0.25">
      <c r="A2349" t="s">
        <v>57</v>
      </c>
      <c r="B2349" s="3">
        <v>45810</v>
      </c>
      <c r="C2349">
        <v>2025153</v>
      </c>
      <c r="D2349">
        <v>29.27</v>
      </c>
      <c r="E2349" t="s">
        <v>27</v>
      </c>
      <c r="F2349">
        <v>5.8</v>
      </c>
      <c r="G2349">
        <v>13.9</v>
      </c>
      <c r="H2349">
        <v>-2.9</v>
      </c>
      <c r="I2349">
        <v>58.1</v>
      </c>
      <c r="J2349">
        <v>27.1</v>
      </c>
      <c r="K2349">
        <v>0.8</v>
      </c>
      <c r="L2349">
        <v>2.8</v>
      </c>
      <c r="M2349">
        <v>0</v>
      </c>
      <c r="N2349">
        <v>0</v>
      </c>
      <c r="O2349" t="s">
        <v>27</v>
      </c>
      <c r="P2349">
        <v>6.5</v>
      </c>
      <c r="Q2349">
        <v>18.3</v>
      </c>
      <c r="R2349">
        <v>-4.2</v>
      </c>
      <c r="S2349">
        <v>12.6</v>
      </c>
      <c r="T2349">
        <v>9.4</v>
      </c>
      <c r="U2349" t="s">
        <v>27</v>
      </c>
      <c r="V2349" t="s">
        <v>27</v>
      </c>
      <c r="W2349">
        <v>0.43</v>
      </c>
      <c r="X2349">
        <v>1.157</v>
      </c>
      <c r="Y2349" t="s">
        <v>27</v>
      </c>
      <c r="Z2349" t="s">
        <v>27</v>
      </c>
      <c r="AA2349" t="s">
        <v>27</v>
      </c>
      <c r="AB2349" t="s">
        <v>27</v>
      </c>
      <c r="AC2349" t="s">
        <v>27</v>
      </c>
      <c r="AD2349" t="s">
        <v>27</v>
      </c>
      <c r="AE2349" t="s">
        <v>27</v>
      </c>
      <c r="AF2349" t="s">
        <v>27</v>
      </c>
      <c r="AG2349">
        <v>32.78</v>
      </c>
    </row>
    <row r="2350" spans="1:33" x14ac:dyDescent="0.25">
      <c r="A2350" t="s">
        <v>57</v>
      </c>
      <c r="B2350" s="3">
        <v>45811</v>
      </c>
      <c r="C2350">
        <v>2025154</v>
      </c>
      <c r="D2350">
        <v>28.85</v>
      </c>
      <c r="E2350" t="s">
        <v>27</v>
      </c>
      <c r="F2350">
        <v>8.6</v>
      </c>
      <c r="G2350">
        <v>16.3</v>
      </c>
      <c r="H2350">
        <v>1</v>
      </c>
      <c r="I2350">
        <v>58.2</v>
      </c>
      <c r="J2350">
        <v>26</v>
      </c>
      <c r="K2350">
        <v>0.8</v>
      </c>
      <c r="L2350">
        <v>3.2</v>
      </c>
      <c r="M2350">
        <v>0</v>
      </c>
      <c r="N2350">
        <v>0</v>
      </c>
      <c r="O2350" t="s">
        <v>27</v>
      </c>
      <c r="P2350">
        <v>9.1999999999999993</v>
      </c>
      <c r="Q2350">
        <v>20.3</v>
      </c>
      <c r="R2350">
        <v>0</v>
      </c>
      <c r="S2350">
        <v>15.1</v>
      </c>
      <c r="T2350">
        <v>10.4</v>
      </c>
      <c r="U2350" t="s">
        <v>27</v>
      </c>
      <c r="V2350" t="s">
        <v>27</v>
      </c>
      <c r="W2350">
        <v>0.48199999999999998</v>
      </c>
      <c r="X2350">
        <v>1.3720000000000001</v>
      </c>
      <c r="Y2350" t="s">
        <v>27</v>
      </c>
      <c r="Z2350" t="s">
        <v>27</v>
      </c>
      <c r="AA2350" t="s">
        <v>27</v>
      </c>
      <c r="AB2350" t="s">
        <v>27</v>
      </c>
      <c r="AC2350" t="s">
        <v>27</v>
      </c>
      <c r="AD2350" t="s">
        <v>27</v>
      </c>
      <c r="AE2350" t="s">
        <v>27</v>
      </c>
      <c r="AF2350" t="s">
        <v>27</v>
      </c>
      <c r="AG2350">
        <v>32.86</v>
      </c>
    </row>
    <row r="2351" spans="1:33" x14ac:dyDescent="0.25">
      <c r="A2351" t="s">
        <v>57</v>
      </c>
      <c r="B2351" s="3">
        <v>45812</v>
      </c>
      <c r="C2351">
        <v>2025155</v>
      </c>
      <c r="D2351" t="s">
        <v>27</v>
      </c>
      <c r="E2351" t="s">
        <v>27</v>
      </c>
      <c r="F2351" t="s">
        <v>27</v>
      </c>
      <c r="G2351" t="s">
        <v>27</v>
      </c>
      <c r="H2351" t="s">
        <v>27</v>
      </c>
      <c r="I2351" t="s">
        <v>27</v>
      </c>
      <c r="J2351" t="s">
        <v>27</v>
      </c>
      <c r="K2351" t="s">
        <v>27</v>
      </c>
      <c r="L2351" t="s">
        <v>27</v>
      </c>
      <c r="M2351" t="s">
        <v>27</v>
      </c>
      <c r="N2351" t="s">
        <v>27</v>
      </c>
      <c r="O2351" t="s">
        <v>27</v>
      </c>
      <c r="P2351" t="s">
        <v>27</v>
      </c>
      <c r="Q2351" t="s">
        <v>27</v>
      </c>
      <c r="R2351" t="s">
        <v>27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Y2351" t="s">
        <v>27</v>
      </c>
      <c r="Z2351" t="s">
        <v>27</v>
      </c>
      <c r="AA2351" t="s">
        <v>27</v>
      </c>
      <c r="AB2351" t="s">
        <v>27</v>
      </c>
      <c r="AC2351" t="s">
        <v>27</v>
      </c>
      <c r="AD2351" t="s">
        <v>27</v>
      </c>
      <c r="AE2351" t="s">
        <v>27</v>
      </c>
      <c r="AF2351" t="s">
        <v>27</v>
      </c>
      <c r="AG2351">
        <v>32.909999999999997</v>
      </c>
    </row>
    <row r="2352" spans="1:33" x14ac:dyDescent="0.25">
      <c r="A2352" t="s">
        <v>57</v>
      </c>
      <c r="B2352" s="3">
        <v>45813</v>
      </c>
      <c r="C2352">
        <v>2025156</v>
      </c>
      <c r="D2352" t="s">
        <v>27</v>
      </c>
      <c r="E2352" t="s">
        <v>27</v>
      </c>
      <c r="F2352" t="s">
        <v>27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27</v>
      </c>
      <c r="M2352" t="s">
        <v>27</v>
      </c>
      <c r="N2352" t="s">
        <v>27</v>
      </c>
      <c r="O2352" t="s">
        <v>27</v>
      </c>
      <c r="P2352" t="s">
        <v>27</v>
      </c>
      <c r="Q2352" t="s">
        <v>27</v>
      </c>
      <c r="R2352" t="s">
        <v>27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 t="s">
        <v>27</v>
      </c>
      <c r="Z2352" t="s">
        <v>27</v>
      </c>
      <c r="AA2352" t="s">
        <v>27</v>
      </c>
      <c r="AB2352" t="s">
        <v>27</v>
      </c>
      <c r="AC2352" t="s">
        <v>27</v>
      </c>
      <c r="AD2352" t="s">
        <v>27</v>
      </c>
      <c r="AE2352" t="s">
        <v>27</v>
      </c>
      <c r="AF2352" t="s">
        <v>27</v>
      </c>
      <c r="AG2352">
        <v>32.97</v>
      </c>
    </row>
    <row r="2353" spans="1:33" x14ac:dyDescent="0.25">
      <c r="A2353" t="s">
        <v>57</v>
      </c>
      <c r="B2353" s="3">
        <v>45814</v>
      </c>
      <c r="C2353">
        <v>2025157</v>
      </c>
      <c r="D2353" t="s">
        <v>27</v>
      </c>
      <c r="E2353" t="s">
        <v>27</v>
      </c>
      <c r="F2353" t="s">
        <v>27</v>
      </c>
      <c r="G2353" t="s">
        <v>27</v>
      </c>
      <c r="H2353" t="s">
        <v>27</v>
      </c>
      <c r="I2353" t="s">
        <v>27</v>
      </c>
      <c r="J2353" t="s">
        <v>27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27</v>
      </c>
      <c r="R2353" t="s">
        <v>27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 t="s">
        <v>27</v>
      </c>
      <c r="Z2353" t="s">
        <v>27</v>
      </c>
      <c r="AA2353" t="s">
        <v>27</v>
      </c>
      <c r="AB2353" t="s">
        <v>27</v>
      </c>
      <c r="AC2353" t="s">
        <v>27</v>
      </c>
      <c r="AD2353" t="s">
        <v>27</v>
      </c>
      <c r="AE2353" t="s">
        <v>27</v>
      </c>
      <c r="AF2353" t="s">
        <v>27</v>
      </c>
      <c r="AG2353">
        <v>33.03</v>
      </c>
    </row>
    <row r="2354" spans="1:33" x14ac:dyDescent="0.25">
      <c r="A2354" t="s">
        <v>57</v>
      </c>
      <c r="B2354" s="3">
        <v>45815</v>
      </c>
      <c r="C2354">
        <v>2025158</v>
      </c>
      <c r="D2354" t="s">
        <v>27</v>
      </c>
      <c r="E2354" t="s">
        <v>27</v>
      </c>
      <c r="F2354" t="s">
        <v>27</v>
      </c>
      <c r="G2354" t="s">
        <v>27</v>
      </c>
      <c r="H2354" t="s">
        <v>27</v>
      </c>
      <c r="I2354" t="s">
        <v>27</v>
      </c>
      <c r="J2354" t="s">
        <v>27</v>
      </c>
      <c r="K2354" t="s">
        <v>27</v>
      </c>
      <c r="L2354" t="s">
        <v>27</v>
      </c>
      <c r="M2354" t="s">
        <v>27</v>
      </c>
      <c r="N2354" t="s">
        <v>27</v>
      </c>
      <c r="O2354" t="s">
        <v>27</v>
      </c>
      <c r="P2354" t="s">
        <v>27</v>
      </c>
      <c r="Q2354" t="s">
        <v>27</v>
      </c>
      <c r="R2354" t="s">
        <v>27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Y2354" t="s">
        <v>27</v>
      </c>
      <c r="Z2354" t="s">
        <v>27</v>
      </c>
      <c r="AA2354" t="s">
        <v>27</v>
      </c>
      <c r="AB2354" t="s">
        <v>27</v>
      </c>
      <c r="AC2354" t="s">
        <v>27</v>
      </c>
      <c r="AD2354" t="s">
        <v>27</v>
      </c>
      <c r="AE2354" t="s">
        <v>27</v>
      </c>
      <c r="AF2354" t="s">
        <v>27</v>
      </c>
      <c r="AG2354">
        <v>33.08</v>
      </c>
    </row>
    <row r="2355" spans="1:33" x14ac:dyDescent="0.25">
      <c r="A2355" t="s">
        <v>57</v>
      </c>
      <c r="B2355" s="3">
        <v>45816</v>
      </c>
      <c r="C2355">
        <v>2025159</v>
      </c>
      <c r="D2355" t="s">
        <v>27</v>
      </c>
      <c r="E2355" t="s">
        <v>27</v>
      </c>
      <c r="F2355" t="s">
        <v>27</v>
      </c>
      <c r="G2355" t="s">
        <v>27</v>
      </c>
      <c r="H2355" t="s">
        <v>27</v>
      </c>
      <c r="I2355" t="s">
        <v>27</v>
      </c>
      <c r="J2355" t="s">
        <v>27</v>
      </c>
      <c r="K2355" t="s">
        <v>27</v>
      </c>
      <c r="L2355" t="s">
        <v>27</v>
      </c>
      <c r="M2355" t="s">
        <v>27</v>
      </c>
      <c r="N2355" t="s">
        <v>27</v>
      </c>
      <c r="O2355" t="s">
        <v>27</v>
      </c>
      <c r="P2355" t="s">
        <v>27</v>
      </c>
      <c r="Q2355" t="s">
        <v>27</v>
      </c>
      <c r="R2355" t="s">
        <v>27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 t="s">
        <v>27</v>
      </c>
      <c r="Z2355" t="s">
        <v>27</v>
      </c>
      <c r="AA2355" t="s">
        <v>27</v>
      </c>
      <c r="AB2355" t="s">
        <v>27</v>
      </c>
      <c r="AC2355" t="s">
        <v>27</v>
      </c>
      <c r="AD2355" t="s">
        <v>27</v>
      </c>
      <c r="AE2355" t="s">
        <v>27</v>
      </c>
      <c r="AF2355" t="s">
        <v>27</v>
      </c>
      <c r="AG2355">
        <v>33.130000000000003</v>
      </c>
    </row>
    <row r="2356" spans="1:33" x14ac:dyDescent="0.25">
      <c r="A2356" t="s">
        <v>57</v>
      </c>
      <c r="B2356" s="3">
        <v>45817</v>
      </c>
      <c r="C2356">
        <v>2025160</v>
      </c>
      <c r="D2356" t="s">
        <v>27</v>
      </c>
      <c r="E2356" t="s">
        <v>27</v>
      </c>
      <c r="F2356" t="s">
        <v>27</v>
      </c>
      <c r="G2356" t="s">
        <v>27</v>
      </c>
      <c r="H2356" t="s">
        <v>27</v>
      </c>
      <c r="I2356" t="s">
        <v>27</v>
      </c>
      <c r="J2356" t="s">
        <v>27</v>
      </c>
      <c r="K2356" t="s">
        <v>27</v>
      </c>
      <c r="L2356" t="s">
        <v>27</v>
      </c>
      <c r="M2356" t="s">
        <v>27</v>
      </c>
      <c r="N2356" t="s">
        <v>27</v>
      </c>
      <c r="O2356" t="s">
        <v>27</v>
      </c>
      <c r="P2356" t="s">
        <v>27</v>
      </c>
      <c r="Q2356" t="s">
        <v>27</v>
      </c>
      <c r="R2356" t="s">
        <v>27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Y2356" t="s">
        <v>27</v>
      </c>
      <c r="Z2356" t="s">
        <v>27</v>
      </c>
      <c r="AA2356" t="s">
        <v>27</v>
      </c>
      <c r="AB2356" t="s">
        <v>27</v>
      </c>
      <c r="AC2356" t="s">
        <v>27</v>
      </c>
      <c r="AD2356" t="s">
        <v>27</v>
      </c>
      <c r="AE2356" t="s">
        <v>27</v>
      </c>
      <c r="AF2356" t="s">
        <v>27</v>
      </c>
      <c r="AG2356">
        <v>33.159999999999997</v>
      </c>
    </row>
    <row r="2357" spans="1:33" x14ac:dyDescent="0.25">
      <c r="A2357" t="s">
        <v>57</v>
      </c>
      <c r="B2357" s="3">
        <v>45818</v>
      </c>
      <c r="C2357">
        <v>2025161</v>
      </c>
      <c r="D2357" t="s">
        <v>27</v>
      </c>
      <c r="E2357" t="s">
        <v>27</v>
      </c>
      <c r="F2357" t="s">
        <v>27</v>
      </c>
      <c r="G2357" t="s">
        <v>27</v>
      </c>
      <c r="H2357" t="s">
        <v>27</v>
      </c>
      <c r="I2357" t="s">
        <v>27</v>
      </c>
      <c r="J2357" t="s">
        <v>27</v>
      </c>
      <c r="K2357" t="s">
        <v>27</v>
      </c>
      <c r="L2357" t="s">
        <v>27</v>
      </c>
      <c r="M2357" t="s">
        <v>27</v>
      </c>
      <c r="N2357" t="s">
        <v>27</v>
      </c>
      <c r="O2357" t="s">
        <v>27</v>
      </c>
      <c r="P2357" t="s">
        <v>27</v>
      </c>
      <c r="Q2357" t="s">
        <v>27</v>
      </c>
      <c r="R2357" t="s">
        <v>27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  <c r="Z2357" t="s">
        <v>27</v>
      </c>
      <c r="AA2357" t="s">
        <v>27</v>
      </c>
      <c r="AB2357" t="s">
        <v>27</v>
      </c>
      <c r="AC2357" t="s">
        <v>27</v>
      </c>
      <c r="AD2357" t="s">
        <v>27</v>
      </c>
      <c r="AE2357" t="s">
        <v>27</v>
      </c>
      <c r="AF2357" t="s">
        <v>27</v>
      </c>
      <c r="AG2357">
        <v>33.200000000000003</v>
      </c>
    </row>
    <row r="2358" spans="1:33" x14ac:dyDescent="0.25">
      <c r="A2358" t="s">
        <v>57</v>
      </c>
      <c r="B2358" s="3">
        <v>45819</v>
      </c>
      <c r="C2358">
        <v>2025162</v>
      </c>
      <c r="D2358" t="s">
        <v>27</v>
      </c>
      <c r="E2358" t="s">
        <v>27</v>
      </c>
      <c r="F2358" t="s">
        <v>27</v>
      </c>
      <c r="G2358" t="s">
        <v>27</v>
      </c>
      <c r="H2358" t="s">
        <v>27</v>
      </c>
      <c r="I2358" t="s">
        <v>27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27</v>
      </c>
      <c r="Q2358" t="s">
        <v>27</v>
      </c>
      <c r="R2358" t="s">
        <v>27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Y2358" t="s">
        <v>27</v>
      </c>
      <c r="Z2358" t="s">
        <v>27</v>
      </c>
      <c r="AA2358" t="s">
        <v>27</v>
      </c>
      <c r="AB2358" t="s">
        <v>27</v>
      </c>
      <c r="AC2358" t="s">
        <v>27</v>
      </c>
      <c r="AD2358" t="s">
        <v>27</v>
      </c>
      <c r="AE2358" t="s">
        <v>27</v>
      </c>
      <c r="AF2358" t="s">
        <v>27</v>
      </c>
      <c r="AG2358">
        <v>33.229999999999997</v>
      </c>
    </row>
    <row r="2359" spans="1:33" x14ac:dyDescent="0.25">
      <c r="A2359" t="s">
        <v>57</v>
      </c>
      <c r="B2359" s="3">
        <v>45820</v>
      </c>
      <c r="C2359">
        <v>2025163</v>
      </c>
      <c r="D2359" t="s">
        <v>27</v>
      </c>
      <c r="E2359" t="s">
        <v>27</v>
      </c>
      <c r="F2359" t="s">
        <v>27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27</v>
      </c>
      <c r="M2359" t="s">
        <v>27</v>
      </c>
      <c r="N2359" t="s">
        <v>27</v>
      </c>
      <c r="O2359" t="s">
        <v>27</v>
      </c>
      <c r="P2359" t="s">
        <v>27</v>
      </c>
      <c r="Q2359" t="s">
        <v>27</v>
      </c>
      <c r="R2359" t="s">
        <v>27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Y2359" t="s">
        <v>27</v>
      </c>
      <c r="Z2359" t="s">
        <v>27</v>
      </c>
      <c r="AA2359" t="s">
        <v>27</v>
      </c>
      <c r="AB2359" t="s">
        <v>27</v>
      </c>
      <c r="AC2359" t="s">
        <v>27</v>
      </c>
      <c r="AD2359" t="s">
        <v>27</v>
      </c>
      <c r="AE2359" t="s">
        <v>27</v>
      </c>
      <c r="AF2359" t="s">
        <v>27</v>
      </c>
      <c r="AG2359">
        <v>33.26</v>
      </c>
    </row>
    <row r="2360" spans="1:33" x14ac:dyDescent="0.25">
      <c r="A2360" t="s">
        <v>57</v>
      </c>
      <c r="B2360" s="3">
        <v>45821</v>
      </c>
      <c r="C2360">
        <v>2025164</v>
      </c>
      <c r="D2360" t="s">
        <v>27</v>
      </c>
      <c r="E2360" t="s">
        <v>27</v>
      </c>
      <c r="F2360" t="s">
        <v>27</v>
      </c>
      <c r="G2360" t="s">
        <v>27</v>
      </c>
      <c r="H2360" t="s">
        <v>27</v>
      </c>
      <c r="I2360" t="s">
        <v>27</v>
      </c>
      <c r="J2360" t="s">
        <v>27</v>
      </c>
      <c r="K2360" t="s">
        <v>27</v>
      </c>
      <c r="L2360" t="s">
        <v>27</v>
      </c>
      <c r="M2360" t="s">
        <v>27</v>
      </c>
      <c r="N2360" t="s">
        <v>27</v>
      </c>
      <c r="O2360" t="s">
        <v>27</v>
      </c>
      <c r="P2360" t="s">
        <v>27</v>
      </c>
      <c r="Q2360" t="s">
        <v>27</v>
      </c>
      <c r="R2360" t="s">
        <v>27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Y2360" t="s">
        <v>27</v>
      </c>
      <c r="Z2360" t="s">
        <v>27</v>
      </c>
      <c r="AA2360" t="s">
        <v>27</v>
      </c>
      <c r="AB2360" t="s">
        <v>27</v>
      </c>
      <c r="AC2360" t="s">
        <v>27</v>
      </c>
      <c r="AD2360" t="s">
        <v>27</v>
      </c>
      <c r="AE2360" t="s">
        <v>27</v>
      </c>
      <c r="AF2360" t="s">
        <v>27</v>
      </c>
      <c r="AG2360">
        <v>33.29</v>
      </c>
    </row>
    <row r="2361" spans="1:33" x14ac:dyDescent="0.25">
      <c r="A2361" t="s">
        <v>57</v>
      </c>
      <c r="B2361" s="3">
        <v>45822</v>
      </c>
      <c r="C2361">
        <v>2025165</v>
      </c>
      <c r="D2361" t="s">
        <v>27</v>
      </c>
      <c r="E2361" t="s">
        <v>27</v>
      </c>
      <c r="F2361" t="s">
        <v>27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27</v>
      </c>
      <c r="M2361" t="s">
        <v>27</v>
      </c>
      <c r="N2361" t="s">
        <v>27</v>
      </c>
      <c r="O2361" t="s">
        <v>27</v>
      </c>
      <c r="P2361" t="s">
        <v>27</v>
      </c>
      <c r="Q2361" t="s">
        <v>27</v>
      </c>
      <c r="R2361" t="s">
        <v>27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Y2361" t="s">
        <v>27</v>
      </c>
      <c r="Z2361" t="s">
        <v>27</v>
      </c>
      <c r="AA2361" t="s">
        <v>27</v>
      </c>
      <c r="AB2361" t="s">
        <v>27</v>
      </c>
      <c r="AC2361" t="s">
        <v>27</v>
      </c>
      <c r="AD2361" t="s">
        <v>27</v>
      </c>
      <c r="AE2361" t="s">
        <v>27</v>
      </c>
      <c r="AF2361" t="s">
        <v>27</v>
      </c>
      <c r="AG2361">
        <v>33.31</v>
      </c>
    </row>
    <row r="2362" spans="1:33" x14ac:dyDescent="0.25">
      <c r="A2362" t="s">
        <v>57</v>
      </c>
      <c r="B2362" s="3">
        <v>45823</v>
      </c>
      <c r="C2362">
        <v>2025166</v>
      </c>
      <c r="D2362" t="s">
        <v>27</v>
      </c>
      <c r="E2362" t="s">
        <v>27</v>
      </c>
      <c r="F2362" t="s">
        <v>27</v>
      </c>
      <c r="G2362" t="s">
        <v>27</v>
      </c>
      <c r="H2362" t="s">
        <v>27</v>
      </c>
      <c r="I2362" t="s">
        <v>27</v>
      </c>
      <c r="J2362" t="s">
        <v>27</v>
      </c>
      <c r="K2362" t="s">
        <v>27</v>
      </c>
      <c r="L2362" t="s">
        <v>27</v>
      </c>
      <c r="M2362" t="s">
        <v>27</v>
      </c>
      <c r="N2362" t="s">
        <v>27</v>
      </c>
      <c r="O2362" t="s">
        <v>27</v>
      </c>
      <c r="P2362" t="s">
        <v>27</v>
      </c>
      <c r="Q2362" t="s">
        <v>27</v>
      </c>
      <c r="R2362" t="s">
        <v>27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27</v>
      </c>
      <c r="Z2362" t="s">
        <v>27</v>
      </c>
      <c r="AA2362" t="s">
        <v>27</v>
      </c>
      <c r="AB2362" t="s">
        <v>27</v>
      </c>
      <c r="AC2362" t="s">
        <v>27</v>
      </c>
      <c r="AD2362" t="s">
        <v>27</v>
      </c>
      <c r="AE2362" t="s">
        <v>27</v>
      </c>
      <c r="AF2362" t="s">
        <v>27</v>
      </c>
      <c r="AG2362">
        <v>33.32</v>
      </c>
    </row>
    <row r="2363" spans="1:33" x14ac:dyDescent="0.25">
      <c r="A2363" t="s">
        <v>57</v>
      </c>
      <c r="B2363" s="3">
        <v>45824</v>
      </c>
      <c r="C2363">
        <v>2025167</v>
      </c>
      <c r="D2363" t="s">
        <v>27</v>
      </c>
      <c r="E2363" t="s">
        <v>27</v>
      </c>
      <c r="F2363" t="s">
        <v>27</v>
      </c>
      <c r="G2363" t="s">
        <v>27</v>
      </c>
      <c r="H2363" t="s">
        <v>27</v>
      </c>
      <c r="I2363" t="s">
        <v>27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27</v>
      </c>
      <c r="Q2363" t="s">
        <v>27</v>
      </c>
      <c r="R2363" t="s">
        <v>27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Y2363" t="s">
        <v>27</v>
      </c>
      <c r="Z2363" t="s">
        <v>27</v>
      </c>
      <c r="AA2363" t="s">
        <v>27</v>
      </c>
      <c r="AB2363" t="s">
        <v>27</v>
      </c>
      <c r="AC2363" t="s">
        <v>27</v>
      </c>
      <c r="AD2363" t="s">
        <v>27</v>
      </c>
      <c r="AE2363" t="s">
        <v>27</v>
      </c>
      <c r="AF2363" t="s">
        <v>27</v>
      </c>
      <c r="AG2363">
        <v>33.33</v>
      </c>
    </row>
    <row r="2364" spans="1:33" x14ac:dyDescent="0.25">
      <c r="A2364" t="s">
        <v>57</v>
      </c>
      <c r="B2364" s="3">
        <v>45825</v>
      </c>
      <c r="C2364">
        <v>2025168</v>
      </c>
      <c r="D2364" t="s">
        <v>27</v>
      </c>
      <c r="E2364" t="s">
        <v>27</v>
      </c>
      <c r="F2364" t="s">
        <v>27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L2364" t="s">
        <v>27</v>
      </c>
      <c r="M2364" t="s">
        <v>27</v>
      </c>
      <c r="N2364" t="s">
        <v>27</v>
      </c>
      <c r="O2364" t="s">
        <v>27</v>
      </c>
      <c r="P2364" t="s">
        <v>27</v>
      </c>
      <c r="Q2364" t="s">
        <v>27</v>
      </c>
      <c r="R2364" t="s">
        <v>27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Y2364" t="s">
        <v>27</v>
      </c>
      <c r="Z2364" t="s">
        <v>27</v>
      </c>
      <c r="AA2364" t="s">
        <v>27</v>
      </c>
      <c r="AB2364" t="s">
        <v>27</v>
      </c>
      <c r="AC2364" t="s">
        <v>27</v>
      </c>
      <c r="AD2364" t="s">
        <v>27</v>
      </c>
      <c r="AE2364" t="s">
        <v>27</v>
      </c>
      <c r="AF2364" t="s">
        <v>27</v>
      </c>
      <c r="AG2364">
        <v>33.340000000000003</v>
      </c>
    </row>
    <row r="2365" spans="1:33" x14ac:dyDescent="0.25">
      <c r="A2365" t="s">
        <v>57</v>
      </c>
      <c r="B2365" s="3">
        <v>45826</v>
      </c>
      <c r="C2365">
        <v>2025169</v>
      </c>
      <c r="D2365" t="s">
        <v>27</v>
      </c>
      <c r="E2365" t="s">
        <v>27</v>
      </c>
      <c r="F2365" t="s">
        <v>27</v>
      </c>
      <c r="G2365" t="s">
        <v>27</v>
      </c>
      <c r="H2365" t="s">
        <v>27</v>
      </c>
      <c r="I2365" t="s">
        <v>27</v>
      </c>
      <c r="J2365" t="s">
        <v>27</v>
      </c>
      <c r="K2365" t="s">
        <v>27</v>
      </c>
      <c r="L2365" t="s">
        <v>27</v>
      </c>
      <c r="M2365" t="s">
        <v>27</v>
      </c>
      <c r="N2365" t="s">
        <v>27</v>
      </c>
      <c r="O2365" t="s">
        <v>27</v>
      </c>
      <c r="P2365" t="s">
        <v>27</v>
      </c>
      <c r="Q2365" t="s">
        <v>27</v>
      </c>
      <c r="R2365" t="s">
        <v>27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27</v>
      </c>
      <c r="Z2365" t="s">
        <v>27</v>
      </c>
      <c r="AA2365" t="s">
        <v>27</v>
      </c>
      <c r="AB2365" t="s">
        <v>27</v>
      </c>
      <c r="AC2365" t="s">
        <v>27</v>
      </c>
      <c r="AD2365" t="s">
        <v>27</v>
      </c>
      <c r="AE2365" t="s">
        <v>27</v>
      </c>
      <c r="AF2365" t="s">
        <v>27</v>
      </c>
      <c r="AG2365">
        <v>33.35</v>
      </c>
    </row>
    <row r="2366" spans="1:33" x14ac:dyDescent="0.25">
      <c r="A2366" t="s">
        <v>57</v>
      </c>
      <c r="B2366" s="3">
        <v>45827</v>
      </c>
      <c r="C2366">
        <v>2025170</v>
      </c>
      <c r="D2366" t="s">
        <v>27</v>
      </c>
      <c r="E2366" t="s">
        <v>27</v>
      </c>
      <c r="F2366" t="s">
        <v>27</v>
      </c>
      <c r="G2366" t="s">
        <v>27</v>
      </c>
      <c r="H2366" t="s">
        <v>27</v>
      </c>
      <c r="I2366" t="s">
        <v>27</v>
      </c>
      <c r="J2366" t="s">
        <v>27</v>
      </c>
      <c r="K2366" t="s">
        <v>27</v>
      </c>
      <c r="L2366" t="s">
        <v>27</v>
      </c>
      <c r="M2366" t="s">
        <v>27</v>
      </c>
      <c r="N2366" t="s">
        <v>27</v>
      </c>
      <c r="O2366" t="s">
        <v>27</v>
      </c>
      <c r="P2366" t="s">
        <v>27</v>
      </c>
      <c r="Q2366" t="s">
        <v>27</v>
      </c>
      <c r="R2366" t="s">
        <v>27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Y2366" t="s">
        <v>27</v>
      </c>
      <c r="Z2366" t="s">
        <v>27</v>
      </c>
      <c r="AA2366" t="s">
        <v>27</v>
      </c>
      <c r="AB2366" t="s">
        <v>27</v>
      </c>
      <c r="AC2366" t="s">
        <v>27</v>
      </c>
      <c r="AD2366" t="s">
        <v>27</v>
      </c>
      <c r="AE2366" t="s">
        <v>27</v>
      </c>
      <c r="AF2366" t="s">
        <v>27</v>
      </c>
      <c r="AG2366">
        <v>33.35</v>
      </c>
    </row>
    <row r="2367" spans="1:33" x14ac:dyDescent="0.25">
      <c r="A2367" t="s">
        <v>57</v>
      </c>
      <c r="B2367" s="3">
        <v>45828</v>
      </c>
      <c r="C2367">
        <v>2025171</v>
      </c>
      <c r="D2367" t="s">
        <v>27</v>
      </c>
      <c r="E2367" t="s">
        <v>27</v>
      </c>
      <c r="F2367" t="s">
        <v>27</v>
      </c>
      <c r="G2367" t="s">
        <v>27</v>
      </c>
      <c r="H2367" t="s">
        <v>27</v>
      </c>
      <c r="I2367" t="s">
        <v>27</v>
      </c>
      <c r="J2367" t="s">
        <v>27</v>
      </c>
      <c r="K2367" t="s">
        <v>27</v>
      </c>
      <c r="L2367" t="s">
        <v>27</v>
      </c>
      <c r="M2367" t="s">
        <v>27</v>
      </c>
      <c r="N2367" t="s">
        <v>27</v>
      </c>
      <c r="O2367" t="s">
        <v>27</v>
      </c>
      <c r="P2367" t="s">
        <v>27</v>
      </c>
      <c r="Q2367" t="s">
        <v>27</v>
      </c>
      <c r="R2367" t="s">
        <v>27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27</v>
      </c>
      <c r="Z2367" t="s">
        <v>27</v>
      </c>
      <c r="AA2367" t="s">
        <v>27</v>
      </c>
      <c r="AB2367" t="s">
        <v>27</v>
      </c>
      <c r="AC2367" t="s">
        <v>27</v>
      </c>
      <c r="AD2367" t="s">
        <v>27</v>
      </c>
      <c r="AE2367" t="s">
        <v>27</v>
      </c>
      <c r="AF2367" t="s">
        <v>27</v>
      </c>
      <c r="AG2367">
        <v>33.340000000000003</v>
      </c>
    </row>
    <row r="2368" spans="1:33" x14ac:dyDescent="0.25">
      <c r="A2368" t="s">
        <v>57</v>
      </c>
      <c r="B2368" s="3">
        <v>45829</v>
      </c>
      <c r="C2368">
        <v>2025172</v>
      </c>
      <c r="D2368" t="s">
        <v>27</v>
      </c>
      <c r="E2368" t="s">
        <v>27</v>
      </c>
      <c r="F2368" t="s">
        <v>27</v>
      </c>
      <c r="G2368" t="s">
        <v>27</v>
      </c>
      <c r="H2368" t="s">
        <v>27</v>
      </c>
      <c r="I2368" t="s">
        <v>27</v>
      </c>
      <c r="J2368" t="s">
        <v>27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27</v>
      </c>
      <c r="Q2368" t="s">
        <v>27</v>
      </c>
      <c r="R2368" t="s">
        <v>27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Y2368" t="s">
        <v>27</v>
      </c>
      <c r="Z2368" t="s">
        <v>27</v>
      </c>
      <c r="AA2368" t="s">
        <v>27</v>
      </c>
      <c r="AB2368" t="s">
        <v>27</v>
      </c>
      <c r="AC2368" t="s">
        <v>27</v>
      </c>
      <c r="AD2368" t="s">
        <v>27</v>
      </c>
      <c r="AE2368" t="s">
        <v>27</v>
      </c>
      <c r="AF2368" t="s">
        <v>27</v>
      </c>
      <c r="AG2368">
        <v>33.33</v>
      </c>
    </row>
    <row r="2369" spans="1:33" x14ac:dyDescent="0.25">
      <c r="A2369" t="s">
        <v>57</v>
      </c>
      <c r="B2369" s="3">
        <v>45830</v>
      </c>
      <c r="C2369">
        <v>2025173</v>
      </c>
      <c r="D2369" t="s">
        <v>27</v>
      </c>
      <c r="E2369" t="s">
        <v>27</v>
      </c>
      <c r="F2369" t="s">
        <v>27</v>
      </c>
      <c r="G2369" t="s">
        <v>27</v>
      </c>
      <c r="H2369" t="s">
        <v>27</v>
      </c>
      <c r="I2369" t="s">
        <v>27</v>
      </c>
      <c r="J2369" t="s">
        <v>27</v>
      </c>
      <c r="K2369" t="s">
        <v>27</v>
      </c>
      <c r="L2369" t="s">
        <v>27</v>
      </c>
      <c r="M2369" t="s">
        <v>27</v>
      </c>
      <c r="N2369" t="s">
        <v>27</v>
      </c>
      <c r="O2369" t="s">
        <v>27</v>
      </c>
      <c r="P2369" t="s">
        <v>27</v>
      </c>
      <c r="Q2369" t="s">
        <v>27</v>
      </c>
      <c r="R2369" t="s">
        <v>27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Y2369" t="s">
        <v>27</v>
      </c>
      <c r="Z2369" t="s">
        <v>27</v>
      </c>
      <c r="AA2369" t="s">
        <v>27</v>
      </c>
      <c r="AB2369" t="s">
        <v>27</v>
      </c>
      <c r="AC2369" t="s">
        <v>27</v>
      </c>
      <c r="AD2369" t="s">
        <v>27</v>
      </c>
      <c r="AE2369" t="s">
        <v>27</v>
      </c>
      <c r="AF2369" t="s">
        <v>27</v>
      </c>
      <c r="AG2369">
        <v>33.32</v>
      </c>
    </row>
    <row r="2370" spans="1:33" x14ac:dyDescent="0.25">
      <c r="A2370" t="s">
        <v>57</v>
      </c>
      <c r="B2370" s="3">
        <v>45831</v>
      </c>
      <c r="C2370">
        <v>2025174</v>
      </c>
      <c r="D2370" t="s">
        <v>27</v>
      </c>
      <c r="E2370" t="s">
        <v>27</v>
      </c>
      <c r="F2370" t="s">
        <v>27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27</v>
      </c>
      <c r="P2370" t="s">
        <v>27</v>
      </c>
      <c r="Q2370" t="s">
        <v>27</v>
      </c>
      <c r="R2370" t="s">
        <v>27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  <c r="Z2370" t="s">
        <v>27</v>
      </c>
      <c r="AA2370" t="s">
        <v>27</v>
      </c>
      <c r="AB2370" t="s">
        <v>27</v>
      </c>
      <c r="AC2370" t="s">
        <v>27</v>
      </c>
      <c r="AD2370" t="s">
        <v>27</v>
      </c>
      <c r="AE2370" t="s">
        <v>27</v>
      </c>
      <c r="AF2370" t="s">
        <v>27</v>
      </c>
      <c r="AG2370">
        <v>33.299999999999997</v>
      </c>
    </row>
    <row r="2371" spans="1:33" x14ac:dyDescent="0.25">
      <c r="A2371" t="s">
        <v>57</v>
      </c>
      <c r="B2371" s="3">
        <v>45832</v>
      </c>
      <c r="C2371">
        <v>2025175</v>
      </c>
      <c r="D2371" t="s">
        <v>27</v>
      </c>
      <c r="E2371" t="s">
        <v>27</v>
      </c>
      <c r="F2371" t="s">
        <v>27</v>
      </c>
      <c r="G2371" t="s">
        <v>27</v>
      </c>
      <c r="H2371" t="s">
        <v>27</v>
      </c>
      <c r="I2371" t="s">
        <v>27</v>
      </c>
      <c r="J2371" t="s">
        <v>27</v>
      </c>
      <c r="K2371" t="s">
        <v>27</v>
      </c>
      <c r="L2371" t="s">
        <v>27</v>
      </c>
      <c r="M2371" t="s">
        <v>27</v>
      </c>
      <c r="N2371" t="s">
        <v>27</v>
      </c>
      <c r="O2371" t="s">
        <v>27</v>
      </c>
      <c r="P2371" t="s">
        <v>27</v>
      </c>
      <c r="Q2371" t="s">
        <v>27</v>
      </c>
      <c r="R2371" t="s">
        <v>27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 t="s">
        <v>27</v>
      </c>
      <c r="Z2371" t="s">
        <v>27</v>
      </c>
      <c r="AA2371" t="s">
        <v>27</v>
      </c>
      <c r="AB2371" t="s">
        <v>27</v>
      </c>
      <c r="AC2371" t="s">
        <v>27</v>
      </c>
      <c r="AD2371" t="s">
        <v>27</v>
      </c>
      <c r="AE2371" t="s">
        <v>27</v>
      </c>
      <c r="AF2371" t="s">
        <v>27</v>
      </c>
      <c r="AG2371">
        <v>33.270000000000003</v>
      </c>
    </row>
    <row r="2372" spans="1:33" x14ac:dyDescent="0.25">
      <c r="A2372" t="s">
        <v>57</v>
      </c>
      <c r="B2372" s="3">
        <v>45833</v>
      </c>
      <c r="C2372">
        <v>2025176</v>
      </c>
      <c r="D2372" t="s">
        <v>27</v>
      </c>
      <c r="E2372" t="s">
        <v>27</v>
      </c>
      <c r="F2372" t="s">
        <v>27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27</v>
      </c>
      <c r="M2372" t="s">
        <v>27</v>
      </c>
      <c r="N2372" t="s">
        <v>27</v>
      </c>
      <c r="O2372" t="s">
        <v>27</v>
      </c>
      <c r="P2372" t="s">
        <v>27</v>
      </c>
      <c r="Q2372" t="s">
        <v>27</v>
      </c>
      <c r="R2372" t="s">
        <v>27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Y2372" t="s">
        <v>27</v>
      </c>
      <c r="Z2372" t="s">
        <v>27</v>
      </c>
      <c r="AA2372" t="s">
        <v>27</v>
      </c>
      <c r="AB2372" t="s">
        <v>27</v>
      </c>
      <c r="AC2372" t="s">
        <v>27</v>
      </c>
      <c r="AD2372" t="s">
        <v>27</v>
      </c>
      <c r="AE2372" t="s">
        <v>27</v>
      </c>
      <c r="AF2372" t="s">
        <v>27</v>
      </c>
      <c r="AG2372">
        <v>33.25</v>
      </c>
    </row>
    <row r="2373" spans="1:33" x14ac:dyDescent="0.25">
      <c r="A2373" t="s">
        <v>57</v>
      </c>
      <c r="B2373" s="3">
        <v>45834</v>
      </c>
      <c r="C2373">
        <v>2025177</v>
      </c>
      <c r="D2373" t="s">
        <v>27</v>
      </c>
      <c r="E2373" t="s">
        <v>27</v>
      </c>
      <c r="F2373" t="s">
        <v>27</v>
      </c>
      <c r="G2373" t="s">
        <v>27</v>
      </c>
      <c r="H2373" t="s">
        <v>27</v>
      </c>
      <c r="I2373" t="s">
        <v>27</v>
      </c>
      <c r="J2373" t="s">
        <v>27</v>
      </c>
      <c r="K2373" t="s">
        <v>27</v>
      </c>
      <c r="L2373" t="s">
        <v>27</v>
      </c>
      <c r="M2373" t="s">
        <v>27</v>
      </c>
      <c r="N2373" t="s">
        <v>27</v>
      </c>
      <c r="O2373" t="s">
        <v>27</v>
      </c>
      <c r="P2373" t="s">
        <v>27</v>
      </c>
      <c r="Q2373" t="s">
        <v>27</v>
      </c>
      <c r="R2373" t="s">
        <v>27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Y2373" t="s">
        <v>27</v>
      </c>
      <c r="Z2373" t="s">
        <v>27</v>
      </c>
      <c r="AA2373" t="s">
        <v>27</v>
      </c>
      <c r="AB2373" t="s">
        <v>27</v>
      </c>
      <c r="AC2373" t="s">
        <v>27</v>
      </c>
      <c r="AD2373" t="s">
        <v>27</v>
      </c>
      <c r="AE2373" t="s">
        <v>27</v>
      </c>
      <c r="AF2373" t="s">
        <v>27</v>
      </c>
      <c r="AG2373">
        <v>33.22</v>
      </c>
    </row>
    <row r="2374" spans="1:33" x14ac:dyDescent="0.25">
      <c r="A2374" t="s">
        <v>57</v>
      </c>
      <c r="B2374" s="3">
        <v>45835</v>
      </c>
      <c r="C2374">
        <v>2025178</v>
      </c>
      <c r="D2374" t="s">
        <v>27</v>
      </c>
      <c r="E2374" t="s">
        <v>27</v>
      </c>
      <c r="F2374" t="s">
        <v>27</v>
      </c>
      <c r="G2374" t="s">
        <v>27</v>
      </c>
      <c r="H2374" t="s">
        <v>27</v>
      </c>
      <c r="I2374" t="s">
        <v>27</v>
      </c>
      <c r="J2374" t="s">
        <v>27</v>
      </c>
      <c r="K2374" t="s">
        <v>27</v>
      </c>
      <c r="L2374" t="s">
        <v>27</v>
      </c>
      <c r="M2374" t="s">
        <v>27</v>
      </c>
      <c r="N2374" t="s">
        <v>27</v>
      </c>
      <c r="O2374" t="s">
        <v>27</v>
      </c>
      <c r="P2374" t="s">
        <v>27</v>
      </c>
      <c r="Q2374" t="s">
        <v>27</v>
      </c>
      <c r="R2374" t="s">
        <v>27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Y2374" t="s">
        <v>27</v>
      </c>
      <c r="Z2374" t="s">
        <v>27</v>
      </c>
      <c r="AA2374" t="s">
        <v>27</v>
      </c>
      <c r="AB2374" t="s">
        <v>27</v>
      </c>
      <c r="AC2374" t="s">
        <v>27</v>
      </c>
      <c r="AD2374" t="s">
        <v>27</v>
      </c>
      <c r="AE2374" t="s">
        <v>27</v>
      </c>
      <c r="AF2374" t="s">
        <v>27</v>
      </c>
      <c r="AG2374">
        <v>33.18</v>
      </c>
    </row>
    <row r="2375" spans="1:33" x14ac:dyDescent="0.25">
      <c r="A2375" t="s">
        <v>57</v>
      </c>
      <c r="B2375" s="3">
        <v>45836</v>
      </c>
      <c r="C2375">
        <v>2025179</v>
      </c>
      <c r="D2375" t="s">
        <v>27</v>
      </c>
      <c r="E2375" t="s">
        <v>27</v>
      </c>
      <c r="F2375" t="s">
        <v>27</v>
      </c>
      <c r="G2375" t="s">
        <v>27</v>
      </c>
      <c r="H2375" t="s">
        <v>27</v>
      </c>
      <c r="I2375" t="s">
        <v>27</v>
      </c>
      <c r="J2375" t="s">
        <v>27</v>
      </c>
      <c r="K2375" t="s">
        <v>27</v>
      </c>
      <c r="L2375" t="s">
        <v>27</v>
      </c>
      <c r="M2375" t="s">
        <v>27</v>
      </c>
      <c r="N2375" t="s">
        <v>27</v>
      </c>
      <c r="O2375" t="s">
        <v>27</v>
      </c>
      <c r="P2375" t="s">
        <v>27</v>
      </c>
      <c r="Q2375" t="s">
        <v>27</v>
      </c>
      <c r="R2375" t="s">
        <v>27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 t="s">
        <v>27</v>
      </c>
      <c r="Z2375" t="s">
        <v>27</v>
      </c>
      <c r="AA2375" t="s">
        <v>27</v>
      </c>
      <c r="AB2375" t="s">
        <v>27</v>
      </c>
      <c r="AC2375" t="s">
        <v>27</v>
      </c>
      <c r="AD2375" t="s">
        <v>27</v>
      </c>
      <c r="AE2375" t="s">
        <v>27</v>
      </c>
      <c r="AF2375" t="s">
        <v>27</v>
      </c>
      <c r="AG2375">
        <v>33.14</v>
      </c>
    </row>
    <row r="2376" spans="1:33" x14ac:dyDescent="0.25">
      <c r="A2376" t="s">
        <v>57</v>
      </c>
      <c r="B2376" s="3">
        <v>45837</v>
      </c>
      <c r="C2376">
        <v>2025180</v>
      </c>
      <c r="D2376" t="s">
        <v>27</v>
      </c>
      <c r="E2376" t="s">
        <v>27</v>
      </c>
      <c r="F2376" t="s">
        <v>27</v>
      </c>
      <c r="G2376" t="s">
        <v>27</v>
      </c>
      <c r="H2376" t="s">
        <v>27</v>
      </c>
      <c r="I2376" t="s">
        <v>27</v>
      </c>
      <c r="J2376" t="s">
        <v>27</v>
      </c>
      <c r="K2376" t="s">
        <v>27</v>
      </c>
      <c r="L2376" t="s">
        <v>27</v>
      </c>
      <c r="M2376" t="s">
        <v>27</v>
      </c>
      <c r="N2376" t="s">
        <v>27</v>
      </c>
      <c r="O2376" t="s">
        <v>27</v>
      </c>
      <c r="P2376" t="s">
        <v>27</v>
      </c>
      <c r="Q2376" t="s">
        <v>27</v>
      </c>
      <c r="R2376" t="s">
        <v>27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  <c r="X2376" t="s">
        <v>27</v>
      </c>
      <c r="Y2376" t="s">
        <v>27</v>
      </c>
      <c r="Z2376" t="s">
        <v>27</v>
      </c>
      <c r="AA2376" t="s">
        <v>27</v>
      </c>
      <c r="AB2376" t="s">
        <v>27</v>
      </c>
      <c r="AC2376" t="s">
        <v>27</v>
      </c>
      <c r="AD2376" t="s">
        <v>27</v>
      </c>
      <c r="AE2376" t="s">
        <v>27</v>
      </c>
      <c r="AF2376" t="s">
        <v>27</v>
      </c>
      <c r="AG2376">
        <v>33.1</v>
      </c>
    </row>
    <row r="2377" spans="1:33" x14ac:dyDescent="0.25">
      <c r="A2377" t="s">
        <v>57</v>
      </c>
      <c r="B2377" s="3">
        <v>45838</v>
      </c>
      <c r="C2377">
        <v>2025181</v>
      </c>
      <c r="D2377" t="s">
        <v>27</v>
      </c>
      <c r="E2377" t="s">
        <v>27</v>
      </c>
      <c r="F2377" t="s">
        <v>27</v>
      </c>
      <c r="G2377" t="s">
        <v>27</v>
      </c>
      <c r="H2377" t="s">
        <v>27</v>
      </c>
      <c r="I2377" t="s">
        <v>27</v>
      </c>
      <c r="J2377" t="s">
        <v>27</v>
      </c>
      <c r="K2377" t="s">
        <v>27</v>
      </c>
      <c r="L2377" t="s">
        <v>27</v>
      </c>
      <c r="M2377" t="s">
        <v>27</v>
      </c>
      <c r="N2377" t="s">
        <v>27</v>
      </c>
      <c r="O2377" t="s">
        <v>27</v>
      </c>
      <c r="P2377" t="s">
        <v>27</v>
      </c>
      <c r="Q2377" t="s">
        <v>27</v>
      </c>
      <c r="R2377" t="s">
        <v>27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Y2377" t="s">
        <v>27</v>
      </c>
      <c r="Z2377" t="s">
        <v>27</v>
      </c>
      <c r="AA2377" t="s">
        <v>27</v>
      </c>
      <c r="AB2377" t="s">
        <v>27</v>
      </c>
      <c r="AC2377" t="s">
        <v>27</v>
      </c>
      <c r="AD2377" t="s">
        <v>27</v>
      </c>
      <c r="AE2377" t="s">
        <v>27</v>
      </c>
      <c r="AF2377" t="s">
        <v>27</v>
      </c>
      <c r="AG2377">
        <v>33.049999999999997</v>
      </c>
    </row>
    <row r="2378" spans="1:33" x14ac:dyDescent="0.25">
      <c r="A2378" t="s">
        <v>57</v>
      </c>
      <c r="B2378" s="3">
        <v>45839</v>
      </c>
      <c r="C2378">
        <v>2025182</v>
      </c>
      <c r="D2378" t="s">
        <v>27</v>
      </c>
      <c r="E2378" t="s">
        <v>27</v>
      </c>
      <c r="F2378" t="s">
        <v>27</v>
      </c>
      <c r="G2378" t="s">
        <v>27</v>
      </c>
      <c r="H2378" t="s">
        <v>27</v>
      </c>
      <c r="I2378" t="s">
        <v>27</v>
      </c>
      <c r="J2378" t="s">
        <v>27</v>
      </c>
      <c r="K2378" t="s">
        <v>27</v>
      </c>
      <c r="L2378" t="s">
        <v>27</v>
      </c>
      <c r="M2378" t="s">
        <v>27</v>
      </c>
      <c r="N2378" t="s">
        <v>27</v>
      </c>
      <c r="O2378" t="s">
        <v>27</v>
      </c>
      <c r="P2378" t="s">
        <v>27</v>
      </c>
      <c r="Q2378" t="s">
        <v>27</v>
      </c>
      <c r="R2378" t="s">
        <v>27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Y2378" t="s">
        <v>27</v>
      </c>
      <c r="Z2378" t="s">
        <v>27</v>
      </c>
      <c r="AA2378" t="s">
        <v>27</v>
      </c>
      <c r="AB2378" t="s">
        <v>27</v>
      </c>
      <c r="AC2378" t="s">
        <v>27</v>
      </c>
      <c r="AD2378" t="s">
        <v>27</v>
      </c>
      <c r="AE2378" t="s">
        <v>27</v>
      </c>
      <c r="AF2378" t="s">
        <v>27</v>
      </c>
      <c r="AG2378">
        <v>33</v>
      </c>
    </row>
    <row r="2379" spans="1:33" x14ac:dyDescent="0.25">
      <c r="A2379" t="s">
        <v>57</v>
      </c>
      <c r="B2379" s="3">
        <v>45840</v>
      </c>
      <c r="C2379">
        <v>2025183</v>
      </c>
      <c r="D2379" t="s">
        <v>27</v>
      </c>
      <c r="E2379" t="s">
        <v>27</v>
      </c>
      <c r="F2379" t="s">
        <v>27</v>
      </c>
      <c r="G2379" t="s">
        <v>27</v>
      </c>
      <c r="H2379" t="s">
        <v>27</v>
      </c>
      <c r="I2379" t="s">
        <v>27</v>
      </c>
      <c r="J2379" t="s">
        <v>27</v>
      </c>
      <c r="K2379" t="s">
        <v>27</v>
      </c>
      <c r="L2379" t="s">
        <v>27</v>
      </c>
      <c r="M2379" t="s">
        <v>27</v>
      </c>
      <c r="N2379" t="s">
        <v>27</v>
      </c>
      <c r="O2379" t="s">
        <v>27</v>
      </c>
      <c r="P2379" t="s">
        <v>27</v>
      </c>
      <c r="Q2379" t="s">
        <v>27</v>
      </c>
      <c r="R2379" t="s">
        <v>27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Y2379" t="s">
        <v>27</v>
      </c>
      <c r="Z2379" t="s">
        <v>27</v>
      </c>
      <c r="AA2379" t="s">
        <v>27</v>
      </c>
      <c r="AB2379" t="s">
        <v>27</v>
      </c>
      <c r="AC2379" t="s">
        <v>27</v>
      </c>
      <c r="AD2379" t="s">
        <v>27</v>
      </c>
      <c r="AE2379" t="s">
        <v>27</v>
      </c>
      <c r="AF2379" t="s">
        <v>27</v>
      </c>
      <c r="AG2379">
        <v>32.950000000000003</v>
      </c>
    </row>
    <row r="2380" spans="1:33" x14ac:dyDescent="0.25">
      <c r="A2380" t="s">
        <v>57</v>
      </c>
      <c r="B2380" s="3">
        <v>45841</v>
      </c>
      <c r="C2380">
        <v>2025184</v>
      </c>
      <c r="D2380" t="s">
        <v>27</v>
      </c>
      <c r="E2380" t="s">
        <v>27</v>
      </c>
      <c r="F2380" t="s">
        <v>27</v>
      </c>
      <c r="G2380" t="s">
        <v>27</v>
      </c>
      <c r="H2380" t="s">
        <v>27</v>
      </c>
      <c r="I2380" t="s">
        <v>27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27</v>
      </c>
      <c r="R2380" t="s">
        <v>27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  <c r="X2380" t="s">
        <v>27</v>
      </c>
      <c r="Y2380" t="s">
        <v>27</v>
      </c>
      <c r="Z2380" t="s">
        <v>27</v>
      </c>
      <c r="AA2380" t="s">
        <v>27</v>
      </c>
      <c r="AB2380" t="s">
        <v>27</v>
      </c>
      <c r="AC2380" t="s">
        <v>27</v>
      </c>
      <c r="AD2380" t="s">
        <v>27</v>
      </c>
      <c r="AE2380" t="s">
        <v>27</v>
      </c>
      <c r="AF2380" t="s">
        <v>27</v>
      </c>
      <c r="AG2380">
        <v>32.9</v>
      </c>
    </row>
    <row r="2381" spans="1:33" x14ac:dyDescent="0.25">
      <c r="A2381" t="s">
        <v>57</v>
      </c>
      <c r="B2381" s="3">
        <v>45842</v>
      </c>
      <c r="C2381">
        <v>2025185</v>
      </c>
      <c r="D2381" t="s">
        <v>27</v>
      </c>
      <c r="E2381" t="s">
        <v>27</v>
      </c>
      <c r="F2381" t="s">
        <v>27</v>
      </c>
      <c r="G2381" t="s">
        <v>27</v>
      </c>
      <c r="H2381" t="s">
        <v>27</v>
      </c>
      <c r="I2381" t="s">
        <v>27</v>
      </c>
      <c r="J2381" t="s">
        <v>27</v>
      </c>
      <c r="K2381" t="s">
        <v>27</v>
      </c>
      <c r="L2381" t="s">
        <v>27</v>
      </c>
      <c r="M2381" t="s">
        <v>27</v>
      </c>
      <c r="N2381" t="s">
        <v>27</v>
      </c>
      <c r="O2381" t="s">
        <v>27</v>
      </c>
      <c r="P2381" t="s">
        <v>27</v>
      </c>
      <c r="Q2381" t="s">
        <v>27</v>
      </c>
      <c r="R2381" t="s">
        <v>27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Y2381" t="s">
        <v>27</v>
      </c>
      <c r="Z2381" t="s">
        <v>27</v>
      </c>
      <c r="AA2381" t="s">
        <v>27</v>
      </c>
      <c r="AB2381" t="s">
        <v>27</v>
      </c>
      <c r="AC2381" t="s">
        <v>27</v>
      </c>
      <c r="AD2381" t="s">
        <v>27</v>
      </c>
      <c r="AE2381" t="s">
        <v>27</v>
      </c>
      <c r="AF2381" t="s">
        <v>27</v>
      </c>
      <c r="AG2381">
        <v>32.840000000000003</v>
      </c>
    </row>
    <row r="2382" spans="1:33" x14ac:dyDescent="0.25">
      <c r="A2382" t="s">
        <v>57</v>
      </c>
      <c r="B2382" s="3">
        <v>45843</v>
      </c>
      <c r="C2382">
        <v>2025186</v>
      </c>
      <c r="D2382" t="s">
        <v>27</v>
      </c>
      <c r="E2382" t="s">
        <v>27</v>
      </c>
      <c r="F2382" t="s">
        <v>27</v>
      </c>
      <c r="G2382" t="s">
        <v>27</v>
      </c>
      <c r="H2382" t="s">
        <v>27</v>
      </c>
      <c r="I2382" t="s">
        <v>27</v>
      </c>
      <c r="J2382" t="s">
        <v>27</v>
      </c>
      <c r="K2382" t="s">
        <v>27</v>
      </c>
      <c r="L2382" t="s">
        <v>27</v>
      </c>
      <c r="M2382" t="s">
        <v>27</v>
      </c>
      <c r="N2382" t="s">
        <v>27</v>
      </c>
      <c r="O2382" t="s">
        <v>27</v>
      </c>
      <c r="P2382" t="s">
        <v>27</v>
      </c>
      <c r="Q2382" t="s">
        <v>27</v>
      </c>
      <c r="R2382" t="s">
        <v>27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 t="s">
        <v>27</v>
      </c>
      <c r="Z2382" t="s">
        <v>27</v>
      </c>
      <c r="AA2382" t="s">
        <v>27</v>
      </c>
      <c r="AB2382" t="s">
        <v>27</v>
      </c>
      <c r="AC2382" t="s">
        <v>27</v>
      </c>
      <c r="AD2382" t="s">
        <v>27</v>
      </c>
      <c r="AE2382" t="s">
        <v>27</v>
      </c>
      <c r="AF2382" t="s">
        <v>27</v>
      </c>
      <c r="AG2382">
        <v>32.78</v>
      </c>
    </row>
    <row r="2383" spans="1:33" x14ac:dyDescent="0.25">
      <c r="A2383" t="s">
        <v>57</v>
      </c>
      <c r="B2383" s="3">
        <v>45844</v>
      </c>
      <c r="C2383">
        <v>2025187</v>
      </c>
      <c r="D2383" t="s">
        <v>27</v>
      </c>
      <c r="E2383" t="s">
        <v>27</v>
      </c>
      <c r="F2383" t="s">
        <v>27</v>
      </c>
      <c r="G2383" t="s">
        <v>27</v>
      </c>
      <c r="H2383" t="s">
        <v>27</v>
      </c>
      <c r="I2383" t="s">
        <v>27</v>
      </c>
      <c r="J2383" t="s">
        <v>27</v>
      </c>
      <c r="K2383" t="s">
        <v>27</v>
      </c>
      <c r="L2383" t="s">
        <v>27</v>
      </c>
      <c r="M2383" t="s">
        <v>27</v>
      </c>
      <c r="N2383" t="s">
        <v>27</v>
      </c>
      <c r="O2383" t="s">
        <v>27</v>
      </c>
      <c r="P2383" t="s">
        <v>27</v>
      </c>
      <c r="Q2383" t="s">
        <v>27</v>
      </c>
      <c r="R2383" t="s">
        <v>27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 t="s">
        <v>27</v>
      </c>
      <c r="Z2383" t="s">
        <v>27</v>
      </c>
      <c r="AA2383" t="s">
        <v>27</v>
      </c>
      <c r="AB2383" t="s">
        <v>27</v>
      </c>
      <c r="AC2383" t="s">
        <v>27</v>
      </c>
      <c r="AD2383" t="s">
        <v>27</v>
      </c>
      <c r="AE2383" t="s">
        <v>27</v>
      </c>
      <c r="AF2383" t="s">
        <v>27</v>
      </c>
      <c r="AG2383">
        <v>32.71</v>
      </c>
    </row>
    <row r="2384" spans="1:33" x14ac:dyDescent="0.25">
      <c r="A2384" t="s">
        <v>57</v>
      </c>
      <c r="B2384" s="3">
        <v>45845</v>
      </c>
      <c r="C2384">
        <v>2025188</v>
      </c>
      <c r="D2384" t="s">
        <v>27</v>
      </c>
      <c r="E2384" t="s">
        <v>27</v>
      </c>
      <c r="F2384" t="s">
        <v>27</v>
      </c>
      <c r="G2384" t="s">
        <v>27</v>
      </c>
      <c r="H2384" t="s">
        <v>27</v>
      </c>
      <c r="I2384" t="s">
        <v>27</v>
      </c>
      <c r="J2384" t="s">
        <v>27</v>
      </c>
      <c r="K2384" t="s">
        <v>27</v>
      </c>
      <c r="L2384" t="s">
        <v>27</v>
      </c>
      <c r="M2384" t="s">
        <v>27</v>
      </c>
      <c r="N2384" t="s">
        <v>27</v>
      </c>
      <c r="O2384" t="s">
        <v>27</v>
      </c>
      <c r="P2384" t="s">
        <v>27</v>
      </c>
      <c r="Q2384" t="s">
        <v>27</v>
      </c>
      <c r="R2384" t="s">
        <v>27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27</v>
      </c>
      <c r="Z2384" t="s">
        <v>27</v>
      </c>
      <c r="AA2384" t="s">
        <v>27</v>
      </c>
      <c r="AB2384" t="s">
        <v>27</v>
      </c>
      <c r="AC2384" t="s">
        <v>27</v>
      </c>
      <c r="AD2384" t="s">
        <v>27</v>
      </c>
      <c r="AE2384" t="s">
        <v>27</v>
      </c>
      <c r="AF2384" t="s">
        <v>27</v>
      </c>
      <c r="AG2384">
        <v>32.64</v>
      </c>
    </row>
    <row r="2385" spans="1:33" x14ac:dyDescent="0.25">
      <c r="A2385" t="s">
        <v>57</v>
      </c>
      <c r="B2385" s="3">
        <v>45846</v>
      </c>
      <c r="C2385">
        <v>2025189</v>
      </c>
      <c r="D2385" t="s">
        <v>27</v>
      </c>
      <c r="E2385" t="s">
        <v>27</v>
      </c>
      <c r="F2385" t="s">
        <v>27</v>
      </c>
      <c r="G2385" t="s">
        <v>27</v>
      </c>
      <c r="H2385" t="s">
        <v>27</v>
      </c>
      <c r="I2385" t="s">
        <v>27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27</v>
      </c>
      <c r="Q2385" t="s">
        <v>27</v>
      </c>
      <c r="R2385" t="s">
        <v>27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Y2385" t="s">
        <v>27</v>
      </c>
      <c r="Z2385" t="s">
        <v>27</v>
      </c>
      <c r="AA2385" t="s">
        <v>27</v>
      </c>
      <c r="AB2385" t="s">
        <v>27</v>
      </c>
      <c r="AC2385" t="s">
        <v>27</v>
      </c>
      <c r="AD2385" t="s">
        <v>27</v>
      </c>
      <c r="AE2385" t="s">
        <v>27</v>
      </c>
      <c r="AF2385" t="s">
        <v>27</v>
      </c>
      <c r="AG2385">
        <v>32.56</v>
      </c>
    </row>
    <row r="2386" spans="1:33" x14ac:dyDescent="0.25">
      <c r="A2386" t="s">
        <v>57</v>
      </c>
      <c r="B2386" s="3">
        <v>45847</v>
      </c>
      <c r="C2386">
        <v>2025190</v>
      </c>
      <c r="D2386" t="s">
        <v>27</v>
      </c>
      <c r="E2386" t="s">
        <v>27</v>
      </c>
      <c r="F2386" t="s">
        <v>27</v>
      </c>
      <c r="G2386" t="s">
        <v>27</v>
      </c>
      <c r="H2386" t="s">
        <v>27</v>
      </c>
      <c r="I2386" t="s">
        <v>27</v>
      </c>
      <c r="J2386" t="s">
        <v>27</v>
      </c>
      <c r="K2386" t="s">
        <v>27</v>
      </c>
      <c r="L2386" t="s">
        <v>27</v>
      </c>
      <c r="M2386" t="s">
        <v>27</v>
      </c>
      <c r="N2386" t="s">
        <v>27</v>
      </c>
      <c r="O2386" t="s">
        <v>27</v>
      </c>
      <c r="P2386" t="s">
        <v>27</v>
      </c>
      <c r="Q2386" t="s">
        <v>27</v>
      </c>
      <c r="R2386" t="s">
        <v>27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 t="s">
        <v>27</v>
      </c>
      <c r="Z2386" t="s">
        <v>27</v>
      </c>
      <c r="AA2386" t="s">
        <v>27</v>
      </c>
      <c r="AB2386" t="s">
        <v>27</v>
      </c>
      <c r="AC2386" t="s">
        <v>27</v>
      </c>
      <c r="AD2386" t="s">
        <v>27</v>
      </c>
      <c r="AE2386" t="s">
        <v>27</v>
      </c>
      <c r="AF2386" t="s">
        <v>27</v>
      </c>
      <c r="AG2386">
        <v>32.479999999999997</v>
      </c>
    </row>
    <row r="2387" spans="1:33" x14ac:dyDescent="0.25">
      <c r="A2387" t="s">
        <v>57</v>
      </c>
      <c r="B2387" s="3">
        <v>45848</v>
      </c>
      <c r="C2387">
        <v>2025191</v>
      </c>
      <c r="D2387" t="s">
        <v>27</v>
      </c>
      <c r="E2387" t="s">
        <v>27</v>
      </c>
      <c r="F2387" t="s">
        <v>27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L2387" t="s">
        <v>27</v>
      </c>
      <c r="M2387" t="s">
        <v>27</v>
      </c>
      <c r="N2387" t="s">
        <v>27</v>
      </c>
      <c r="O2387" t="s">
        <v>27</v>
      </c>
      <c r="P2387" t="s">
        <v>27</v>
      </c>
      <c r="Q2387" t="s">
        <v>27</v>
      </c>
      <c r="R2387" t="s">
        <v>27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27</v>
      </c>
      <c r="Z2387" t="s">
        <v>27</v>
      </c>
      <c r="AA2387" t="s">
        <v>27</v>
      </c>
      <c r="AB2387" t="s">
        <v>27</v>
      </c>
      <c r="AC2387" t="s">
        <v>27</v>
      </c>
      <c r="AD2387" t="s">
        <v>27</v>
      </c>
      <c r="AE2387" t="s">
        <v>27</v>
      </c>
      <c r="AF2387" t="s">
        <v>27</v>
      </c>
      <c r="AG2387">
        <v>32.4</v>
      </c>
    </row>
    <row r="2388" spans="1:33" x14ac:dyDescent="0.25">
      <c r="A2388" t="s">
        <v>57</v>
      </c>
      <c r="B2388" s="3">
        <v>45849</v>
      </c>
      <c r="C2388">
        <v>2025192</v>
      </c>
      <c r="D2388" t="s">
        <v>27</v>
      </c>
      <c r="E2388" t="s">
        <v>27</v>
      </c>
      <c r="F2388" t="s">
        <v>27</v>
      </c>
      <c r="G2388" t="s">
        <v>27</v>
      </c>
      <c r="H2388" t="s">
        <v>27</v>
      </c>
      <c r="I2388" t="s">
        <v>27</v>
      </c>
      <c r="J2388" t="s">
        <v>27</v>
      </c>
      <c r="K2388" t="s">
        <v>27</v>
      </c>
      <c r="L2388" t="s">
        <v>27</v>
      </c>
      <c r="M2388" t="s">
        <v>27</v>
      </c>
      <c r="N2388" t="s">
        <v>27</v>
      </c>
      <c r="O2388" t="s">
        <v>27</v>
      </c>
      <c r="P2388" t="s">
        <v>27</v>
      </c>
      <c r="Q2388" t="s">
        <v>27</v>
      </c>
      <c r="R2388" t="s">
        <v>27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27</v>
      </c>
      <c r="Z2388" t="s">
        <v>27</v>
      </c>
      <c r="AA2388" t="s">
        <v>27</v>
      </c>
      <c r="AB2388" t="s">
        <v>27</v>
      </c>
      <c r="AC2388" t="s">
        <v>27</v>
      </c>
      <c r="AD2388" t="s">
        <v>27</v>
      </c>
      <c r="AE2388" t="s">
        <v>27</v>
      </c>
      <c r="AF2388" t="s">
        <v>27</v>
      </c>
      <c r="AG2388">
        <v>32.31</v>
      </c>
    </row>
    <row r="2389" spans="1:33" x14ac:dyDescent="0.25">
      <c r="A2389" t="s">
        <v>57</v>
      </c>
      <c r="B2389" s="3">
        <v>45850</v>
      </c>
      <c r="C2389">
        <v>2025193</v>
      </c>
      <c r="D2389" t="s">
        <v>27</v>
      </c>
      <c r="E2389" t="s">
        <v>27</v>
      </c>
      <c r="F2389" t="s">
        <v>27</v>
      </c>
      <c r="G2389" t="s">
        <v>27</v>
      </c>
      <c r="H2389" t="s">
        <v>27</v>
      </c>
      <c r="I2389" t="s">
        <v>27</v>
      </c>
      <c r="J2389" t="s">
        <v>27</v>
      </c>
      <c r="K2389" t="s">
        <v>27</v>
      </c>
      <c r="L2389" t="s">
        <v>27</v>
      </c>
      <c r="M2389" t="s">
        <v>27</v>
      </c>
      <c r="N2389" t="s">
        <v>27</v>
      </c>
      <c r="O2389" t="s">
        <v>27</v>
      </c>
      <c r="P2389" t="s">
        <v>27</v>
      </c>
      <c r="Q2389" t="s">
        <v>27</v>
      </c>
      <c r="R2389" t="s">
        <v>27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Y2389" t="s">
        <v>27</v>
      </c>
      <c r="Z2389" t="s">
        <v>27</v>
      </c>
      <c r="AA2389" t="s">
        <v>27</v>
      </c>
      <c r="AB2389" t="s">
        <v>27</v>
      </c>
      <c r="AC2389" t="s">
        <v>27</v>
      </c>
      <c r="AD2389" t="s">
        <v>27</v>
      </c>
      <c r="AE2389" t="s">
        <v>27</v>
      </c>
      <c r="AF2389" t="s">
        <v>27</v>
      </c>
      <c r="AG2389">
        <v>32.22</v>
      </c>
    </row>
    <row r="2390" spans="1:33" x14ac:dyDescent="0.25">
      <c r="A2390" t="s">
        <v>57</v>
      </c>
      <c r="B2390" s="3">
        <v>45851</v>
      </c>
      <c r="C2390">
        <v>2025194</v>
      </c>
      <c r="D2390" t="s">
        <v>27</v>
      </c>
      <c r="E2390" t="s">
        <v>27</v>
      </c>
      <c r="F2390" t="s">
        <v>27</v>
      </c>
      <c r="G2390" t="s">
        <v>27</v>
      </c>
      <c r="H2390" t="s">
        <v>27</v>
      </c>
      <c r="I2390" t="s">
        <v>27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27</v>
      </c>
      <c r="P2390" t="s">
        <v>27</v>
      </c>
      <c r="Q2390" t="s">
        <v>27</v>
      </c>
      <c r="R2390" t="s">
        <v>27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27</v>
      </c>
      <c r="Z2390" t="s">
        <v>27</v>
      </c>
      <c r="AA2390" t="s">
        <v>27</v>
      </c>
      <c r="AB2390" t="s">
        <v>27</v>
      </c>
      <c r="AC2390" t="s">
        <v>27</v>
      </c>
      <c r="AD2390" t="s">
        <v>27</v>
      </c>
      <c r="AE2390" t="s">
        <v>27</v>
      </c>
      <c r="AF2390" t="s">
        <v>27</v>
      </c>
      <c r="AG2390">
        <v>32.119999999999997</v>
      </c>
    </row>
    <row r="2391" spans="1:33" x14ac:dyDescent="0.25">
      <c r="A2391" t="s">
        <v>57</v>
      </c>
      <c r="B2391" s="3">
        <v>45852</v>
      </c>
      <c r="C2391">
        <v>2025195</v>
      </c>
      <c r="D2391" t="s">
        <v>27</v>
      </c>
      <c r="E2391" t="s">
        <v>27</v>
      </c>
      <c r="F2391" t="s">
        <v>27</v>
      </c>
      <c r="G2391" t="s">
        <v>27</v>
      </c>
      <c r="H2391" t="s">
        <v>27</v>
      </c>
      <c r="I2391" t="s">
        <v>27</v>
      </c>
      <c r="J2391" t="s">
        <v>27</v>
      </c>
      <c r="K2391" t="s">
        <v>27</v>
      </c>
      <c r="L2391" t="s">
        <v>27</v>
      </c>
      <c r="M2391" t="s">
        <v>27</v>
      </c>
      <c r="N2391" t="s">
        <v>27</v>
      </c>
      <c r="O2391" t="s">
        <v>27</v>
      </c>
      <c r="P2391" t="s">
        <v>27</v>
      </c>
      <c r="Q2391" t="s">
        <v>27</v>
      </c>
      <c r="R2391" t="s">
        <v>27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Y2391" t="s">
        <v>27</v>
      </c>
      <c r="Z2391" t="s">
        <v>27</v>
      </c>
      <c r="AA2391" t="s">
        <v>27</v>
      </c>
      <c r="AB2391" t="s">
        <v>27</v>
      </c>
      <c r="AC2391" t="s">
        <v>27</v>
      </c>
      <c r="AD2391" t="s">
        <v>27</v>
      </c>
      <c r="AE2391" t="s">
        <v>27</v>
      </c>
      <c r="AF2391" t="s">
        <v>27</v>
      </c>
      <c r="AG2391">
        <v>32.020000000000003</v>
      </c>
    </row>
    <row r="2392" spans="1:33" x14ac:dyDescent="0.25">
      <c r="A2392" t="s">
        <v>57</v>
      </c>
      <c r="B2392" s="3">
        <v>45853</v>
      </c>
      <c r="C2392">
        <v>2025196</v>
      </c>
      <c r="D2392" t="s">
        <v>27</v>
      </c>
      <c r="E2392" t="s">
        <v>27</v>
      </c>
      <c r="F2392" t="s">
        <v>27</v>
      </c>
      <c r="G2392" t="s">
        <v>27</v>
      </c>
      <c r="H2392" t="s">
        <v>27</v>
      </c>
      <c r="I2392" t="s">
        <v>27</v>
      </c>
      <c r="J2392" t="s">
        <v>27</v>
      </c>
      <c r="K2392" t="s">
        <v>27</v>
      </c>
      <c r="L2392" t="s">
        <v>27</v>
      </c>
      <c r="M2392" t="s">
        <v>27</v>
      </c>
      <c r="N2392" t="s">
        <v>27</v>
      </c>
      <c r="O2392" t="s">
        <v>27</v>
      </c>
      <c r="P2392" t="s">
        <v>27</v>
      </c>
      <c r="Q2392" t="s">
        <v>27</v>
      </c>
      <c r="R2392" t="s">
        <v>27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Y2392" t="s">
        <v>27</v>
      </c>
      <c r="Z2392" t="s">
        <v>27</v>
      </c>
      <c r="AA2392" t="s">
        <v>27</v>
      </c>
      <c r="AB2392" t="s">
        <v>27</v>
      </c>
      <c r="AC2392" t="s">
        <v>27</v>
      </c>
      <c r="AD2392" t="s">
        <v>27</v>
      </c>
      <c r="AE2392" t="s">
        <v>27</v>
      </c>
      <c r="AF2392" t="s">
        <v>27</v>
      </c>
      <c r="AG2392">
        <v>31.92</v>
      </c>
    </row>
    <row r="2393" spans="1:33" x14ac:dyDescent="0.25">
      <c r="A2393" t="s">
        <v>57</v>
      </c>
      <c r="B2393" s="3">
        <v>45854</v>
      </c>
      <c r="C2393">
        <v>2025197</v>
      </c>
      <c r="D2393" t="s">
        <v>27</v>
      </c>
      <c r="E2393" t="s">
        <v>27</v>
      </c>
      <c r="F2393" t="s">
        <v>27</v>
      </c>
      <c r="G2393" t="s">
        <v>27</v>
      </c>
      <c r="H2393" t="s">
        <v>27</v>
      </c>
      <c r="I2393" t="s">
        <v>27</v>
      </c>
      <c r="J2393" t="s">
        <v>27</v>
      </c>
      <c r="K2393" t="s">
        <v>27</v>
      </c>
      <c r="L2393" t="s">
        <v>27</v>
      </c>
      <c r="M2393" t="s">
        <v>27</v>
      </c>
      <c r="N2393" t="s">
        <v>27</v>
      </c>
      <c r="O2393" t="s">
        <v>27</v>
      </c>
      <c r="P2393" t="s">
        <v>27</v>
      </c>
      <c r="Q2393" t="s">
        <v>27</v>
      </c>
      <c r="R2393" t="s">
        <v>27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Y2393" t="s">
        <v>27</v>
      </c>
      <c r="Z2393" t="s">
        <v>27</v>
      </c>
      <c r="AA2393" t="s">
        <v>27</v>
      </c>
      <c r="AB2393" t="s">
        <v>27</v>
      </c>
      <c r="AC2393" t="s">
        <v>27</v>
      </c>
      <c r="AD2393" t="s">
        <v>27</v>
      </c>
      <c r="AE2393" t="s">
        <v>27</v>
      </c>
      <c r="AF2393" t="s">
        <v>27</v>
      </c>
      <c r="AG2393">
        <v>31.81</v>
      </c>
    </row>
    <row r="2394" spans="1:33" x14ac:dyDescent="0.25">
      <c r="A2394" t="s">
        <v>57</v>
      </c>
      <c r="B2394" s="3">
        <v>45855</v>
      </c>
      <c r="C2394">
        <v>2025198</v>
      </c>
      <c r="D2394" t="s">
        <v>27</v>
      </c>
      <c r="E2394" t="s">
        <v>27</v>
      </c>
      <c r="F2394" t="s">
        <v>27</v>
      </c>
      <c r="G2394" t="s">
        <v>27</v>
      </c>
      <c r="H2394" t="s">
        <v>27</v>
      </c>
      <c r="I2394" t="s">
        <v>27</v>
      </c>
      <c r="J2394" t="s">
        <v>27</v>
      </c>
      <c r="K2394" t="s">
        <v>27</v>
      </c>
      <c r="L2394" t="s">
        <v>27</v>
      </c>
      <c r="M2394" t="s">
        <v>27</v>
      </c>
      <c r="N2394" t="s">
        <v>27</v>
      </c>
      <c r="O2394" t="s">
        <v>27</v>
      </c>
      <c r="P2394" t="s">
        <v>27</v>
      </c>
      <c r="Q2394" t="s">
        <v>27</v>
      </c>
      <c r="R2394" t="s">
        <v>27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Y2394" t="s">
        <v>27</v>
      </c>
      <c r="Z2394" t="s">
        <v>27</v>
      </c>
      <c r="AA2394" t="s">
        <v>27</v>
      </c>
      <c r="AB2394" t="s">
        <v>27</v>
      </c>
      <c r="AC2394" t="s">
        <v>27</v>
      </c>
      <c r="AD2394" t="s">
        <v>27</v>
      </c>
      <c r="AE2394" t="s">
        <v>27</v>
      </c>
      <c r="AF2394" t="s">
        <v>27</v>
      </c>
      <c r="AG2394">
        <v>31.7</v>
      </c>
    </row>
    <row r="2395" spans="1:33" x14ac:dyDescent="0.25">
      <c r="A2395" t="s">
        <v>57</v>
      </c>
      <c r="B2395" s="3">
        <v>45856</v>
      </c>
      <c r="C2395">
        <v>2025199</v>
      </c>
      <c r="D2395" t="s">
        <v>27</v>
      </c>
      <c r="E2395" t="s">
        <v>27</v>
      </c>
      <c r="F2395" t="s">
        <v>27</v>
      </c>
      <c r="G2395" t="s">
        <v>27</v>
      </c>
      <c r="H2395" t="s">
        <v>27</v>
      </c>
      <c r="I2395" t="s">
        <v>27</v>
      </c>
      <c r="J2395" t="s">
        <v>27</v>
      </c>
      <c r="K2395" t="s">
        <v>27</v>
      </c>
      <c r="L2395" t="s">
        <v>27</v>
      </c>
      <c r="M2395" t="s">
        <v>27</v>
      </c>
      <c r="N2395" t="s">
        <v>27</v>
      </c>
      <c r="O2395" t="s">
        <v>27</v>
      </c>
      <c r="P2395" t="s">
        <v>27</v>
      </c>
      <c r="Q2395" t="s">
        <v>27</v>
      </c>
      <c r="R2395" t="s">
        <v>27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 t="s">
        <v>27</v>
      </c>
      <c r="Z2395" t="s">
        <v>27</v>
      </c>
      <c r="AA2395" t="s">
        <v>27</v>
      </c>
      <c r="AB2395" t="s">
        <v>27</v>
      </c>
      <c r="AC2395" t="s">
        <v>27</v>
      </c>
      <c r="AD2395" t="s">
        <v>27</v>
      </c>
      <c r="AE2395" t="s">
        <v>27</v>
      </c>
      <c r="AF2395" t="s">
        <v>27</v>
      </c>
      <c r="AG2395">
        <v>31.58</v>
      </c>
    </row>
    <row r="2396" spans="1:33" x14ac:dyDescent="0.25">
      <c r="A2396" t="s">
        <v>57</v>
      </c>
      <c r="B2396" s="3">
        <v>45857</v>
      </c>
      <c r="C2396">
        <v>2025200</v>
      </c>
      <c r="D2396" t="s">
        <v>27</v>
      </c>
      <c r="E2396" t="s">
        <v>27</v>
      </c>
      <c r="F2396" t="s">
        <v>27</v>
      </c>
      <c r="G2396" t="s">
        <v>27</v>
      </c>
      <c r="H2396" t="s">
        <v>27</v>
      </c>
      <c r="I2396" t="s">
        <v>27</v>
      </c>
      <c r="J2396" t="s">
        <v>27</v>
      </c>
      <c r="K2396" t="s">
        <v>27</v>
      </c>
      <c r="L2396" t="s">
        <v>27</v>
      </c>
      <c r="M2396" t="s">
        <v>27</v>
      </c>
      <c r="N2396" t="s">
        <v>27</v>
      </c>
      <c r="O2396" t="s">
        <v>27</v>
      </c>
      <c r="P2396" t="s">
        <v>27</v>
      </c>
      <c r="Q2396" t="s">
        <v>27</v>
      </c>
      <c r="R2396" t="s">
        <v>27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Y2396" t="s">
        <v>27</v>
      </c>
      <c r="Z2396" t="s">
        <v>27</v>
      </c>
      <c r="AA2396" t="s">
        <v>27</v>
      </c>
      <c r="AB2396" t="s">
        <v>27</v>
      </c>
      <c r="AC2396" t="s">
        <v>27</v>
      </c>
      <c r="AD2396" t="s">
        <v>27</v>
      </c>
      <c r="AE2396" t="s">
        <v>27</v>
      </c>
      <c r="AF2396" t="s">
        <v>27</v>
      </c>
      <c r="AG2396">
        <v>31.46</v>
      </c>
    </row>
    <row r="2397" spans="1:33" x14ac:dyDescent="0.25">
      <c r="A2397" t="s">
        <v>57</v>
      </c>
      <c r="B2397" s="3">
        <v>45858</v>
      </c>
      <c r="C2397">
        <v>2025201</v>
      </c>
      <c r="D2397" t="s">
        <v>27</v>
      </c>
      <c r="E2397" t="s">
        <v>27</v>
      </c>
      <c r="F2397" t="s">
        <v>27</v>
      </c>
      <c r="G2397" t="s">
        <v>27</v>
      </c>
      <c r="H2397" t="s">
        <v>27</v>
      </c>
      <c r="I2397" t="s">
        <v>27</v>
      </c>
      <c r="J2397" t="s">
        <v>27</v>
      </c>
      <c r="K2397" t="s">
        <v>27</v>
      </c>
      <c r="L2397" t="s">
        <v>27</v>
      </c>
      <c r="M2397" t="s">
        <v>27</v>
      </c>
      <c r="N2397" t="s">
        <v>27</v>
      </c>
      <c r="O2397" t="s">
        <v>27</v>
      </c>
      <c r="P2397" t="s">
        <v>27</v>
      </c>
      <c r="Q2397" t="s">
        <v>27</v>
      </c>
      <c r="R2397" t="s">
        <v>27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Y2397" t="s">
        <v>27</v>
      </c>
      <c r="Z2397" t="s">
        <v>27</v>
      </c>
      <c r="AA2397" t="s">
        <v>27</v>
      </c>
      <c r="AB2397" t="s">
        <v>27</v>
      </c>
      <c r="AC2397" t="s">
        <v>27</v>
      </c>
      <c r="AD2397" t="s">
        <v>27</v>
      </c>
      <c r="AE2397" t="s">
        <v>27</v>
      </c>
      <c r="AF2397" t="s">
        <v>27</v>
      </c>
      <c r="AG2397">
        <v>31.34</v>
      </c>
    </row>
    <row r="2398" spans="1:33" x14ac:dyDescent="0.25">
      <c r="A2398" t="s">
        <v>57</v>
      </c>
      <c r="B2398" s="3">
        <v>45859</v>
      </c>
      <c r="C2398">
        <v>2025202</v>
      </c>
      <c r="D2398" t="s">
        <v>27</v>
      </c>
      <c r="E2398" t="s">
        <v>27</v>
      </c>
      <c r="F2398" t="s">
        <v>27</v>
      </c>
      <c r="G2398" t="s">
        <v>27</v>
      </c>
      <c r="H2398" t="s">
        <v>27</v>
      </c>
      <c r="I2398" t="s">
        <v>27</v>
      </c>
      <c r="J2398" t="s">
        <v>27</v>
      </c>
      <c r="K2398" t="s">
        <v>27</v>
      </c>
      <c r="L2398" t="s">
        <v>27</v>
      </c>
      <c r="M2398" t="s">
        <v>27</v>
      </c>
      <c r="N2398" t="s">
        <v>27</v>
      </c>
      <c r="O2398" t="s">
        <v>27</v>
      </c>
      <c r="P2398" t="s">
        <v>27</v>
      </c>
      <c r="Q2398" t="s">
        <v>27</v>
      </c>
      <c r="R2398" t="s">
        <v>27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Y2398" t="s">
        <v>27</v>
      </c>
      <c r="Z2398" t="s">
        <v>27</v>
      </c>
      <c r="AA2398" t="s">
        <v>27</v>
      </c>
      <c r="AB2398" t="s">
        <v>27</v>
      </c>
      <c r="AC2398" t="s">
        <v>27</v>
      </c>
      <c r="AD2398" t="s">
        <v>27</v>
      </c>
      <c r="AE2398" t="s">
        <v>27</v>
      </c>
      <c r="AF2398" t="s">
        <v>27</v>
      </c>
      <c r="AG2398">
        <v>31.21</v>
      </c>
    </row>
    <row r="2399" spans="1:33" x14ac:dyDescent="0.25">
      <c r="A2399" t="s">
        <v>57</v>
      </c>
      <c r="B2399" s="3">
        <v>45860</v>
      </c>
      <c r="C2399">
        <v>2025203</v>
      </c>
      <c r="D2399" t="s">
        <v>27</v>
      </c>
      <c r="E2399" t="s">
        <v>27</v>
      </c>
      <c r="F2399" t="s">
        <v>27</v>
      </c>
      <c r="G2399" t="s">
        <v>27</v>
      </c>
      <c r="H2399" t="s">
        <v>27</v>
      </c>
      <c r="I2399" t="s">
        <v>27</v>
      </c>
      <c r="J2399" t="s">
        <v>27</v>
      </c>
      <c r="K2399" t="s">
        <v>27</v>
      </c>
      <c r="L2399" t="s">
        <v>27</v>
      </c>
      <c r="M2399" t="s">
        <v>27</v>
      </c>
      <c r="N2399" t="s">
        <v>27</v>
      </c>
      <c r="O2399" t="s">
        <v>27</v>
      </c>
      <c r="P2399" t="s">
        <v>27</v>
      </c>
      <c r="Q2399" t="s">
        <v>27</v>
      </c>
      <c r="R2399" t="s">
        <v>27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 t="s">
        <v>27</v>
      </c>
      <c r="Z2399" t="s">
        <v>27</v>
      </c>
      <c r="AA2399" t="s">
        <v>27</v>
      </c>
      <c r="AB2399" t="s">
        <v>27</v>
      </c>
      <c r="AC2399" t="s">
        <v>27</v>
      </c>
      <c r="AD2399" t="s">
        <v>27</v>
      </c>
      <c r="AE2399" t="s">
        <v>27</v>
      </c>
      <c r="AF2399" t="s">
        <v>27</v>
      </c>
      <c r="AG2399">
        <v>31.08</v>
      </c>
    </row>
    <row r="2400" spans="1:33" x14ac:dyDescent="0.25">
      <c r="A2400" t="s">
        <v>57</v>
      </c>
      <c r="B2400" s="3">
        <v>45861</v>
      </c>
      <c r="C2400">
        <v>2025204</v>
      </c>
      <c r="D2400" t="s">
        <v>27</v>
      </c>
      <c r="E2400" t="s">
        <v>27</v>
      </c>
      <c r="F2400" t="s">
        <v>27</v>
      </c>
      <c r="G2400" t="s">
        <v>27</v>
      </c>
      <c r="H2400" t="s">
        <v>27</v>
      </c>
      <c r="I2400" t="s">
        <v>27</v>
      </c>
      <c r="J2400" t="s">
        <v>27</v>
      </c>
      <c r="K2400" t="s">
        <v>27</v>
      </c>
      <c r="L2400" t="s">
        <v>27</v>
      </c>
      <c r="M2400" t="s">
        <v>27</v>
      </c>
      <c r="N2400" t="s">
        <v>27</v>
      </c>
      <c r="O2400" t="s">
        <v>27</v>
      </c>
      <c r="P2400" t="s">
        <v>27</v>
      </c>
      <c r="Q2400" t="s">
        <v>27</v>
      </c>
      <c r="R2400" t="s">
        <v>27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Y2400" t="s">
        <v>27</v>
      </c>
      <c r="Z2400" t="s">
        <v>27</v>
      </c>
      <c r="AA2400" t="s">
        <v>27</v>
      </c>
      <c r="AB2400" t="s">
        <v>27</v>
      </c>
      <c r="AC2400" t="s">
        <v>27</v>
      </c>
      <c r="AD2400" t="s">
        <v>27</v>
      </c>
      <c r="AE2400" t="s">
        <v>27</v>
      </c>
      <c r="AF2400" t="s">
        <v>27</v>
      </c>
      <c r="AG2400">
        <v>30.95</v>
      </c>
    </row>
    <row r="2401" spans="1:33" x14ac:dyDescent="0.25">
      <c r="A2401" t="s">
        <v>57</v>
      </c>
      <c r="B2401" s="3">
        <v>45862</v>
      </c>
      <c r="C2401">
        <v>2025205</v>
      </c>
      <c r="D2401" t="s">
        <v>27</v>
      </c>
      <c r="E2401" t="s">
        <v>27</v>
      </c>
      <c r="F2401" t="s">
        <v>27</v>
      </c>
      <c r="G2401" t="s">
        <v>27</v>
      </c>
      <c r="H2401" t="s">
        <v>27</v>
      </c>
      <c r="I2401" t="s">
        <v>27</v>
      </c>
      <c r="J2401" t="s">
        <v>27</v>
      </c>
      <c r="K2401" t="s">
        <v>27</v>
      </c>
      <c r="L2401" t="s">
        <v>27</v>
      </c>
      <c r="M2401" t="s">
        <v>27</v>
      </c>
      <c r="N2401" t="s">
        <v>27</v>
      </c>
      <c r="O2401" t="s">
        <v>27</v>
      </c>
      <c r="P2401" t="s">
        <v>27</v>
      </c>
      <c r="Q2401" t="s">
        <v>27</v>
      </c>
      <c r="R2401" t="s">
        <v>27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Y2401" t="s">
        <v>27</v>
      </c>
      <c r="Z2401" t="s">
        <v>27</v>
      </c>
      <c r="AA2401" t="s">
        <v>27</v>
      </c>
      <c r="AB2401" t="s">
        <v>27</v>
      </c>
      <c r="AC2401" t="s">
        <v>27</v>
      </c>
      <c r="AD2401" t="s">
        <v>27</v>
      </c>
      <c r="AE2401" t="s">
        <v>27</v>
      </c>
      <c r="AF2401" t="s">
        <v>27</v>
      </c>
      <c r="AG2401">
        <v>30.81</v>
      </c>
    </row>
    <row r="2402" spans="1:33" x14ac:dyDescent="0.25">
      <c r="A2402" t="s">
        <v>57</v>
      </c>
      <c r="B2402" s="3">
        <v>45863</v>
      </c>
      <c r="C2402">
        <v>2025206</v>
      </c>
      <c r="D2402" t="s">
        <v>27</v>
      </c>
      <c r="E2402" t="s">
        <v>27</v>
      </c>
      <c r="F2402" t="s">
        <v>27</v>
      </c>
      <c r="G2402" t="s">
        <v>27</v>
      </c>
      <c r="H2402" t="s">
        <v>27</v>
      </c>
      <c r="I2402" t="s">
        <v>27</v>
      </c>
      <c r="J2402" t="s">
        <v>27</v>
      </c>
      <c r="K2402" t="s">
        <v>27</v>
      </c>
      <c r="L2402" t="s">
        <v>27</v>
      </c>
      <c r="M2402" t="s">
        <v>27</v>
      </c>
      <c r="N2402" t="s">
        <v>27</v>
      </c>
      <c r="O2402" t="s">
        <v>27</v>
      </c>
      <c r="P2402" t="s">
        <v>27</v>
      </c>
      <c r="Q2402" t="s">
        <v>27</v>
      </c>
      <c r="R2402" t="s">
        <v>27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Y2402" t="s">
        <v>27</v>
      </c>
      <c r="Z2402" t="s">
        <v>27</v>
      </c>
      <c r="AA2402" t="s">
        <v>27</v>
      </c>
      <c r="AB2402" t="s">
        <v>27</v>
      </c>
      <c r="AC2402" t="s">
        <v>27</v>
      </c>
      <c r="AD2402" t="s">
        <v>27</v>
      </c>
      <c r="AE2402" t="s">
        <v>27</v>
      </c>
      <c r="AF2402" t="s">
        <v>27</v>
      </c>
      <c r="AG2402">
        <v>30.67</v>
      </c>
    </row>
    <row r="2403" spans="1:33" x14ac:dyDescent="0.25">
      <c r="A2403" t="s">
        <v>57</v>
      </c>
      <c r="B2403" s="3">
        <v>45864</v>
      </c>
      <c r="C2403">
        <v>2025207</v>
      </c>
      <c r="D2403" t="s">
        <v>27</v>
      </c>
      <c r="E2403" t="s">
        <v>27</v>
      </c>
      <c r="F2403" t="s">
        <v>27</v>
      </c>
      <c r="G2403" t="s">
        <v>27</v>
      </c>
      <c r="H2403" t="s">
        <v>27</v>
      </c>
      <c r="I2403" t="s">
        <v>27</v>
      </c>
      <c r="J2403" t="s">
        <v>27</v>
      </c>
      <c r="K2403" t="s">
        <v>27</v>
      </c>
      <c r="L2403" t="s">
        <v>27</v>
      </c>
      <c r="M2403" t="s">
        <v>27</v>
      </c>
      <c r="N2403" t="s">
        <v>27</v>
      </c>
      <c r="O2403" t="s">
        <v>27</v>
      </c>
      <c r="P2403" t="s">
        <v>27</v>
      </c>
      <c r="Q2403" t="s">
        <v>27</v>
      </c>
      <c r="R2403" t="s">
        <v>27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Y2403" t="s">
        <v>27</v>
      </c>
      <c r="Z2403" t="s">
        <v>27</v>
      </c>
      <c r="AA2403" t="s">
        <v>27</v>
      </c>
      <c r="AB2403" t="s">
        <v>27</v>
      </c>
      <c r="AC2403" t="s">
        <v>27</v>
      </c>
      <c r="AD2403" t="s">
        <v>27</v>
      </c>
      <c r="AE2403" t="s">
        <v>27</v>
      </c>
      <c r="AF2403" t="s">
        <v>27</v>
      </c>
      <c r="AG2403">
        <v>30.52</v>
      </c>
    </row>
    <row r="2404" spans="1:33" x14ac:dyDescent="0.25">
      <c r="A2404" t="s">
        <v>57</v>
      </c>
      <c r="B2404" s="3">
        <v>45865</v>
      </c>
      <c r="C2404">
        <v>2025208</v>
      </c>
      <c r="D2404" t="s">
        <v>27</v>
      </c>
      <c r="E2404" t="s">
        <v>27</v>
      </c>
      <c r="F2404" t="s">
        <v>27</v>
      </c>
      <c r="G2404" t="s">
        <v>27</v>
      </c>
      <c r="H2404" t="s">
        <v>27</v>
      </c>
      <c r="I2404" t="s">
        <v>27</v>
      </c>
      <c r="J2404" t="s">
        <v>27</v>
      </c>
      <c r="K2404" t="s">
        <v>27</v>
      </c>
      <c r="L2404" t="s">
        <v>27</v>
      </c>
      <c r="M2404" t="s">
        <v>27</v>
      </c>
      <c r="N2404" t="s">
        <v>27</v>
      </c>
      <c r="O2404" t="s">
        <v>27</v>
      </c>
      <c r="P2404" t="s">
        <v>27</v>
      </c>
      <c r="Q2404" t="s">
        <v>27</v>
      </c>
      <c r="R2404" t="s">
        <v>27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 t="s">
        <v>27</v>
      </c>
      <c r="Z2404" t="s">
        <v>27</v>
      </c>
      <c r="AA2404" t="s">
        <v>27</v>
      </c>
      <c r="AB2404" t="s">
        <v>27</v>
      </c>
      <c r="AC2404" t="s">
        <v>27</v>
      </c>
      <c r="AD2404" t="s">
        <v>27</v>
      </c>
      <c r="AE2404" t="s">
        <v>27</v>
      </c>
      <c r="AF2404" t="s">
        <v>27</v>
      </c>
      <c r="AG2404">
        <v>30.38</v>
      </c>
    </row>
    <row r="2405" spans="1:33" x14ac:dyDescent="0.25">
      <c r="A2405" t="s">
        <v>57</v>
      </c>
      <c r="B2405" s="3">
        <v>45866</v>
      </c>
      <c r="C2405">
        <v>2025209</v>
      </c>
      <c r="D2405" t="s">
        <v>27</v>
      </c>
      <c r="E2405" t="s">
        <v>27</v>
      </c>
      <c r="F2405" t="s">
        <v>27</v>
      </c>
      <c r="G2405" t="s">
        <v>27</v>
      </c>
      <c r="H2405" t="s">
        <v>27</v>
      </c>
      <c r="I2405" t="s">
        <v>27</v>
      </c>
      <c r="J2405" t="s">
        <v>27</v>
      </c>
      <c r="K2405" t="s">
        <v>27</v>
      </c>
      <c r="L2405" t="s">
        <v>27</v>
      </c>
      <c r="M2405" t="s">
        <v>27</v>
      </c>
      <c r="N2405" t="s">
        <v>27</v>
      </c>
      <c r="O2405" t="s">
        <v>27</v>
      </c>
      <c r="P2405" t="s">
        <v>27</v>
      </c>
      <c r="Q2405" t="s">
        <v>27</v>
      </c>
      <c r="R2405" t="s">
        <v>27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Y2405" t="s">
        <v>27</v>
      </c>
      <c r="Z2405" t="s">
        <v>27</v>
      </c>
      <c r="AA2405" t="s">
        <v>27</v>
      </c>
      <c r="AB2405" t="s">
        <v>27</v>
      </c>
      <c r="AC2405" t="s">
        <v>27</v>
      </c>
      <c r="AD2405" t="s">
        <v>27</v>
      </c>
      <c r="AE2405" t="s">
        <v>27</v>
      </c>
      <c r="AF2405" t="s">
        <v>27</v>
      </c>
      <c r="AG2405">
        <v>30.22</v>
      </c>
    </row>
    <row r="2406" spans="1:33" x14ac:dyDescent="0.25">
      <c r="A2406" t="s">
        <v>57</v>
      </c>
      <c r="B2406" s="3">
        <v>45867</v>
      </c>
      <c r="C2406">
        <v>2025210</v>
      </c>
      <c r="D2406" t="s">
        <v>27</v>
      </c>
      <c r="E2406" t="s">
        <v>27</v>
      </c>
      <c r="F2406" t="s">
        <v>27</v>
      </c>
      <c r="G2406" t="s">
        <v>27</v>
      </c>
      <c r="H2406" t="s">
        <v>27</v>
      </c>
      <c r="I2406" t="s">
        <v>27</v>
      </c>
      <c r="J2406" t="s">
        <v>27</v>
      </c>
      <c r="K2406" t="s">
        <v>27</v>
      </c>
      <c r="L2406" t="s">
        <v>27</v>
      </c>
      <c r="M2406" t="s">
        <v>27</v>
      </c>
      <c r="N2406" t="s">
        <v>27</v>
      </c>
      <c r="O2406" t="s">
        <v>27</v>
      </c>
      <c r="P2406" t="s">
        <v>27</v>
      </c>
      <c r="Q2406" t="s">
        <v>27</v>
      </c>
      <c r="R2406" t="s">
        <v>27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Y2406" t="s">
        <v>27</v>
      </c>
      <c r="Z2406" t="s">
        <v>27</v>
      </c>
      <c r="AA2406" t="s">
        <v>27</v>
      </c>
      <c r="AB2406" t="s">
        <v>27</v>
      </c>
      <c r="AC2406" t="s">
        <v>27</v>
      </c>
      <c r="AD2406" t="s">
        <v>27</v>
      </c>
      <c r="AE2406" t="s">
        <v>27</v>
      </c>
      <c r="AF2406" t="s">
        <v>27</v>
      </c>
      <c r="AG2406">
        <v>30.07</v>
      </c>
    </row>
    <row r="2407" spans="1:33" x14ac:dyDescent="0.25">
      <c r="A2407" t="s">
        <v>57</v>
      </c>
      <c r="B2407" s="3">
        <v>45868</v>
      </c>
      <c r="C2407">
        <v>2025211</v>
      </c>
      <c r="D2407" t="s">
        <v>27</v>
      </c>
      <c r="E2407" t="s">
        <v>27</v>
      </c>
      <c r="F2407" t="s">
        <v>27</v>
      </c>
      <c r="G2407" t="s">
        <v>27</v>
      </c>
      <c r="H2407" t="s">
        <v>27</v>
      </c>
      <c r="I2407" t="s">
        <v>27</v>
      </c>
      <c r="J2407" t="s">
        <v>27</v>
      </c>
      <c r="K2407" t="s">
        <v>27</v>
      </c>
      <c r="L2407" t="s">
        <v>27</v>
      </c>
      <c r="M2407" t="s">
        <v>27</v>
      </c>
      <c r="N2407" t="s">
        <v>27</v>
      </c>
      <c r="O2407" t="s">
        <v>27</v>
      </c>
      <c r="P2407" t="s">
        <v>27</v>
      </c>
      <c r="Q2407" t="s">
        <v>27</v>
      </c>
      <c r="R2407" t="s">
        <v>27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  <c r="X2407" t="s">
        <v>27</v>
      </c>
      <c r="Y2407" t="s">
        <v>27</v>
      </c>
      <c r="Z2407" t="s">
        <v>27</v>
      </c>
      <c r="AA2407" t="s">
        <v>27</v>
      </c>
      <c r="AB2407" t="s">
        <v>27</v>
      </c>
      <c r="AC2407" t="s">
        <v>27</v>
      </c>
      <c r="AD2407" t="s">
        <v>27</v>
      </c>
      <c r="AE2407" t="s">
        <v>27</v>
      </c>
      <c r="AF2407" t="s">
        <v>27</v>
      </c>
      <c r="AG2407">
        <v>29.91</v>
      </c>
    </row>
    <row r="2408" spans="1:33" x14ac:dyDescent="0.25">
      <c r="A2408" t="s">
        <v>57</v>
      </c>
      <c r="B2408" s="3">
        <v>45869</v>
      </c>
      <c r="C2408">
        <v>2025212</v>
      </c>
      <c r="D2408" t="s">
        <v>27</v>
      </c>
      <c r="E2408" t="s">
        <v>27</v>
      </c>
      <c r="F2408" t="s">
        <v>27</v>
      </c>
      <c r="G2408" t="s">
        <v>27</v>
      </c>
      <c r="H2408" t="s">
        <v>27</v>
      </c>
      <c r="I2408" t="s">
        <v>27</v>
      </c>
      <c r="J2408" t="s">
        <v>27</v>
      </c>
      <c r="K2408" t="s">
        <v>27</v>
      </c>
      <c r="L2408" t="s">
        <v>27</v>
      </c>
      <c r="M2408" t="s">
        <v>27</v>
      </c>
      <c r="N2408" t="s">
        <v>27</v>
      </c>
      <c r="O2408" t="s">
        <v>27</v>
      </c>
      <c r="P2408" t="s">
        <v>27</v>
      </c>
      <c r="Q2408" t="s">
        <v>27</v>
      </c>
      <c r="R2408" t="s">
        <v>27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 t="s">
        <v>27</v>
      </c>
      <c r="Z2408" t="s">
        <v>27</v>
      </c>
      <c r="AA2408" t="s">
        <v>27</v>
      </c>
      <c r="AB2408" t="s">
        <v>27</v>
      </c>
      <c r="AC2408" t="s">
        <v>27</v>
      </c>
      <c r="AD2408" t="s">
        <v>27</v>
      </c>
      <c r="AE2408" t="s">
        <v>27</v>
      </c>
      <c r="AF2408" t="s">
        <v>27</v>
      </c>
      <c r="AG2408">
        <v>29.74</v>
      </c>
    </row>
    <row r="2409" spans="1:33" x14ac:dyDescent="0.25">
      <c r="A2409" t="s">
        <v>57</v>
      </c>
      <c r="B2409" s="3">
        <v>45870</v>
      </c>
      <c r="C2409">
        <v>2025213</v>
      </c>
      <c r="D2409" t="s">
        <v>27</v>
      </c>
      <c r="E2409" t="s">
        <v>27</v>
      </c>
      <c r="F2409" t="s">
        <v>27</v>
      </c>
      <c r="G2409" t="s">
        <v>27</v>
      </c>
      <c r="H2409" t="s">
        <v>27</v>
      </c>
      <c r="I2409" t="s">
        <v>27</v>
      </c>
      <c r="J2409" t="s">
        <v>27</v>
      </c>
      <c r="K2409" t="s">
        <v>27</v>
      </c>
      <c r="L2409" t="s">
        <v>27</v>
      </c>
      <c r="M2409" t="s">
        <v>27</v>
      </c>
      <c r="N2409" t="s">
        <v>27</v>
      </c>
      <c r="O2409" t="s">
        <v>27</v>
      </c>
      <c r="P2409" t="s">
        <v>27</v>
      </c>
      <c r="Q2409" t="s">
        <v>27</v>
      </c>
      <c r="R2409" t="s">
        <v>27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  <c r="X2409" t="s">
        <v>27</v>
      </c>
      <c r="Y2409" t="s">
        <v>27</v>
      </c>
      <c r="Z2409" t="s">
        <v>27</v>
      </c>
      <c r="AA2409" t="s">
        <v>27</v>
      </c>
      <c r="AB2409" t="s">
        <v>27</v>
      </c>
      <c r="AC2409" t="s">
        <v>27</v>
      </c>
      <c r="AD2409" t="s">
        <v>27</v>
      </c>
      <c r="AE2409" t="s">
        <v>27</v>
      </c>
      <c r="AF2409" t="s">
        <v>27</v>
      </c>
      <c r="AG2409">
        <v>29.59</v>
      </c>
    </row>
    <row r="2410" spans="1:33" x14ac:dyDescent="0.25">
      <c r="A2410" t="s">
        <v>57</v>
      </c>
      <c r="B2410" s="3">
        <v>45871</v>
      </c>
      <c r="C2410">
        <v>2025214</v>
      </c>
      <c r="D2410" t="s">
        <v>27</v>
      </c>
      <c r="E2410" t="s">
        <v>27</v>
      </c>
      <c r="F2410" t="s">
        <v>27</v>
      </c>
      <c r="G2410" t="s">
        <v>27</v>
      </c>
      <c r="H2410" t="s">
        <v>27</v>
      </c>
      <c r="I2410" t="s">
        <v>27</v>
      </c>
      <c r="J2410" t="s">
        <v>27</v>
      </c>
      <c r="K2410" t="s">
        <v>27</v>
      </c>
      <c r="L2410" t="s">
        <v>27</v>
      </c>
      <c r="M2410" t="s">
        <v>27</v>
      </c>
      <c r="N2410" t="s">
        <v>27</v>
      </c>
      <c r="O2410" t="s">
        <v>27</v>
      </c>
      <c r="P2410" t="s">
        <v>27</v>
      </c>
      <c r="Q2410" t="s">
        <v>27</v>
      </c>
      <c r="R2410" t="s">
        <v>27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 t="s">
        <v>27</v>
      </c>
      <c r="Z2410" t="s">
        <v>27</v>
      </c>
      <c r="AA2410" t="s">
        <v>27</v>
      </c>
      <c r="AB2410" t="s">
        <v>27</v>
      </c>
      <c r="AC2410" t="s">
        <v>27</v>
      </c>
      <c r="AD2410" t="s">
        <v>27</v>
      </c>
      <c r="AE2410" t="s">
        <v>27</v>
      </c>
      <c r="AF2410" t="s">
        <v>27</v>
      </c>
      <c r="AG2410">
        <v>29.42</v>
      </c>
    </row>
    <row r="2411" spans="1:33" x14ac:dyDescent="0.25">
      <c r="A2411" t="s">
        <v>57</v>
      </c>
      <c r="B2411" s="3">
        <v>45872</v>
      </c>
      <c r="C2411">
        <v>2025215</v>
      </c>
      <c r="D2411" t="s">
        <v>27</v>
      </c>
      <c r="E2411" t="s">
        <v>27</v>
      </c>
      <c r="F2411" t="s">
        <v>27</v>
      </c>
      <c r="G2411" t="s">
        <v>27</v>
      </c>
      <c r="H2411" t="s">
        <v>27</v>
      </c>
      <c r="I2411" t="s">
        <v>27</v>
      </c>
      <c r="J2411" t="s">
        <v>27</v>
      </c>
      <c r="K2411" t="s">
        <v>27</v>
      </c>
      <c r="L2411" t="s">
        <v>27</v>
      </c>
      <c r="M2411" t="s">
        <v>27</v>
      </c>
      <c r="N2411" t="s">
        <v>27</v>
      </c>
      <c r="O2411" t="s">
        <v>27</v>
      </c>
      <c r="P2411" t="s">
        <v>27</v>
      </c>
      <c r="Q2411" t="s">
        <v>27</v>
      </c>
      <c r="R2411" t="s">
        <v>27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Y2411" t="s">
        <v>27</v>
      </c>
      <c r="Z2411" t="s">
        <v>27</v>
      </c>
      <c r="AA2411" t="s">
        <v>27</v>
      </c>
      <c r="AB2411" t="s">
        <v>27</v>
      </c>
      <c r="AC2411" t="s">
        <v>27</v>
      </c>
      <c r="AD2411" t="s">
        <v>27</v>
      </c>
      <c r="AE2411" t="s">
        <v>27</v>
      </c>
      <c r="AF2411" t="s">
        <v>27</v>
      </c>
      <c r="AG2411">
        <v>29.25</v>
      </c>
    </row>
    <row r="2412" spans="1:33" x14ac:dyDescent="0.25">
      <c r="A2412" t="s">
        <v>57</v>
      </c>
      <c r="B2412" s="3">
        <v>45873</v>
      </c>
      <c r="C2412">
        <v>2025216</v>
      </c>
      <c r="D2412" t="s">
        <v>27</v>
      </c>
      <c r="E2412" t="s">
        <v>27</v>
      </c>
      <c r="F2412" t="s">
        <v>27</v>
      </c>
      <c r="G2412" t="s">
        <v>27</v>
      </c>
      <c r="H2412" t="s">
        <v>27</v>
      </c>
      <c r="I2412" t="s">
        <v>27</v>
      </c>
      <c r="J2412" t="s">
        <v>27</v>
      </c>
      <c r="K2412" t="s">
        <v>27</v>
      </c>
      <c r="L2412" t="s">
        <v>27</v>
      </c>
      <c r="M2412" t="s">
        <v>27</v>
      </c>
      <c r="N2412" t="s">
        <v>27</v>
      </c>
      <c r="O2412" t="s">
        <v>27</v>
      </c>
      <c r="P2412" t="s">
        <v>27</v>
      </c>
      <c r="Q2412" t="s">
        <v>27</v>
      </c>
      <c r="R2412" t="s">
        <v>27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27</v>
      </c>
      <c r="Z2412" t="s">
        <v>27</v>
      </c>
      <c r="AA2412" t="s">
        <v>27</v>
      </c>
      <c r="AB2412" t="s">
        <v>27</v>
      </c>
      <c r="AC2412" t="s">
        <v>27</v>
      </c>
      <c r="AD2412" t="s">
        <v>27</v>
      </c>
      <c r="AE2412" t="s">
        <v>27</v>
      </c>
      <c r="AF2412" t="s">
        <v>27</v>
      </c>
      <c r="AG2412">
        <v>29.08</v>
      </c>
    </row>
    <row r="2413" spans="1:33" x14ac:dyDescent="0.25">
      <c r="A2413" t="s">
        <v>57</v>
      </c>
      <c r="B2413" s="3">
        <v>45874</v>
      </c>
      <c r="C2413">
        <v>2025217</v>
      </c>
      <c r="D2413" t="s">
        <v>27</v>
      </c>
      <c r="E2413" t="s">
        <v>27</v>
      </c>
      <c r="F2413" t="s">
        <v>27</v>
      </c>
      <c r="G2413" t="s">
        <v>27</v>
      </c>
      <c r="H2413" t="s">
        <v>27</v>
      </c>
      <c r="I2413" t="s">
        <v>27</v>
      </c>
      <c r="J2413" t="s">
        <v>27</v>
      </c>
      <c r="K2413" t="s">
        <v>27</v>
      </c>
      <c r="L2413" t="s">
        <v>27</v>
      </c>
      <c r="M2413" t="s">
        <v>27</v>
      </c>
      <c r="N2413" t="s">
        <v>27</v>
      </c>
      <c r="O2413" t="s">
        <v>27</v>
      </c>
      <c r="P2413" t="s">
        <v>27</v>
      </c>
      <c r="Q2413" t="s">
        <v>27</v>
      </c>
      <c r="R2413" t="s">
        <v>27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 t="s">
        <v>27</v>
      </c>
      <c r="Z2413" t="s">
        <v>27</v>
      </c>
      <c r="AA2413" t="s">
        <v>27</v>
      </c>
      <c r="AB2413" t="s">
        <v>27</v>
      </c>
      <c r="AC2413" t="s">
        <v>27</v>
      </c>
      <c r="AD2413" t="s">
        <v>27</v>
      </c>
      <c r="AE2413" t="s">
        <v>27</v>
      </c>
      <c r="AF2413" t="s">
        <v>27</v>
      </c>
      <c r="AG2413">
        <v>28.91</v>
      </c>
    </row>
    <row r="2414" spans="1:33" x14ac:dyDescent="0.25">
      <c r="A2414" t="s">
        <v>57</v>
      </c>
      <c r="B2414" s="3">
        <v>45875</v>
      </c>
      <c r="C2414">
        <v>2025218</v>
      </c>
      <c r="D2414" t="s">
        <v>27</v>
      </c>
      <c r="E2414" t="s">
        <v>27</v>
      </c>
      <c r="F2414" t="s">
        <v>27</v>
      </c>
      <c r="G2414" t="s">
        <v>27</v>
      </c>
      <c r="H2414" t="s">
        <v>27</v>
      </c>
      <c r="I2414" t="s">
        <v>27</v>
      </c>
      <c r="J2414" t="s">
        <v>27</v>
      </c>
      <c r="K2414" t="s">
        <v>27</v>
      </c>
      <c r="L2414" t="s">
        <v>27</v>
      </c>
      <c r="M2414" t="s">
        <v>27</v>
      </c>
      <c r="N2414" t="s">
        <v>27</v>
      </c>
      <c r="O2414" t="s">
        <v>27</v>
      </c>
      <c r="P2414" t="s">
        <v>27</v>
      </c>
      <c r="Q2414" t="s">
        <v>27</v>
      </c>
      <c r="R2414" t="s">
        <v>27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Y2414" t="s">
        <v>27</v>
      </c>
      <c r="Z2414" t="s">
        <v>27</v>
      </c>
      <c r="AA2414" t="s">
        <v>27</v>
      </c>
      <c r="AB2414" t="s">
        <v>27</v>
      </c>
      <c r="AC2414" t="s">
        <v>27</v>
      </c>
      <c r="AD2414" t="s">
        <v>27</v>
      </c>
      <c r="AE2414" t="s">
        <v>27</v>
      </c>
      <c r="AF2414" t="s">
        <v>27</v>
      </c>
      <c r="AG2414">
        <v>28.73</v>
      </c>
    </row>
    <row r="2415" spans="1:33" x14ac:dyDescent="0.25">
      <c r="A2415" t="s">
        <v>57</v>
      </c>
      <c r="B2415" s="3">
        <v>45876</v>
      </c>
      <c r="C2415">
        <v>2025219</v>
      </c>
      <c r="D2415" t="s">
        <v>27</v>
      </c>
      <c r="E2415" t="s">
        <v>27</v>
      </c>
      <c r="F2415" t="s">
        <v>27</v>
      </c>
      <c r="G2415" t="s">
        <v>27</v>
      </c>
      <c r="H2415" t="s">
        <v>27</v>
      </c>
      <c r="I2415" t="s">
        <v>27</v>
      </c>
      <c r="J2415" t="s">
        <v>27</v>
      </c>
      <c r="K2415" t="s">
        <v>27</v>
      </c>
      <c r="L2415" t="s">
        <v>27</v>
      </c>
      <c r="M2415" t="s">
        <v>27</v>
      </c>
      <c r="N2415" t="s">
        <v>27</v>
      </c>
      <c r="O2415" t="s">
        <v>27</v>
      </c>
      <c r="P2415" t="s">
        <v>27</v>
      </c>
      <c r="Q2415" t="s">
        <v>27</v>
      </c>
      <c r="R2415" t="s">
        <v>27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 t="s">
        <v>27</v>
      </c>
      <c r="Z2415" t="s">
        <v>27</v>
      </c>
      <c r="AA2415" t="s">
        <v>27</v>
      </c>
      <c r="AB2415" t="s">
        <v>27</v>
      </c>
      <c r="AC2415" t="s">
        <v>27</v>
      </c>
      <c r="AD2415" t="s">
        <v>27</v>
      </c>
      <c r="AE2415" t="s">
        <v>27</v>
      </c>
      <c r="AF2415" t="s">
        <v>27</v>
      </c>
      <c r="AG2415">
        <v>28.55</v>
      </c>
    </row>
    <row r="2416" spans="1:33" x14ac:dyDescent="0.25">
      <c r="A2416" t="s">
        <v>57</v>
      </c>
      <c r="B2416" s="3">
        <v>45877</v>
      </c>
      <c r="C2416">
        <v>2025220</v>
      </c>
      <c r="D2416" t="s">
        <v>27</v>
      </c>
      <c r="E2416" t="s">
        <v>27</v>
      </c>
      <c r="F2416" t="s">
        <v>27</v>
      </c>
      <c r="G2416" t="s">
        <v>27</v>
      </c>
      <c r="H2416" t="s">
        <v>27</v>
      </c>
      <c r="I2416" t="s">
        <v>27</v>
      </c>
      <c r="J2416" t="s">
        <v>27</v>
      </c>
      <c r="K2416" t="s">
        <v>27</v>
      </c>
      <c r="L2416" t="s">
        <v>27</v>
      </c>
      <c r="M2416" t="s">
        <v>27</v>
      </c>
      <c r="N2416" t="s">
        <v>27</v>
      </c>
      <c r="O2416" t="s">
        <v>27</v>
      </c>
      <c r="P2416" t="s">
        <v>27</v>
      </c>
      <c r="Q2416" t="s">
        <v>27</v>
      </c>
      <c r="R2416" t="s">
        <v>27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27</v>
      </c>
      <c r="Z2416" t="s">
        <v>27</v>
      </c>
      <c r="AA2416" t="s">
        <v>27</v>
      </c>
      <c r="AB2416" t="s">
        <v>27</v>
      </c>
      <c r="AC2416" t="s">
        <v>27</v>
      </c>
      <c r="AD2416" t="s">
        <v>27</v>
      </c>
      <c r="AE2416" t="s">
        <v>27</v>
      </c>
      <c r="AF2416" t="s">
        <v>27</v>
      </c>
      <c r="AG2416">
        <v>28.36</v>
      </c>
    </row>
    <row r="2417" spans="1:33" x14ac:dyDescent="0.25">
      <c r="A2417" t="s">
        <v>57</v>
      </c>
      <c r="B2417" s="3">
        <v>45878</v>
      </c>
      <c r="C2417">
        <v>2025221</v>
      </c>
      <c r="D2417" t="s">
        <v>27</v>
      </c>
      <c r="E2417" t="s">
        <v>27</v>
      </c>
      <c r="F2417" t="s">
        <v>27</v>
      </c>
      <c r="G2417" t="s">
        <v>27</v>
      </c>
      <c r="H2417" t="s">
        <v>27</v>
      </c>
      <c r="I2417" t="s">
        <v>27</v>
      </c>
      <c r="J2417" t="s">
        <v>27</v>
      </c>
      <c r="K2417" t="s">
        <v>27</v>
      </c>
      <c r="L2417" t="s">
        <v>27</v>
      </c>
      <c r="M2417" t="s">
        <v>27</v>
      </c>
      <c r="N2417" t="s">
        <v>27</v>
      </c>
      <c r="O2417" t="s">
        <v>27</v>
      </c>
      <c r="P2417" t="s">
        <v>27</v>
      </c>
      <c r="Q2417" t="s">
        <v>27</v>
      </c>
      <c r="R2417" t="s">
        <v>27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Y2417" t="s">
        <v>27</v>
      </c>
      <c r="Z2417" t="s">
        <v>27</v>
      </c>
      <c r="AA2417" t="s">
        <v>27</v>
      </c>
      <c r="AB2417" t="s">
        <v>27</v>
      </c>
      <c r="AC2417" t="s">
        <v>27</v>
      </c>
      <c r="AD2417" t="s">
        <v>27</v>
      </c>
      <c r="AE2417" t="s">
        <v>27</v>
      </c>
      <c r="AF2417" t="s">
        <v>27</v>
      </c>
      <c r="AG2417">
        <v>28.17</v>
      </c>
    </row>
    <row r="2418" spans="1:33" x14ac:dyDescent="0.25">
      <c r="A2418" t="s">
        <v>57</v>
      </c>
      <c r="B2418" s="3">
        <v>45879</v>
      </c>
      <c r="C2418">
        <v>2025222</v>
      </c>
      <c r="D2418" t="s">
        <v>27</v>
      </c>
      <c r="E2418" t="s">
        <v>27</v>
      </c>
      <c r="F2418" t="s">
        <v>27</v>
      </c>
      <c r="G2418" t="s">
        <v>27</v>
      </c>
      <c r="H2418" t="s">
        <v>27</v>
      </c>
      <c r="I2418" t="s">
        <v>27</v>
      </c>
      <c r="J2418" t="s">
        <v>27</v>
      </c>
      <c r="K2418" t="s">
        <v>27</v>
      </c>
      <c r="L2418" t="s">
        <v>27</v>
      </c>
      <c r="M2418" t="s">
        <v>27</v>
      </c>
      <c r="N2418" t="s">
        <v>27</v>
      </c>
      <c r="O2418" t="s">
        <v>27</v>
      </c>
      <c r="P2418" t="s">
        <v>27</v>
      </c>
      <c r="Q2418" t="s">
        <v>27</v>
      </c>
      <c r="R2418" t="s">
        <v>27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Y2418" t="s">
        <v>27</v>
      </c>
      <c r="Z2418" t="s">
        <v>27</v>
      </c>
      <c r="AA2418" t="s">
        <v>27</v>
      </c>
      <c r="AB2418" t="s">
        <v>27</v>
      </c>
      <c r="AC2418" t="s">
        <v>27</v>
      </c>
      <c r="AD2418" t="s">
        <v>27</v>
      </c>
      <c r="AE2418" t="s">
        <v>27</v>
      </c>
      <c r="AF2418" t="s">
        <v>27</v>
      </c>
      <c r="AG2418">
        <v>27.99</v>
      </c>
    </row>
    <row r="2419" spans="1:33" x14ac:dyDescent="0.25">
      <c r="A2419" t="s">
        <v>57</v>
      </c>
      <c r="B2419" s="3">
        <v>45880</v>
      </c>
      <c r="C2419">
        <v>2025223</v>
      </c>
      <c r="D2419" t="s">
        <v>27</v>
      </c>
      <c r="E2419" t="s">
        <v>27</v>
      </c>
      <c r="F2419" t="s">
        <v>27</v>
      </c>
      <c r="G2419" t="s">
        <v>27</v>
      </c>
      <c r="H2419" t="s">
        <v>27</v>
      </c>
      <c r="I2419" t="s">
        <v>27</v>
      </c>
      <c r="J2419" t="s">
        <v>27</v>
      </c>
      <c r="K2419" t="s">
        <v>27</v>
      </c>
      <c r="L2419" t="s">
        <v>27</v>
      </c>
      <c r="M2419" t="s">
        <v>27</v>
      </c>
      <c r="N2419" t="s">
        <v>27</v>
      </c>
      <c r="O2419" t="s">
        <v>27</v>
      </c>
      <c r="P2419" t="s">
        <v>27</v>
      </c>
      <c r="Q2419" t="s">
        <v>27</v>
      </c>
      <c r="R2419" t="s">
        <v>27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 t="s">
        <v>27</v>
      </c>
      <c r="Z2419" t="s">
        <v>27</v>
      </c>
      <c r="AA2419" t="s">
        <v>27</v>
      </c>
      <c r="AB2419" t="s">
        <v>27</v>
      </c>
      <c r="AC2419" t="s">
        <v>27</v>
      </c>
      <c r="AD2419" t="s">
        <v>27</v>
      </c>
      <c r="AE2419" t="s">
        <v>27</v>
      </c>
      <c r="AF2419" t="s">
        <v>27</v>
      </c>
      <c r="AG2419">
        <v>27.79</v>
      </c>
    </row>
    <row r="2420" spans="1:33" x14ac:dyDescent="0.25">
      <c r="A2420" t="s">
        <v>57</v>
      </c>
      <c r="B2420" s="3">
        <v>45881</v>
      </c>
      <c r="C2420">
        <v>2025224</v>
      </c>
      <c r="D2420" t="s">
        <v>27</v>
      </c>
      <c r="E2420" t="s">
        <v>27</v>
      </c>
      <c r="F2420" t="s">
        <v>27</v>
      </c>
      <c r="G2420" t="s">
        <v>27</v>
      </c>
      <c r="H2420" t="s">
        <v>27</v>
      </c>
      <c r="I2420" t="s">
        <v>27</v>
      </c>
      <c r="J2420" t="s">
        <v>27</v>
      </c>
      <c r="K2420" t="s">
        <v>27</v>
      </c>
      <c r="L2420" t="s">
        <v>27</v>
      </c>
      <c r="M2420" t="s">
        <v>27</v>
      </c>
      <c r="N2420" t="s">
        <v>27</v>
      </c>
      <c r="O2420" t="s">
        <v>27</v>
      </c>
      <c r="P2420" t="s">
        <v>27</v>
      </c>
      <c r="Q2420" t="s">
        <v>27</v>
      </c>
      <c r="R2420" t="s">
        <v>27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Y2420" t="s">
        <v>27</v>
      </c>
      <c r="Z2420" t="s">
        <v>27</v>
      </c>
      <c r="AA2420" t="s">
        <v>27</v>
      </c>
      <c r="AB2420" t="s">
        <v>27</v>
      </c>
      <c r="AC2420" t="s">
        <v>27</v>
      </c>
      <c r="AD2420" t="s">
        <v>27</v>
      </c>
      <c r="AE2420" t="s">
        <v>27</v>
      </c>
      <c r="AF2420" t="s">
        <v>27</v>
      </c>
      <c r="AG2420">
        <v>27.6</v>
      </c>
    </row>
    <row r="2421" spans="1:33" x14ac:dyDescent="0.25">
      <c r="A2421" t="s">
        <v>57</v>
      </c>
      <c r="B2421" s="3">
        <v>45882</v>
      </c>
      <c r="C2421">
        <v>2025225</v>
      </c>
      <c r="D2421" t="s">
        <v>27</v>
      </c>
      <c r="E2421" t="s">
        <v>27</v>
      </c>
      <c r="F2421" t="s">
        <v>27</v>
      </c>
      <c r="G2421" t="s">
        <v>27</v>
      </c>
      <c r="H2421" t="s">
        <v>27</v>
      </c>
      <c r="I2421" t="s">
        <v>27</v>
      </c>
      <c r="J2421" t="s">
        <v>27</v>
      </c>
      <c r="K2421" t="s">
        <v>27</v>
      </c>
      <c r="L2421" t="s">
        <v>27</v>
      </c>
      <c r="M2421" t="s">
        <v>27</v>
      </c>
      <c r="N2421" t="s">
        <v>27</v>
      </c>
      <c r="O2421" t="s">
        <v>27</v>
      </c>
      <c r="P2421" t="s">
        <v>27</v>
      </c>
      <c r="Q2421" t="s">
        <v>27</v>
      </c>
      <c r="R2421" t="s">
        <v>27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 t="s">
        <v>27</v>
      </c>
      <c r="Z2421" t="s">
        <v>27</v>
      </c>
      <c r="AA2421" t="s">
        <v>27</v>
      </c>
      <c r="AB2421" t="s">
        <v>27</v>
      </c>
      <c r="AC2421" t="s">
        <v>27</v>
      </c>
      <c r="AD2421" t="s">
        <v>27</v>
      </c>
      <c r="AE2421" t="s">
        <v>27</v>
      </c>
      <c r="AF2421" t="s">
        <v>27</v>
      </c>
      <c r="AG2421">
        <v>27.4</v>
      </c>
    </row>
    <row r="2422" spans="1:33" x14ac:dyDescent="0.25">
      <c r="A2422" t="s">
        <v>57</v>
      </c>
      <c r="B2422" s="3">
        <v>45883</v>
      </c>
      <c r="C2422">
        <v>2025226</v>
      </c>
      <c r="D2422" t="s">
        <v>27</v>
      </c>
      <c r="E2422" t="s">
        <v>27</v>
      </c>
      <c r="F2422" t="s">
        <v>27</v>
      </c>
      <c r="G2422" t="s">
        <v>27</v>
      </c>
      <c r="H2422" t="s">
        <v>27</v>
      </c>
      <c r="I2422" t="s">
        <v>27</v>
      </c>
      <c r="J2422" t="s">
        <v>27</v>
      </c>
      <c r="K2422" t="s">
        <v>27</v>
      </c>
      <c r="L2422" t="s">
        <v>27</v>
      </c>
      <c r="M2422" t="s">
        <v>27</v>
      </c>
      <c r="N2422" t="s">
        <v>27</v>
      </c>
      <c r="O2422" t="s">
        <v>27</v>
      </c>
      <c r="P2422" t="s">
        <v>27</v>
      </c>
      <c r="Q2422" t="s">
        <v>27</v>
      </c>
      <c r="R2422" t="s">
        <v>27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 t="s">
        <v>27</v>
      </c>
      <c r="Z2422" t="s">
        <v>27</v>
      </c>
      <c r="AA2422" t="s">
        <v>27</v>
      </c>
      <c r="AB2422" t="s">
        <v>27</v>
      </c>
      <c r="AC2422" t="s">
        <v>27</v>
      </c>
      <c r="AD2422" t="s">
        <v>27</v>
      </c>
      <c r="AE2422" t="s">
        <v>27</v>
      </c>
      <c r="AF2422" t="s">
        <v>27</v>
      </c>
      <c r="AG2422">
        <v>27.2</v>
      </c>
    </row>
    <row r="2423" spans="1:33" x14ac:dyDescent="0.25">
      <c r="A2423" t="s">
        <v>57</v>
      </c>
      <c r="B2423" s="3">
        <v>45884</v>
      </c>
      <c r="C2423">
        <v>2025227</v>
      </c>
      <c r="D2423" t="s">
        <v>27</v>
      </c>
      <c r="E2423" t="s">
        <v>27</v>
      </c>
      <c r="F2423" t="s">
        <v>27</v>
      </c>
      <c r="G2423" t="s">
        <v>27</v>
      </c>
      <c r="H2423" t="s">
        <v>27</v>
      </c>
      <c r="I2423" t="s">
        <v>27</v>
      </c>
      <c r="J2423" t="s">
        <v>27</v>
      </c>
      <c r="K2423" t="s">
        <v>27</v>
      </c>
      <c r="L2423" t="s">
        <v>27</v>
      </c>
      <c r="M2423" t="s">
        <v>27</v>
      </c>
      <c r="N2423" t="s">
        <v>27</v>
      </c>
      <c r="O2423" t="s">
        <v>27</v>
      </c>
      <c r="P2423" t="s">
        <v>27</v>
      </c>
      <c r="Q2423" t="s">
        <v>27</v>
      </c>
      <c r="R2423" t="s">
        <v>27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27</v>
      </c>
      <c r="Z2423" t="s">
        <v>27</v>
      </c>
      <c r="AA2423" t="s">
        <v>27</v>
      </c>
      <c r="AB2423" t="s">
        <v>27</v>
      </c>
      <c r="AC2423" t="s">
        <v>27</v>
      </c>
      <c r="AD2423" t="s">
        <v>27</v>
      </c>
      <c r="AE2423" t="s">
        <v>27</v>
      </c>
      <c r="AF2423" t="s">
        <v>27</v>
      </c>
      <c r="AG2423">
        <v>26.99</v>
      </c>
    </row>
    <row r="2424" spans="1:33" x14ac:dyDescent="0.25">
      <c r="A2424" t="s">
        <v>57</v>
      </c>
      <c r="B2424" s="3">
        <v>45885</v>
      </c>
      <c r="C2424">
        <v>2025228</v>
      </c>
      <c r="D2424" t="s">
        <v>27</v>
      </c>
      <c r="E2424" t="s">
        <v>27</v>
      </c>
      <c r="F2424" t="s">
        <v>27</v>
      </c>
      <c r="G2424" t="s">
        <v>27</v>
      </c>
      <c r="H2424" t="s">
        <v>27</v>
      </c>
      <c r="I2424" t="s">
        <v>27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27</v>
      </c>
      <c r="P2424" t="s">
        <v>27</v>
      </c>
      <c r="Q2424" t="s">
        <v>27</v>
      </c>
      <c r="R2424" t="s">
        <v>27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 t="s">
        <v>27</v>
      </c>
      <c r="Z2424" t="s">
        <v>27</v>
      </c>
      <c r="AA2424" t="s">
        <v>27</v>
      </c>
      <c r="AB2424" t="s">
        <v>27</v>
      </c>
      <c r="AC2424" t="s">
        <v>27</v>
      </c>
      <c r="AD2424" t="s">
        <v>27</v>
      </c>
      <c r="AE2424" t="s">
        <v>27</v>
      </c>
      <c r="AF2424" t="s">
        <v>27</v>
      </c>
      <c r="AG2424">
        <v>26.79</v>
      </c>
    </row>
    <row r="2425" spans="1:33" x14ac:dyDescent="0.25">
      <c r="A2425" t="s">
        <v>57</v>
      </c>
      <c r="B2425" s="3">
        <v>45886</v>
      </c>
      <c r="C2425">
        <v>2025229</v>
      </c>
      <c r="D2425" t="s">
        <v>27</v>
      </c>
      <c r="E2425" t="s">
        <v>27</v>
      </c>
      <c r="F2425" t="s">
        <v>27</v>
      </c>
      <c r="G2425" t="s">
        <v>27</v>
      </c>
      <c r="H2425" t="s">
        <v>27</v>
      </c>
      <c r="I2425" t="s">
        <v>27</v>
      </c>
      <c r="J2425" t="s">
        <v>27</v>
      </c>
      <c r="K2425" t="s">
        <v>27</v>
      </c>
      <c r="L2425" t="s">
        <v>27</v>
      </c>
      <c r="M2425" t="s">
        <v>27</v>
      </c>
      <c r="N2425" t="s">
        <v>27</v>
      </c>
      <c r="O2425" t="s">
        <v>27</v>
      </c>
      <c r="P2425" t="s">
        <v>27</v>
      </c>
      <c r="Q2425" t="s">
        <v>27</v>
      </c>
      <c r="R2425" t="s">
        <v>27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Y2425" t="s">
        <v>27</v>
      </c>
      <c r="Z2425" t="s">
        <v>27</v>
      </c>
      <c r="AA2425" t="s">
        <v>27</v>
      </c>
      <c r="AB2425" t="s">
        <v>27</v>
      </c>
      <c r="AC2425" t="s">
        <v>27</v>
      </c>
      <c r="AD2425" t="s">
        <v>27</v>
      </c>
      <c r="AE2425" t="s">
        <v>27</v>
      </c>
      <c r="AF2425" t="s">
        <v>27</v>
      </c>
      <c r="AG2425">
        <v>26.58</v>
      </c>
    </row>
    <row r="2426" spans="1:33" x14ac:dyDescent="0.25">
      <c r="A2426" t="s">
        <v>57</v>
      </c>
      <c r="B2426" s="3">
        <v>45887</v>
      </c>
      <c r="C2426">
        <v>2025230</v>
      </c>
      <c r="D2426" t="s">
        <v>27</v>
      </c>
      <c r="E2426" t="s">
        <v>27</v>
      </c>
      <c r="F2426" t="s">
        <v>27</v>
      </c>
      <c r="G2426" t="s">
        <v>27</v>
      </c>
      <c r="H2426" t="s">
        <v>27</v>
      </c>
      <c r="I2426" t="s">
        <v>27</v>
      </c>
      <c r="J2426" t="s">
        <v>27</v>
      </c>
      <c r="K2426" t="s">
        <v>27</v>
      </c>
      <c r="L2426" t="s">
        <v>27</v>
      </c>
      <c r="M2426" t="s">
        <v>27</v>
      </c>
      <c r="N2426" t="s">
        <v>27</v>
      </c>
      <c r="O2426" t="s">
        <v>27</v>
      </c>
      <c r="P2426" t="s">
        <v>27</v>
      </c>
      <c r="Q2426" t="s">
        <v>27</v>
      </c>
      <c r="R2426" t="s">
        <v>27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27</v>
      </c>
      <c r="Z2426" t="s">
        <v>27</v>
      </c>
      <c r="AA2426" t="s">
        <v>27</v>
      </c>
      <c r="AB2426" t="s">
        <v>27</v>
      </c>
      <c r="AC2426" t="s">
        <v>27</v>
      </c>
      <c r="AD2426" t="s">
        <v>27</v>
      </c>
      <c r="AE2426" t="s">
        <v>27</v>
      </c>
      <c r="AF2426" t="s">
        <v>27</v>
      </c>
      <c r="AG2426">
        <v>26.37</v>
      </c>
    </row>
    <row r="2427" spans="1:33" x14ac:dyDescent="0.25">
      <c r="A2427" t="s">
        <v>57</v>
      </c>
      <c r="B2427" s="3">
        <v>45888</v>
      </c>
      <c r="C2427">
        <v>2025231</v>
      </c>
      <c r="D2427" t="s">
        <v>27</v>
      </c>
      <c r="E2427" t="s">
        <v>27</v>
      </c>
      <c r="F2427" t="s">
        <v>27</v>
      </c>
      <c r="G2427" t="s">
        <v>27</v>
      </c>
      <c r="H2427" t="s">
        <v>27</v>
      </c>
      <c r="I2427" t="s">
        <v>27</v>
      </c>
      <c r="J2427" t="s">
        <v>27</v>
      </c>
      <c r="K2427" t="s">
        <v>27</v>
      </c>
      <c r="L2427" t="s">
        <v>27</v>
      </c>
      <c r="M2427" t="s">
        <v>27</v>
      </c>
      <c r="N2427" t="s">
        <v>27</v>
      </c>
      <c r="O2427" t="s">
        <v>27</v>
      </c>
      <c r="P2427" t="s">
        <v>27</v>
      </c>
      <c r="Q2427" t="s">
        <v>27</v>
      </c>
      <c r="R2427" t="s">
        <v>27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27</v>
      </c>
      <c r="Z2427" t="s">
        <v>27</v>
      </c>
      <c r="AA2427" t="s">
        <v>27</v>
      </c>
      <c r="AB2427" t="s">
        <v>27</v>
      </c>
      <c r="AC2427" t="s">
        <v>27</v>
      </c>
      <c r="AD2427" t="s">
        <v>27</v>
      </c>
      <c r="AE2427" t="s">
        <v>27</v>
      </c>
      <c r="AF2427" t="s">
        <v>27</v>
      </c>
      <c r="AG2427">
        <v>26.15</v>
      </c>
    </row>
    <row r="2428" spans="1:33" x14ac:dyDescent="0.25">
      <c r="A2428" t="s">
        <v>57</v>
      </c>
      <c r="B2428" s="3">
        <v>45889</v>
      </c>
      <c r="C2428">
        <v>2025232</v>
      </c>
      <c r="D2428" t="s">
        <v>27</v>
      </c>
      <c r="E2428" t="s">
        <v>27</v>
      </c>
      <c r="F2428" t="s">
        <v>27</v>
      </c>
      <c r="G2428" t="s">
        <v>27</v>
      </c>
      <c r="H2428" t="s">
        <v>27</v>
      </c>
      <c r="I2428" t="s">
        <v>27</v>
      </c>
      <c r="J2428" t="s">
        <v>27</v>
      </c>
      <c r="K2428" t="s">
        <v>27</v>
      </c>
      <c r="L2428" t="s">
        <v>27</v>
      </c>
      <c r="M2428" t="s">
        <v>27</v>
      </c>
      <c r="N2428" t="s">
        <v>27</v>
      </c>
      <c r="O2428" t="s">
        <v>27</v>
      </c>
      <c r="P2428" t="s">
        <v>27</v>
      </c>
      <c r="Q2428" t="s">
        <v>27</v>
      </c>
      <c r="R2428" t="s">
        <v>27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27</v>
      </c>
      <c r="Z2428" t="s">
        <v>27</v>
      </c>
      <c r="AA2428" t="s">
        <v>27</v>
      </c>
      <c r="AB2428" t="s">
        <v>27</v>
      </c>
      <c r="AC2428" t="s">
        <v>27</v>
      </c>
      <c r="AD2428" t="s">
        <v>27</v>
      </c>
      <c r="AE2428" t="s">
        <v>27</v>
      </c>
      <c r="AF2428" t="s">
        <v>27</v>
      </c>
      <c r="AG2428">
        <v>25.94</v>
      </c>
    </row>
    <row r="2429" spans="1:33" x14ac:dyDescent="0.25">
      <c r="A2429" t="s">
        <v>57</v>
      </c>
      <c r="B2429" s="3">
        <v>45890</v>
      </c>
      <c r="C2429">
        <v>2025233</v>
      </c>
      <c r="D2429" t="s">
        <v>27</v>
      </c>
      <c r="E2429" t="s">
        <v>27</v>
      </c>
      <c r="F2429" t="s">
        <v>27</v>
      </c>
      <c r="G2429" t="s">
        <v>27</v>
      </c>
      <c r="H2429" t="s">
        <v>27</v>
      </c>
      <c r="I2429" t="s">
        <v>27</v>
      </c>
      <c r="J2429" t="s">
        <v>27</v>
      </c>
      <c r="K2429" t="s">
        <v>27</v>
      </c>
      <c r="L2429" t="s">
        <v>27</v>
      </c>
      <c r="M2429" t="s">
        <v>27</v>
      </c>
      <c r="N2429" t="s">
        <v>27</v>
      </c>
      <c r="O2429" t="s">
        <v>27</v>
      </c>
      <c r="P2429" t="s">
        <v>27</v>
      </c>
      <c r="Q2429" t="s">
        <v>27</v>
      </c>
      <c r="R2429" t="s">
        <v>27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 t="s">
        <v>27</v>
      </c>
      <c r="Z2429" t="s">
        <v>27</v>
      </c>
      <c r="AA2429" t="s">
        <v>27</v>
      </c>
      <c r="AB2429" t="s">
        <v>27</v>
      </c>
      <c r="AC2429" t="s">
        <v>27</v>
      </c>
      <c r="AD2429" t="s">
        <v>27</v>
      </c>
      <c r="AE2429" t="s">
        <v>27</v>
      </c>
      <c r="AF2429" t="s">
        <v>27</v>
      </c>
      <c r="AG2429">
        <v>25.72</v>
      </c>
    </row>
    <row r="2430" spans="1:33" x14ac:dyDescent="0.25">
      <c r="A2430" t="s">
        <v>57</v>
      </c>
      <c r="B2430" s="3">
        <v>45891</v>
      </c>
      <c r="C2430">
        <v>2025234</v>
      </c>
      <c r="D2430" t="s">
        <v>27</v>
      </c>
      <c r="E2430" t="s">
        <v>27</v>
      </c>
      <c r="F2430" t="s">
        <v>27</v>
      </c>
      <c r="G2430" t="s">
        <v>27</v>
      </c>
      <c r="H2430" t="s">
        <v>27</v>
      </c>
      <c r="I2430" t="s">
        <v>27</v>
      </c>
      <c r="J2430" t="s">
        <v>27</v>
      </c>
      <c r="K2430" t="s">
        <v>27</v>
      </c>
      <c r="L2430" t="s">
        <v>27</v>
      </c>
      <c r="M2430" t="s">
        <v>27</v>
      </c>
      <c r="N2430" t="s">
        <v>27</v>
      </c>
      <c r="O2430" t="s">
        <v>27</v>
      </c>
      <c r="P2430" t="s">
        <v>27</v>
      </c>
      <c r="Q2430" t="s">
        <v>27</v>
      </c>
      <c r="R2430" t="s">
        <v>27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Y2430" t="s">
        <v>27</v>
      </c>
      <c r="Z2430" t="s">
        <v>27</v>
      </c>
      <c r="AA2430" t="s">
        <v>27</v>
      </c>
      <c r="AB2430" t="s">
        <v>27</v>
      </c>
      <c r="AC2430" t="s">
        <v>27</v>
      </c>
      <c r="AD2430" t="s">
        <v>27</v>
      </c>
      <c r="AE2430" t="s">
        <v>27</v>
      </c>
      <c r="AF2430" t="s">
        <v>27</v>
      </c>
      <c r="AG2430">
        <v>25.5</v>
      </c>
    </row>
    <row r="2431" spans="1:33" x14ac:dyDescent="0.25">
      <c r="A2431" t="s">
        <v>57</v>
      </c>
      <c r="B2431" s="3">
        <v>45892</v>
      </c>
      <c r="C2431">
        <v>2025235</v>
      </c>
      <c r="D2431" t="s">
        <v>27</v>
      </c>
      <c r="E2431" t="s">
        <v>27</v>
      </c>
      <c r="F2431" t="s">
        <v>27</v>
      </c>
      <c r="G2431" t="s">
        <v>27</v>
      </c>
      <c r="H2431" t="s">
        <v>27</v>
      </c>
      <c r="I2431" t="s">
        <v>27</v>
      </c>
      <c r="J2431" t="s">
        <v>27</v>
      </c>
      <c r="K2431" t="s">
        <v>27</v>
      </c>
      <c r="L2431" t="s">
        <v>27</v>
      </c>
      <c r="M2431" t="s">
        <v>27</v>
      </c>
      <c r="N2431" t="s">
        <v>27</v>
      </c>
      <c r="O2431" t="s">
        <v>27</v>
      </c>
      <c r="P2431" t="s">
        <v>27</v>
      </c>
      <c r="Q2431" t="s">
        <v>27</v>
      </c>
      <c r="R2431" t="s">
        <v>27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27</v>
      </c>
      <c r="Z2431" t="s">
        <v>27</v>
      </c>
      <c r="AA2431" t="s">
        <v>27</v>
      </c>
      <c r="AB2431" t="s">
        <v>27</v>
      </c>
      <c r="AC2431" t="s">
        <v>27</v>
      </c>
      <c r="AD2431" t="s">
        <v>27</v>
      </c>
      <c r="AE2431" t="s">
        <v>27</v>
      </c>
      <c r="AF2431" t="s">
        <v>27</v>
      </c>
      <c r="AG2431">
        <v>25.27</v>
      </c>
    </row>
    <row r="2432" spans="1:33" x14ac:dyDescent="0.25">
      <c r="A2432" t="s">
        <v>57</v>
      </c>
      <c r="B2432" s="3">
        <v>45893</v>
      </c>
      <c r="C2432">
        <v>2025236</v>
      </c>
      <c r="D2432" t="s">
        <v>27</v>
      </c>
      <c r="E2432" t="s">
        <v>27</v>
      </c>
      <c r="F2432" t="s">
        <v>27</v>
      </c>
      <c r="G2432" t="s">
        <v>27</v>
      </c>
      <c r="H2432" t="s">
        <v>27</v>
      </c>
      <c r="I2432" t="s">
        <v>27</v>
      </c>
      <c r="J2432" t="s">
        <v>27</v>
      </c>
      <c r="K2432" t="s">
        <v>27</v>
      </c>
      <c r="L2432" t="s">
        <v>27</v>
      </c>
      <c r="M2432" t="s">
        <v>27</v>
      </c>
      <c r="N2432" t="s">
        <v>27</v>
      </c>
      <c r="O2432" t="s">
        <v>27</v>
      </c>
      <c r="P2432" t="s">
        <v>27</v>
      </c>
      <c r="Q2432" t="s">
        <v>27</v>
      </c>
      <c r="R2432" t="s">
        <v>27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Y2432" t="s">
        <v>27</v>
      </c>
      <c r="Z2432" t="s">
        <v>27</v>
      </c>
      <c r="AA2432" t="s">
        <v>27</v>
      </c>
      <c r="AB2432" t="s">
        <v>27</v>
      </c>
      <c r="AC2432" t="s">
        <v>27</v>
      </c>
      <c r="AD2432" t="s">
        <v>27</v>
      </c>
      <c r="AE2432" t="s">
        <v>27</v>
      </c>
      <c r="AF2432" t="s">
        <v>27</v>
      </c>
      <c r="AG2432">
        <v>25.04</v>
      </c>
    </row>
    <row r="2433" spans="1:33" x14ac:dyDescent="0.25">
      <c r="A2433" t="s">
        <v>57</v>
      </c>
      <c r="B2433" s="3">
        <v>45894</v>
      </c>
      <c r="C2433">
        <v>2025237</v>
      </c>
      <c r="D2433" t="s">
        <v>27</v>
      </c>
      <c r="E2433" t="s">
        <v>27</v>
      </c>
      <c r="F2433" t="s">
        <v>27</v>
      </c>
      <c r="G2433" t="s">
        <v>27</v>
      </c>
      <c r="H2433" t="s">
        <v>27</v>
      </c>
      <c r="I2433" t="s">
        <v>27</v>
      </c>
      <c r="J2433" t="s">
        <v>27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27</v>
      </c>
      <c r="Q2433" t="s">
        <v>27</v>
      </c>
      <c r="R2433" t="s">
        <v>27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 t="s">
        <v>27</v>
      </c>
      <c r="Z2433" t="s">
        <v>27</v>
      </c>
      <c r="AA2433" t="s">
        <v>27</v>
      </c>
      <c r="AB2433" t="s">
        <v>27</v>
      </c>
      <c r="AC2433" t="s">
        <v>27</v>
      </c>
      <c r="AD2433" t="s">
        <v>27</v>
      </c>
      <c r="AE2433" t="s">
        <v>27</v>
      </c>
      <c r="AF2433" t="s">
        <v>27</v>
      </c>
      <c r="AG2433">
        <v>24.82</v>
      </c>
    </row>
    <row r="2434" spans="1:33" x14ac:dyDescent="0.25">
      <c r="A2434" t="s">
        <v>57</v>
      </c>
      <c r="B2434" s="3">
        <v>45895</v>
      </c>
      <c r="C2434">
        <v>2025238</v>
      </c>
      <c r="D2434" t="s">
        <v>27</v>
      </c>
      <c r="E2434" t="s">
        <v>27</v>
      </c>
      <c r="F2434" t="s">
        <v>27</v>
      </c>
      <c r="G2434" t="s">
        <v>27</v>
      </c>
      <c r="H2434" t="s">
        <v>27</v>
      </c>
      <c r="I2434" t="s">
        <v>27</v>
      </c>
      <c r="J2434" t="s">
        <v>27</v>
      </c>
      <c r="K2434" t="s">
        <v>27</v>
      </c>
      <c r="L2434" t="s">
        <v>27</v>
      </c>
      <c r="M2434" t="s">
        <v>27</v>
      </c>
      <c r="N2434" t="s">
        <v>27</v>
      </c>
      <c r="O2434" t="s">
        <v>27</v>
      </c>
      <c r="P2434" t="s">
        <v>27</v>
      </c>
      <c r="Q2434" t="s">
        <v>27</v>
      </c>
      <c r="R2434" t="s">
        <v>27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27</v>
      </c>
      <c r="Z2434" t="s">
        <v>27</v>
      </c>
      <c r="AA2434" t="s">
        <v>27</v>
      </c>
      <c r="AB2434" t="s">
        <v>27</v>
      </c>
      <c r="AC2434" t="s">
        <v>27</v>
      </c>
      <c r="AD2434" t="s">
        <v>27</v>
      </c>
      <c r="AE2434" t="s">
        <v>27</v>
      </c>
      <c r="AF2434" t="s">
        <v>27</v>
      </c>
      <c r="AG2434">
        <v>24.59</v>
      </c>
    </row>
    <row r="2435" spans="1:33" x14ac:dyDescent="0.25">
      <c r="A2435" t="s">
        <v>57</v>
      </c>
      <c r="B2435" s="3">
        <v>45896</v>
      </c>
      <c r="C2435">
        <v>2025239</v>
      </c>
      <c r="D2435" t="s">
        <v>27</v>
      </c>
      <c r="E2435" t="s">
        <v>27</v>
      </c>
      <c r="F2435" t="s">
        <v>27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L2435" t="s">
        <v>27</v>
      </c>
      <c r="M2435" t="s">
        <v>27</v>
      </c>
      <c r="N2435" t="s">
        <v>27</v>
      </c>
      <c r="O2435" t="s">
        <v>27</v>
      </c>
      <c r="P2435" t="s">
        <v>27</v>
      </c>
      <c r="Q2435" t="s">
        <v>27</v>
      </c>
      <c r="R2435" t="s">
        <v>27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 t="s">
        <v>27</v>
      </c>
      <c r="Z2435" t="s">
        <v>27</v>
      </c>
      <c r="AA2435" t="s">
        <v>27</v>
      </c>
      <c r="AB2435" t="s">
        <v>27</v>
      </c>
      <c r="AC2435" t="s">
        <v>27</v>
      </c>
      <c r="AD2435" t="s">
        <v>27</v>
      </c>
      <c r="AE2435" t="s">
        <v>27</v>
      </c>
      <c r="AF2435" t="s">
        <v>27</v>
      </c>
      <c r="AG2435">
        <v>24.36</v>
      </c>
    </row>
    <row r="2436" spans="1:33" x14ac:dyDescent="0.25">
      <c r="A2436" t="s">
        <v>57</v>
      </c>
      <c r="B2436" s="3">
        <v>45897</v>
      </c>
      <c r="C2436">
        <v>2025240</v>
      </c>
      <c r="D2436" t="s">
        <v>27</v>
      </c>
      <c r="E2436" t="s">
        <v>27</v>
      </c>
      <c r="F2436" t="s">
        <v>27</v>
      </c>
      <c r="G2436" t="s">
        <v>27</v>
      </c>
      <c r="H2436" t="s">
        <v>27</v>
      </c>
      <c r="I2436" t="s">
        <v>27</v>
      </c>
      <c r="J2436" t="s">
        <v>27</v>
      </c>
      <c r="K2436" t="s">
        <v>27</v>
      </c>
      <c r="L2436" t="s">
        <v>27</v>
      </c>
      <c r="M2436" t="s">
        <v>27</v>
      </c>
      <c r="N2436" t="s">
        <v>27</v>
      </c>
      <c r="O2436" t="s">
        <v>27</v>
      </c>
      <c r="P2436" t="s">
        <v>27</v>
      </c>
      <c r="Q2436" t="s">
        <v>27</v>
      </c>
      <c r="R2436" t="s">
        <v>27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Y2436" t="s">
        <v>27</v>
      </c>
      <c r="Z2436" t="s">
        <v>27</v>
      </c>
      <c r="AA2436" t="s">
        <v>27</v>
      </c>
      <c r="AB2436" t="s">
        <v>27</v>
      </c>
      <c r="AC2436" t="s">
        <v>27</v>
      </c>
      <c r="AD2436" t="s">
        <v>27</v>
      </c>
      <c r="AE2436" t="s">
        <v>27</v>
      </c>
      <c r="AF2436" t="s">
        <v>27</v>
      </c>
      <c r="AG2436">
        <v>24.12</v>
      </c>
    </row>
    <row r="2437" spans="1:33" x14ac:dyDescent="0.25">
      <c r="A2437" t="s">
        <v>57</v>
      </c>
      <c r="B2437" s="3">
        <v>45898</v>
      </c>
      <c r="C2437">
        <v>2025241</v>
      </c>
      <c r="D2437" t="s">
        <v>27</v>
      </c>
      <c r="E2437" t="s">
        <v>27</v>
      </c>
      <c r="F2437" t="s">
        <v>27</v>
      </c>
      <c r="G2437" t="s">
        <v>27</v>
      </c>
      <c r="H2437" t="s">
        <v>27</v>
      </c>
      <c r="I2437" t="s">
        <v>27</v>
      </c>
      <c r="J2437" t="s">
        <v>27</v>
      </c>
      <c r="K2437" t="s">
        <v>27</v>
      </c>
      <c r="L2437" t="s">
        <v>27</v>
      </c>
      <c r="M2437" t="s">
        <v>27</v>
      </c>
      <c r="N2437" t="s">
        <v>27</v>
      </c>
      <c r="O2437" t="s">
        <v>27</v>
      </c>
      <c r="P2437" t="s">
        <v>27</v>
      </c>
      <c r="Q2437" t="s">
        <v>27</v>
      </c>
      <c r="R2437" t="s">
        <v>27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Y2437" t="s">
        <v>27</v>
      </c>
      <c r="Z2437" t="s">
        <v>27</v>
      </c>
      <c r="AA2437" t="s">
        <v>27</v>
      </c>
      <c r="AB2437" t="s">
        <v>27</v>
      </c>
      <c r="AC2437" t="s">
        <v>27</v>
      </c>
      <c r="AD2437" t="s">
        <v>27</v>
      </c>
      <c r="AE2437" t="s">
        <v>27</v>
      </c>
      <c r="AF2437" t="s">
        <v>27</v>
      </c>
      <c r="AG2437">
        <v>23.89</v>
      </c>
    </row>
    <row r="2438" spans="1:33" x14ac:dyDescent="0.25">
      <c r="A2438" t="s">
        <v>57</v>
      </c>
      <c r="B2438" s="3">
        <v>45899</v>
      </c>
      <c r="C2438">
        <v>2025242</v>
      </c>
      <c r="D2438" t="s">
        <v>27</v>
      </c>
      <c r="E2438" t="s">
        <v>27</v>
      </c>
      <c r="F2438" t="s">
        <v>27</v>
      </c>
      <c r="G2438" t="s">
        <v>27</v>
      </c>
      <c r="H2438" t="s">
        <v>27</v>
      </c>
      <c r="I2438" t="s">
        <v>27</v>
      </c>
      <c r="J2438" t="s">
        <v>27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27</v>
      </c>
      <c r="Q2438" t="s">
        <v>27</v>
      </c>
      <c r="R2438" t="s">
        <v>27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Y2438" t="s">
        <v>27</v>
      </c>
      <c r="Z2438" t="s">
        <v>27</v>
      </c>
      <c r="AA2438" t="s">
        <v>27</v>
      </c>
      <c r="AB2438" t="s">
        <v>27</v>
      </c>
      <c r="AC2438" t="s">
        <v>27</v>
      </c>
      <c r="AD2438" t="s">
        <v>27</v>
      </c>
      <c r="AE2438" t="s">
        <v>27</v>
      </c>
      <c r="AF2438" t="s">
        <v>27</v>
      </c>
      <c r="AG2438">
        <v>23.65</v>
      </c>
    </row>
    <row r="2439" spans="1:33" x14ac:dyDescent="0.25">
      <c r="A2439" t="s">
        <v>57</v>
      </c>
      <c r="B2439" s="3">
        <v>45900</v>
      </c>
      <c r="C2439">
        <v>2025243</v>
      </c>
      <c r="D2439" t="s">
        <v>27</v>
      </c>
      <c r="E2439" t="s">
        <v>27</v>
      </c>
      <c r="F2439" t="s">
        <v>27</v>
      </c>
      <c r="G2439" t="s">
        <v>27</v>
      </c>
      <c r="H2439" t="s">
        <v>27</v>
      </c>
      <c r="I2439" t="s">
        <v>27</v>
      </c>
      <c r="J2439" t="s">
        <v>27</v>
      </c>
      <c r="K2439" t="s">
        <v>27</v>
      </c>
      <c r="L2439" t="s">
        <v>27</v>
      </c>
      <c r="M2439" t="s">
        <v>27</v>
      </c>
      <c r="N2439" t="s">
        <v>27</v>
      </c>
      <c r="O2439" t="s">
        <v>27</v>
      </c>
      <c r="P2439" t="s">
        <v>27</v>
      </c>
      <c r="Q2439" t="s">
        <v>27</v>
      </c>
      <c r="R2439" t="s">
        <v>27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Y2439" t="s">
        <v>27</v>
      </c>
      <c r="Z2439" t="s">
        <v>27</v>
      </c>
      <c r="AA2439" t="s">
        <v>27</v>
      </c>
      <c r="AB2439" t="s">
        <v>27</v>
      </c>
      <c r="AC2439" t="s">
        <v>27</v>
      </c>
      <c r="AD2439" t="s">
        <v>27</v>
      </c>
      <c r="AE2439" t="s">
        <v>27</v>
      </c>
      <c r="AF2439" t="s">
        <v>27</v>
      </c>
      <c r="AG2439">
        <v>23.41</v>
      </c>
    </row>
    <row r="2440" spans="1:33" x14ac:dyDescent="0.25">
      <c r="A2440" t="s">
        <v>57</v>
      </c>
      <c r="B2440" s="3">
        <v>45901</v>
      </c>
      <c r="C2440">
        <v>2025244</v>
      </c>
      <c r="D2440" t="s">
        <v>27</v>
      </c>
      <c r="E2440" t="s">
        <v>27</v>
      </c>
      <c r="F2440" t="s">
        <v>27</v>
      </c>
      <c r="G2440" t="s">
        <v>27</v>
      </c>
      <c r="H2440" t="s">
        <v>27</v>
      </c>
      <c r="I2440" t="s">
        <v>27</v>
      </c>
      <c r="J2440" t="s">
        <v>27</v>
      </c>
      <c r="K2440" t="s">
        <v>27</v>
      </c>
      <c r="L2440" t="s">
        <v>27</v>
      </c>
      <c r="M2440" t="s">
        <v>27</v>
      </c>
      <c r="N2440" t="s">
        <v>27</v>
      </c>
      <c r="O2440" t="s">
        <v>27</v>
      </c>
      <c r="P2440" t="s">
        <v>27</v>
      </c>
      <c r="Q2440" t="s">
        <v>27</v>
      </c>
      <c r="R2440" t="s">
        <v>27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Y2440" t="s">
        <v>27</v>
      </c>
      <c r="Z2440" t="s">
        <v>27</v>
      </c>
      <c r="AA2440" t="s">
        <v>27</v>
      </c>
      <c r="AB2440" t="s">
        <v>27</v>
      </c>
      <c r="AC2440" t="s">
        <v>27</v>
      </c>
      <c r="AD2440" t="s">
        <v>27</v>
      </c>
      <c r="AE2440" t="s">
        <v>27</v>
      </c>
      <c r="AF2440" t="s">
        <v>27</v>
      </c>
      <c r="AG2440">
        <v>23.17</v>
      </c>
    </row>
    <row r="2441" spans="1:33" x14ac:dyDescent="0.25">
      <c r="A2441" t="s">
        <v>57</v>
      </c>
      <c r="B2441" s="3">
        <v>45902</v>
      </c>
      <c r="C2441">
        <v>2025245</v>
      </c>
      <c r="D2441" t="s">
        <v>27</v>
      </c>
      <c r="E2441" t="s">
        <v>27</v>
      </c>
      <c r="F2441" t="s">
        <v>27</v>
      </c>
      <c r="G2441" t="s">
        <v>27</v>
      </c>
      <c r="H2441" t="s">
        <v>27</v>
      </c>
      <c r="I2441" t="s">
        <v>27</v>
      </c>
      <c r="J2441" t="s">
        <v>27</v>
      </c>
      <c r="K2441" t="s">
        <v>27</v>
      </c>
      <c r="L2441" t="s">
        <v>27</v>
      </c>
      <c r="M2441" t="s">
        <v>27</v>
      </c>
      <c r="N2441" t="s">
        <v>27</v>
      </c>
      <c r="O2441" t="s">
        <v>27</v>
      </c>
      <c r="P2441" t="s">
        <v>27</v>
      </c>
      <c r="Q2441" t="s">
        <v>27</v>
      </c>
      <c r="R2441" t="s">
        <v>27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Y2441" t="s">
        <v>27</v>
      </c>
      <c r="Z2441" t="s">
        <v>27</v>
      </c>
      <c r="AA2441" t="s">
        <v>27</v>
      </c>
      <c r="AB2441" t="s">
        <v>27</v>
      </c>
      <c r="AC2441" t="s">
        <v>27</v>
      </c>
      <c r="AD2441" t="s">
        <v>27</v>
      </c>
      <c r="AE2441" t="s">
        <v>27</v>
      </c>
      <c r="AF2441" t="s">
        <v>27</v>
      </c>
      <c r="AG2441">
        <v>22.93</v>
      </c>
    </row>
    <row r="2442" spans="1:33" x14ac:dyDescent="0.25">
      <c r="A2442" t="s">
        <v>57</v>
      </c>
      <c r="B2442" s="3">
        <v>45903</v>
      </c>
      <c r="C2442">
        <v>2025246</v>
      </c>
      <c r="D2442" t="s">
        <v>27</v>
      </c>
      <c r="E2442" t="s">
        <v>27</v>
      </c>
      <c r="F2442" t="s">
        <v>27</v>
      </c>
      <c r="G2442" t="s">
        <v>27</v>
      </c>
      <c r="H2442" t="s">
        <v>27</v>
      </c>
      <c r="I2442" t="s">
        <v>27</v>
      </c>
      <c r="J2442" t="s">
        <v>27</v>
      </c>
      <c r="K2442" t="s">
        <v>27</v>
      </c>
      <c r="L2442" t="s">
        <v>27</v>
      </c>
      <c r="M2442" t="s">
        <v>27</v>
      </c>
      <c r="N2442" t="s">
        <v>27</v>
      </c>
      <c r="O2442" t="s">
        <v>27</v>
      </c>
      <c r="P2442" t="s">
        <v>27</v>
      </c>
      <c r="Q2442" t="s">
        <v>27</v>
      </c>
      <c r="R2442" t="s">
        <v>27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27</v>
      </c>
      <c r="Z2442" t="s">
        <v>27</v>
      </c>
      <c r="AA2442" t="s">
        <v>27</v>
      </c>
      <c r="AB2442" t="s">
        <v>27</v>
      </c>
      <c r="AC2442" t="s">
        <v>27</v>
      </c>
      <c r="AD2442" t="s">
        <v>27</v>
      </c>
      <c r="AE2442" t="s">
        <v>27</v>
      </c>
      <c r="AF2442" t="s">
        <v>27</v>
      </c>
      <c r="AG2442">
        <v>22.69</v>
      </c>
    </row>
    <row r="2443" spans="1:33" x14ac:dyDescent="0.25">
      <c r="A2443" t="s">
        <v>57</v>
      </c>
      <c r="B2443" s="3">
        <v>45904</v>
      </c>
      <c r="C2443">
        <v>2025247</v>
      </c>
      <c r="D2443" t="s">
        <v>27</v>
      </c>
      <c r="E2443" t="s">
        <v>27</v>
      </c>
      <c r="F2443" t="s">
        <v>27</v>
      </c>
      <c r="G2443" t="s">
        <v>27</v>
      </c>
      <c r="H2443" t="s">
        <v>27</v>
      </c>
      <c r="I2443" t="s">
        <v>27</v>
      </c>
      <c r="J2443" t="s">
        <v>27</v>
      </c>
      <c r="K2443" t="s">
        <v>27</v>
      </c>
      <c r="L2443" t="s">
        <v>27</v>
      </c>
      <c r="M2443" t="s">
        <v>27</v>
      </c>
      <c r="N2443" t="s">
        <v>27</v>
      </c>
      <c r="O2443" t="s">
        <v>27</v>
      </c>
      <c r="P2443" t="s">
        <v>27</v>
      </c>
      <c r="Q2443" t="s">
        <v>27</v>
      </c>
      <c r="R2443" t="s">
        <v>27</v>
      </c>
      <c r="S2443" t="s">
        <v>27</v>
      </c>
      <c r="T2443" t="s">
        <v>27</v>
      </c>
      <c r="U2443" t="s">
        <v>27</v>
      </c>
      <c r="V2443" t="s">
        <v>27</v>
      </c>
      <c r="W2443" t="s">
        <v>27</v>
      </c>
      <c r="X2443" t="s">
        <v>27</v>
      </c>
      <c r="Y2443" t="s">
        <v>27</v>
      </c>
      <c r="Z2443" t="s">
        <v>27</v>
      </c>
      <c r="AA2443" t="s">
        <v>27</v>
      </c>
      <c r="AB2443" t="s">
        <v>27</v>
      </c>
      <c r="AC2443" t="s">
        <v>27</v>
      </c>
      <c r="AD2443" t="s">
        <v>27</v>
      </c>
      <c r="AE2443" t="s">
        <v>27</v>
      </c>
      <c r="AF2443" t="s">
        <v>27</v>
      </c>
      <c r="AG2443">
        <v>22.44</v>
      </c>
    </row>
    <row r="2444" spans="1:33" x14ac:dyDescent="0.25">
      <c r="A2444" t="s">
        <v>57</v>
      </c>
      <c r="B2444" s="3">
        <v>45905</v>
      </c>
      <c r="C2444">
        <v>2025248</v>
      </c>
      <c r="D2444" t="s">
        <v>27</v>
      </c>
      <c r="E2444" t="s">
        <v>27</v>
      </c>
      <c r="F2444" t="s">
        <v>27</v>
      </c>
      <c r="G2444" t="s">
        <v>27</v>
      </c>
      <c r="H2444" t="s">
        <v>27</v>
      </c>
      <c r="I2444" t="s">
        <v>27</v>
      </c>
      <c r="J2444" t="s">
        <v>27</v>
      </c>
      <c r="K2444" t="s">
        <v>27</v>
      </c>
      <c r="L2444" t="s">
        <v>27</v>
      </c>
      <c r="M2444" t="s">
        <v>27</v>
      </c>
      <c r="N2444" t="s">
        <v>27</v>
      </c>
      <c r="O2444" t="s">
        <v>27</v>
      </c>
      <c r="P2444" t="s">
        <v>27</v>
      </c>
      <c r="Q2444" t="s">
        <v>27</v>
      </c>
      <c r="R2444" t="s">
        <v>27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Y2444" t="s">
        <v>27</v>
      </c>
      <c r="Z2444" t="s">
        <v>27</v>
      </c>
      <c r="AA2444" t="s">
        <v>27</v>
      </c>
      <c r="AB2444" t="s">
        <v>27</v>
      </c>
      <c r="AC2444" t="s">
        <v>27</v>
      </c>
      <c r="AD2444" t="s">
        <v>27</v>
      </c>
      <c r="AE2444" t="s">
        <v>27</v>
      </c>
      <c r="AF2444" t="s">
        <v>27</v>
      </c>
      <c r="AG2444">
        <v>22.2</v>
      </c>
    </row>
    <row r="2445" spans="1:33" x14ac:dyDescent="0.25">
      <c r="A2445" t="s">
        <v>57</v>
      </c>
      <c r="B2445" s="3">
        <v>45906</v>
      </c>
      <c r="C2445">
        <v>2025249</v>
      </c>
      <c r="D2445" t="s">
        <v>27</v>
      </c>
      <c r="E2445" t="s">
        <v>27</v>
      </c>
      <c r="F2445" t="s">
        <v>27</v>
      </c>
      <c r="G2445" t="s">
        <v>27</v>
      </c>
      <c r="H2445" t="s">
        <v>27</v>
      </c>
      <c r="I2445" t="s">
        <v>27</v>
      </c>
      <c r="J2445" t="s">
        <v>27</v>
      </c>
      <c r="K2445" t="s">
        <v>27</v>
      </c>
      <c r="L2445" t="s">
        <v>27</v>
      </c>
      <c r="M2445" t="s">
        <v>27</v>
      </c>
      <c r="N2445" t="s">
        <v>27</v>
      </c>
      <c r="O2445" t="s">
        <v>27</v>
      </c>
      <c r="P2445" t="s">
        <v>27</v>
      </c>
      <c r="Q2445" t="s">
        <v>27</v>
      </c>
      <c r="R2445" t="s">
        <v>27</v>
      </c>
      <c r="S2445" t="s">
        <v>27</v>
      </c>
      <c r="T2445" t="s">
        <v>27</v>
      </c>
      <c r="U2445" t="s">
        <v>27</v>
      </c>
      <c r="V2445" t="s">
        <v>27</v>
      </c>
      <c r="W2445" t="s">
        <v>27</v>
      </c>
      <c r="X2445" t="s">
        <v>27</v>
      </c>
      <c r="Y2445" t="s">
        <v>27</v>
      </c>
      <c r="Z2445" t="s">
        <v>27</v>
      </c>
      <c r="AA2445" t="s">
        <v>27</v>
      </c>
      <c r="AB2445" t="s">
        <v>27</v>
      </c>
      <c r="AC2445" t="s">
        <v>27</v>
      </c>
      <c r="AD2445" t="s">
        <v>27</v>
      </c>
      <c r="AE2445" t="s">
        <v>27</v>
      </c>
      <c r="AF2445" t="s">
        <v>27</v>
      </c>
      <c r="AG2445">
        <v>21.95</v>
      </c>
    </row>
    <row r="2446" spans="1:33" x14ac:dyDescent="0.25">
      <c r="A2446" t="s">
        <v>57</v>
      </c>
      <c r="B2446" s="3">
        <v>45907</v>
      </c>
      <c r="C2446">
        <v>2025250</v>
      </c>
      <c r="D2446" t="s">
        <v>27</v>
      </c>
      <c r="E2446" t="s">
        <v>27</v>
      </c>
      <c r="F2446" t="s">
        <v>27</v>
      </c>
      <c r="G2446" t="s">
        <v>27</v>
      </c>
      <c r="H2446" t="s">
        <v>27</v>
      </c>
      <c r="I2446" t="s">
        <v>27</v>
      </c>
      <c r="J2446" t="s">
        <v>27</v>
      </c>
      <c r="K2446" t="s">
        <v>27</v>
      </c>
      <c r="L2446" t="s">
        <v>27</v>
      </c>
      <c r="M2446" t="s">
        <v>27</v>
      </c>
      <c r="N2446" t="s">
        <v>27</v>
      </c>
      <c r="O2446" t="s">
        <v>27</v>
      </c>
      <c r="P2446" t="s">
        <v>27</v>
      </c>
      <c r="Q2446" t="s">
        <v>27</v>
      </c>
      <c r="R2446" t="s">
        <v>27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  <c r="X2446" t="s">
        <v>27</v>
      </c>
      <c r="Y2446" t="s">
        <v>27</v>
      </c>
      <c r="Z2446" t="s">
        <v>27</v>
      </c>
      <c r="AA2446" t="s">
        <v>27</v>
      </c>
      <c r="AB2446" t="s">
        <v>27</v>
      </c>
      <c r="AC2446" t="s">
        <v>27</v>
      </c>
      <c r="AD2446" t="s">
        <v>27</v>
      </c>
      <c r="AE2446" t="s">
        <v>27</v>
      </c>
      <c r="AF2446" t="s">
        <v>27</v>
      </c>
      <c r="AG2446">
        <v>21.71</v>
      </c>
    </row>
    <row r="2447" spans="1:33" x14ac:dyDescent="0.25">
      <c r="A2447" t="s">
        <v>57</v>
      </c>
      <c r="B2447" s="3">
        <v>45908</v>
      </c>
      <c r="C2447">
        <v>2025251</v>
      </c>
      <c r="D2447" t="s">
        <v>27</v>
      </c>
      <c r="E2447" t="s">
        <v>27</v>
      </c>
      <c r="F2447" t="s">
        <v>27</v>
      </c>
      <c r="G2447" t="s">
        <v>27</v>
      </c>
      <c r="H2447" t="s">
        <v>27</v>
      </c>
      <c r="I2447" t="s">
        <v>27</v>
      </c>
      <c r="J2447" t="s">
        <v>27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27</v>
      </c>
      <c r="Q2447" t="s">
        <v>27</v>
      </c>
      <c r="R2447" t="s">
        <v>27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Y2447" t="s">
        <v>27</v>
      </c>
      <c r="Z2447" t="s">
        <v>27</v>
      </c>
      <c r="AA2447" t="s">
        <v>27</v>
      </c>
      <c r="AB2447" t="s">
        <v>27</v>
      </c>
      <c r="AC2447" t="s">
        <v>27</v>
      </c>
      <c r="AD2447" t="s">
        <v>27</v>
      </c>
      <c r="AE2447" t="s">
        <v>27</v>
      </c>
      <c r="AF2447" t="s">
        <v>27</v>
      </c>
      <c r="AG2447">
        <v>21.46</v>
      </c>
    </row>
    <row r="2448" spans="1:33" x14ac:dyDescent="0.25">
      <c r="A2448" t="s">
        <v>57</v>
      </c>
      <c r="B2448" s="3">
        <v>45909</v>
      </c>
      <c r="C2448">
        <v>2025252</v>
      </c>
      <c r="D2448" t="s">
        <v>27</v>
      </c>
      <c r="E2448" t="s">
        <v>27</v>
      </c>
      <c r="F2448" t="s">
        <v>27</v>
      </c>
      <c r="G2448" t="s">
        <v>27</v>
      </c>
      <c r="H2448" t="s">
        <v>27</v>
      </c>
      <c r="I2448" t="s">
        <v>27</v>
      </c>
      <c r="J2448" t="s">
        <v>27</v>
      </c>
      <c r="K2448" t="s">
        <v>27</v>
      </c>
      <c r="L2448" t="s">
        <v>27</v>
      </c>
      <c r="M2448" t="s">
        <v>27</v>
      </c>
      <c r="N2448" t="s">
        <v>27</v>
      </c>
      <c r="O2448" t="s">
        <v>27</v>
      </c>
      <c r="P2448" t="s">
        <v>27</v>
      </c>
      <c r="Q2448" t="s">
        <v>27</v>
      </c>
      <c r="R2448" t="s">
        <v>27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Y2448" t="s">
        <v>27</v>
      </c>
      <c r="Z2448" t="s">
        <v>27</v>
      </c>
      <c r="AA2448" t="s">
        <v>27</v>
      </c>
      <c r="AB2448" t="s">
        <v>27</v>
      </c>
      <c r="AC2448" t="s">
        <v>27</v>
      </c>
      <c r="AD2448" t="s">
        <v>27</v>
      </c>
      <c r="AE2448" t="s">
        <v>27</v>
      </c>
      <c r="AF2448" t="s">
        <v>27</v>
      </c>
      <c r="AG2448">
        <v>21.21</v>
      </c>
    </row>
    <row r="2449" spans="1:33" x14ac:dyDescent="0.25">
      <c r="A2449" t="s">
        <v>57</v>
      </c>
      <c r="B2449" s="3">
        <v>45910</v>
      </c>
      <c r="C2449">
        <v>2025253</v>
      </c>
      <c r="D2449" t="s">
        <v>27</v>
      </c>
      <c r="E2449" t="s">
        <v>27</v>
      </c>
      <c r="F2449" t="s">
        <v>27</v>
      </c>
      <c r="G2449" t="s">
        <v>27</v>
      </c>
      <c r="H2449" t="s">
        <v>27</v>
      </c>
      <c r="I2449" t="s">
        <v>27</v>
      </c>
      <c r="J2449" t="s">
        <v>27</v>
      </c>
      <c r="K2449" t="s">
        <v>27</v>
      </c>
      <c r="L2449" t="s">
        <v>27</v>
      </c>
      <c r="M2449" t="s">
        <v>27</v>
      </c>
      <c r="N2449" t="s">
        <v>27</v>
      </c>
      <c r="O2449" t="s">
        <v>27</v>
      </c>
      <c r="P2449" t="s">
        <v>27</v>
      </c>
      <c r="Q2449" t="s">
        <v>27</v>
      </c>
      <c r="R2449" t="s">
        <v>27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  <c r="X2449" t="s">
        <v>27</v>
      </c>
      <c r="Y2449" t="s">
        <v>27</v>
      </c>
      <c r="Z2449" t="s">
        <v>27</v>
      </c>
      <c r="AA2449" t="s">
        <v>27</v>
      </c>
      <c r="AB2449" t="s">
        <v>27</v>
      </c>
      <c r="AC2449" t="s">
        <v>27</v>
      </c>
      <c r="AD2449" t="s">
        <v>27</v>
      </c>
      <c r="AE2449" t="s">
        <v>27</v>
      </c>
      <c r="AF2449" t="s">
        <v>27</v>
      </c>
      <c r="AG2449">
        <v>20.96</v>
      </c>
    </row>
    <row r="2450" spans="1:33" x14ac:dyDescent="0.25">
      <c r="A2450" t="s">
        <v>57</v>
      </c>
      <c r="B2450" s="3">
        <v>45911</v>
      </c>
      <c r="C2450">
        <v>2025254</v>
      </c>
      <c r="D2450" t="s">
        <v>27</v>
      </c>
      <c r="E2450" t="s">
        <v>27</v>
      </c>
      <c r="F2450" t="s">
        <v>27</v>
      </c>
      <c r="G2450" t="s">
        <v>27</v>
      </c>
      <c r="H2450" t="s">
        <v>27</v>
      </c>
      <c r="I2450" t="s">
        <v>27</v>
      </c>
      <c r="J2450" t="s">
        <v>27</v>
      </c>
      <c r="K2450" t="s">
        <v>27</v>
      </c>
      <c r="L2450" t="s">
        <v>27</v>
      </c>
      <c r="M2450" t="s">
        <v>27</v>
      </c>
      <c r="N2450" t="s">
        <v>27</v>
      </c>
      <c r="O2450" t="s">
        <v>27</v>
      </c>
      <c r="P2450" t="s">
        <v>27</v>
      </c>
      <c r="Q2450" t="s">
        <v>27</v>
      </c>
      <c r="R2450" t="s">
        <v>27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Y2450" t="s">
        <v>27</v>
      </c>
      <c r="Z2450" t="s">
        <v>27</v>
      </c>
      <c r="AA2450" t="s">
        <v>27</v>
      </c>
      <c r="AB2450" t="s">
        <v>27</v>
      </c>
      <c r="AC2450" t="s">
        <v>27</v>
      </c>
      <c r="AD2450" t="s">
        <v>27</v>
      </c>
      <c r="AE2450" t="s">
        <v>27</v>
      </c>
      <c r="AF2450" t="s">
        <v>27</v>
      </c>
      <c r="AG2450">
        <v>20.71</v>
      </c>
    </row>
    <row r="2451" spans="1:33" x14ac:dyDescent="0.25">
      <c r="A2451" t="s">
        <v>57</v>
      </c>
      <c r="B2451" s="3">
        <v>45912</v>
      </c>
      <c r="C2451">
        <v>2025255</v>
      </c>
      <c r="D2451" t="s">
        <v>27</v>
      </c>
      <c r="E2451" t="s">
        <v>27</v>
      </c>
      <c r="F2451" t="s">
        <v>27</v>
      </c>
      <c r="G2451" t="s">
        <v>27</v>
      </c>
      <c r="H2451" t="s">
        <v>27</v>
      </c>
      <c r="I2451" t="s">
        <v>27</v>
      </c>
      <c r="J2451" t="s">
        <v>27</v>
      </c>
      <c r="K2451" t="s">
        <v>27</v>
      </c>
      <c r="L2451" t="s">
        <v>27</v>
      </c>
      <c r="M2451" t="s">
        <v>27</v>
      </c>
      <c r="N2451" t="s">
        <v>27</v>
      </c>
      <c r="O2451" t="s">
        <v>27</v>
      </c>
      <c r="P2451" t="s">
        <v>27</v>
      </c>
      <c r="Q2451" t="s">
        <v>27</v>
      </c>
      <c r="R2451" t="s">
        <v>27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  <c r="X2451" t="s">
        <v>27</v>
      </c>
      <c r="Y2451" t="s">
        <v>27</v>
      </c>
      <c r="Z2451" t="s">
        <v>27</v>
      </c>
      <c r="AA2451" t="s">
        <v>27</v>
      </c>
      <c r="AB2451" t="s">
        <v>27</v>
      </c>
      <c r="AC2451" t="s">
        <v>27</v>
      </c>
      <c r="AD2451" t="s">
        <v>27</v>
      </c>
      <c r="AE2451" t="s">
        <v>27</v>
      </c>
      <c r="AF2451" t="s">
        <v>27</v>
      </c>
      <c r="AG2451">
        <v>20.46</v>
      </c>
    </row>
    <row r="2452" spans="1:33" x14ac:dyDescent="0.25">
      <c r="A2452" t="s">
        <v>57</v>
      </c>
      <c r="B2452" s="3">
        <v>45913</v>
      </c>
      <c r="C2452">
        <v>2025256</v>
      </c>
      <c r="D2452" t="s">
        <v>27</v>
      </c>
      <c r="E2452" t="s">
        <v>27</v>
      </c>
      <c r="F2452" t="s">
        <v>27</v>
      </c>
      <c r="G2452" t="s">
        <v>27</v>
      </c>
      <c r="H2452" t="s">
        <v>27</v>
      </c>
      <c r="I2452" t="s">
        <v>27</v>
      </c>
      <c r="J2452" t="s">
        <v>27</v>
      </c>
      <c r="K2452" t="s">
        <v>27</v>
      </c>
      <c r="L2452" t="s">
        <v>27</v>
      </c>
      <c r="M2452" t="s">
        <v>27</v>
      </c>
      <c r="N2452" t="s">
        <v>27</v>
      </c>
      <c r="O2452" t="s">
        <v>27</v>
      </c>
      <c r="P2452" t="s">
        <v>27</v>
      </c>
      <c r="Q2452" t="s">
        <v>27</v>
      </c>
      <c r="R2452" t="s">
        <v>27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  <c r="X2452" t="s">
        <v>27</v>
      </c>
      <c r="Y2452" t="s">
        <v>27</v>
      </c>
      <c r="Z2452" t="s">
        <v>27</v>
      </c>
      <c r="AA2452" t="s">
        <v>27</v>
      </c>
      <c r="AB2452" t="s">
        <v>27</v>
      </c>
      <c r="AC2452" t="s">
        <v>27</v>
      </c>
      <c r="AD2452" t="s">
        <v>27</v>
      </c>
      <c r="AE2452" t="s">
        <v>27</v>
      </c>
      <c r="AF2452" t="s">
        <v>27</v>
      </c>
      <c r="AG2452">
        <v>20.21</v>
      </c>
    </row>
    <row r="2453" spans="1:33" x14ac:dyDescent="0.25">
      <c r="A2453" t="s">
        <v>57</v>
      </c>
      <c r="B2453" s="3">
        <v>45914</v>
      </c>
      <c r="C2453">
        <v>2025257</v>
      </c>
      <c r="D2453" t="s">
        <v>27</v>
      </c>
      <c r="E2453" t="s">
        <v>27</v>
      </c>
      <c r="F2453" t="s">
        <v>27</v>
      </c>
      <c r="G2453" t="s">
        <v>27</v>
      </c>
      <c r="H2453" t="s">
        <v>27</v>
      </c>
      <c r="I2453" t="s">
        <v>27</v>
      </c>
      <c r="J2453" t="s">
        <v>27</v>
      </c>
      <c r="K2453" t="s">
        <v>27</v>
      </c>
      <c r="L2453" t="s">
        <v>27</v>
      </c>
      <c r="M2453" t="s">
        <v>27</v>
      </c>
      <c r="N2453" t="s">
        <v>27</v>
      </c>
      <c r="O2453" t="s">
        <v>27</v>
      </c>
      <c r="P2453" t="s">
        <v>27</v>
      </c>
      <c r="Q2453" t="s">
        <v>27</v>
      </c>
      <c r="R2453" t="s">
        <v>27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Y2453" t="s">
        <v>27</v>
      </c>
      <c r="Z2453" t="s">
        <v>27</v>
      </c>
      <c r="AA2453" t="s">
        <v>27</v>
      </c>
      <c r="AB2453" t="s">
        <v>27</v>
      </c>
      <c r="AC2453" t="s">
        <v>27</v>
      </c>
      <c r="AD2453" t="s">
        <v>27</v>
      </c>
      <c r="AE2453" t="s">
        <v>27</v>
      </c>
      <c r="AF2453" t="s">
        <v>27</v>
      </c>
      <c r="AG2453">
        <v>19.95</v>
      </c>
    </row>
    <row r="2454" spans="1:33" x14ac:dyDescent="0.25">
      <c r="A2454" t="s">
        <v>57</v>
      </c>
      <c r="B2454" s="3">
        <v>45915</v>
      </c>
      <c r="C2454">
        <v>2025258</v>
      </c>
      <c r="D2454" t="s">
        <v>27</v>
      </c>
      <c r="E2454" t="s">
        <v>27</v>
      </c>
      <c r="F2454" t="s">
        <v>27</v>
      </c>
      <c r="G2454" t="s">
        <v>27</v>
      </c>
      <c r="H2454" t="s">
        <v>27</v>
      </c>
      <c r="I2454" t="s">
        <v>27</v>
      </c>
      <c r="J2454" t="s">
        <v>27</v>
      </c>
      <c r="K2454" t="s">
        <v>27</v>
      </c>
      <c r="L2454" t="s">
        <v>27</v>
      </c>
      <c r="M2454" t="s">
        <v>27</v>
      </c>
      <c r="N2454" t="s">
        <v>27</v>
      </c>
      <c r="O2454" t="s">
        <v>27</v>
      </c>
      <c r="P2454" t="s">
        <v>27</v>
      </c>
      <c r="Q2454" t="s">
        <v>27</v>
      </c>
      <c r="R2454" t="s">
        <v>27</v>
      </c>
      <c r="S2454" t="s">
        <v>27</v>
      </c>
      <c r="T2454" t="s">
        <v>27</v>
      </c>
      <c r="U2454" t="s">
        <v>27</v>
      </c>
      <c r="V2454" t="s">
        <v>27</v>
      </c>
      <c r="W2454" t="s">
        <v>27</v>
      </c>
      <c r="X2454" t="s">
        <v>27</v>
      </c>
      <c r="Y2454" t="s">
        <v>27</v>
      </c>
      <c r="Z2454" t="s">
        <v>27</v>
      </c>
      <c r="AA2454" t="s">
        <v>27</v>
      </c>
      <c r="AB2454" t="s">
        <v>27</v>
      </c>
      <c r="AC2454" t="s">
        <v>27</v>
      </c>
      <c r="AD2454" t="s">
        <v>27</v>
      </c>
      <c r="AE2454" t="s">
        <v>27</v>
      </c>
      <c r="AF2454" t="s">
        <v>27</v>
      </c>
      <c r="AG2454">
        <v>19.7</v>
      </c>
    </row>
    <row r="2455" spans="1:33" x14ac:dyDescent="0.25">
      <c r="A2455" t="s">
        <v>57</v>
      </c>
      <c r="B2455" s="3">
        <v>45916</v>
      </c>
      <c r="C2455">
        <v>2025259</v>
      </c>
      <c r="D2455" t="s">
        <v>27</v>
      </c>
      <c r="E2455" t="s">
        <v>27</v>
      </c>
      <c r="F2455" t="s">
        <v>27</v>
      </c>
      <c r="G2455" t="s">
        <v>27</v>
      </c>
      <c r="H2455" t="s">
        <v>27</v>
      </c>
      <c r="I2455" t="s">
        <v>27</v>
      </c>
      <c r="J2455" t="s">
        <v>27</v>
      </c>
      <c r="K2455" t="s">
        <v>27</v>
      </c>
      <c r="L2455" t="s">
        <v>27</v>
      </c>
      <c r="M2455" t="s">
        <v>27</v>
      </c>
      <c r="N2455" t="s">
        <v>27</v>
      </c>
      <c r="O2455" t="s">
        <v>27</v>
      </c>
      <c r="P2455" t="s">
        <v>27</v>
      </c>
      <c r="Q2455" t="s">
        <v>27</v>
      </c>
      <c r="R2455" t="s">
        <v>27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  <c r="X2455" t="s">
        <v>27</v>
      </c>
      <c r="Y2455" t="s">
        <v>27</v>
      </c>
      <c r="Z2455" t="s">
        <v>27</v>
      </c>
      <c r="AA2455" t="s">
        <v>27</v>
      </c>
      <c r="AB2455" t="s">
        <v>27</v>
      </c>
      <c r="AC2455" t="s">
        <v>27</v>
      </c>
      <c r="AD2455" t="s">
        <v>27</v>
      </c>
      <c r="AE2455" t="s">
        <v>27</v>
      </c>
      <c r="AF2455" t="s">
        <v>27</v>
      </c>
      <c r="AG2455">
        <v>19.45</v>
      </c>
    </row>
    <row r="2456" spans="1:33" x14ac:dyDescent="0.25">
      <c r="A2456" t="s">
        <v>57</v>
      </c>
      <c r="B2456" s="3">
        <v>45917</v>
      </c>
      <c r="C2456">
        <v>2025260</v>
      </c>
      <c r="D2456" t="s">
        <v>27</v>
      </c>
      <c r="E2456" t="s">
        <v>27</v>
      </c>
      <c r="F2456" t="s">
        <v>27</v>
      </c>
      <c r="G2456" t="s">
        <v>27</v>
      </c>
      <c r="H2456" t="s">
        <v>27</v>
      </c>
      <c r="I2456" t="s">
        <v>27</v>
      </c>
      <c r="J2456" t="s">
        <v>27</v>
      </c>
      <c r="K2456" t="s">
        <v>27</v>
      </c>
      <c r="L2456" t="s">
        <v>27</v>
      </c>
      <c r="M2456" t="s">
        <v>27</v>
      </c>
      <c r="N2456" t="s">
        <v>27</v>
      </c>
      <c r="O2456" t="s">
        <v>27</v>
      </c>
      <c r="P2456" t="s">
        <v>27</v>
      </c>
      <c r="Q2456" t="s">
        <v>27</v>
      </c>
      <c r="R2456" t="s">
        <v>27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  <c r="X2456" t="s">
        <v>27</v>
      </c>
      <c r="Y2456" t="s">
        <v>27</v>
      </c>
      <c r="Z2456" t="s">
        <v>27</v>
      </c>
      <c r="AA2456" t="s">
        <v>27</v>
      </c>
      <c r="AB2456" t="s">
        <v>27</v>
      </c>
      <c r="AC2456" t="s">
        <v>27</v>
      </c>
      <c r="AD2456" t="s">
        <v>27</v>
      </c>
      <c r="AE2456" t="s">
        <v>27</v>
      </c>
      <c r="AF2456" t="s">
        <v>27</v>
      </c>
      <c r="AG2456">
        <v>19.2</v>
      </c>
    </row>
    <row r="2457" spans="1:33" x14ac:dyDescent="0.25">
      <c r="A2457" t="s">
        <v>57</v>
      </c>
      <c r="B2457" s="3">
        <v>45918</v>
      </c>
      <c r="C2457">
        <v>2025261</v>
      </c>
      <c r="D2457" t="s">
        <v>27</v>
      </c>
      <c r="E2457" t="s">
        <v>27</v>
      </c>
      <c r="F2457" t="s">
        <v>27</v>
      </c>
      <c r="G2457" t="s">
        <v>27</v>
      </c>
      <c r="H2457" t="s">
        <v>27</v>
      </c>
      <c r="I2457" t="s">
        <v>27</v>
      </c>
      <c r="J2457" t="s">
        <v>27</v>
      </c>
      <c r="K2457" t="s">
        <v>27</v>
      </c>
      <c r="L2457" t="s">
        <v>27</v>
      </c>
      <c r="M2457" t="s">
        <v>27</v>
      </c>
      <c r="N2457" t="s">
        <v>27</v>
      </c>
      <c r="O2457" t="s">
        <v>27</v>
      </c>
      <c r="P2457" t="s">
        <v>27</v>
      </c>
      <c r="Q2457" t="s">
        <v>27</v>
      </c>
      <c r="R2457" t="s">
        <v>27</v>
      </c>
      <c r="S2457" t="s">
        <v>27</v>
      </c>
      <c r="T2457" t="s">
        <v>27</v>
      </c>
      <c r="U2457" t="s">
        <v>27</v>
      </c>
      <c r="V2457" t="s">
        <v>27</v>
      </c>
      <c r="W2457" t="s">
        <v>27</v>
      </c>
      <c r="X2457" t="s">
        <v>27</v>
      </c>
      <c r="Y2457" t="s">
        <v>27</v>
      </c>
      <c r="Z2457" t="s">
        <v>27</v>
      </c>
      <c r="AA2457" t="s">
        <v>27</v>
      </c>
      <c r="AB2457" t="s">
        <v>27</v>
      </c>
      <c r="AC2457" t="s">
        <v>27</v>
      </c>
      <c r="AD2457" t="s">
        <v>27</v>
      </c>
      <c r="AE2457" t="s">
        <v>27</v>
      </c>
      <c r="AF2457" t="s">
        <v>27</v>
      </c>
      <c r="AG2457">
        <v>18.940000000000001</v>
      </c>
    </row>
    <row r="2458" spans="1:33" x14ac:dyDescent="0.25">
      <c r="A2458" t="s">
        <v>57</v>
      </c>
      <c r="B2458" s="3">
        <v>45919</v>
      </c>
      <c r="C2458">
        <v>2025262</v>
      </c>
      <c r="D2458" t="s">
        <v>27</v>
      </c>
      <c r="E2458" t="s">
        <v>27</v>
      </c>
      <c r="F2458" t="s">
        <v>27</v>
      </c>
      <c r="G2458" t="s">
        <v>27</v>
      </c>
      <c r="H2458" t="s">
        <v>27</v>
      </c>
      <c r="I2458" t="s">
        <v>27</v>
      </c>
      <c r="J2458" t="s">
        <v>27</v>
      </c>
      <c r="K2458" t="s">
        <v>27</v>
      </c>
      <c r="L2458" t="s">
        <v>27</v>
      </c>
      <c r="M2458" t="s">
        <v>27</v>
      </c>
      <c r="N2458" t="s">
        <v>27</v>
      </c>
      <c r="O2458" t="s">
        <v>27</v>
      </c>
      <c r="P2458" t="s">
        <v>27</v>
      </c>
      <c r="Q2458" t="s">
        <v>27</v>
      </c>
      <c r="R2458" t="s">
        <v>27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  <c r="X2458" t="s">
        <v>27</v>
      </c>
      <c r="Y2458" t="s">
        <v>27</v>
      </c>
      <c r="Z2458" t="s">
        <v>27</v>
      </c>
      <c r="AA2458" t="s">
        <v>27</v>
      </c>
      <c r="AB2458" t="s">
        <v>27</v>
      </c>
      <c r="AC2458" t="s">
        <v>27</v>
      </c>
      <c r="AD2458" t="s">
        <v>27</v>
      </c>
      <c r="AE2458" t="s">
        <v>27</v>
      </c>
      <c r="AF2458" t="s">
        <v>27</v>
      </c>
      <c r="AG2458">
        <v>18.690000000000001</v>
      </c>
    </row>
    <row r="2459" spans="1:33" x14ac:dyDescent="0.25">
      <c r="A2459" t="s">
        <v>57</v>
      </c>
      <c r="B2459" s="3">
        <v>45920</v>
      </c>
      <c r="C2459">
        <v>2025263</v>
      </c>
      <c r="D2459" t="s">
        <v>27</v>
      </c>
      <c r="E2459" t="s">
        <v>27</v>
      </c>
      <c r="F2459" t="s">
        <v>27</v>
      </c>
      <c r="G2459" t="s">
        <v>27</v>
      </c>
      <c r="H2459" t="s">
        <v>27</v>
      </c>
      <c r="I2459" t="s">
        <v>27</v>
      </c>
      <c r="J2459" t="s">
        <v>27</v>
      </c>
      <c r="K2459" t="s">
        <v>27</v>
      </c>
      <c r="L2459" t="s">
        <v>27</v>
      </c>
      <c r="M2459" t="s">
        <v>27</v>
      </c>
      <c r="N2459" t="s">
        <v>27</v>
      </c>
      <c r="O2459" t="s">
        <v>27</v>
      </c>
      <c r="P2459" t="s">
        <v>27</v>
      </c>
      <c r="Q2459" t="s">
        <v>27</v>
      </c>
      <c r="R2459" t="s">
        <v>27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Y2459" t="s">
        <v>27</v>
      </c>
      <c r="Z2459" t="s">
        <v>27</v>
      </c>
      <c r="AA2459" t="s">
        <v>27</v>
      </c>
      <c r="AB2459" t="s">
        <v>27</v>
      </c>
      <c r="AC2459" t="s">
        <v>27</v>
      </c>
      <c r="AD2459" t="s">
        <v>27</v>
      </c>
      <c r="AE2459" t="s">
        <v>27</v>
      </c>
      <c r="AF2459" t="s">
        <v>27</v>
      </c>
      <c r="AG2459">
        <v>18.440000000000001</v>
      </c>
    </row>
    <row r="2460" spans="1:33" x14ac:dyDescent="0.25">
      <c r="A2460" t="s">
        <v>57</v>
      </c>
      <c r="B2460" s="3">
        <v>45921</v>
      </c>
      <c r="C2460">
        <v>2025264</v>
      </c>
      <c r="D2460" t="s">
        <v>27</v>
      </c>
      <c r="E2460" t="s">
        <v>27</v>
      </c>
      <c r="F2460" t="s">
        <v>27</v>
      </c>
      <c r="G2460" t="s">
        <v>27</v>
      </c>
      <c r="H2460" t="s">
        <v>27</v>
      </c>
      <c r="I2460" t="s">
        <v>27</v>
      </c>
      <c r="J2460" t="s">
        <v>27</v>
      </c>
      <c r="K2460" t="s">
        <v>27</v>
      </c>
      <c r="L2460" t="s">
        <v>27</v>
      </c>
      <c r="M2460" t="s">
        <v>27</v>
      </c>
      <c r="N2460" t="s">
        <v>27</v>
      </c>
      <c r="O2460" t="s">
        <v>27</v>
      </c>
      <c r="P2460" t="s">
        <v>27</v>
      </c>
      <c r="Q2460" t="s">
        <v>27</v>
      </c>
      <c r="R2460" t="s">
        <v>27</v>
      </c>
      <c r="S2460" t="s">
        <v>27</v>
      </c>
      <c r="T2460" t="s">
        <v>27</v>
      </c>
      <c r="U2460" t="s">
        <v>27</v>
      </c>
      <c r="V2460" t="s">
        <v>27</v>
      </c>
      <c r="W2460" t="s">
        <v>27</v>
      </c>
      <c r="X2460" t="s">
        <v>27</v>
      </c>
      <c r="Y2460" t="s">
        <v>27</v>
      </c>
      <c r="Z2460" t="s">
        <v>27</v>
      </c>
      <c r="AA2460" t="s">
        <v>27</v>
      </c>
      <c r="AB2460" t="s">
        <v>27</v>
      </c>
      <c r="AC2460" t="s">
        <v>27</v>
      </c>
      <c r="AD2460" t="s">
        <v>27</v>
      </c>
      <c r="AE2460" t="s">
        <v>27</v>
      </c>
      <c r="AF2460" t="s">
        <v>27</v>
      </c>
      <c r="AG2460">
        <v>18.18</v>
      </c>
    </row>
    <row r="2461" spans="1:33" x14ac:dyDescent="0.25">
      <c r="A2461" t="s">
        <v>57</v>
      </c>
      <c r="B2461" s="3">
        <v>45922</v>
      </c>
      <c r="C2461">
        <v>2025265</v>
      </c>
      <c r="D2461" t="s">
        <v>27</v>
      </c>
      <c r="E2461" t="s">
        <v>27</v>
      </c>
      <c r="F2461" t="s">
        <v>27</v>
      </c>
      <c r="G2461" t="s">
        <v>27</v>
      </c>
      <c r="H2461" t="s">
        <v>27</v>
      </c>
      <c r="I2461" t="s">
        <v>27</v>
      </c>
      <c r="J2461" t="s">
        <v>27</v>
      </c>
      <c r="K2461" t="s">
        <v>27</v>
      </c>
      <c r="L2461" t="s">
        <v>27</v>
      </c>
      <c r="M2461" t="s">
        <v>27</v>
      </c>
      <c r="N2461" t="s">
        <v>27</v>
      </c>
      <c r="O2461" t="s">
        <v>27</v>
      </c>
      <c r="P2461" t="s">
        <v>27</v>
      </c>
      <c r="Q2461" t="s">
        <v>27</v>
      </c>
      <c r="R2461" t="s">
        <v>27</v>
      </c>
      <c r="S2461" t="s">
        <v>27</v>
      </c>
      <c r="T2461" t="s">
        <v>27</v>
      </c>
      <c r="U2461" t="s">
        <v>27</v>
      </c>
      <c r="V2461" t="s">
        <v>27</v>
      </c>
      <c r="W2461" t="s">
        <v>27</v>
      </c>
      <c r="X2461" t="s">
        <v>27</v>
      </c>
      <c r="Y2461" t="s">
        <v>27</v>
      </c>
      <c r="Z2461" t="s">
        <v>27</v>
      </c>
      <c r="AA2461" t="s">
        <v>27</v>
      </c>
      <c r="AB2461" t="s">
        <v>27</v>
      </c>
      <c r="AC2461" t="s">
        <v>27</v>
      </c>
      <c r="AD2461" t="s">
        <v>27</v>
      </c>
      <c r="AE2461" t="s">
        <v>27</v>
      </c>
      <c r="AF2461" t="s">
        <v>27</v>
      </c>
      <c r="AG2461">
        <v>17.93</v>
      </c>
    </row>
    <row r="2462" spans="1:33" x14ac:dyDescent="0.25">
      <c r="A2462" t="s">
        <v>57</v>
      </c>
      <c r="B2462" s="3">
        <v>45923</v>
      </c>
      <c r="C2462">
        <v>2025266</v>
      </c>
      <c r="D2462" t="s">
        <v>27</v>
      </c>
      <c r="E2462" t="s">
        <v>27</v>
      </c>
      <c r="F2462" t="s">
        <v>27</v>
      </c>
      <c r="G2462" t="s">
        <v>27</v>
      </c>
      <c r="H2462" t="s">
        <v>27</v>
      </c>
      <c r="I2462" t="s">
        <v>27</v>
      </c>
      <c r="J2462" t="s">
        <v>27</v>
      </c>
      <c r="K2462" t="s">
        <v>27</v>
      </c>
      <c r="L2462" t="s">
        <v>27</v>
      </c>
      <c r="M2462" t="s">
        <v>27</v>
      </c>
      <c r="N2462" t="s">
        <v>27</v>
      </c>
      <c r="O2462" t="s">
        <v>27</v>
      </c>
      <c r="P2462" t="s">
        <v>27</v>
      </c>
      <c r="Q2462" t="s">
        <v>27</v>
      </c>
      <c r="R2462" t="s">
        <v>27</v>
      </c>
      <c r="S2462" t="s">
        <v>27</v>
      </c>
      <c r="T2462" t="s">
        <v>27</v>
      </c>
      <c r="U2462" t="s">
        <v>27</v>
      </c>
      <c r="V2462" t="s">
        <v>27</v>
      </c>
      <c r="W2462" t="s">
        <v>27</v>
      </c>
      <c r="X2462" t="s">
        <v>27</v>
      </c>
      <c r="Y2462" t="s">
        <v>27</v>
      </c>
      <c r="Z2462" t="s">
        <v>27</v>
      </c>
      <c r="AA2462" t="s">
        <v>27</v>
      </c>
      <c r="AB2462" t="s">
        <v>27</v>
      </c>
      <c r="AC2462" t="s">
        <v>27</v>
      </c>
      <c r="AD2462" t="s">
        <v>27</v>
      </c>
      <c r="AE2462" t="s">
        <v>27</v>
      </c>
      <c r="AF2462" t="s">
        <v>27</v>
      </c>
      <c r="AG2462">
        <v>17.68</v>
      </c>
    </row>
    <row r="2463" spans="1:33" x14ac:dyDescent="0.25">
      <c r="A2463" t="s">
        <v>57</v>
      </c>
      <c r="B2463" s="3">
        <v>45924</v>
      </c>
      <c r="C2463">
        <v>2025267</v>
      </c>
      <c r="D2463" t="s">
        <v>27</v>
      </c>
      <c r="E2463" t="s">
        <v>27</v>
      </c>
      <c r="F2463" t="s">
        <v>27</v>
      </c>
      <c r="G2463" t="s">
        <v>27</v>
      </c>
      <c r="H2463" t="s">
        <v>27</v>
      </c>
      <c r="I2463" t="s">
        <v>27</v>
      </c>
      <c r="J2463" t="s">
        <v>27</v>
      </c>
      <c r="K2463" t="s">
        <v>27</v>
      </c>
      <c r="L2463" t="s">
        <v>27</v>
      </c>
      <c r="M2463" t="s">
        <v>27</v>
      </c>
      <c r="N2463" t="s">
        <v>27</v>
      </c>
      <c r="O2463" t="s">
        <v>27</v>
      </c>
      <c r="P2463" t="s">
        <v>27</v>
      </c>
      <c r="Q2463" t="s">
        <v>27</v>
      </c>
      <c r="R2463" t="s">
        <v>27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  <c r="X2463" t="s">
        <v>27</v>
      </c>
      <c r="Y2463" t="s">
        <v>27</v>
      </c>
      <c r="Z2463" t="s">
        <v>27</v>
      </c>
      <c r="AA2463" t="s">
        <v>27</v>
      </c>
      <c r="AB2463" t="s">
        <v>27</v>
      </c>
      <c r="AC2463" t="s">
        <v>27</v>
      </c>
      <c r="AD2463" t="s">
        <v>27</v>
      </c>
      <c r="AE2463" t="s">
        <v>27</v>
      </c>
      <c r="AF2463" t="s">
        <v>27</v>
      </c>
      <c r="AG2463">
        <v>17.43</v>
      </c>
    </row>
    <row r="2464" spans="1:33" x14ac:dyDescent="0.25">
      <c r="A2464" t="s">
        <v>57</v>
      </c>
      <c r="B2464" s="3">
        <v>45925</v>
      </c>
      <c r="C2464">
        <v>2025268</v>
      </c>
      <c r="D2464" t="s">
        <v>27</v>
      </c>
      <c r="E2464" t="s">
        <v>27</v>
      </c>
      <c r="F2464" t="s">
        <v>27</v>
      </c>
      <c r="G2464" t="s">
        <v>27</v>
      </c>
      <c r="H2464" t="s">
        <v>27</v>
      </c>
      <c r="I2464" t="s">
        <v>27</v>
      </c>
      <c r="J2464" t="s">
        <v>27</v>
      </c>
      <c r="K2464" t="s">
        <v>27</v>
      </c>
      <c r="L2464" t="s">
        <v>27</v>
      </c>
      <c r="M2464" t="s">
        <v>27</v>
      </c>
      <c r="N2464" t="s">
        <v>27</v>
      </c>
      <c r="O2464" t="s">
        <v>27</v>
      </c>
      <c r="P2464" t="s">
        <v>27</v>
      </c>
      <c r="Q2464" t="s">
        <v>27</v>
      </c>
      <c r="R2464" t="s">
        <v>27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  <c r="X2464" t="s">
        <v>27</v>
      </c>
      <c r="Y2464" t="s">
        <v>27</v>
      </c>
      <c r="Z2464" t="s">
        <v>27</v>
      </c>
      <c r="AA2464" t="s">
        <v>27</v>
      </c>
      <c r="AB2464" t="s">
        <v>27</v>
      </c>
      <c r="AC2464" t="s">
        <v>27</v>
      </c>
      <c r="AD2464" t="s">
        <v>27</v>
      </c>
      <c r="AE2464" t="s">
        <v>27</v>
      </c>
      <c r="AF2464" t="s">
        <v>27</v>
      </c>
      <c r="AG2464">
        <v>17.170000000000002</v>
      </c>
    </row>
    <row r="2465" spans="1:33" x14ac:dyDescent="0.25">
      <c r="A2465" t="s">
        <v>57</v>
      </c>
      <c r="B2465" s="3">
        <v>45926</v>
      </c>
      <c r="C2465">
        <v>2025269</v>
      </c>
      <c r="D2465" t="s">
        <v>27</v>
      </c>
      <c r="E2465" t="s">
        <v>27</v>
      </c>
      <c r="F2465" t="s">
        <v>27</v>
      </c>
      <c r="G2465" t="s">
        <v>27</v>
      </c>
      <c r="H2465" t="s">
        <v>27</v>
      </c>
      <c r="I2465" t="s">
        <v>27</v>
      </c>
      <c r="J2465" t="s">
        <v>27</v>
      </c>
      <c r="K2465" t="s">
        <v>27</v>
      </c>
      <c r="L2465" t="s">
        <v>27</v>
      </c>
      <c r="M2465" t="s">
        <v>27</v>
      </c>
      <c r="N2465" t="s">
        <v>27</v>
      </c>
      <c r="O2465" t="s">
        <v>27</v>
      </c>
      <c r="P2465" t="s">
        <v>27</v>
      </c>
      <c r="Q2465" t="s">
        <v>27</v>
      </c>
      <c r="R2465" t="s">
        <v>27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Y2465" t="s">
        <v>27</v>
      </c>
      <c r="Z2465" t="s">
        <v>27</v>
      </c>
      <c r="AA2465" t="s">
        <v>27</v>
      </c>
      <c r="AB2465" t="s">
        <v>27</v>
      </c>
      <c r="AC2465" t="s">
        <v>27</v>
      </c>
      <c r="AD2465" t="s">
        <v>27</v>
      </c>
      <c r="AE2465" t="s">
        <v>27</v>
      </c>
      <c r="AF2465" t="s">
        <v>27</v>
      </c>
      <c r="AG2465">
        <v>16.93</v>
      </c>
    </row>
    <row r="2466" spans="1:33" x14ac:dyDescent="0.25">
      <c r="A2466" t="s">
        <v>57</v>
      </c>
      <c r="B2466" s="3">
        <v>45927</v>
      </c>
      <c r="C2466">
        <v>2025270</v>
      </c>
      <c r="D2466" t="s">
        <v>27</v>
      </c>
      <c r="E2466" t="s">
        <v>27</v>
      </c>
      <c r="F2466" t="s">
        <v>27</v>
      </c>
      <c r="G2466" t="s">
        <v>27</v>
      </c>
      <c r="H2466" t="s">
        <v>27</v>
      </c>
      <c r="I2466" t="s">
        <v>27</v>
      </c>
      <c r="J2466" t="s">
        <v>27</v>
      </c>
      <c r="K2466" t="s">
        <v>27</v>
      </c>
      <c r="L2466" t="s">
        <v>27</v>
      </c>
      <c r="M2466" t="s">
        <v>27</v>
      </c>
      <c r="N2466" t="s">
        <v>27</v>
      </c>
      <c r="O2466" t="s">
        <v>27</v>
      </c>
      <c r="P2466" t="s">
        <v>27</v>
      </c>
      <c r="Q2466" t="s">
        <v>27</v>
      </c>
      <c r="R2466" t="s">
        <v>27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Y2466" t="s">
        <v>27</v>
      </c>
      <c r="Z2466" t="s">
        <v>27</v>
      </c>
      <c r="AA2466" t="s">
        <v>27</v>
      </c>
      <c r="AB2466" t="s">
        <v>27</v>
      </c>
      <c r="AC2466" t="s">
        <v>27</v>
      </c>
      <c r="AD2466" t="s">
        <v>27</v>
      </c>
      <c r="AE2466" t="s">
        <v>27</v>
      </c>
      <c r="AF2466" t="s">
        <v>27</v>
      </c>
      <c r="AG2466">
        <v>16.68</v>
      </c>
    </row>
    <row r="2467" spans="1:33" x14ac:dyDescent="0.25">
      <c r="A2467" t="s">
        <v>57</v>
      </c>
      <c r="B2467" s="3">
        <v>45928</v>
      </c>
      <c r="C2467">
        <v>2025271</v>
      </c>
      <c r="D2467" t="s">
        <v>27</v>
      </c>
      <c r="E2467" t="s">
        <v>27</v>
      </c>
      <c r="F2467" t="s">
        <v>27</v>
      </c>
      <c r="G2467" t="s">
        <v>27</v>
      </c>
      <c r="H2467" t="s">
        <v>27</v>
      </c>
      <c r="I2467" t="s">
        <v>27</v>
      </c>
      <c r="J2467" t="s">
        <v>27</v>
      </c>
      <c r="K2467" t="s">
        <v>27</v>
      </c>
      <c r="L2467" t="s">
        <v>27</v>
      </c>
      <c r="M2467" t="s">
        <v>27</v>
      </c>
      <c r="N2467" t="s">
        <v>27</v>
      </c>
      <c r="O2467" t="s">
        <v>27</v>
      </c>
      <c r="P2467" t="s">
        <v>27</v>
      </c>
      <c r="Q2467" t="s">
        <v>27</v>
      </c>
      <c r="R2467" t="s">
        <v>27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  <c r="X2467" t="s">
        <v>27</v>
      </c>
      <c r="Y2467" t="s">
        <v>27</v>
      </c>
      <c r="Z2467" t="s">
        <v>27</v>
      </c>
      <c r="AA2467" t="s">
        <v>27</v>
      </c>
      <c r="AB2467" t="s">
        <v>27</v>
      </c>
      <c r="AC2467" t="s">
        <v>27</v>
      </c>
      <c r="AD2467" t="s">
        <v>27</v>
      </c>
      <c r="AE2467" t="s">
        <v>27</v>
      </c>
      <c r="AF2467" t="s">
        <v>27</v>
      </c>
      <c r="AG2467">
        <v>16.43</v>
      </c>
    </row>
    <row r="2468" spans="1:33" x14ac:dyDescent="0.25">
      <c r="A2468" t="s">
        <v>57</v>
      </c>
      <c r="B2468" s="3">
        <v>45929</v>
      </c>
      <c r="C2468">
        <v>2025272</v>
      </c>
      <c r="D2468" t="s">
        <v>27</v>
      </c>
      <c r="E2468" t="s">
        <v>27</v>
      </c>
      <c r="F2468" t="s">
        <v>27</v>
      </c>
      <c r="G2468" t="s">
        <v>27</v>
      </c>
      <c r="H2468" t="s">
        <v>27</v>
      </c>
      <c r="I2468" t="s">
        <v>27</v>
      </c>
      <c r="J2468" t="s">
        <v>27</v>
      </c>
      <c r="K2468" t="s">
        <v>27</v>
      </c>
      <c r="L2468" t="s">
        <v>27</v>
      </c>
      <c r="M2468" t="s">
        <v>27</v>
      </c>
      <c r="N2468" t="s">
        <v>27</v>
      </c>
      <c r="O2468" t="s">
        <v>27</v>
      </c>
      <c r="P2468" t="s">
        <v>27</v>
      </c>
      <c r="Q2468" t="s">
        <v>27</v>
      </c>
      <c r="R2468" t="s">
        <v>27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  <c r="X2468" t="s">
        <v>27</v>
      </c>
      <c r="Y2468" t="s">
        <v>27</v>
      </c>
      <c r="Z2468" t="s">
        <v>27</v>
      </c>
      <c r="AA2468" t="s">
        <v>27</v>
      </c>
      <c r="AB2468" t="s">
        <v>27</v>
      </c>
      <c r="AC2468" t="s">
        <v>27</v>
      </c>
      <c r="AD2468" t="s">
        <v>27</v>
      </c>
      <c r="AE2468" t="s">
        <v>27</v>
      </c>
      <c r="AF2468" t="s">
        <v>27</v>
      </c>
      <c r="AG2468">
        <v>16.18</v>
      </c>
    </row>
    <row r="2469" spans="1:33" x14ac:dyDescent="0.25">
      <c r="A2469" t="s">
        <v>57</v>
      </c>
      <c r="B2469" s="3">
        <v>45930</v>
      </c>
      <c r="C2469">
        <v>2025273</v>
      </c>
      <c r="D2469" t="s">
        <v>27</v>
      </c>
      <c r="E2469" t="s">
        <v>27</v>
      </c>
      <c r="F2469" t="s">
        <v>27</v>
      </c>
      <c r="G2469" t="s">
        <v>27</v>
      </c>
      <c r="H2469" t="s">
        <v>27</v>
      </c>
      <c r="I2469" t="s">
        <v>27</v>
      </c>
      <c r="J2469" t="s">
        <v>27</v>
      </c>
      <c r="K2469" t="s">
        <v>27</v>
      </c>
      <c r="L2469" t="s">
        <v>27</v>
      </c>
      <c r="M2469" t="s">
        <v>27</v>
      </c>
      <c r="N2469" t="s">
        <v>27</v>
      </c>
      <c r="O2469" t="s">
        <v>27</v>
      </c>
      <c r="P2469" t="s">
        <v>27</v>
      </c>
      <c r="Q2469" t="s">
        <v>27</v>
      </c>
      <c r="R2469" t="s">
        <v>27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Y2469" t="s">
        <v>27</v>
      </c>
      <c r="Z2469" t="s">
        <v>27</v>
      </c>
      <c r="AA2469" t="s">
        <v>27</v>
      </c>
      <c r="AB2469" t="s">
        <v>27</v>
      </c>
      <c r="AC2469" t="s">
        <v>27</v>
      </c>
      <c r="AD2469" t="s">
        <v>27</v>
      </c>
      <c r="AE2469" t="s">
        <v>27</v>
      </c>
      <c r="AF2469" t="s">
        <v>27</v>
      </c>
      <c r="AG2469">
        <v>15.93</v>
      </c>
    </row>
    <row r="2470" spans="1:33" x14ac:dyDescent="0.25">
      <c r="A2470" t="s">
        <v>57</v>
      </c>
      <c r="B2470" s="3">
        <v>45931</v>
      </c>
      <c r="C2470">
        <v>2025274</v>
      </c>
      <c r="D2470" t="s">
        <v>27</v>
      </c>
      <c r="E2470" t="s">
        <v>27</v>
      </c>
      <c r="F2470" t="s">
        <v>27</v>
      </c>
      <c r="G2470" t="s">
        <v>27</v>
      </c>
      <c r="H2470" t="s">
        <v>27</v>
      </c>
      <c r="I2470" t="s">
        <v>27</v>
      </c>
      <c r="J2470" t="s">
        <v>27</v>
      </c>
      <c r="K2470" t="s">
        <v>27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27</v>
      </c>
      <c r="R2470" t="s">
        <v>27</v>
      </c>
      <c r="S2470" t="s">
        <v>27</v>
      </c>
      <c r="T2470" t="s">
        <v>27</v>
      </c>
      <c r="U2470" t="s">
        <v>27</v>
      </c>
      <c r="V2470" t="s">
        <v>27</v>
      </c>
      <c r="W2470" t="s">
        <v>27</v>
      </c>
      <c r="X2470" t="s">
        <v>27</v>
      </c>
      <c r="Y2470" t="s">
        <v>27</v>
      </c>
      <c r="Z2470" t="s">
        <v>27</v>
      </c>
      <c r="AA2470" t="s">
        <v>27</v>
      </c>
      <c r="AB2470" t="s">
        <v>27</v>
      </c>
      <c r="AC2470" t="s">
        <v>27</v>
      </c>
      <c r="AD2470" t="s">
        <v>27</v>
      </c>
      <c r="AE2470" t="s">
        <v>27</v>
      </c>
      <c r="AF2470" t="s">
        <v>27</v>
      </c>
      <c r="AG2470">
        <v>15.69</v>
      </c>
    </row>
    <row r="2471" spans="1:33" x14ac:dyDescent="0.25">
      <c r="A2471" t="s">
        <v>57</v>
      </c>
      <c r="B2471" s="3">
        <v>45932</v>
      </c>
      <c r="C2471">
        <v>2025275</v>
      </c>
      <c r="D2471" t="s">
        <v>27</v>
      </c>
      <c r="E2471" t="s">
        <v>27</v>
      </c>
      <c r="F2471" t="s">
        <v>27</v>
      </c>
      <c r="G2471" t="s">
        <v>27</v>
      </c>
      <c r="H2471" t="s">
        <v>27</v>
      </c>
      <c r="I2471" t="s">
        <v>27</v>
      </c>
      <c r="J2471" t="s">
        <v>27</v>
      </c>
      <c r="K2471" t="s">
        <v>27</v>
      </c>
      <c r="L2471" t="s">
        <v>27</v>
      </c>
      <c r="M2471" t="s">
        <v>27</v>
      </c>
      <c r="N2471" t="s">
        <v>27</v>
      </c>
      <c r="O2471" t="s">
        <v>27</v>
      </c>
      <c r="P2471" t="s">
        <v>27</v>
      </c>
      <c r="Q2471" t="s">
        <v>27</v>
      </c>
      <c r="R2471" t="s">
        <v>27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Y2471" t="s">
        <v>27</v>
      </c>
      <c r="Z2471" t="s">
        <v>27</v>
      </c>
      <c r="AA2471" t="s">
        <v>27</v>
      </c>
      <c r="AB2471" t="s">
        <v>27</v>
      </c>
      <c r="AC2471" t="s">
        <v>27</v>
      </c>
      <c r="AD2471" t="s">
        <v>27</v>
      </c>
      <c r="AE2471" t="s">
        <v>27</v>
      </c>
      <c r="AF2471" t="s">
        <v>27</v>
      </c>
      <c r="AG2471">
        <v>15.45</v>
      </c>
    </row>
    <row r="2472" spans="1:33" x14ac:dyDescent="0.25">
      <c r="A2472" t="s">
        <v>57</v>
      </c>
      <c r="B2472" s="3">
        <v>45933</v>
      </c>
      <c r="C2472">
        <v>2025276</v>
      </c>
      <c r="D2472" t="s">
        <v>27</v>
      </c>
      <c r="E2472" t="s">
        <v>27</v>
      </c>
      <c r="F2472" t="s">
        <v>27</v>
      </c>
      <c r="G2472" t="s">
        <v>27</v>
      </c>
      <c r="H2472" t="s">
        <v>27</v>
      </c>
      <c r="I2472" t="s">
        <v>27</v>
      </c>
      <c r="J2472" t="s">
        <v>27</v>
      </c>
      <c r="K2472" t="s">
        <v>27</v>
      </c>
      <c r="L2472" t="s">
        <v>27</v>
      </c>
      <c r="M2472" t="s">
        <v>27</v>
      </c>
      <c r="N2472" t="s">
        <v>27</v>
      </c>
      <c r="O2472" t="s">
        <v>27</v>
      </c>
      <c r="P2472" t="s">
        <v>27</v>
      </c>
      <c r="Q2472" t="s">
        <v>27</v>
      </c>
      <c r="R2472" t="s">
        <v>27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Y2472" t="s">
        <v>27</v>
      </c>
      <c r="Z2472" t="s">
        <v>27</v>
      </c>
      <c r="AA2472" t="s">
        <v>27</v>
      </c>
      <c r="AB2472" t="s">
        <v>27</v>
      </c>
      <c r="AC2472" t="s">
        <v>27</v>
      </c>
      <c r="AD2472" t="s">
        <v>27</v>
      </c>
      <c r="AE2472" t="s">
        <v>27</v>
      </c>
      <c r="AF2472" t="s">
        <v>27</v>
      </c>
      <c r="AG2472">
        <v>15.2</v>
      </c>
    </row>
    <row r="2473" spans="1:33" x14ac:dyDescent="0.25">
      <c r="A2473" t="s">
        <v>57</v>
      </c>
      <c r="B2473" s="3">
        <v>45934</v>
      </c>
      <c r="C2473">
        <v>2025277</v>
      </c>
      <c r="D2473" t="s">
        <v>27</v>
      </c>
      <c r="E2473" t="s">
        <v>27</v>
      </c>
      <c r="F2473" t="s">
        <v>27</v>
      </c>
      <c r="G2473" t="s">
        <v>27</v>
      </c>
      <c r="H2473" t="s">
        <v>27</v>
      </c>
      <c r="I2473" t="s">
        <v>27</v>
      </c>
      <c r="J2473" t="s">
        <v>27</v>
      </c>
      <c r="K2473" t="s">
        <v>27</v>
      </c>
      <c r="L2473" t="s">
        <v>27</v>
      </c>
      <c r="M2473" t="s">
        <v>27</v>
      </c>
      <c r="N2473" t="s">
        <v>27</v>
      </c>
      <c r="O2473" t="s">
        <v>27</v>
      </c>
      <c r="P2473" t="s">
        <v>27</v>
      </c>
      <c r="Q2473" t="s">
        <v>27</v>
      </c>
      <c r="R2473" t="s">
        <v>27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Y2473" t="s">
        <v>27</v>
      </c>
      <c r="Z2473" t="s">
        <v>27</v>
      </c>
      <c r="AA2473" t="s">
        <v>27</v>
      </c>
      <c r="AB2473" t="s">
        <v>27</v>
      </c>
      <c r="AC2473" t="s">
        <v>27</v>
      </c>
      <c r="AD2473" t="s">
        <v>27</v>
      </c>
      <c r="AE2473" t="s">
        <v>27</v>
      </c>
      <c r="AF2473" t="s">
        <v>27</v>
      </c>
      <c r="AG2473">
        <v>14.96</v>
      </c>
    </row>
    <row r="2474" spans="1:33" x14ac:dyDescent="0.25">
      <c r="A2474" t="s">
        <v>57</v>
      </c>
      <c r="B2474" s="3">
        <v>45935</v>
      </c>
      <c r="C2474">
        <v>2025278</v>
      </c>
      <c r="D2474" t="s">
        <v>27</v>
      </c>
      <c r="E2474" t="s">
        <v>27</v>
      </c>
      <c r="F2474" t="s">
        <v>27</v>
      </c>
      <c r="G2474" t="s">
        <v>27</v>
      </c>
      <c r="H2474" t="s">
        <v>27</v>
      </c>
      <c r="I2474" t="s">
        <v>27</v>
      </c>
      <c r="J2474" t="s">
        <v>27</v>
      </c>
      <c r="K2474" t="s">
        <v>27</v>
      </c>
      <c r="L2474" t="s">
        <v>27</v>
      </c>
      <c r="M2474" t="s">
        <v>27</v>
      </c>
      <c r="N2474" t="s">
        <v>27</v>
      </c>
      <c r="O2474" t="s">
        <v>27</v>
      </c>
      <c r="P2474" t="s">
        <v>27</v>
      </c>
      <c r="Q2474" t="s">
        <v>27</v>
      </c>
      <c r="R2474" t="s">
        <v>27</v>
      </c>
      <c r="S2474" t="s">
        <v>27</v>
      </c>
      <c r="T2474" t="s">
        <v>27</v>
      </c>
      <c r="U2474" t="s">
        <v>27</v>
      </c>
      <c r="V2474" t="s">
        <v>27</v>
      </c>
      <c r="W2474" t="s">
        <v>27</v>
      </c>
      <c r="X2474" t="s">
        <v>27</v>
      </c>
      <c r="Y2474" t="s">
        <v>27</v>
      </c>
      <c r="Z2474" t="s">
        <v>27</v>
      </c>
      <c r="AA2474" t="s">
        <v>27</v>
      </c>
      <c r="AB2474" t="s">
        <v>27</v>
      </c>
      <c r="AC2474" t="s">
        <v>27</v>
      </c>
      <c r="AD2474" t="s">
        <v>27</v>
      </c>
      <c r="AE2474" t="s">
        <v>27</v>
      </c>
      <c r="AF2474" t="s">
        <v>27</v>
      </c>
      <c r="AG2474">
        <v>14.72</v>
      </c>
    </row>
    <row r="2475" spans="1:33" x14ac:dyDescent="0.25">
      <c r="A2475" t="s">
        <v>57</v>
      </c>
      <c r="B2475" s="3">
        <v>45936</v>
      </c>
      <c r="C2475">
        <v>2025279</v>
      </c>
      <c r="D2475" t="s">
        <v>27</v>
      </c>
      <c r="E2475" t="s">
        <v>27</v>
      </c>
      <c r="F2475" t="s">
        <v>27</v>
      </c>
      <c r="G2475" t="s">
        <v>27</v>
      </c>
      <c r="H2475" t="s">
        <v>27</v>
      </c>
      <c r="I2475" t="s">
        <v>27</v>
      </c>
      <c r="J2475" t="s">
        <v>27</v>
      </c>
      <c r="K2475" t="s">
        <v>27</v>
      </c>
      <c r="L2475" t="s">
        <v>27</v>
      </c>
      <c r="M2475" t="s">
        <v>27</v>
      </c>
      <c r="N2475" t="s">
        <v>27</v>
      </c>
      <c r="O2475" t="s">
        <v>27</v>
      </c>
      <c r="P2475" t="s">
        <v>27</v>
      </c>
      <c r="Q2475" t="s">
        <v>27</v>
      </c>
      <c r="R2475" t="s">
        <v>27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Y2475" t="s">
        <v>27</v>
      </c>
      <c r="Z2475" t="s">
        <v>27</v>
      </c>
      <c r="AA2475" t="s">
        <v>27</v>
      </c>
      <c r="AB2475" t="s">
        <v>27</v>
      </c>
      <c r="AC2475" t="s">
        <v>27</v>
      </c>
      <c r="AD2475" t="s">
        <v>27</v>
      </c>
      <c r="AE2475" t="s">
        <v>27</v>
      </c>
      <c r="AF2475" t="s">
        <v>27</v>
      </c>
      <c r="AG2475">
        <v>14.48</v>
      </c>
    </row>
    <row r="2476" spans="1:33" x14ac:dyDescent="0.25">
      <c r="A2476" t="s">
        <v>57</v>
      </c>
      <c r="B2476" s="3">
        <v>45937</v>
      </c>
      <c r="C2476">
        <v>2025280</v>
      </c>
      <c r="D2476" t="s">
        <v>27</v>
      </c>
      <c r="E2476" t="s">
        <v>27</v>
      </c>
      <c r="F2476" t="s">
        <v>27</v>
      </c>
      <c r="G2476" t="s">
        <v>27</v>
      </c>
      <c r="H2476" t="s">
        <v>27</v>
      </c>
      <c r="I2476" t="s">
        <v>27</v>
      </c>
      <c r="J2476" t="s">
        <v>27</v>
      </c>
      <c r="K2476" t="s">
        <v>27</v>
      </c>
      <c r="L2476" t="s">
        <v>27</v>
      </c>
      <c r="M2476" t="s">
        <v>27</v>
      </c>
      <c r="N2476" t="s">
        <v>27</v>
      </c>
      <c r="O2476" t="s">
        <v>27</v>
      </c>
      <c r="P2476" t="s">
        <v>27</v>
      </c>
      <c r="Q2476" t="s">
        <v>27</v>
      </c>
      <c r="R2476" t="s">
        <v>27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  <c r="X2476" t="s">
        <v>27</v>
      </c>
      <c r="Y2476" t="s">
        <v>27</v>
      </c>
      <c r="Z2476" t="s">
        <v>27</v>
      </c>
      <c r="AA2476" t="s">
        <v>27</v>
      </c>
      <c r="AB2476" t="s">
        <v>27</v>
      </c>
      <c r="AC2476" t="s">
        <v>27</v>
      </c>
      <c r="AD2476" t="s">
        <v>27</v>
      </c>
      <c r="AE2476" t="s">
        <v>27</v>
      </c>
      <c r="AF2476" t="s">
        <v>27</v>
      </c>
      <c r="AG2476">
        <v>14.24</v>
      </c>
    </row>
    <row r="2477" spans="1:33" x14ac:dyDescent="0.25">
      <c r="A2477" t="s">
        <v>57</v>
      </c>
      <c r="B2477" s="3">
        <v>45938</v>
      </c>
      <c r="C2477">
        <v>2025281</v>
      </c>
      <c r="D2477" t="s">
        <v>27</v>
      </c>
      <c r="E2477" t="s">
        <v>27</v>
      </c>
      <c r="F2477" t="s">
        <v>27</v>
      </c>
      <c r="G2477" t="s">
        <v>27</v>
      </c>
      <c r="H2477" t="s">
        <v>27</v>
      </c>
      <c r="I2477" t="s">
        <v>27</v>
      </c>
      <c r="J2477" t="s">
        <v>27</v>
      </c>
      <c r="K2477" t="s">
        <v>27</v>
      </c>
      <c r="L2477" t="s">
        <v>27</v>
      </c>
      <c r="M2477" t="s">
        <v>27</v>
      </c>
      <c r="N2477" t="s">
        <v>27</v>
      </c>
      <c r="O2477" t="s">
        <v>27</v>
      </c>
      <c r="P2477" t="s">
        <v>27</v>
      </c>
      <c r="Q2477" t="s">
        <v>27</v>
      </c>
      <c r="R2477" t="s">
        <v>27</v>
      </c>
      <c r="S2477" t="s">
        <v>27</v>
      </c>
      <c r="T2477" t="s">
        <v>27</v>
      </c>
      <c r="U2477" t="s">
        <v>27</v>
      </c>
      <c r="V2477" t="s">
        <v>27</v>
      </c>
      <c r="W2477" t="s">
        <v>27</v>
      </c>
      <c r="X2477" t="s">
        <v>27</v>
      </c>
      <c r="Y2477" t="s">
        <v>27</v>
      </c>
      <c r="Z2477" t="s">
        <v>27</v>
      </c>
      <c r="AA2477" t="s">
        <v>27</v>
      </c>
      <c r="AB2477" t="s">
        <v>27</v>
      </c>
      <c r="AC2477" t="s">
        <v>27</v>
      </c>
      <c r="AD2477" t="s">
        <v>27</v>
      </c>
      <c r="AE2477" t="s">
        <v>27</v>
      </c>
      <c r="AF2477" t="s">
        <v>27</v>
      </c>
      <c r="AG2477">
        <v>14.01</v>
      </c>
    </row>
    <row r="2478" spans="1:33" x14ac:dyDescent="0.25">
      <c r="A2478" t="s">
        <v>57</v>
      </c>
      <c r="B2478" s="3">
        <v>45939</v>
      </c>
      <c r="C2478">
        <v>2025282</v>
      </c>
      <c r="D2478" t="s">
        <v>27</v>
      </c>
      <c r="E2478" t="s">
        <v>27</v>
      </c>
      <c r="F2478" t="s">
        <v>27</v>
      </c>
      <c r="G2478" t="s">
        <v>27</v>
      </c>
      <c r="H2478" t="s">
        <v>27</v>
      </c>
      <c r="I2478" t="s">
        <v>27</v>
      </c>
      <c r="J2478" t="s">
        <v>27</v>
      </c>
      <c r="K2478" t="s">
        <v>27</v>
      </c>
      <c r="L2478" t="s">
        <v>27</v>
      </c>
      <c r="M2478" t="s">
        <v>27</v>
      </c>
      <c r="N2478" t="s">
        <v>27</v>
      </c>
      <c r="O2478" t="s">
        <v>27</v>
      </c>
      <c r="P2478" t="s">
        <v>27</v>
      </c>
      <c r="Q2478" t="s">
        <v>27</v>
      </c>
      <c r="R2478" t="s">
        <v>27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Y2478" t="s">
        <v>27</v>
      </c>
      <c r="Z2478" t="s">
        <v>27</v>
      </c>
      <c r="AA2478" t="s">
        <v>27</v>
      </c>
      <c r="AB2478" t="s">
        <v>27</v>
      </c>
      <c r="AC2478" t="s">
        <v>27</v>
      </c>
      <c r="AD2478" t="s">
        <v>27</v>
      </c>
      <c r="AE2478" t="s">
        <v>27</v>
      </c>
      <c r="AF2478" t="s">
        <v>27</v>
      </c>
      <c r="AG2478">
        <v>13.78</v>
      </c>
    </row>
    <row r="2479" spans="1:33" x14ac:dyDescent="0.25">
      <c r="A2479" t="s">
        <v>57</v>
      </c>
      <c r="B2479" s="3">
        <v>45940</v>
      </c>
      <c r="C2479">
        <v>2025283</v>
      </c>
      <c r="D2479" t="s">
        <v>27</v>
      </c>
      <c r="E2479" t="s">
        <v>27</v>
      </c>
      <c r="F2479" t="s">
        <v>27</v>
      </c>
      <c r="G2479" t="s">
        <v>27</v>
      </c>
      <c r="H2479" t="s">
        <v>27</v>
      </c>
      <c r="I2479" t="s">
        <v>27</v>
      </c>
      <c r="J2479" t="s">
        <v>27</v>
      </c>
      <c r="K2479" t="s">
        <v>27</v>
      </c>
      <c r="L2479" t="s">
        <v>27</v>
      </c>
      <c r="M2479" t="s">
        <v>27</v>
      </c>
      <c r="N2479" t="s">
        <v>27</v>
      </c>
      <c r="O2479" t="s">
        <v>27</v>
      </c>
      <c r="P2479" t="s">
        <v>27</v>
      </c>
      <c r="Q2479" t="s">
        <v>27</v>
      </c>
      <c r="R2479" t="s">
        <v>27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  <c r="X2479" t="s">
        <v>27</v>
      </c>
      <c r="Y2479" t="s">
        <v>27</v>
      </c>
      <c r="Z2479" t="s">
        <v>27</v>
      </c>
      <c r="AA2479" t="s">
        <v>27</v>
      </c>
      <c r="AB2479" t="s">
        <v>27</v>
      </c>
      <c r="AC2479" t="s">
        <v>27</v>
      </c>
      <c r="AD2479" t="s">
        <v>27</v>
      </c>
      <c r="AE2479" t="s">
        <v>27</v>
      </c>
      <c r="AF2479" t="s">
        <v>27</v>
      </c>
      <c r="AG2479">
        <v>13.55</v>
      </c>
    </row>
    <row r="2480" spans="1:33" x14ac:dyDescent="0.25">
      <c r="A2480" t="s">
        <v>57</v>
      </c>
      <c r="B2480" s="3">
        <v>45941</v>
      </c>
      <c r="C2480">
        <v>2025284</v>
      </c>
      <c r="D2480" t="s">
        <v>27</v>
      </c>
      <c r="E2480" t="s">
        <v>27</v>
      </c>
      <c r="F2480" t="s">
        <v>27</v>
      </c>
      <c r="G2480" t="s">
        <v>27</v>
      </c>
      <c r="H2480" t="s">
        <v>27</v>
      </c>
      <c r="I2480" t="s">
        <v>27</v>
      </c>
      <c r="J2480" t="s">
        <v>27</v>
      </c>
      <c r="K2480" t="s">
        <v>27</v>
      </c>
      <c r="L2480" t="s">
        <v>27</v>
      </c>
      <c r="M2480" t="s">
        <v>27</v>
      </c>
      <c r="N2480" t="s">
        <v>27</v>
      </c>
      <c r="O2480" t="s">
        <v>27</v>
      </c>
      <c r="P2480" t="s">
        <v>27</v>
      </c>
      <c r="Q2480" t="s">
        <v>27</v>
      </c>
      <c r="R2480" t="s">
        <v>27</v>
      </c>
      <c r="S2480" t="s">
        <v>27</v>
      </c>
      <c r="T2480" t="s">
        <v>27</v>
      </c>
      <c r="U2480" t="s">
        <v>27</v>
      </c>
      <c r="V2480" t="s">
        <v>27</v>
      </c>
      <c r="W2480" t="s">
        <v>27</v>
      </c>
      <c r="X2480" t="s">
        <v>27</v>
      </c>
      <c r="Y2480" t="s">
        <v>27</v>
      </c>
      <c r="Z2480" t="s">
        <v>27</v>
      </c>
      <c r="AA2480" t="s">
        <v>27</v>
      </c>
      <c r="AB2480" t="s">
        <v>27</v>
      </c>
      <c r="AC2480" t="s">
        <v>27</v>
      </c>
      <c r="AD2480" t="s">
        <v>27</v>
      </c>
      <c r="AE2480" t="s">
        <v>27</v>
      </c>
      <c r="AF2480" t="s">
        <v>27</v>
      </c>
      <c r="AG2480">
        <v>13.32</v>
      </c>
    </row>
    <row r="2481" spans="1:33" x14ac:dyDescent="0.25">
      <c r="A2481" t="s">
        <v>57</v>
      </c>
      <c r="B2481" s="3">
        <v>45942</v>
      </c>
      <c r="C2481">
        <v>2025285</v>
      </c>
      <c r="D2481" t="s">
        <v>27</v>
      </c>
      <c r="E2481" t="s">
        <v>27</v>
      </c>
      <c r="F2481" t="s">
        <v>27</v>
      </c>
      <c r="G2481" t="s">
        <v>27</v>
      </c>
      <c r="H2481" t="s">
        <v>27</v>
      </c>
      <c r="I2481" t="s">
        <v>27</v>
      </c>
      <c r="J2481" t="s">
        <v>27</v>
      </c>
      <c r="K2481" t="s">
        <v>27</v>
      </c>
      <c r="L2481" t="s">
        <v>27</v>
      </c>
      <c r="M2481" t="s">
        <v>27</v>
      </c>
      <c r="N2481" t="s">
        <v>27</v>
      </c>
      <c r="O2481" t="s">
        <v>27</v>
      </c>
      <c r="P2481" t="s">
        <v>27</v>
      </c>
      <c r="Q2481" t="s">
        <v>27</v>
      </c>
      <c r="R2481" t="s">
        <v>27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  <c r="X2481" t="s">
        <v>27</v>
      </c>
      <c r="Y2481" t="s">
        <v>27</v>
      </c>
      <c r="Z2481" t="s">
        <v>27</v>
      </c>
      <c r="AA2481" t="s">
        <v>27</v>
      </c>
      <c r="AB2481" t="s">
        <v>27</v>
      </c>
      <c r="AC2481" t="s">
        <v>27</v>
      </c>
      <c r="AD2481" t="s">
        <v>27</v>
      </c>
      <c r="AE2481" t="s">
        <v>27</v>
      </c>
      <c r="AF2481" t="s">
        <v>27</v>
      </c>
      <c r="AG2481">
        <v>13.09</v>
      </c>
    </row>
    <row r="2482" spans="1:33" x14ac:dyDescent="0.25">
      <c r="A2482" t="s">
        <v>57</v>
      </c>
      <c r="B2482" s="3">
        <v>45943</v>
      </c>
      <c r="C2482">
        <v>2025286</v>
      </c>
      <c r="D2482" t="s">
        <v>27</v>
      </c>
      <c r="E2482" t="s">
        <v>27</v>
      </c>
      <c r="F2482" t="s">
        <v>27</v>
      </c>
      <c r="G2482" t="s">
        <v>27</v>
      </c>
      <c r="H2482" t="s">
        <v>27</v>
      </c>
      <c r="I2482" t="s">
        <v>27</v>
      </c>
      <c r="J2482" t="s">
        <v>27</v>
      </c>
      <c r="K2482" t="s">
        <v>27</v>
      </c>
      <c r="L2482" t="s">
        <v>27</v>
      </c>
      <c r="M2482" t="s">
        <v>27</v>
      </c>
      <c r="N2482" t="s">
        <v>27</v>
      </c>
      <c r="O2482" t="s">
        <v>27</v>
      </c>
      <c r="P2482" t="s">
        <v>27</v>
      </c>
      <c r="Q2482" t="s">
        <v>27</v>
      </c>
      <c r="R2482" t="s">
        <v>27</v>
      </c>
      <c r="S2482" t="s">
        <v>27</v>
      </c>
      <c r="T2482" t="s">
        <v>27</v>
      </c>
      <c r="U2482" t="s">
        <v>27</v>
      </c>
      <c r="V2482" t="s">
        <v>27</v>
      </c>
      <c r="W2482" t="s">
        <v>27</v>
      </c>
      <c r="X2482" t="s">
        <v>27</v>
      </c>
      <c r="Y2482" t="s">
        <v>27</v>
      </c>
      <c r="Z2482" t="s">
        <v>27</v>
      </c>
      <c r="AA2482" t="s">
        <v>27</v>
      </c>
      <c r="AB2482" t="s">
        <v>27</v>
      </c>
      <c r="AC2482" t="s">
        <v>27</v>
      </c>
      <c r="AD2482" t="s">
        <v>27</v>
      </c>
      <c r="AE2482" t="s">
        <v>27</v>
      </c>
      <c r="AF2482" t="s">
        <v>27</v>
      </c>
      <c r="AG2482">
        <v>12.87</v>
      </c>
    </row>
    <row r="2483" spans="1:33" x14ac:dyDescent="0.25">
      <c r="A2483" t="s">
        <v>57</v>
      </c>
      <c r="B2483" s="3">
        <v>45944</v>
      </c>
      <c r="C2483">
        <v>2025287</v>
      </c>
      <c r="D2483" t="s">
        <v>27</v>
      </c>
      <c r="E2483" t="s">
        <v>27</v>
      </c>
      <c r="F2483" t="s">
        <v>27</v>
      </c>
      <c r="G2483" t="s">
        <v>27</v>
      </c>
      <c r="H2483" t="s">
        <v>27</v>
      </c>
      <c r="I2483" t="s">
        <v>27</v>
      </c>
      <c r="J2483" t="s">
        <v>27</v>
      </c>
      <c r="K2483" t="s">
        <v>27</v>
      </c>
      <c r="L2483" t="s">
        <v>27</v>
      </c>
      <c r="M2483" t="s">
        <v>27</v>
      </c>
      <c r="N2483" t="s">
        <v>27</v>
      </c>
      <c r="O2483" t="s">
        <v>27</v>
      </c>
      <c r="P2483" t="s">
        <v>27</v>
      </c>
      <c r="Q2483" t="s">
        <v>27</v>
      </c>
      <c r="R2483" t="s">
        <v>27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  <c r="X2483" t="s">
        <v>27</v>
      </c>
      <c r="Y2483" t="s">
        <v>27</v>
      </c>
      <c r="Z2483" t="s">
        <v>27</v>
      </c>
      <c r="AA2483" t="s">
        <v>27</v>
      </c>
      <c r="AB2483" t="s">
        <v>27</v>
      </c>
      <c r="AC2483" t="s">
        <v>27</v>
      </c>
      <c r="AD2483" t="s">
        <v>27</v>
      </c>
      <c r="AE2483" t="s">
        <v>27</v>
      </c>
      <c r="AF2483" t="s">
        <v>27</v>
      </c>
      <c r="AG2483">
        <v>12.65</v>
      </c>
    </row>
    <row r="2484" spans="1:33" x14ac:dyDescent="0.25">
      <c r="A2484" t="s">
        <v>57</v>
      </c>
      <c r="B2484" s="3">
        <v>45945</v>
      </c>
      <c r="C2484">
        <v>2025288</v>
      </c>
      <c r="D2484" t="s">
        <v>27</v>
      </c>
      <c r="E2484" t="s">
        <v>27</v>
      </c>
      <c r="F2484" t="s">
        <v>27</v>
      </c>
      <c r="G2484" t="s">
        <v>27</v>
      </c>
      <c r="H2484" t="s">
        <v>27</v>
      </c>
      <c r="I2484" t="s">
        <v>27</v>
      </c>
      <c r="J2484" t="s">
        <v>27</v>
      </c>
      <c r="K2484" t="s">
        <v>27</v>
      </c>
      <c r="L2484" t="s">
        <v>27</v>
      </c>
      <c r="M2484" t="s">
        <v>27</v>
      </c>
      <c r="N2484" t="s">
        <v>27</v>
      </c>
      <c r="O2484" t="s">
        <v>27</v>
      </c>
      <c r="P2484" t="s">
        <v>27</v>
      </c>
      <c r="Q2484" t="s">
        <v>27</v>
      </c>
      <c r="R2484" t="s">
        <v>27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  <c r="X2484" t="s">
        <v>27</v>
      </c>
      <c r="Y2484" t="s">
        <v>27</v>
      </c>
      <c r="Z2484" t="s">
        <v>27</v>
      </c>
      <c r="AA2484" t="s">
        <v>27</v>
      </c>
      <c r="AB2484" t="s">
        <v>27</v>
      </c>
      <c r="AC2484" t="s">
        <v>27</v>
      </c>
      <c r="AD2484" t="s">
        <v>27</v>
      </c>
      <c r="AE2484" t="s">
        <v>27</v>
      </c>
      <c r="AF2484" t="s">
        <v>27</v>
      </c>
      <c r="AG2484">
        <v>12.43</v>
      </c>
    </row>
    <row r="2485" spans="1:33" x14ac:dyDescent="0.25">
      <c r="A2485" t="s">
        <v>57</v>
      </c>
      <c r="B2485" s="3">
        <v>45946</v>
      </c>
      <c r="C2485">
        <v>2025289</v>
      </c>
      <c r="D2485" t="s">
        <v>27</v>
      </c>
      <c r="E2485" t="s">
        <v>27</v>
      </c>
      <c r="F2485" t="s">
        <v>27</v>
      </c>
      <c r="G2485" t="s">
        <v>27</v>
      </c>
      <c r="H2485" t="s">
        <v>27</v>
      </c>
      <c r="I2485" t="s">
        <v>27</v>
      </c>
      <c r="J2485" t="s">
        <v>27</v>
      </c>
      <c r="K2485" t="s">
        <v>27</v>
      </c>
      <c r="L2485" t="s">
        <v>27</v>
      </c>
      <c r="M2485" t="s">
        <v>27</v>
      </c>
      <c r="N2485" t="s">
        <v>27</v>
      </c>
      <c r="O2485" t="s">
        <v>27</v>
      </c>
      <c r="P2485" t="s">
        <v>27</v>
      </c>
      <c r="Q2485" t="s">
        <v>27</v>
      </c>
      <c r="R2485" t="s">
        <v>27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Y2485" t="s">
        <v>27</v>
      </c>
      <c r="Z2485" t="s">
        <v>27</v>
      </c>
      <c r="AA2485" t="s">
        <v>27</v>
      </c>
      <c r="AB2485" t="s">
        <v>27</v>
      </c>
      <c r="AC2485" t="s">
        <v>27</v>
      </c>
      <c r="AD2485" t="s">
        <v>27</v>
      </c>
      <c r="AE2485" t="s">
        <v>27</v>
      </c>
      <c r="AF2485" t="s">
        <v>27</v>
      </c>
      <c r="AG2485">
        <v>12.21</v>
      </c>
    </row>
    <row r="2486" spans="1:33" x14ac:dyDescent="0.25">
      <c r="A2486" t="s">
        <v>57</v>
      </c>
      <c r="B2486" s="3">
        <v>45947</v>
      </c>
      <c r="C2486">
        <v>2025290</v>
      </c>
      <c r="D2486" t="s">
        <v>27</v>
      </c>
      <c r="E2486" t="s">
        <v>27</v>
      </c>
      <c r="F2486" t="s">
        <v>27</v>
      </c>
      <c r="G2486" t="s">
        <v>27</v>
      </c>
      <c r="H2486" t="s">
        <v>27</v>
      </c>
      <c r="I2486" t="s">
        <v>27</v>
      </c>
      <c r="J2486" t="s">
        <v>27</v>
      </c>
      <c r="K2486" t="s">
        <v>27</v>
      </c>
      <c r="L2486" t="s">
        <v>27</v>
      </c>
      <c r="M2486" t="s">
        <v>27</v>
      </c>
      <c r="N2486" t="s">
        <v>27</v>
      </c>
      <c r="O2486" t="s">
        <v>27</v>
      </c>
      <c r="P2486" t="s">
        <v>27</v>
      </c>
      <c r="Q2486" t="s">
        <v>27</v>
      </c>
      <c r="R2486" t="s">
        <v>27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Y2486" t="s">
        <v>27</v>
      </c>
      <c r="Z2486" t="s">
        <v>27</v>
      </c>
      <c r="AA2486" t="s">
        <v>27</v>
      </c>
      <c r="AB2486" t="s">
        <v>27</v>
      </c>
      <c r="AC2486" t="s">
        <v>27</v>
      </c>
      <c r="AD2486" t="s">
        <v>27</v>
      </c>
      <c r="AE2486" t="s">
        <v>27</v>
      </c>
      <c r="AF2486" t="s">
        <v>27</v>
      </c>
      <c r="AG2486">
        <v>11.99</v>
      </c>
    </row>
    <row r="2487" spans="1:33" x14ac:dyDescent="0.25">
      <c r="A2487" t="s">
        <v>57</v>
      </c>
      <c r="B2487" s="3">
        <v>45948</v>
      </c>
      <c r="C2487">
        <v>2025291</v>
      </c>
      <c r="D2487" t="s">
        <v>27</v>
      </c>
      <c r="E2487" t="s">
        <v>27</v>
      </c>
      <c r="F2487" t="s">
        <v>27</v>
      </c>
      <c r="G2487" t="s">
        <v>27</v>
      </c>
      <c r="H2487" t="s">
        <v>27</v>
      </c>
      <c r="I2487" t="s">
        <v>27</v>
      </c>
      <c r="J2487" t="s">
        <v>27</v>
      </c>
      <c r="K2487" t="s">
        <v>27</v>
      </c>
      <c r="L2487" t="s">
        <v>27</v>
      </c>
      <c r="M2487" t="s">
        <v>27</v>
      </c>
      <c r="N2487" t="s">
        <v>27</v>
      </c>
      <c r="O2487" t="s">
        <v>27</v>
      </c>
      <c r="P2487" t="s">
        <v>27</v>
      </c>
      <c r="Q2487" t="s">
        <v>27</v>
      </c>
      <c r="R2487" t="s">
        <v>27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Y2487" t="s">
        <v>27</v>
      </c>
      <c r="Z2487" t="s">
        <v>27</v>
      </c>
      <c r="AA2487" t="s">
        <v>27</v>
      </c>
      <c r="AB2487" t="s">
        <v>27</v>
      </c>
      <c r="AC2487" t="s">
        <v>27</v>
      </c>
      <c r="AD2487" t="s">
        <v>27</v>
      </c>
      <c r="AE2487" t="s">
        <v>27</v>
      </c>
      <c r="AF2487" t="s">
        <v>27</v>
      </c>
      <c r="AG2487">
        <v>11.78</v>
      </c>
    </row>
    <row r="2488" spans="1:33" x14ac:dyDescent="0.25">
      <c r="A2488" t="s">
        <v>57</v>
      </c>
      <c r="B2488" s="3">
        <v>45949</v>
      </c>
      <c r="C2488">
        <v>2025292</v>
      </c>
      <c r="D2488" t="s">
        <v>27</v>
      </c>
      <c r="E2488" t="s">
        <v>27</v>
      </c>
      <c r="F2488" t="s">
        <v>27</v>
      </c>
      <c r="G2488" t="s">
        <v>27</v>
      </c>
      <c r="H2488" t="s">
        <v>27</v>
      </c>
      <c r="I2488" t="s">
        <v>27</v>
      </c>
      <c r="J2488" t="s">
        <v>27</v>
      </c>
      <c r="K2488" t="s">
        <v>27</v>
      </c>
      <c r="L2488" t="s">
        <v>27</v>
      </c>
      <c r="M2488" t="s">
        <v>27</v>
      </c>
      <c r="N2488" t="s">
        <v>27</v>
      </c>
      <c r="O2488" t="s">
        <v>27</v>
      </c>
      <c r="P2488" t="s">
        <v>27</v>
      </c>
      <c r="Q2488" t="s">
        <v>27</v>
      </c>
      <c r="R2488" t="s">
        <v>27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  <c r="X2488" t="s">
        <v>27</v>
      </c>
      <c r="Y2488" t="s">
        <v>27</v>
      </c>
      <c r="Z2488" t="s">
        <v>27</v>
      </c>
      <c r="AA2488" t="s">
        <v>27</v>
      </c>
      <c r="AB2488" t="s">
        <v>27</v>
      </c>
      <c r="AC2488" t="s">
        <v>27</v>
      </c>
      <c r="AD2488" t="s">
        <v>27</v>
      </c>
      <c r="AE2488" t="s">
        <v>27</v>
      </c>
      <c r="AF2488" t="s">
        <v>27</v>
      </c>
      <c r="AG2488">
        <v>11.57</v>
      </c>
    </row>
    <row r="2489" spans="1:33" x14ac:dyDescent="0.25">
      <c r="A2489" t="s">
        <v>57</v>
      </c>
      <c r="B2489" s="3">
        <v>45950</v>
      </c>
      <c r="C2489">
        <v>2025293</v>
      </c>
      <c r="D2489" t="s">
        <v>27</v>
      </c>
      <c r="E2489" t="s">
        <v>27</v>
      </c>
      <c r="F2489" t="s">
        <v>27</v>
      </c>
      <c r="G2489" t="s">
        <v>27</v>
      </c>
      <c r="H2489" t="s">
        <v>27</v>
      </c>
      <c r="I2489" t="s">
        <v>27</v>
      </c>
      <c r="J2489" t="s">
        <v>27</v>
      </c>
      <c r="K2489" t="s">
        <v>27</v>
      </c>
      <c r="L2489" t="s">
        <v>27</v>
      </c>
      <c r="M2489" t="s">
        <v>27</v>
      </c>
      <c r="N2489" t="s">
        <v>27</v>
      </c>
      <c r="O2489" t="s">
        <v>27</v>
      </c>
      <c r="P2489" t="s">
        <v>27</v>
      </c>
      <c r="Q2489" t="s">
        <v>27</v>
      </c>
      <c r="R2489" t="s">
        <v>27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Y2489" t="s">
        <v>27</v>
      </c>
      <c r="Z2489" t="s">
        <v>27</v>
      </c>
      <c r="AA2489" t="s">
        <v>27</v>
      </c>
      <c r="AB2489" t="s">
        <v>27</v>
      </c>
      <c r="AC2489" t="s">
        <v>27</v>
      </c>
      <c r="AD2489" t="s">
        <v>27</v>
      </c>
      <c r="AE2489" t="s">
        <v>27</v>
      </c>
      <c r="AF2489" t="s">
        <v>27</v>
      </c>
      <c r="AG2489">
        <v>11.36</v>
      </c>
    </row>
    <row r="2490" spans="1:33" x14ac:dyDescent="0.25">
      <c r="A2490" t="s">
        <v>57</v>
      </c>
      <c r="B2490" s="3">
        <v>45951</v>
      </c>
      <c r="C2490">
        <v>2025294</v>
      </c>
      <c r="D2490" t="s">
        <v>27</v>
      </c>
      <c r="E2490" t="s">
        <v>27</v>
      </c>
      <c r="F2490" t="s">
        <v>27</v>
      </c>
      <c r="G2490" t="s">
        <v>27</v>
      </c>
      <c r="H2490" t="s">
        <v>27</v>
      </c>
      <c r="I2490" t="s">
        <v>27</v>
      </c>
      <c r="J2490" t="s">
        <v>27</v>
      </c>
      <c r="K2490" t="s">
        <v>27</v>
      </c>
      <c r="L2490" t="s">
        <v>27</v>
      </c>
      <c r="M2490" t="s">
        <v>27</v>
      </c>
      <c r="N2490" t="s">
        <v>27</v>
      </c>
      <c r="O2490" t="s">
        <v>27</v>
      </c>
      <c r="P2490" t="s">
        <v>27</v>
      </c>
      <c r="Q2490" t="s">
        <v>27</v>
      </c>
      <c r="R2490" t="s">
        <v>27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  <c r="X2490" t="s">
        <v>27</v>
      </c>
      <c r="Y2490" t="s">
        <v>27</v>
      </c>
      <c r="Z2490" t="s">
        <v>27</v>
      </c>
      <c r="AA2490" t="s">
        <v>27</v>
      </c>
      <c r="AB2490" t="s">
        <v>27</v>
      </c>
      <c r="AC2490" t="s">
        <v>27</v>
      </c>
      <c r="AD2490" t="s">
        <v>27</v>
      </c>
      <c r="AE2490" t="s">
        <v>27</v>
      </c>
      <c r="AF2490" t="s">
        <v>27</v>
      </c>
      <c r="AG2490">
        <v>11.15</v>
      </c>
    </row>
    <row r="2491" spans="1:33" x14ac:dyDescent="0.25">
      <c r="A2491" t="s">
        <v>57</v>
      </c>
      <c r="B2491" s="3">
        <v>45952</v>
      </c>
      <c r="C2491">
        <v>2025295</v>
      </c>
      <c r="D2491" t="s">
        <v>27</v>
      </c>
      <c r="E2491" t="s">
        <v>27</v>
      </c>
      <c r="F2491" t="s">
        <v>27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27</v>
      </c>
      <c r="M2491" t="s">
        <v>27</v>
      </c>
      <c r="N2491" t="s">
        <v>27</v>
      </c>
      <c r="O2491" t="s">
        <v>27</v>
      </c>
      <c r="P2491" t="s">
        <v>27</v>
      </c>
      <c r="Q2491" t="s">
        <v>27</v>
      </c>
      <c r="R2491" t="s">
        <v>27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  <c r="X2491" t="s">
        <v>27</v>
      </c>
      <c r="Y2491" t="s">
        <v>27</v>
      </c>
      <c r="Z2491" t="s">
        <v>27</v>
      </c>
      <c r="AA2491" t="s">
        <v>27</v>
      </c>
      <c r="AB2491" t="s">
        <v>27</v>
      </c>
      <c r="AC2491" t="s">
        <v>27</v>
      </c>
      <c r="AD2491" t="s">
        <v>27</v>
      </c>
      <c r="AE2491" t="s">
        <v>27</v>
      </c>
      <c r="AF2491" t="s">
        <v>27</v>
      </c>
      <c r="AG2491">
        <v>10.95</v>
      </c>
    </row>
    <row r="2492" spans="1:33" x14ac:dyDescent="0.25">
      <c r="A2492" t="s">
        <v>57</v>
      </c>
      <c r="B2492" s="3">
        <v>45953</v>
      </c>
      <c r="C2492">
        <v>2025296</v>
      </c>
      <c r="D2492" t="s">
        <v>27</v>
      </c>
      <c r="E2492" t="s">
        <v>27</v>
      </c>
      <c r="F2492" t="s">
        <v>27</v>
      </c>
      <c r="G2492" t="s">
        <v>27</v>
      </c>
      <c r="H2492" t="s">
        <v>27</v>
      </c>
      <c r="I2492" t="s">
        <v>27</v>
      </c>
      <c r="J2492" t="s">
        <v>27</v>
      </c>
      <c r="K2492" t="s">
        <v>27</v>
      </c>
      <c r="L2492" t="s">
        <v>27</v>
      </c>
      <c r="M2492" t="s">
        <v>27</v>
      </c>
      <c r="N2492" t="s">
        <v>27</v>
      </c>
      <c r="O2492" t="s">
        <v>27</v>
      </c>
      <c r="P2492" t="s">
        <v>27</v>
      </c>
      <c r="Q2492" t="s">
        <v>27</v>
      </c>
      <c r="R2492" t="s">
        <v>27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  <c r="X2492" t="s">
        <v>27</v>
      </c>
      <c r="Y2492" t="s">
        <v>27</v>
      </c>
      <c r="Z2492" t="s">
        <v>27</v>
      </c>
      <c r="AA2492" t="s">
        <v>27</v>
      </c>
      <c r="AB2492" t="s">
        <v>27</v>
      </c>
      <c r="AC2492" t="s">
        <v>27</v>
      </c>
      <c r="AD2492" t="s">
        <v>27</v>
      </c>
      <c r="AE2492" t="s">
        <v>27</v>
      </c>
      <c r="AF2492" t="s">
        <v>27</v>
      </c>
      <c r="AG2492">
        <v>10.75</v>
      </c>
    </row>
    <row r="2493" spans="1:33" x14ac:dyDescent="0.25">
      <c r="A2493" t="s">
        <v>57</v>
      </c>
      <c r="B2493" s="3">
        <v>45954</v>
      </c>
      <c r="C2493">
        <v>2025297</v>
      </c>
      <c r="D2493" t="s">
        <v>27</v>
      </c>
      <c r="E2493" t="s">
        <v>27</v>
      </c>
      <c r="F2493" t="s">
        <v>27</v>
      </c>
      <c r="G2493" t="s">
        <v>27</v>
      </c>
      <c r="H2493" t="s">
        <v>27</v>
      </c>
      <c r="I2493" t="s">
        <v>27</v>
      </c>
      <c r="J2493" t="s">
        <v>27</v>
      </c>
      <c r="K2493" t="s">
        <v>27</v>
      </c>
      <c r="L2493" t="s">
        <v>27</v>
      </c>
      <c r="M2493" t="s">
        <v>27</v>
      </c>
      <c r="N2493" t="s">
        <v>27</v>
      </c>
      <c r="O2493" t="s">
        <v>27</v>
      </c>
      <c r="P2493" t="s">
        <v>27</v>
      </c>
      <c r="Q2493" t="s">
        <v>27</v>
      </c>
      <c r="R2493" t="s">
        <v>27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Y2493" t="s">
        <v>27</v>
      </c>
      <c r="Z2493" t="s">
        <v>27</v>
      </c>
      <c r="AA2493" t="s">
        <v>27</v>
      </c>
      <c r="AB2493" t="s">
        <v>27</v>
      </c>
      <c r="AC2493" t="s">
        <v>27</v>
      </c>
      <c r="AD2493" t="s">
        <v>27</v>
      </c>
      <c r="AE2493" t="s">
        <v>27</v>
      </c>
      <c r="AF2493" t="s">
        <v>27</v>
      </c>
      <c r="AG2493">
        <v>10.55</v>
      </c>
    </row>
    <row r="2494" spans="1:33" x14ac:dyDescent="0.25">
      <c r="A2494" t="s">
        <v>57</v>
      </c>
      <c r="B2494" s="3">
        <v>45955</v>
      </c>
      <c r="C2494">
        <v>2025298</v>
      </c>
      <c r="D2494" t="s">
        <v>27</v>
      </c>
      <c r="E2494" t="s">
        <v>27</v>
      </c>
      <c r="F2494" t="s">
        <v>27</v>
      </c>
      <c r="G2494" t="s">
        <v>27</v>
      </c>
      <c r="H2494" t="s">
        <v>27</v>
      </c>
      <c r="I2494" t="s">
        <v>27</v>
      </c>
      <c r="J2494" t="s">
        <v>27</v>
      </c>
      <c r="K2494" t="s">
        <v>27</v>
      </c>
      <c r="L2494" t="s">
        <v>27</v>
      </c>
      <c r="M2494" t="s">
        <v>27</v>
      </c>
      <c r="N2494" t="s">
        <v>27</v>
      </c>
      <c r="O2494" t="s">
        <v>27</v>
      </c>
      <c r="P2494" t="s">
        <v>27</v>
      </c>
      <c r="Q2494" t="s">
        <v>27</v>
      </c>
      <c r="R2494" t="s">
        <v>27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Y2494" t="s">
        <v>27</v>
      </c>
      <c r="Z2494" t="s">
        <v>27</v>
      </c>
      <c r="AA2494" t="s">
        <v>27</v>
      </c>
      <c r="AB2494" t="s">
        <v>27</v>
      </c>
      <c r="AC2494" t="s">
        <v>27</v>
      </c>
      <c r="AD2494" t="s">
        <v>27</v>
      </c>
      <c r="AE2494" t="s">
        <v>27</v>
      </c>
      <c r="AF2494" t="s">
        <v>27</v>
      </c>
      <c r="AG2494">
        <v>10.36</v>
      </c>
    </row>
    <row r="2495" spans="1:33" x14ac:dyDescent="0.25">
      <c r="A2495" t="s">
        <v>57</v>
      </c>
      <c r="B2495" s="3">
        <v>45956</v>
      </c>
      <c r="C2495">
        <v>2025299</v>
      </c>
      <c r="D2495" t="s">
        <v>27</v>
      </c>
      <c r="E2495" t="s">
        <v>27</v>
      </c>
      <c r="F2495" t="s">
        <v>27</v>
      </c>
      <c r="G2495" t="s">
        <v>27</v>
      </c>
      <c r="H2495" t="s">
        <v>27</v>
      </c>
      <c r="I2495" t="s">
        <v>27</v>
      </c>
      <c r="J2495" t="s">
        <v>27</v>
      </c>
      <c r="K2495" t="s">
        <v>27</v>
      </c>
      <c r="L2495" t="s">
        <v>27</v>
      </c>
      <c r="M2495" t="s">
        <v>27</v>
      </c>
      <c r="N2495" t="s">
        <v>27</v>
      </c>
      <c r="O2495" t="s">
        <v>27</v>
      </c>
      <c r="P2495" t="s">
        <v>27</v>
      </c>
      <c r="Q2495" t="s">
        <v>27</v>
      </c>
      <c r="R2495" t="s">
        <v>27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Y2495" t="s">
        <v>27</v>
      </c>
      <c r="Z2495" t="s">
        <v>27</v>
      </c>
      <c r="AA2495" t="s">
        <v>27</v>
      </c>
      <c r="AB2495" t="s">
        <v>27</v>
      </c>
      <c r="AC2495" t="s">
        <v>27</v>
      </c>
      <c r="AD2495" t="s">
        <v>27</v>
      </c>
      <c r="AE2495" t="s">
        <v>27</v>
      </c>
      <c r="AF2495" t="s">
        <v>27</v>
      </c>
      <c r="AG2495">
        <v>10.17</v>
      </c>
    </row>
    <row r="2496" spans="1:33" x14ac:dyDescent="0.25">
      <c r="A2496" t="s">
        <v>57</v>
      </c>
      <c r="B2496" s="3">
        <v>45957</v>
      </c>
      <c r="C2496">
        <v>2025300</v>
      </c>
      <c r="D2496" t="s">
        <v>27</v>
      </c>
      <c r="E2496" t="s">
        <v>27</v>
      </c>
      <c r="F2496" t="s">
        <v>27</v>
      </c>
      <c r="G2496" t="s">
        <v>27</v>
      </c>
      <c r="H2496" t="s">
        <v>27</v>
      </c>
      <c r="I2496" t="s">
        <v>27</v>
      </c>
      <c r="J2496" t="s">
        <v>27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27</v>
      </c>
      <c r="Q2496" t="s">
        <v>27</v>
      </c>
      <c r="R2496" t="s">
        <v>27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  <c r="X2496" t="s">
        <v>27</v>
      </c>
      <c r="Y2496" t="s">
        <v>27</v>
      </c>
      <c r="Z2496" t="s">
        <v>27</v>
      </c>
      <c r="AA2496" t="s">
        <v>27</v>
      </c>
      <c r="AB2496" t="s">
        <v>27</v>
      </c>
      <c r="AC2496" t="s">
        <v>27</v>
      </c>
      <c r="AD2496" t="s">
        <v>27</v>
      </c>
      <c r="AE2496" t="s">
        <v>27</v>
      </c>
      <c r="AF2496" t="s">
        <v>27</v>
      </c>
      <c r="AG2496">
        <v>9.98</v>
      </c>
    </row>
    <row r="2497" spans="1:33" x14ac:dyDescent="0.25">
      <c r="A2497" t="s">
        <v>57</v>
      </c>
      <c r="B2497" s="3">
        <v>45958</v>
      </c>
      <c r="C2497">
        <v>2025301</v>
      </c>
      <c r="D2497" t="s">
        <v>27</v>
      </c>
      <c r="E2497" t="s">
        <v>27</v>
      </c>
      <c r="F2497" t="s">
        <v>27</v>
      </c>
      <c r="G2497" t="s">
        <v>27</v>
      </c>
      <c r="H2497" t="s">
        <v>27</v>
      </c>
      <c r="I2497" t="s">
        <v>27</v>
      </c>
      <c r="J2497" t="s">
        <v>27</v>
      </c>
      <c r="K2497" t="s">
        <v>27</v>
      </c>
      <c r="L2497" t="s">
        <v>27</v>
      </c>
      <c r="M2497" t="s">
        <v>27</v>
      </c>
      <c r="N2497" t="s">
        <v>27</v>
      </c>
      <c r="O2497" t="s">
        <v>27</v>
      </c>
      <c r="P2497" t="s">
        <v>27</v>
      </c>
      <c r="Q2497" t="s">
        <v>27</v>
      </c>
      <c r="R2497" t="s">
        <v>27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  <c r="X2497" t="s">
        <v>27</v>
      </c>
      <c r="Y2497" t="s">
        <v>27</v>
      </c>
      <c r="Z2497" t="s">
        <v>27</v>
      </c>
      <c r="AA2497" t="s">
        <v>27</v>
      </c>
      <c r="AB2497" t="s">
        <v>27</v>
      </c>
      <c r="AC2497" t="s">
        <v>27</v>
      </c>
      <c r="AD2497" t="s">
        <v>27</v>
      </c>
      <c r="AE2497" t="s">
        <v>27</v>
      </c>
      <c r="AF2497" t="s">
        <v>27</v>
      </c>
      <c r="AG2497">
        <v>9.8000000000000007</v>
      </c>
    </row>
    <row r="2498" spans="1:33" x14ac:dyDescent="0.25">
      <c r="A2498" t="s">
        <v>57</v>
      </c>
      <c r="B2498" s="3">
        <v>45959</v>
      </c>
      <c r="C2498">
        <v>2025302</v>
      </c>
      <c r="D2498" t="s">
        <v>27</v>
      </c>
      <c r="E2498" t="s">
        <v>27</v>
      </c>
      <c r="F2498" t="s">
        <v>27</v>
      </c>
      <c r="G2498" t="s">
        <v>27</v>
      </c>
      <c r="H2498" t="s">
        <v>27</v>
      </c>
      <c r="I2498" t="s">
        <v>27</v>
      </c>
      <c r="J2498" t="s">
        <v>27</v>
      </c>
      <c r="K2498" t="s">
        <v>27</v>
      </c>
      <c r="L2498" t="s">
        <v>27</v>
      </c>
      <c r="M2498" t="s">
        <v>27</v>
      </c>
      <c r="N2498" t="s">
        <v>27</v>
      </c>
      <c r="O2498" t="s">
        <v>27</v>
      </c>
      <c r="P2498" t="s">
        <v>27</v>
      </c>
      <c r="Q2498" t="s">
        <v>27</v>
      </c>
      <c r="R2498" t="s">
        <v>27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  <c r="X2498" t="s">
        <v>27</v>
      </c>
      <c r="Y2498" t="s">
        <v>27</v>
      </c>
      <c r="Z2498" t="s">
        <v>27</v>
      </c>
      <c r="AA2498" t="s">
        <v>27</v>
      </c>
      <c r="AB2498" t="s">
        <v>27</v>
      </c>
      <c r="AC2498" t="s">
        <v>27</v>
      </c>
      <c r="AD2498" t="s">
        <v>27</v>
      </c>
      <c r="AE2498" t="s">
        <v>27</v>
      </c>
      <c r="AF2498" t="s">
        <v>27</v>
      </c>
      <c r="AG2498">
        <v>9.6199999999999992</v>
      </c>
    </row>
    <row r="2499" spans="1:33" x14ac:dyDescent="0.25">
      <c r="A2499" t="s">
        <v>57</v>
      </c>
      <c r="B2499" s="3">
        <v>45960</v>
      </c>
      <c r="C2499">
        <v>2025303</v>
      </c>
      <c r="D2499" t="s">
        <v>27</v>
      </c>
      <c r="E2499" t="s">
        <v>27</v>
      </c>
      <c r="F2499" t="s">
        <v>27</v>
      </c>
      <c r="G2499" t="s">
        <v>27</v>
      </c>
      <c r="H2499" t="s">
        <v>27</v>
      </c>
      <c r="I2499" t="s">
        <v>27</v>
      </c>
      <c r="J2499" t="s">
        <v>27</v>
      </c>
      <c r="K2499" t="s">
        <v>27</v>
      </c>
      <c r="L2499" t="s">
        <v>27</v>
      </c>
      <c r="M2499" t="s">
        <v>27</v>
      </c>
      <c r="N2499" t="s">
        <v>27</v>
      </c>
      <c r="O2499" t="s">
        <v>27</v>
      </c>
      <c r="P2499" t="s">
        <v>27</v>
      </c>
      <c r="Q2499" t="s">
        <v>27</v>
      </c>
      <c r="R2499" t="s">
        <v>27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Y2499" t="s">
        <v>27</v>
      </c>
      <c r="Z2499" t="s">
        <v>27</v>
      </c>
      <c r="AA2499" t="s">
        <v>27</v>
      </c>
      <c r="AB2499" t="s">
        <v>27</v>
      </c>
      <c r="AC2499" t="s">
        <v>27</v>
      </c>
      <c r="AD2499" t="s">
        <v>27</v>
      </c>
      <c r="AE2499" t="s">
        <v>27</v>
      </c>
      <c r="AF2499" t="s">
        <v>27</v>
      </c>
      <c r="AG2499">
        <v>9.44</v>
      </c>
    </row>
    <row r="2500" spans="1:33" x14ac:dyDescent="0.25">
      <c r="A2500" t="s">
        <v>57</v>
      </c>
      <c r="B2500" s="3">
        <v>45961</v>
      </c>
      <c r="C2500">
        <v>2025304</v>
      </c>
      <c r="D2500" t="s">
        <v>27</v>
      </c>
      <c r="E2500" t="s">
        <v>27</v>
      </c>
      <c r="F2500" t="s">
        <v>27</v>
      </c>
      <c r="G2500" t="s">
        <v>27</v>
      </c>
      <c r="H2500" t="s">
        <v>27</v>
      </c>
      <c r="I2500" t="s">
        <v>27</v>
      </c>
      <c r="J2500" t="s">
        <v>27</v>
      </c>
      <c r="K2500" t="s">
        <v>27</v>
      </c>
      <c r="L2500" t="s">
        <v>27</v>
      </c>
      <c r="M2500" t="s">
        <v>27</v>
      </c>
      <c r="N2500" t="s">
        <v>27</v>
      </c>
      <c r="O2500" t="s">
        <v>27</v>
      </c>
      <c r="P2500" t="s">
        <v>27</v>
      </c>
      <c r="Q2500" t="s">
        <v>27</v>
      </c>
      <c r="R2500" t="s">
        <v>27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Y2500" t="s">
        <v>27</v>
      </c>
      <c r="Z2500" t="s">
        <v>27</v>
      </c>
      <c r="AA2500" t="s">
        <v>27</v>
      </c>
      <c r="AB2500" t="s">
        <v>27</v>
      </c>
      <c r="AC2500" t="s">
        <v>27</v>
      </c>
      <c r="AD2500" t="s">
        <v>27</v>
      </c>
      <c r="AE2500" t="s">
        <v>27</v>
      </c>
      <c r="AF2500" t="s">
        <v>27</v>
      </c>
      <c r="AG2500">
        <v>9.26</v>
      </c>
    </row>
    <row r="2501" spans="1:33" x14ac:dyDescent="0.25">
      <c r="A2501" t="s">
        <v>57</v>
      </c>
      <c r="B2501" s="3">
        <v>45962</v>
      </c>
      <c r="C2501">
        <v>2025305</v>
      </c>
      <c r="D2501" t="s">
        <v>27</v>
      </c>
      <c r="E2501" t="s">
        <v>27</v>
      </c>
      <c r="F2501" t="s">
        <v>27</v>
      </c>
      <c r="G2501" t="s">
        <v>27</v>
      </c>
      <c r="H2501" t="s">
        <v>27</v>
      </c>
      <c r="I2501" t="s">
        <v>27</v>
      </c>
      <c r="J2501" t="s">
        <v>27</v>
      </c>
      <c r="K2501" t="s">
        <v>27</v>
      </c>
      <c r="L2501" t="s">
        <v>27</v>
      </c>
      <c r="M2501" t="s">
        <v>27</v>
      </c>
      <c r="N2501" t="s">
        <v>27</v>
      </c>
      <c r="O2501" t="s">
        <v>27</v>
      </c>
      <c r="P2501" t="s">
        <v>27</v>
      </c>
      <c r="Q2501" t="s">
        <v>27</v>
      </c>
      <c r="R2501" t="s">
        <v>27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  <c r="X2501" t="s">
        <v>27</v>
      </c>
      <c r="Y2501" t="s">
        <v>27</v>
      </c>
      <c r="Z2501" t="s">
        <v>27</v>
      </c>
      <c r="AA2501" t="s">
        <v>27</v>
      </c>
      <c r="AB2501" t="s">
        <v>27</v>
      </c>
      <c r="AC2501" t="s">
        <v>27</v>
      </c>
      <c r="AD2501" t="s">
        <v>27</v>
      </c>
      <c r="AE2501" t="s">
        <v>27</v>
      </c>
      <c r="AF2501" t="s">
        <v>27</v>
      </c>
      <c r="AG2501">
        <v>9.09</v>
      </c>
    </row>
    <row r="2502" spans="1:33" x14ac:dyDescent="0.25">
      <c r="A2502" t="s">
        <v>57</v>
      </c>
      <c r="B2502" s="3">
        <v>45963</v>
      </c>
      <c r="C2502">
        <v>2025306</v>
      </c>
      <c r="D2502" t="s">
        <v>27</v>
      </c>
      <c r="E2502" t="s">
        <v>27</v>
      </c>
      <c r="F2502" t="s">
        <v>27</v>
      </c>
      <c r="G2502" t="s">
        <v>27</v>
      </c>
      <c r="H2502" t="s">
        <v>27</v>
      </c>
      <c r="I2502" t="s">
        <v>27</v>
      </c>
      <c r="J2502" t="s">
        <v>27</v>
      </c>
      <c r="K2502" t="s">
        <v>27</v>
      </c>
      <c r="L2502" t="s">
        <v>27</v>
      </c>
      <c r="M2502" t="s">
        <v>27</v>
      </c>
      <c r="N2502" t="s">
        <v>27</v>
      </c>
      <c r="O2502" t="s">
        <v>27</v>
      </c>
      <c r="P2502" t="s">
        <v>27</v>
      </c>
      <c r="Q2502" t="s">
        <v>27</v>
      </c>
      <c r="R2502" t="s">
        <v>27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  <c r="X2502" t="s">
        <v>27</v>
      </c>
      <c r="Y2502" t="s">
        <v>27</v>
      </c>
      <c r="Z2502" t="s">
        <v>27</v>
      </c>
      <c r="AA2502" t="s">
        <v>27</v>
      </c>
      <c r="AB2502" t="s">
        <v>27</v>
      </c>
      <c r="AC2502" t="s">
        <v>27</v>
      </c>
      <c r="AD2502" t="s">
        <v>27</v>
      </c>
      <c r="AE2502" t="s">
        <v>27</v>
      </c>
      <c r="AF2502" t="s">
        <v>27</v>
      </c>
      <c r="AG2502">
        <v>8.92</v>
      </c>
    </row>
    <row r="2503" spans="1:33" x14ac:dyDescent="0.25">
      <c r="A2503" t="s">
        <v>57</v>
      </c>
      <c r="B2503" s="3">
        <v>45964</v>
      </c>
      <c r="C2503">
        <v>2025307</v>
      </c>
      <c r="D2503" t="s">
        <v>27</v>
      </c>
      <c r="E2503" t="s">
        <v>27</v>
      </c>
      <c r="F2503" t="s">
        <v>27</v>
      </c>
      <c r="G2503" t="s">
        <v>27</v>
      </c>
      <c r="H2503" t="s">
        <v>27</v>
      </c>
      <c r="I2503" t="s">
        <v>27</v>
      </c>
      <c r="J2503" t="s">
        <v>27</v>
      </c>
      <c r="K2503" t="s">
        <v>27</v>
      </c>
      <c r="L2503" t="s">
        <v>27</v>
      </c>
      <c r="M2503" t="s">
        <v>27</v>
      </c>
      <c r="N2503" t="s">
        <v>27</v>
      </c>
      <c r="O2503" t="s">
        <v>27</v>
      </c>
      <c r="P2503" t="s">
        <v>27</v>
      </c>
      <c r="Q2503" t="s">
        <v>27</v>
      </c>
      <c r="R2503" t="s">
        <v>27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  <c r="X2503" t="s">
        <v>27</v>
      </c>
      <c r="Y2503" t="s">
        <v>27</v>
      </c>
      <c r="Z2503" t="s">
        <v>27</v>
      </c>
      <c r="AA2503" t="s">
        <v>27</v>
      </c>
      <c r="AB2503" t="s">
        <v>27</v>
      </c>
      <c r="AC2503" t="s">
        <v>27</v>
      </c>
      <c r="AD2503" t="s">
        <v>27</v>
      </c>
      <c r="AE2503" t="s">
        <v>27</v>
      </c>
      <c r="AF2503" t="s">
        <v>27</v>
      </c>
      <c r="AG2503">
        <v>8.76</v>
      </c>
    </row>
    <row r="2504" spans="1:33" x14ac:dyDescent="0.25">
      <c r="A2504" t="s">
        <v>57</v>
      </c>
      <c r="B2504" s="3">
        <v>45965</v>
      </c>
      <c r="C2504">
        <v>2025308</v>
      </c>
      <c r="D2504" t="s">
        <v>27</v>
      </c>
      <c r="E2504" t="s">
        <v>27</v>
      </c>
      <c r="F2504" t="s">
        <v>27</v>
      </c>
      <c r="G2504" t="s">
        <v>27</v>
      </c>
      <c r="H2504" t="s">
        <v>27</v>
      </c>
      <c r="I2504" t="s">
        <v>27</v>
      </c>
      <c r="J2504" t="s">
        <v>27</v>
      </c>
      <c r="K2504" t="s">
        <v>27</v>
      </c>
      <c r="L2504" t="s">
        <v>27</v>
      </c>
      <c r="M2504" t="s">
        <v>27</v>
      </c>
      <c r="N2504" t="s">
        <v>27</v>
      </c>
      <c r="O2504" t="s">
        <v>27</v>
      </c>
      <c r="P2504" t="s">
        <v>27</v>
      </c>
      <c r="Q2504" t="s">
        <v>27</v>
      </c>
      <c r="R2504" t="s">
        <v>27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  <c r="X2504" t="s">
        <v>27</v>
      </c>
      <c r="Y2504" t="s">
        <v>27</v>
      </c>
      <c r="Z2504" t="s">
        <v>27</v>
      </c>
      <c r="AA2504" t="s">
        <v>27</v>
      </c>
      <c r="AB2504" t="s">
        <v>27</v>
      </c>
      <c r="AC2504" t="s">
        <v>27</v>
      </c>
      <c r="AD2504" t="s">
        <v>27</v>
      </c>
      <c r="AE2504" t="s">
        <v>27</v>
      </c>
      <c r="AF2504" t="s">
        <v>27</v>
      </c>
      <c r="AG2504">
        <v>8.59</v>
      </c>
    </row>
    <row r="2505" spans="1:33" x14ac:dyDescent="0.25">
      <c r="A2505" t="s">
        <v>57</v>
      </c>
      <c r="B2505" s="3">
        <v>45966</v>
      </c>
      <c r="C2505">
        <v>2025309</v>
      </c>
      <c r="D2505" t="s">
        <v>27</v>
      </c>
      <c r="E2505" t="s">
        <v>27</v>
      </c>
      <c r="F2505" t="s">
        <v>27</v>
      </c>
      <c r="G2505" t="s">
        <v>27</v>
      </c>
      <c r="H2505" t="s">
        <v>27</v>
      </c>
      <c r="I2505" t="s">
        <v>27</v>
      </c>
      <c r="J2505" t="s">
        <v>27</v>
      </c>
      <c r="K2505" t="s">
        <v>27</v>
      </c>
      <c r="L2505" t="s">
        <v>27</v>
      </c>
      <c r="M2505" t="s">
        <v>27</v>
      </c>
      <c r="N2505" t="s">
        <v>27</v>
      </c>
      <c r="O2505" t="s">
        <v>27</v>
      </c>
      <c r="P2505" t="s">
        <v>27</v>
      </c>
      <c r="Q2505" t="s">
        <v>27</v>
      </c>
      <c r="R2505" t="s">
        <v>27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  <c r="X2505" t="s">
        <v>27</v>
      </c>
      <c r="Y2505" t="s">
        <v>27</v>
      </c>
      <c r="Z2505" t="s">
        <v>27</v>
      </c>
      <c r="AA2505" t="s">
        <v>27</v>
      </c>
      <c r="AB2505" t="s">
        <v>27</v>
      </c>
      <c r="AC2505" t="s">
        <v>27</v>
      </c>
      <c r="AD2505" t="s">
        <v>27</v>
      </c>
      <c r="AE2505" t="s">
        <v>27</v>
      </c>
      <c r="AF2505" t="s">
        <v>27</v>
      </c>
      <c r="AG2505">
        <v>8.43</v>
      </c>
    </row>
    <row r="2506" spans="1:33" x14ac:dyDescent="0.25">
      <c r="A2506" t="s">
        <v>57</v>
      </c>
      <c r="B2506" s="3">
        <v>45967</v>
      </c>
      <c r="C2506">
        <v>2025310</v>
      </c>
      <c r="D2506" t="s">
        <v>27</v>
      </c>
      <c r="E2506" t="s">
        <v>27</v>
      </c>
      <c r="F2506" t="s">
        <v>27</v>
      </c>
      <c r="G2506" t="s">
        <v>27</v>
      </c>
      <c r="H2506" t="s">
        <v>27</v>
      </c>
      <c r="I2506" t="s">
        <v>27</v>
      </c>
      <c r="J2506" t="s">
        <v>27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27</v>
      </c>
      <c r="Q2506" t="s">
        <v>27</v>
      </c>
      <c r="R2506" t="s">
        <v>27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  <c r="X2506" t="s">
        <v>27</v>
      </c>
      <c r="Y2506" t="s">
        <v>27</v>
      </c>
      <c r="Z2506" t="s">
        <v>27</v>
      </c>
      <c r="AA2506" t="s">
        <v>27</v>
      </c>
      <c r="AB2506" t="s">
        <v>27</v>
      </c>
      <c r="AC2506" t="s">
        <v>27</v>
      </c>
      <c r="AD2506" t="s">
        <v>27</v>
      </c>
      <c r="AE2506" t="s">
        <v>27</v>
      </c>
      <c r="AF2506" t="s">
        <v>27</v>
      </c>
      <c r="AG2506">
        <v>8.2799999999999994</v>
      </c>
    </row>
    <row r="2507" spans="1:33" x14ac:dyDescent="0.25">
      <c r="A2507" t="s">
        <v>57</v>
      </c>
      <c r="B2507" s="3">
        <v>45968</v>
      </c>
      <c r="C2507">
        <v>2025311</v>
      </c>
      <c r="D2507" t="s">
        <v>27</v>
      </c>
      <c r="E2507" t="s">
        <v>27</v>
      </c>
      <c r="F2507" t="s">
        <v>27</v>
      </c>
      <c r="G2507" t="s">
        <v>27</v>
      </c>
      <c r="H2507" t="s">
        <v>27</v>
      </c>
      <c r="I2507" t="s">
        <v>27</v>
      </c>
      <c r="J2507" t="s">
        <v>27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27</v>
      </c>
      <c r="Q2507" t="s">
        <v>27</v>
      </c>
      <c r="R2507" t="s">
        <v>27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Y2507" t="s">
        <v>27</v>
      </c>
      <c r="Z2507" t="s">
        <v>27</v>
      </c>
      <c r="AA2507" t="s">
        <v>27</v>
      </c>
      <c r="AB2507" t="s">
        <v>27</v>
      </c>
      <c r="AC2507" t="s">
        <v>27</v>
      </c>
      <c r="AD2507" t="s">
        <v>27</v>
      </c>
      <c r="AE2507" t="s">
        <v>27</v>
      </c>
      <c r="AF2507" t="s">
        <v>27</v>
      </c>
      <c r="AG2507">
        <v>8.1199999999999992</v>
      </c>
    </row>
    <row r="2508" spans="1:33" x14ac:dyDescent="0.25">
      <c r="A2508" t="s">
        <v>57</v>
      </c>
      <c r="B2508" s="3">
        <v>45969</v>
      </c>
      <c r="C2508">
        <v>2025312</v>
      </c>
      <c r="D2508" t="s">
        <v>27</v>
      </c>
      <c r="E2508" t="s">
        <v>27</v>
      </c>
      <c r="F2508" t="s">
        <v>27</v>
      </c>
      <c r="G2508" t="s">
        <v>27</v>
      </c>
      <c r="H2508" t="s">
        <v>27</v>
      </c>
      <c r="I2508" t="s">
        <v>27</v>
      </c>
      <c r="J2508" t="s">
        <v>27</v>
      </c>
      <c r="K2508" t="s">
        <v>27</v>
      </c>
      <c r="L2508" t="s">
        <v>27</v>
      </c>
      <c r="M2508" t="s">
        <v>27</v>
      </c>
      <c r="N2508" t="s">
        <v>27</v>
      </c>
      <c r="O2508" t="s">
        <v>27</v>
      </c>
      <c r="P2508" t="s">
        <v>27</v>
      </c>
      <c r="Q2508" t="s">
        <v>27</v>
      </c>
      <c r="R2508" t="s">
        <v>27</v>
      </c>
      <c r="S2508" t="s">
        <v>27</v>
      </c>
      <c r="T2508" t="s">
        <v>27</v>
      </c>
      <c r="U2508" t="s">
        <v>27</v>
      </c>
      <c r="V2508" t="s">
        <v>27</v>
      </c>
      <c r="W2508" t="s">
        <v>27</v>
      </c>
      <c r="X2508" t="s">
        <v>27</v>
      </c>
      <c r="Y2508" t="s">
        <v>27</v>
      </c>
      <c r="Z2508" t="s">
        <v>27</v>
      </c>
      <c r="AA2508" t="s">
        <v>27</v>
      </c>
      <c r="AB2508" t="s">
        <v>27</v>
      </c>
      <c r="AC2508" t="s">
        <v>27</v>
      </c>
      <c r="AD2508" t="s">
        <v>27</v>
      </c>
      <c r="AE2508" t="s">
        <v>27</v>
      </c>
      <c r="AF2508" t="s">
        <v>27</v>
      </c>
      <c r="AG2508">
        <v>7.98</v>
      </c>
    </row>
    <row r="2509" spans="1:33" x14ac:dyDescent="0.25">
      <c r="A2509" t="s">
        <v>57</v>
      </c>
      <c r="B2509" s="3">
        <v>45970</v>
      </c>
      <c r="C2509">
        <v>2025313</v>
      </c>
      <c r="D2509" t="s">
        <v>27</v>
      </c>
      <c r="E2509" t="s">
        <v>27</v>
      </c>
      <c r="F2509" t="s">
        <v>27</v>
      </c>
      <c r="G2509" t="s">
        <v>27</v>
      </c>
      <c r="H2509" t="s">
        <v>27</v>
      </c>
      <c r="I2509" t="s">
        <v>27</v>
      </c>
      <c r="J2509" t="s">
        <v>27</v>
      </c>
      <c r="K2509" t="s">
        <v>27</v>
      </c>
      <c r="L2509" t="s">
        <v>27</v>
      </c>
      <c r="M2509" t="s">
        <v>27</v>
      </c>
      <c r="N2509" t="s">
        <v>27</v>
      </c>
      <c r="O2509" t="s">
        <v>27</v>
      </c>
      <c r="P2509" t="s">
        <v>27</v>
      </c>
      <c r="Q2509" t="s">
        <v>27</v>
      </c>
      <c r="R2509" t="s">
        <v>27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  <c r="X2509" t="s">
        <v>27</v>
      </c>
      <c r="Y2509" t="s">
        <v>27</v>
      </c>
      <c r="Z2509" t="s">
        <v>27</v>
      </c>
      <c r="AA2509" t="s">
        <v>27</v>
      </c>
      <c r="AB2509" t="s">
        <v>27</v>
      </c>
      <c r="AC2509" t="s">
        <v>27</v>
      </c>
      <c r="AD2509" t="s">
        <v>27</v>
      </c>
      <c r="AE2509" t="s">
        <v>27</v>
      </c>
      <c r="AF2509" t="s">
        <v>27</v>
      </c>
      <c r="AG2509">
        <v>7.83</v>
      </c>
    </row>
    <row r="2510" spans="1:33" x14ac:dyDescent="0.25">
      <c r="A2510" t="s">
        <v>57</v>
      </c>
      <c r="B2510" s="3">
        <v>45971</v>
      </c>
      <c r="C2510">
        <v>2025314</v>
      </c>
      <c r="D2510" t="s">
        <v>27</v>
      </c>
      <c r="E2510" t="s">
        <v>27</v>
      </c>
      <c r="F2510" t="s">
        <v>27</v>
      </c>
      <c r="G2510" t="s">
        <v>27</v>
      </c>
      <c r="H2510" t="s">
        <v>27</v>
      </c>
      <c r="I2510" t="s">
        <v>27</v>
      </c>
      <c r="J2510" t="s">
        <v>27</v>
      </c>
      <c r="K2510" t="s">
        <v>27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27</v>
      </c>
      <c r="R2510" t="s">
        <v>27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Y2510" t="s">
        <v>27</v>
      </c>
      <c r="Z2510" t="s">
        <v>27</v>
      </c>
      <c r="AA2510" t="s">
        <v>27</v>
      </c>
      <c r="AB2510" t="s">
        <v>27</v>
      </c>
      <c r="AC2510" t="s">
        <v>27</v>
      </c>
      <c r="AD2510" t="s">
        <v>27</v>
      </c>
      <c r="AE2510" t="s">
        <v>27</v>
      </c>
      <c r="AF2510" t="s">
        <v>27</v>
      </c>
      <c r="AG2510">
        <v>7.69</v>
      </c>
    </row>
    <row r="2511" spans="1:33" x14ac:dyDescent="0.25">
      <c r="A2511" t="s">
        <v>57</v>
      </c>
      <c r="B2511" s="3">
        <v>45972</v>
      </c>
      <c r="C2511">
        <v>2025315</v>
      </c>
      <c r="D2511" t="s">
        <v>27</v>
      </c>
      <c r="E2511" t="s">
        <v>27</v>
      </c>
      <c r="F2511" t="s">
        <v>27</v>
      </c>
      <c r="G2511" t="s">
        <v>27</v>
      </c>
      <c r="H2511" t="s">
        <v>27</v>
      </c>
      <c r="I2511" t="s">
        <v>27</v>
      </c>
      <c r="J2511" t="s">
        <v>27</v>
      </c>
      <c r="K2511" t="s">
        <v>27</v>
      </c>
      <c r="L2511" t="s">
        <v>27</v>
      </c>
      <c r="M2511" t="s">
        <v>27</v>
      </c>
      <c r="N2511" t="s">
        <v>27</v>
      </c>
      <c r="O2511" t="s">
        <v>27</v>
      </c>
      <c r="P2511" t="s">
        <v>27</v>
      </c>
      <c r="Q2511" t="s">
        <v>27</v>
      </c>
      <c r="R2511" t="s">
        <v>27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  <c r="X2511" t="s">
        <v>27</v>
      </c>
      <c r="Y2511" t="s">
        <v>27</v>
      </c>
      <c r="Z2511" t="s">
        <v>27</v>
      </c>
      <c r="AA2511" t="s">
        <v>27</v>
      </c>
      <c r="AB2511" t="s">
        <v>27</v>
      </c>
      <c r="AC2511" t="s">
        <v>27</v>
      </c>
      <c r="AD2511" t="s">
        <v>27</v>
      </c>
      <c r="AE2511" t="s">
        <v>27</v>
      </c>
      <c r="AF2511" t="s">
        <v>27</v>
      </c>
      <c r="AG2511">
        <v>7.55</v>
      </c>
    </row>
    <row r="2512" spans="1:33" x14ac:dyDescent="0.25">
      <c r="A2512" t="s">
        <v>57</v>
      </c>
      <c r="B2512" s="3">
        <v>45973</v>
      </c>
      <c r="C2512">
        <v>2025316</v>
      </c>
      <c r="D2512" t="s">
        <v>27</v>
      </c>
      <c r="E2512" t="s">
        <v>27</v>
      </c>
      <c r="F2512" t="s">
        <v>27</v>
      </c>
      <c r="G2512" t="s">
        <v>27</v>
      </c>
      <c r="H2512" t="s">
        <v>27</v>
      </c>
      <c r="I2512" t="s">
        <v>27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27</v>
      </c>
      <c r="Q2512" t="s">
        <v>27</v>
      </c>
      <c r="R2512" t="s">
        <v>27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Y2512" t="s">
        <v>27</v>
      </c>
      <c r="Z2512" t="s">
        <v>27</v>
      </c>
      <c r="AA2512" t="s">
        <v>27</v>
      </c>
      <c r="AB2512" t="s">
        <v>27</v>
      </c>
      <c r="AC2512" t="s">
        <v>27</v>
      </c>
      <c r="AD2512" t="s">
        <v>27</v>
      </c>
      <c r="AE2512" t="s">
        <v>27</v>
      </c>
      <c r="AF2512" t="s">
        <v>27</v>
      </c>
      <c r="AG2512">
        <v>7.41</v>
      </c>
    </row>
    <row r="2513" spans="1:33" x14ac:dyDescent="0.25">
      <c r="A2513" t="s">
        <v>57</v>
      </c>
      <c r="B2513" s="3">
        <v>45974</v>
      </c>
      <c r="C2513">
        <v>2025317</v>
      </c>
      <c r="D2513" t="s">
        <v>27</v>
      </c>
      <c r="E2513" t="s">
        <v>27</v>
      </c>
      <c r="F2513" t="s">
        <v>27</v>
      </c>
      <c r="G2513" t="s">
        <v>27</v>
      </c>
      <c r="H2513" t="s">
        <v>27</v>
      </c>
      <c r="I2513" t="s">
        <v>27</v>
      </c>
      <c r="J2513" t="s">
        <v>27</v>
      </c>
      <c r="K2513" t="s">
        <v>27</v>
      </c>
      <c r="L2513" t="s">
        <v>27</v>
      </c>
      <c r="M2513" t="s">
        <v>27</v>
      </c>
      <c r="N2513" t="s">
        <v>27</v>
      </c>
      <c r="O2513" t="s">
        <v>27</v>
      </c>
      <c r="P2513" t="s">
        <v>27</v>
      </c>
      <c r="Q2513" t="s">
        <v>27</v>
      </c>
      <c r="R2513" t="s">
        <v>27</v>
      </c>
      <c r="S2513" t="s">
        <v>27</v>
      </c>
      <c r="T2513" t="s">
        <v>27</v>
      </c>
      <c r="U2513" t="s">
        <v>27</v>
      </c>
      <c r="V2513" t="s">
        <v>27</v>
      </c>
      <c r="W2513" t="s">
        <v>27</v>
      </c>
      <c r="X2513" t="s">
        <v>27</v>
      </c>
      <c r="Y2513" t="s">
        <v>27</v>
      </c>
      <c r="Z2513" t="s">
        <v>27</v>
      </c>
      <c r="AA2513" t="s">
        <v>27</v>
      </c>
      <c r="AB2513" t="s">
        <v>27</v>
      </c>
      <c r="AC2513" t="s">
        <v>27</v>
      </c>
      <c r="AD2513" t="s">
        <v>27</v>
      </c>
      <c r="AE2513" t="s">
        <v>27</v>
      </c>
      <c r="AF2513" t="s">
        <v>27</v>
      </c>
      <c r="AG2513">
        <v>7.28</v>
      </c>
    </row>
    <row r="2514" spans="1:33" x14ac:dyDescent="0.25">
      <c r="A2514" t="s">
        <v>57</v>
      </c>
      <c r="B2514" s="3">
        <v>45975</v>
      </c>
      <c r="C2514">
        <v>2025318</v>
      </c>
      <c r="D2514" t="s">
        <v>27</v>
      </c>
      <c r="E2514" t="s">
        <v>27</v>
      </c>
      <c r="F2514" t="s">
        <v>27</v>
      </c>
      <c r="G2514" t="s">
        <v>27</v>
      </c>
      <c r="H2514" t="s">
        <v>27</v>
      </c>
      <c r="I2514" t="s">
        <v>27</v>
      </c>
      <c r="J2514" t="s">
        <v>27</v>
      </c>
      <c r="K2514" t="s">
        <v>27</v>
      </c>
      <c r="L2514" t="s">
        <v>27</v>
      </c>
      <c r="M2514" t="s">
        <v>27</v>
      </c>
      <c r="N2514" t="s">
        <v>27</v>
      </c>
      <c r="O2514" t="s">
        <v>27</v>
      </c>
      <c r="P2514" t="s">
        <v>27</v>
      </c>
      <c r="Q2514" t="s">
        <v>27</v>
      </c>
      <c r="R2514" t="s">
        <v>27</v>
      </c>
      <c r="S2514" t="s">
        <v>27</v>
      </c>
      <c r="T2514" t="s">
        <v>27</v>
      </c>
      <c r="U2514" t="s">
        <v>27</v>
      </c>
      <c r="V2514" t="s">
        <v>27</v>
      </c>
      <c r="W2514" t="s">
        <v>27</v>
      </c>
      <c r="X2514" t="s">
        <v>27</v>
      </c>
      <c r="Y2514" t="s">
        <v>27</v>
      </c>
      <c r="Z2514" t="s">
        <v>27</v>
      </c>
      <c r="AA2514" t="s">
        <v>27</v>
      </c>
      <c r="AB2514" t="s">
        <v>27</v>
      </c>
      <c r="AC2514" t="s">
        <v>27</v>
      </c>
      <c r="AD2514" t="s">
        <v>27</v>
      </c>
      <c r="AE2514" t="s">
        <v>27</v>
      </c>
      <c r="AF2514" t="s">
        <v>27</v>
      </c>
      <c r="AG2514">
        <v>7.16</v>
      </c>
    </row>
    <row r="2515" spans="1:33" x14ac:dyDescent="0.25">
      <c r="A2515" t="s">
        <v>57</v>
      </c>
      <c r="B2515" s="3">
        <v>45976</v>
      </c>
      <c r="C2515">
        <v>2025319</v>
      </c>
      <c r="D2515" t="s">
        <v>27</v>
      </c>
      <c r="E2515" t="s">
        <v>27</v>
      </c>
      <c r="F2515" t="s">
        <v>27</v>
      </c>
      <c r="G2515" t="s">
        <v>27</v>
      </c>
      <c r="H2515" t="s">
        <v>27</v>
      </c>
      <c r="I2515" t="s">
        <v>27</v>
      </c>
      <c r="J2515" t="s">
        <v>27</v>
      </c>
      <c r="K2515" t="s">
        <v>27</v>
      </c>
      <c r="L2515" t="s">
        <v>27</v>
      </c>
      <c r="M2515" t="s">
        <v>27</v>
      </c>
      <c r="N2515" t="s">
        <v>27</v>
      </c>
      <c r="O2515" t="s">
        <v>27</v>
      </c>
      <c r="P2515" t="s">
        <v>27</v>
      </c>
      <c r="Q2515" t="s">
        <v>27</v>
      </c>
      <c r="R2515" t="s">
        <v>27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  <c r="X2515" t="s">
        <v>27</v>
      </c>
      <c r="Y2515" t="s">
        <v>27</v>
      </c>
      <c r="Z2515" t="s">
        <v>27</v>
      </c>
      <c r="AA2515" t="s">
        <v>27</v>
      </c>
      <c r="AB2515" t="s">
        <v>27</v>
      </c>
      <c r="AC2515" t="s">
        <v>27</v>
      </c>
      <c r="AD2515" t="s">
        <v>27</v>
      </c>
      <c r="AE2515" t="s">
        <v>27</v>
      </c>
      <c r="AF2515" t="s">
        <v>27</v>
      </c>
      <c r="AG2515">
        <v>7.03</v>
      </c>
    </row>
    <row r="2516" spans="1:33" x14ac:dyDescent="0.25">
      <c r="A2516" t="s">
        <v>57</v>
      </c>
      <c r="B2516" s="3">
        <v>45977</v>
      </c>
      <c r="C2516">
        <v>2025320</v>
      </c>
      <c r="D2516" t="s">
        <v>27</v>
      </c>
      <c r="E2516" t="s">
        <v>27</v>
      </c>
      <c r="F2516" t="s">
        <v>27</v>
      </c>
      <c r="G2516" t="s">
        <v>27</v>
      </c>
      <c r="H2516" t="s">
        <v>27</v>
      </c>
      <c r="I2516" t="s">
        <v>27</v>
      </c>
      <c r="J2516" t="s">
        <v>27</v>
      </c>
      <c r="K2516" t="s">
        <v>27</v>
      </c>
      <c r="L2516" t="s">
        <v>27</v>
      </c>
      <c r="M2516" t="s">
        <v>27</v>
      </c>
      <c r="N2516" t="s">
        <v>27</v>
      </c>
      <c r="O2516" t="s">
        <v>27</v>
      </c>
      <c r="P2516" t="s">
        <v>27</v>
      </c>
      <c r="Q2516" t="s">
        <v>27</v>
      </c>
      <c r="R2516" t="s">
        <v>27</v>
      </c>
      <c r="S2516" t="s">
        <v>27</v>
      </c>
      <c r="T2516" t="s">
        <v>27</v>
      </c>
      <c r="U2516" t="s">
        <v>27</v>
      </c>
      <c r="V2516" t="s">
        <v>27</v>
      </c>
      <c r="W2516" t="s">
        <v>27</v>
      </c>
      <c r="X2516" t="s">
        <v>27</v>
      </c>
      <c r="Y2516" t="s">
        <v>27</v>
      </c>
      <c r="Z2516" t="s">
        <v>27</v>
      </c>
      <c r="AA2516" t="s">
        <v>27</v>
      </c>
      <c r="AB2516" t="s">
        <v>27</v>
      </c>
      <c r="AC2516" t="s">
        <v>27</v>
      </c>
      <c r="AD2516" t="s">
        <v>27</v>
      </c>
      <c r="AE2516" t="s">
        <v>27</v>
      </c>
      <c r="AF2516" t="s">
        <v>27</v>
      </c>
      <c r="AG2516">
        <v>6.91</v>
      </c>
    </row>
    <row r="2517" spans="1:33" x14ac:dyDescent="0.25">
      <c r="A2517" t="s">
        <v>57</v>
      </c>
      <c r="B2517" s="3">
        <v>45978</v>
      </c>
      <c r="C2517">
        <v>2025321</v>
      </c>
      <c r="D2517" t="s">
        <v>27</v>
      </c>
      <c r="E2517" t="s">
        <v>27</v>
      </c>
      <c r="F2517" t="s">
        <v>27</v>
      </c>
      <c r="G2517" t="s">
        <v>27</v>
      </c>
      <c r="H2517" t="s">
        <v>27</v>
      </c>
      <c r="I2517" t="s">
        <v>27</v>
      </c>
      <c r="J2517" t="s">
        <v>27</v>
      </c>
      <c r="K2517" t="s">
        <v>27</v>
      </c>
      <c r="L2517" t="s">
        <v>27</v>
      </c>
      <c r="M2517" t="s">
        <v>27</v>
      </c>
      <c r="N2517" t="s">
        <v>27</v>
      </c>
      <c r="O2517" t="s">
        <v>27</v>
      </c>
      <c r="P2517" t="s">
        <v>27</v>
      </c>
      <c r="Q2517" t="s">
        <v>27</v>
      </c>
      <c r="R2517" t="s">
        <v>27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Y2517" t="s">
        <v>27</v>
      </c>
      <c r="Z2517" t="s">
        <v>27</v>
      </c>
      <c r="AA2517" t="s">
        <v>27</v>
      </c>
      <c r="AB2517" t="s">
        <v>27</v>
      </c>
      <c r="AC2517" t="s">
        <v>27</v>
      </c>
      <c r="AD2517" t="s">
        <v>27</v>
      </c>
      <c r="AE2517" t="s">
        <v>27</v>
      </c>
      <c r="AF2517" t="s">
        <v>27</v>
      </c>
      <c r="AG2517">
        <v>6.8</v>
      </c>
    </row>
    <row r="2518" spans="1:33" x14ac:dyDescent="0.25">
      <c r="A2518" t="s">
        <v>57</v>
      </c>
      <c r="B2518" s="3">
        <v>45979</v>
      </c>
      <c r="C2518">
        <v>2025322</v>
      </c>
      <c r="D2518" t="s">
        <v>27</v>
      </c>
      <c r="E2518" t="s">
        <v>27</v>
      </c>
      <c r="F2518" t="s">
        <v>27</v>
      </c>
      <c r="G2518" t="s">
        <v>27</v>
      </c>
      <c r="H2518" t="s">
        <v>27</v>
      </c>
      <c r="I2518" t="s">
        <v>27</v>
      </c>
      <c r="J2518" t="s">
        <v>27</v>
      </c>
      <c r="K2518" t="s">
        <v>27</v>
      </c>
      <c r="L2518" t="s">
        <v>27</v>
      </c>
      <c r="M2518" t="s">
        <v>27</v>
      </c>
      <c r="N2518" t="s">
        <v>27</v>
      </c>
      <c r="O2518" t="s">
        <v>27</v>
      </c>
      <c r="P2518" t="s">
        <v>27</v>
      </c>
      <c r="Q2518" t="s">
        <v>27</v>
      </c>
      <c r="R2518" t="s">
        <v>27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  <c r="X2518" t="s">
        <v>27</v>
      </c>
      <c r="Y2518" t="s">
        <v>27</v>
      </c>
      <c r="Z2518" t="s">
        <v>27</v>
      </c>
      <c r="AA2518" t="s">
        <v>27</v>
      </c>
      <c r="AB2518" t="s">
        <v>27</v>
      </c>
      <c r="AC2518" t="s">
        <v>27</v>
      </c>
      <c r="AD2518" t="s">
        <v>27</v>
      </c>
      <c r="AE2518" t="s">
        <v>27</v>
      </c>
      <c r="AF2518" t="s">
        <v>27</v>
      </c>
      <c r="AG2518">
        <v>6.68</v>
      </c>
    </row>
    <row r="2519" spans="1:33" x14ac:dyDescent="0.25">
      <c r="A2519" t="s">
        <v>57</v>
      </c>
      <c r="B2519" s="3">
        <v>45980</v>
      </c>
      <c r="C2519">
        <v>2025323</v>
      </c>
      <c r="D2519" t="s">
        <v>27</v>
      </c>
      <c r="E2519" t="s">
        <v>27</v>
      </c>
      <c r="F2519" t="s">
        <v>27</v>
      </c>
      <c r="G2519" t="s">
        <v>27</v>
      </c>
      <c r="H2519" t="s">
        <v>27</v>
      </c>
      <c r="I2519" t="s">
        <v>27</v>
      </c>
      <c r="J2519" t="s">
        <v>27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27</v>
      </c>
      <c r="Q2519" t="s">
        <v>27</v>
      </c>
      <c r="R2519" t="s">
        <v>27</v>
      </c>
      <c r="S2519" t="s">
        <v>27</v>
      </c>
      <c r="T2519" t="s">
        <v>27</v>
      </c>
      <c r="U2519" t="s">
        <v>27</v>
      </c>
      <c r="V2519" t="s">
        <v>27</v>
      </c>
      <c r="W2519" t="s">
        <v>27</v>
      </c>
      <c r="X2519" t="s">
        <v>27</v>
      </c>
      <c r="Y2519" t="s">
        <v>27</v>
      </c>
      <c r="Z2519" t="s">
        <v>27</v>
      </c>
      <c r="AA2519" t="s">
        <v>27</v>
      </c>
      <c r="AB2519" t="s">
        <v>27</v>
      </c>
      <c r="AC2519" t="s">
        <v>27</v>
      </c>
      <c r="AD2519" t="s">
        <v>27</v>
      </c>
      <c r="AE2519" t="s">
        <v>27</v>
      </c>
      <c r="AF2519" t="s">
        <v>27</v>
      </c>
      <c r="AG2519">
        <v>6.57</v>
      </c>
    </row>
    <row r="2520" spans="1:33" x14ac:dyDescent="0.25">
      <c r="A2520" t="s">
        <v>57</v>
      </c>
      <c r="B2520" s="3">
        <v>45981</v>
      </c>
      <c r="C2520">
        <v>2025324</v>
      </c>
      <c r="D2520" t="s">
        <v>27</v>
      </c>
      <c r="E2520" t="s">
        <v>27</v>
      </c>
      <c r="F2520" t="s">
        <v>27</v>
      </c>
      <c r="G2520" t="s">
        <v>27</v>
      </c>
      <c r="H2520" t="s">
        <v>27</v>
      </c>
      <c r="I2520" t="s">
        <v>27</v>
      </c>
      <c r="J2520" t="s">
        <v>27</v>
      </c>
      <c r="K2520" t="s">
        <v>27</v>
      </c>
      <c r="L2520" t="s">
        <v>27</v>
      </c>
      <c r="M2520" t="s">
        <v>27</v>
      </c>
      <c r="N2520" t="s">
        <v>27</v>
      </c>
      <c r="O2520" t="s">
        <v>27</v>
      </c>
      <c r="P2520" t="s">
        <v>27</v>
      </c>
      <c r="Q2520" t="s">
        <v>27</v>
      </c>
      <c r="R2520" t="s">
        <v>27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  <c r="X2520" t="s">
        <v>27</v>
      </c>
      <c r="Y2520" t="s">
        <v>27</v>
      </c>
      <c r="Z2520" t="s">
        <v>27</v>
      </c>
      <c r="AA2520" t="s">
        <v>27</v>
      </c>
      <c r="AB2520" t="s">
        <v>27</v>
      </c>
      <c r="AC2520" t="s">
        <v>27</v>
      </c>
      <c r="AD2520" t="s">
        <v>27</v>
      </c>
      <c r="AE2520" t="s">
        <v>27</v>
      </c>
      <c r="AF2520" t="s">
        <v>27</v>
      </c>
      <c r="AG2520">
        <v>6.47</v>
      </c>
    </row>
    <row r="2521" spans="1:33" x14ac:dyDescent="0.25">
      <c r="A2521" t="s">
        <v>57</v>
      </c>
      <c r="B2521" s="3">
        <v>45982</v>
      </c>
      <c r="C2521">
        <v>2025325</v>
      </c>
      <c r="D2521" t="s">
        <v>27</v>
      </c>
      <c r="E2521" t="s">
        <v>27</v>
      </c>
      <c r="F2521" t="s">
        <v>27</v>
      </c>
      <c r="G2521" t="s">
        <v>27</v>
      </c>
      <c r="H2521" t="s">
        <v>27</v>
      </c>
      <c r="I2521" t="s">
        <v>27</v>
      </c>
      <c r="J2521" t="s">
        <v>27</v>
      </c>
      <c r="K2521" t="s">
        <v>27</v>
      </c>
      <c r="L2521" t="s">
        <v>27</v>
      </c>
      <c r="M2521" t="s">
        <v>27</v>
      </c>
      <c r="N2521" t="s">
        <v>27</v>
      </c>
      <c r="O2521" t="s">
        <v>27</v>
      </c>
      <c r="P2521" t="s">
        <v>27</v>
      </c>
      <c r="Q2521" t="s">
        <v>27</v>
      </c>
      <c r="R2521" t="s">
        <v>27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Y2521" t="s">
        <v>27</v>
      </c>
      <c r="Z2521" t="s">
        <v>27</v>
      </c>
      <c r="AA2521" t="s">
        <v>27</v>
      </c>
      <c r="AB2521" t="s">
        <v>27</v>
      </c>
      <c r="AC2521" t="s">
        <v>27</v>
      </c>
      <c r="AD2521" t="s">
        <v>27</v>
      </c>
      <c r="AE2521" t="s">
        <v>27</v>
      </c>
      <c r="AF2521" t="s">
        <v>27</v>
      </c>
      <c r="AG2521">
        <v>6.37</v>
      </c>
    </row>
    <row r="2522" spans="1:33" x14ac:dyDescent="0.25">
      <c r="A2522" t="s">
        <v>57</v>
      </c>
      <c r="B2522" s="3">
        <v>45983</v>
      </c>
      <c r="C2522">
        <v>2025326</v>
      </c>
      <c r="D2522" t="s">
        <v>27</v>
      </c>
      <c r="E2522" t="s">
        <v>27</v>
      </c>
      <c r="F2522" t="s">
        <v>27</v>
      </c>
      <c r="G2522" t="s">
        <v>27</v>
      </c>
      <c r="H2522" t="s">
        <v>27</v>
      </c>
      <c r="I2522" t="s">
        <v>27</v>
      </c>
      <c r="J2522" t="s">
        <v>27</v>
      </c>
      <c r="K2522" t="s">
        <v>27</v>
      </c>
      <c r="L2522" t="s">
        <v>27</v>
      </c>
      <c r="M2522" t="s">
        <v>27</v>
      </c>
      <c r="N2522" t="s">
        <v>27</v>
      </c>
      <c r="O2522" t="s">
        <v>27</v>
      </c>
      <c r="P2522" t="s">
        <v>27</v>
      </c>
      <c r="Q2522" t="s">
        <v>27</v>
      </c>
      <c r="R2522" t="s">
        <v>27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  <c r="X2522" t="s">
        <v>27</v>
      </c>
      <c r="Y2522" t="s">
        <v>27</v>
      </c>
      <c r="Z2522" t="s">
        <v>27</v>
      </c>
      <c r="AA2522" t="s">
        <v>27</v>
      </c>
      <c r="AB2522" t="s">
        <v>27</v>
      </c>
      <c r="AC2522" t="s">
        <v>27</v>
      </c>
      <c r="AD2522" t="s">
        <v>27</v>
      </c>
      <c r="AE2522" t="s">
        <v>27</v>
      </c>
      <c r="AF2522" t="s">
        <v>27</v>
      </c>
      <c r="AG2522">
        <v>6.26</v>
      </c>
    </row>
    <row r="2523" spans="1:33" x14ac:dyDescent="0.25">
      <c r="A2523" t="s">
        <v>57</v>
      </c>
      <c r="B2523" s="3">
        <v>45984</v>
      </c>
      <c r="C2523">
        <v>2025327</v>
      </c>
      <c r="D2523" t="s">
        <v>27</v>
      </c>
      <c r="E2523" t="s">
        <v>27</v>
      </c>
      <c r="F2523" t="s">
        <v>27</v>
      </c>
      <c r="G2523" t="s">
        <v>27</v>
      </c>
      <c r="H2523" t="s">
        <v>27</v>
      </c>
      <c r="I2523" t="s">
        <v>27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27</v>
      </c>
      <c r="R2523" t="s">
        <v>27</v>
      </c>
      <c r="S2523" t="s">
        <v>27</v>
      </c>
      <c r="T2523" t="s">
        <v>27</v>
      </c>
      <c r="U2523" t="s">
        <v>27</v>
      </c>
      <c r="V2523" t="s">
        <v>27</v>
      </c>
      <c r="W2523" t="s">
        <v>27</v>
      </c>
      <c r="X2523" t="s">
        <v>27</v>
      </c>
      <c r="Y2523" t="s">
        <v>27</v>
      </c>
      <c r="Z2523" t="s">
        <v>27</v>
      </c>
      <c r="AA2523" t="s">
        <v>27</v>
      </c>
      <c r="AB2523" t="s">
        <v>27</v>
      </c>
      <c r="AC2523" t="s">
        <v>27</v>
      </c>
      <c r="AD2523" t="s">
        <v>27</v>
      </c>
      <c r="AE2523" t="s">
        <v>27</v>
      </c>
      <c r="AF2523" t="s">
        <v>27</v>
      </c>
      <c r="AG2523">
        <v>6.17</v>
      </c>
    </row>
    <row r="2524" spans="1:33" x14ac:dyDescent="0.25">
      <c r="A2524" t="s">
        <v>57</v>
      </c>
      <c r="B2524" s="3">
        <v>45985</v>
      </c>
      <c r="C2524">
        <v>2025328</v>
      </c>
      <c r="D2524" t="s">
        <v>27</v>
      </c>
      <c r="E2524" t="s">
        <v>27</v>
      </c>
      <c r="F2524" t="s">
        <v>27</v>
      </c>
      <c r="G2524" t="s">
        <v>27</v>
      </c>
      <c r="H2524" t="s">
        <v>27</v>
      </c>
      <c r="I2524" t="s">
        <v>27</v>
      </c>
      <c r="J2524" t="s">
        <v>27</v>
      </c>
      <c r="K2524" t="s">
        <v>27</v>
      </c>
      <c r="L2524" t="s">
        <v>27</v>
      </c>
      <c r="M2524" t="s">
        <v>27</v>
      </c>
      <c r="N2524" t="s">
        <v>27</v>
      </c>
      <c r="O2524" t="s">
        <v>27</v>
      </c>
      <c r="P2524" t="s">
        <v>27</v>
      </c>
      <c r="Q2524" t="s">
        <v>27</v>
      </c>
      <c r="R2524" t="s">
        <v>27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Y2524" t="s">
        <v>27</v>
      </c>
      <c r="Z2524" t="s">
        <v>27</v>
      </c>
      <c r="AA2524" t="s">
        <v>27</v>
      </c>
      <c r="AB2524" t="s">
        <v>27</v>
      </c>
      <c r="AC2524" t="s">
        <v>27</v>
      </c>
      <c r="AD2524" t="s">
        <v>27</v>
      </c>
      <c r="AE2524" t="s">
        <v>27</v>
      </c>
      <c r="AF2524" t="s">
        <v>27</v>
      </c>
      <c r="AG2524">
        <v>6.07</v>
      </c>
    </row>
    <row r="2525" spans="1:33" x14ac:dyDescent="0.25">
      <c r="A2525" t="s">
        <v>57</v>
      </c>
      <c r="B2525" s="3">
        <v>45986</v>
      </c>
      <c r="C2525">
        <v>2025329</v>
      </c>
      <c r="D2525" t="s">
        <v>27</v>
      </c>
      <c r="E2525" t="s">
        <v>27</v>
      </c>
      <c r="F2525" t="s">
        <v>27</v>
      </c>
      <c r="G2525" t="s">
        <v>27</v>
      </c>
      <c r="H2525" t="s">
        <v>27</v>
      </c>
      <c r="I2525" t="s">
        <v>27</v>
      </c>
      <c r="J2525" t="s">
        <v>27</v>
      </c>
      <c r="K2525" t="s">
        <v>27</v>
      </c>
      <c r="L2525" t="s">
        <v>27</v>
      </c>
      <c r="M2525" t="s">
        <v>27</v>
      </c>
      <c r="N2525" t="s">
        <v>27</v>
      </c>
      <c r="O2525" t="s">
        <v>27</v>
      </c>
      <c r="P2525" t="s">
        <v>27</v>
      </c>
      <c r="Q2525" t="s">
        <v>27</v>
      </c>
      <c r="R2525" t="s">
        <v>27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Y2525" t="s">
        <v>27</v>
      </c>
      <c r="Z2525" t="s">
        <v>27</v>
      </c>
      <c r="AA2525" t="s">
        <v>27</v>
      </c>
      <c r="AB2525" t="s">
        <v>27</v>
      </c>
      <c r="AC2525" t="s">
        <v>27</v>
      </c>
      <c r="AD2525" t="s">
        <v>27</v>
      </c>
      <c r="AE2525" t="s">
        <v>27</v>
      </c>
      <c r="AF2525" t="s">
        <v>27</v>
      </c>
      <c r="AG2525">
        <v>5.99</v>
      </c>
    </row>
    <row r="2526" spans="1:33" x14ac:dyDescent="0.25">
      <c r="A2526" t="s">
        <v>57</v>
      </c>
      <c r="B2526" s="3">
        <v>45987</v>
      </c>
      <c r="C2526">
        <v>2025330</v>
      </c>
      <c r="D2526" t="s">
        <v>27</v>
      </c>
      <c r="E2526" t="s">
        <v>27</v>
      </c>
      <c r="F2526" t="s">
        <v>27</v>
      </c>
      <c r="G2526" t="s">
        <v>27</v>
      </c>
      <c r="H2526" t="s">
        <v>27</v>
      </c>
      <c r="I2526" t="s">
        <v>27</v>
      </c>
      <c r="J2526" t="s">
        <v>27</v>
      </c>
      <c r="K2526" t="s">
        <v>27</v>
      </c>
      <c r="L2526" t="s">
        <v>27</v>
      </c>
      <c r="M2526" t="s">
        <v>27</v>
      </c>
      <c r="N2526" t="s">
        <v>27</v>
      </c>
      <c r="O2526" t="s">
        <v>27</v>
      </c>
      <c r="P2526" t="s">
        <v>27</v>
      </c>
      <c r="Q2526" t="s">
        <v>27</v>
      </c>
      <c r="R2526" t="s">
        <v>27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Y2526" t="s">
        <v>27</v>
      </c>
      <c r="Z2526" t="s">
        <v>27</v>
      </c>
      <c r="AA2526" t="s">
        <v>27</v>
      </c>
      <c r="AB2526" t="s">
        <v>27</v>
      </c>
      <c r="AC2526" t="s">
        <v>27</v>
      </c>
      <c r="AD2526" t="s">
        <v>27</v>
      </c>
      <c r="AE2526" t="s">
        <v>27</v>
      </c>
      <c r="AF2526" t="s">
        <v>27</v>
      </c>
      <c r="AG2526">
        <v>5.9</v>
      </c>
    </row>
    <row r="2527" spans="1:33" x14ac:dyDescent="0.25">
      <c r="A2527" t="s">
        <v>57</v>
      </c>
      <c r="B2527" s="3">
        <v>45988</v>
      </c>
      <c r="C2527">
        <v>2025331</v>
      </c>
      <c r="D2527" t="s">
        <v>27</v>
      </c>
      <c r="E2527" t="s">
        <v>27</v>
      </c>
      <c r="F2527" t="s">
        <v>27</v>
      </c>
      <c r="G2527" t="s">
        <v>27</v>
      </c>
      <c r="H2527" t="s">
        <v>27</v>
      </c>
      <c r="I2527" t="s">
        <v>27</v>
      </c>
      <c r="J2527" t="s">
        <v>27</v>
      </c>
      <c r="K2527" t="s">
        <v>27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27</v>
      </c>
      <c r="R2527" t="s">
        <v>27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27</v>
      </c>
      <c r="Z2527" t="s">
        <v>27</v>
      </c>
      <c r="AA2527" t="s">
        <v>27</v>
      </c>
      <c r="AB2527" t="s">
        <v>27</v>
      </c>
      <c r="AC2527" t="s">
        <v>27</v>
      </c>
      <c r="AD2527" t="s">
        <v>27</v>
      </c>
      <c r="AE2527" t="s">
        <v>27</v>
      </c>
      <c r="AF2527" t="s">
        <v>27</v>
      </c>
      <c r="AG2527">
        <v>5.82</v>
      </c>
    </row>
    <row r="2528" spans="1:33" x14ac:dyDescent="0.25">
      <c r="A2528" t="s">
        <v>57</v>
      </c>
      <c r="B2528" s="3">
        <v>45989</v>
      </c>
      <c r="C2528">
        <v>2025332</v>
      </c>
      <c r="D2528" t="s">
        <v>27</v>
      </c>
      <c r="E2528" t="s">
        <v>27</v>
      </c>
      <c r="F2528" t="s">
        <v>27</v>
      </c>
      <c r="G2528" t="s">
        <v>27</v>
      </c>
      <c r="H2528" t="s">
        <v>27</v>
      </c>
      <c r="I2528" t="s">
        <v>27</v>
      </c>
      <c r="J2528" t="s">
        <v>27</v>
      </c>
      <c r="K2528" t="s">
        <v>27</v>
      </c>
      <c r="L2528" t="s">
        <v>27</v>
      </c>
      <c r="M2528" t="s">
        <v>27</v>
      </c>
      <c r="N2528" t="s">
        <v>27</v>
      </c>
      <c r="O2528" t="s">
        <v>27</v>
      </c>
      <c r="P2528" t="s">
        <v>27</v>
      </c>
      <c r="Q2528" t="s">
        <v>27</v>
      </c>
      <c r="R2528" t="s">
        <v>27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  <c r="X2528" t="s">
        <v>27</v>
      </c>
      <c r="Y2528" t="s">
        <v>27</v>
      </c>
      <c r="Z2528" t="s">
        <v>27</v>
      </c>
      <c r="AA2528" t="s">
        <v>27</v>
      </c>
      <c r="AB2528" t="s">
        <v>27</v>
      </c>
      <c r="AC2528" t="s">
        <v>27</v>
      </c>
      <c r="AD2528" t="s">
        <v>27</v>
      </c>
      <c r="AE2528" t="s">
        <v>27</v>
      </c>
      <c r="AF2528" t="s">
        <v>27</v>
      </c>
      <c r="AG2528">
        <v>5.74</v>
      </c>
    </row>
    <row r="2529" spans="1:33" x14ac:dyDescent="0.25">
      <c r="A2529" t="s">
        <v>57</v>
      </c>
      <c r="B2529" s="3">
        <v>45990</v>
      </c>
      <c r="C2529">
        <v>2025333</v>
      </c>
      <c r="D2529" t="s">
        <v>27</v>
      </c>
      <c r="E2529" t="s">
        <v>27</v>
      </c>
      <c r="F2529" t="s">
        <v>27</v>
      </c>
      <c r="G2529" t="s">
        <v>27</v>
      </c>
      <c r="H2529" t="s">
        <v>27</v>
      </c>
      <c r="I2529" t="s">
        <v>27</v>
      </c>
      <c r="J2529" t="s">
        <v>27</v>
      </c>
      <c r="K2529" t="s">
        <v>27</v>
      </c>
      <c r="L2529" t="s">
        <v>27</v>
      </c>
      <c r="M2529" t="s">
        <v>27</v>
      </c>
      <c r="N2529" t="s">
        <v>27</v>
      </c>
      <c r="O2529" t="s">
        <v>27</v>
      </c>
      <c r="P2529" t="s">
        <v>27</v>
      </c>
      <c r="Q2529" t="s">
        <v>27</v>
      </c>
      <c r="R2529" t="s">
        <v>27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Y2529" t="s">
        <v>27</v>
      </c>
      <c r="Z2529" t="s">
        <v>27</v>
      </c>
      <c r="AA2529" t="s">
        <v>27</v>
      </c>
      <c r="AB2529" t="s">
        <v>27</v>
      </c>
      <c r="AC2529" t="s">
        <v>27</v>
      </c>
      <c r="AD2529" t="s">
        <v>27</v>
      </c>
      <c r="AE2529" t="s">
        <v>27</v>
      </c>
      <c r="AF2529" t="s">
        <v>27</v>
      </c>
      <c r="AG2529">
        <v>5.67</v>
      </c>
    </row>
    <row r="2530" spans="1:33" x14ac:dyDescent="0.25">
      <c r="A2530" t="s">
        <v>57</v>
      </c>
      <c r="B2530" s="3">
        <v>45991</v>
      </c>
      <c r="C2530">
        <v>2025334</v>
      </c>
      <c r="D2530" t="s">
        <v>27</v>
      </c>
      <c r="E2530" t="s">
        <v>27</v>
      </c>
      <c r="F2530" t="s">
        <v>27</v>
      </c>
      <c r="G2530" t="s">
        <v>27</v>
      </c>
      <c r="H2530" t="s">
        <v>27</v>
      </c>
      <c r="I2530" t="s">
        <v>27</v>
      </c>
      <c r="J2530" t="s">
        <v>27</v>
      </c>
      <c r="K2530" t="s">
        <v>27</v>
      </c>
      <c r="L2530" t="s">
        <v>27</v>
      </c>
      <c r="M2530" t="s">
        <v>27</v>
      </c>
      <c r="N2530" t="s">
        <v>27</v>
      </c>
      <c r="O2530" t="s">
        <v>27</v>
      </c>
      <c r="P2530" t="s">
        <v>27</v>
      </c>
      <c r="Q2530" t="s">
        <v>27</v>
      </c>
      <c r="R2530" t="s">
        <v>27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  <c r="X2530" t="s">
        <v>27</v>
      </c>
      <c r="Y2530" t="s">
        <v>27</v>
      </c>
      <c r="Z2530" t="s">
        <v>27</v>
      </c>
      <c r="AA2530" t="s">
        <v>27</v>
      </c>
      <c r="AB2530" t="s">
        <v>27</v>
      </c>
      <c r="AC2530" t="s">
        <v>27</v>
      </c>
      <c r="AD2530" t="s">
        <v>27</v>
      </c>
      <c r="AE2530" t="s">
        <v>27</v>
      </c>
      <c r="AF2530" t="s">
        <v>27</v>
      </c>
      <c r="AG2530">
        <v>5.6</v>
      </c>
    </row>
    <row r="2531" spans="1:33" x14ac:dyDescent="0.25">
      <c r="A2531" t="s">
        <v>57</v>
      </c>
      <c r="B2531" s="3">
        <v>45992</v>
      </c>
      <c r="C2531">
        <v>2025335</v>
      </c>
      <c r="D2531" t="s">
        <v>27</v>
      </c>
      <c r="E2531" t="s">
        <v>27</v>
      </c>
      <c r="F2531" t="s">
        <v>27</v>
      </c>
      <c r="G2531" t="s">
        <v>27</v>
      </c>
      <c r="H2531" t="s">
        <v>27</v>
      </c>
      <c r="I2531" t="s">
        <v>27</v>
      </c>
      <c r="J2531" t="s">
        <v>27</v>
      </c>
      <c r="K2531" t="s">
        <v>27</v>
      </c>
      <c r="L2531" t="s">
        <v>27</v>
      </c>
      <c r="M2531" t="s">
        <v>27</v>
      </c>
      <c r="N2531" t="s">
        <v>27</v>
      </c>
      <c r="O2531" t="s">
        <v>27</v>
      </c>
      <c r="P2531" t="s">
        <v>27</v>
      </c>
      <c r="Q2531" t="s">
        <v>27</v>
      </c>
      <c r="R2531" t="s">
        <v>27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  <c r="X2531" t="s">
        <v>27</v>
      </c>
      <c r="Y2531" t="s">
        <v>27</v>
      </c>
      <c r="Z2531" t="s">
        <v>27</v>
      </c>
      <c r="AA2531" t="s">
        <v>27</v>
      </c>
      <c r="AB2531" t="s">
        <v>27</v>
      </c>
      <c r="AC2531" t="s">
        <v>27</v>
      </c>
      <c r="AD2531" t="s">
        <v>27</v>
      </c>
      <c r="AE2531" t="s">
        <v>27</v>
      </c>
      <c r="AF2531" t="s">
        <v>27</v>
      </c>
      <c r="AG2531">
        <v>5.53</v>
      </c>
    </row>
    <row r="2532" spans="1:33" x14ac:dyDescent="0.25">
      <c r="A2532" t="s">
        <v>57</v>
      </c>
      <c r="B2532" s="3">
        <v>45993</v>
      </c>
      <c r="C2532">
        <v>2025336</v>
      </c>
      <c r="D2532" t="s">
        <v>27</v>
      </c>
      <c r="E2532" t="s">
        <v>27</v>
      </c>
      <c r="F2532" t="s">
        <v>27</v>
      </c>
      <c r="G2532" t="s">
        <v>27</v>
      </c>
      <c r="H2532" t="s">
        <v>27</v>
      </c>
      <c r="I2532" t="s">
        <v>27</v>
      </c>
      <c r="J2532" t="s">
        <v>27</v>
      </c>
      <c r="K2532" t="s">
        <v>27</v>
      </c>
      <c r="L2532" t="s">
        <v>27</v>
      </c>
      <c r="M2532" t="s">
        <v>27</v>
      </c>
      <c r="N2532" t="s">
        <v>27</v>
      </c>
      <c r="O2532" t="s">
        <v>27</v>
      </c>
      <c r="P2532" t="s">
        <v>27</v>
      </c>
      <c r="Q2532" t="s">
        <v>27</v>
      </c>
      <c r="R2532" t="s">
        <v>27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Y2532" t="s">
        <v>27</v>
      </c>
      <c r="Z2532" t="s">
        <v>27</v>
      </c>
      <c r="AA2532" t="s">
        <v>27</v>
      </c>
      <c r="AB2532" t="s">
        <v>27</v>
      </c>
      <c r="AC2532" t="s">
        <v>27</v>
      </c>
      <c r="AD2532" t="s">
        <v>27</v>
      </c>
      <c r="AE2532" t="s">
        <v>27</v>
      </c>
      <c r="AF2532" t="s">
        <v>27</v>
      </c>
      <c r="AG2532">
        <v>5.47</v>
      </c>
    </row>
    <row r="2533" spans="1:33" x14ac:dyDescent="0.25">
      <c r="A2533" t="s">
        <v>57</v>
      </c>
      <c r="B2533" s="3">
        <v>45994</v>
      </c>
      <c r="C2533">
        <v>2025337</v>
      </c>
      <c r="D2533" t="s">
        <v>27</v>
      </c>
      <c r="E2533" t="s">
        <v>27</v>
      </c>
      <c r="F2533" t="s">
        <v>27</v>
      </c>
      <c r="G2533" t="s">
        <v>27</v>
      </c>
      <c r="H2533" t="s">
        <v>27</v>
      </c>
      <c r="I2533" t="s">
        <v>27</v>
      </c>
      <c r="J2533" t="s">
        <v>27</v>
      </c>
      <c r="K2533" t="s">
        <v>27</v>
      </c>
      <c r="L2533" t="s">
        <v>27</v>
      </c>
      <c r="M2533" t="s">
        <v>27</v>
      </c>
      <c r="N2533" t="s">
        <v>27</v>
      </c>
      <c r="O2533" t="s">
        <v>27</v>
      </c>
      <c r="P2533" t="s">
        <v>27</v>
      </c>
      <c r="Q2533" t="s">
        <v>27</v>
      </c>
      <c r="R2533" t="s">
        <v>27</v>
      </c>
      <c r="S2533" t="s">
        <v>27</v>
      </c>
      <c r="T2533" t="s">
        <v>27</v>
      </c>
      <c r="U2533" t="s">
        <v>27</v>
      </c>
      <c r="V2533" t="s">
        <v>27</v>
      </c>
      <c r="W2533" t="s">
        <v>27</v>
      </c>
      <c r="X2533" t="s">
        <v>27</v>
      </c>
      <c r="Y2533" t="s">
        <v>27</v>
      </c>
      <c r="Z2533" t="s">
        <v>27</v>
      </c>
      <c r="AA2533" t="s">
        <v>27</v>
      </c>
      <c r="AB2533" t="s">
        <v>27</v>
      </c>
      <c r="AC2533" t="s">
        <v>27</v>
      </c>
      <c r="AD2533" t="s">
        <v>27</v>
      </c>
      <c r="AE2533" t="s">
        <v>27</v>
      </c>
      <c r="AF2533" t="s">
        <v>27</v>
      </c>
      <c r="AG2533">
        <v>5.41</v>
      </c>
    </row>
    <row r="2534" spans="1:33" x14ac:dyDescent="0.25">
      <c r="A2534" t="s">
        <v>57</v>
      </c>
      <c r="B2534" s="3">
        <v>45995</v>
      </c>
      <c r="C2534">
        <v>2025338</v>
      </c>
      <c r="D2534" t="s">
        <v>27</v>
      </c>
      <c r="E2534" t="s">
        <v>27</v>
      </c>
      <c r="F2534" t="s">
        <v>27</v>
      </c>
      <c r="G2534" t="s">
        <v>27</v>
      </c>
      <c r="H2534" t="s">
        <v>27</v>
      </c>
      <c r="I2534" t="s">
        <v>27</v>
      </c>
      <c r="J2534" t="s">
        <v>27</v>
      </c>
      <c r="K2534" t="s">
        <v>27</v>
      </c>
      <c r="L2534" t="s">
        <v>27</v>
      </c>
      <c r="M2534" t="s">
        <v>27</v>
      </c>
      <c r="N2534" t="s">
        <v>27</v>
      </c>
      <c r="O2534" t="s">
        <v>27</v>
      </c>
      <c r="P2534" t="s">
        <v>27</v>
      </c>
      <c r="Q2534" t="s">
        <v>27</v>
      </c>
      <c r="R2534" t="s">
        <v>27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Y2534" t="s">
        <v>27</v>
      </c>
      <c r="Z2534" t="s">
        <v>27</v>
      </c>
      <c r="AA2534" t="s">
        <v>27</v>
      </c>
      <c r="AB2534" t="s">
        <v>27</v>
      </c>
      <c r="AC2534" t="s">
        <v>27</v>
      </c>
      <c r="AD2534" t="s">
        <v>27</v>
      </c>
      <c r="AE2534" t="s">
        <v>27</v>
      </c>
      <c r="AF2534" t="s">
        <v>27</v>
      </c>
      <c r="AG2534">
        <v>5.35</v>
      </c>
    </row>
    <row r="2535" spans="1:33" x14ac:dyDescent="0.25">
      <c r="A2535" t="s">
        <v>57</v>
      </c>
      <c r="B2535" s="3">
        <v>45996</v>
      </c>
      <c r="C2535">
        <v>2025339</v>
      </c>
      <c r="D2535" t="s">
        <v>27</v>
      </c>
      <c r="E2535" t="s">
        <v>27</v>
      </c>
      <c r="F2535" t="s">
        <v>27</v>
      </c>
      <c r="G2535" t="s">
        <v>27</v>
      </c>
      <c r="H2535" t="s">
        <v>27</v>
      </c>
      <c r="I2535" t="s">
        <v>27</v>
      </c>
      <c r="J2535" t="s">
        <v>27</v>
      </c>
      <c r="K2535" t="s">
        <v>27</v>
      </c>
      <c r="L2535" t="s">
        <v>27</v>
      </c>
      <c r="M2535" t="s">
        <v>27</v>
      </c>
      <c r="N2535" t="s">
        <v>27</v>
      </c>
      <c r="O2535" t="s">
        <v>27</v>
      </c>
      <c r="P2535" t="s">
        <v>27</v>
      </c>
      <c r="Q2535" t="s">
        <v>27</v>
      </c>
      <c r="R2535" t="s">
        <v>27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Y2535" t="s">
        <v>27</v>
      </c>
      <c r="Z2535" t="s">
        <v>27</v>
      </c>
      <c r="AA2535" t="s">
        <v>27</v>
      </c>
      <c r="AB2535" t="s">
        <v>27</v>
      </c>
      <c r="AC2535" t="s">
        <v>27</v>
      </c>
      <c r="AD2535" t="s">
        <v>27</v>
      </c>
      <c r="AE2535" t="s">
        <v>27</v>
      </c>
      <c r="AF2535" t="s">
        <v>27</v>
      </c>
      <c r="AG2535">
        <v>5.3</v>
      </c>
    </row>
    <row r="2536" spans="1:33" x14ac:dyDescent="0.25">
      <c r="A2536" t="s">
        <v>57</v>
      </c>
      <c r="B2536" s="3">
        <v>45997</v>
      </c>
      <c r="C2536">
        <v>2025340</v>
      </c>
      <c r="D2536" t="s">
        <v>27</v>
      </c>
      <c r="E2536" t="s">
        <v>27</v>
      </c>
      <c r="F2536" t="s">
        <v>27</v>
      </c>
      <c r="G2536" t="s">
        <v>27</v>
      </c>
      <c r="H2536" t="s">
        <v>27</v>
      </c>
      <c r="I2536" t="s">
        <v>27</v>
      </c>
      <c r="J2536" t="s">
        <v>27</v>
      </c>
      <c r="K2536" t="s">
        <v>27</v>
      </c>
      <c r="L2536" t="s">
        <v>27</v>
      </c>
      <c r="M2536" t="s">
        <v>27</v>
      </c>
      <c r="N2536" t="s">
        <v>27</v>
      </c>
      <c r="O2536" t="s">
        <v>27</v>
      </c>
      <c r="P2536" t="s">
        <v>27</v>
      </c>
      <c r="Q2536" t="s">
        <v>27</v>
      </c>
      <c r="R2536" t="s">
        <v>27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Y2536" t="s">
        <v>27</v>
      </c>
      <c r="Z2536" t="s">
        <v>27</v>
      </c>
      <c r="AA2536" t="s">
        <v>27</v>
      </c>
      <c r="AB2536" t="s">
        <v>27</v>
      </c>
      <c r="AC2536" t="s">
        <v>27</v>
      </c>
      <c r="AD2536" t="s">
        <v>27</v>
      </c>
      <c r="AE2536" t="s">
        <v>27</v>
      </c>
      <c r="AF2536" t="s">
        <v>27</v>
      </c>
      <c r="AG2536">
        <v>5.24</v>
      </c>
    </row>
    <row r="2537" spans="1:33" x14ac:dyDescent="0.25">
      <c r="A2537" t="s">
        <v>57</v>
      </c>
      <c r="B2537" s="3">
        <v>45998</v>
      </c>
      <c r="C2537">
        <v>2025341</v>
      </c>
      <c r="D2537" t="s">
        <v>27</v>
      </c>
      <c r="E2537" t="s">
        <v>27</v>
      </c>
      <c r="F2537" t="s">
        <v>27</v>
      </c>
      <c r="G2537" t="s">
        <v>27</v>
      </c>
      <c r="H2537" t="s">
        <v>27</v>
      </c>
      <c r="I2537" t="s">
        <v>27</v>
      </c>
      <c r="J2537" t="s">
        <v>27</v>
      </c>
      <c r="K2537" t="s">
        <v>27</v>
      </c>
      <c r="L2537" t="s">
        <v>27</v>
      </c>
      <c r="M2537" t="s">
        <v>27</v>
      </c>
      <c r="N2537" t="s">
        <v>27</v>
      </c>
      <c r="O2537" t="s">
        <v>27</v>
      </c>
      <c r="P2537" t="s">
        <v>27</v>
      </c>
      <c r="Q2537" t="s">
        <v>27</v>
      </c>
      <c r="R2537" t="s">
        <v>27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Y2537" t="s">
        <v>27</v>
      </c>
      <c r="Z2537" t="s">
        <v>27</v>
      </c>
      <c r="AA2537" t="s">
        <v>27</v>
      </c>
      <c r="AB2537" t="s">
        <v>27</v>
      </c>
      <c r="AC2537" t="s">
        <v>27</v>
      </c>
      <c r="AD2537" t="s">
        <v>27</v>
      </c>
      <c r="AE2537" t="s">
        <v>27</v>
      </c>
      <c r="AF2537" t="s">
        <v>27</v>
      </c>
      <c r="AG2537">
        <v>5.2</v>
      </c>
    </row>
    <row r="2538" spans="1:33" x14ac:dyDescent="0.25">
      <c r="A2538" t="s">
        <v>57</v>
      </c>
      <c r="B2538" s="3">
        <v>45999</v>
      </c>
      <c r="C2538">
        <v>2025342</v>
      </c>
      <c r="D2538" t="s">
        <v>27</v>
      </c>
      <c r="E2538" t="s">
        <v>27</v>
      </c>
      <c r="F2538" t="s">
        <v>27</v>
      </c>
      <c r="G2538" t="s">
        <v>27</v>
      </c>
      <c r="H2538" t="s">
        <v>27</v>
      </c>
      <c r="I2538" t="s">
        <v>27</v>
      </c>
      <c r="J2538" t="s">
        <v>27</v>
      </c>
      <c r="K2538" t="s">
        <v>27</v>
      </c>
      <c r="L2538" t="s">
        <v>27</v>
      </c>
      <c r="M2538" t="s">
        <v>27</v>
      </c>
      <c r="N2538" t="s">
        <v>27</v>
      </c>
      <c r="O2538" t="s">
        <v>27</v>
      </c>
      <c r="P2538" t="s">
        <v>27</v>
      </c>
      <c r="Q2538" t="s">
        <v>27</v>
      </c>
      <c r="R2538" t="s">
        <v>27</v>
      </c>
      <c r="S2538" t="s">
        <v>27</v>
      </c>
      <c r="T2538" t="s">
        <v>27</v>
      </c>
      <c r="U2538" t="s">
        <v>27</v>
      </c>
      <c r="V2538" t="s">
        <v>27</v>
      </c>
      <c r="W2538" t="s">
        <v>27</v>
      </c>
      <c r="X2538" t="s">
        <v>27</v>
      </c>
      <c r="Y2538" t="s">
        <v>27</v>
      </c>
      <c r="Z2538" t="s">
        <v>27</v>
      </c>
      <c r="AA2538" t="s">
        <v>27</v>
      </c>
      <c r="AB2538" t="s">
        <v>27</v>
      </c>
      <c r="AC2538" t="s">
        <v>27</v>
      </c>
      <c r="AD2538" t="s">
        <v>27</v>
      </c>
      <c r="AE2538" t="s">
        <v>27</v>
      </c>
      <c r="AF2538" t="s">
        <v>27</v>
      </c>
      <c r="AG2538">
        <v>5.15</v>
      </c>
    </row>
    <row r="2539" spans="1:33" x14ac:dyDescent="0.25">
      <c r="A2539" t="s">
        <v>57</v>
      </c>
      <c r="B2539" s="3">
        <v>46000</v>
      </c>
      <c r="C2539">
        <v>2025343</v>
      </c>
      <c r="D2539" t="s">
        <v>27</v>
      </c>
      <c r="E2539" t="s">
        <v>27</v>
      </c>
      <c r="F2539" t="s">
        <v>27</v>
      </c>
      <c r="G2539" t="s">
        <v>27</v>
      </c>
      <c r="H2539" t="s">
        <v>27</v>
      </c>
      <c r="I2539" t="s">
        <v>27</v>
      </c>
      <c r="J2539" t="s">
        <v>27</v>
      </c>
      <c r="K2539" t="s">
        <v>27</v>
      </c>
      <c r="L2539" t="s">
        <v>27</v>
      </c>
      <c r="M2539" t="s">
        <v>27</v>
      </c>
      <c r="N2539" t="s">
        <v>27</v>
      </c>
      <c r="O2539" t="s">
        <v>27</v>
      </c>
      <c r="P2539" t="s">
        <v>27</v>
      </c>
      <c r="Q2539" t="s">
        <v>27</v>
      </c>
      <c r="R2539" t="s">
        <v>27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Y2539" t="s">
        <v>27</v>
      </c>
      <c r="Z2539" t="s">
        <v>27</v>
      </c>
      <c r="AA2539" t="s">
        <v>27</v>
      </c>
      <c r="AB2539" t="s">
        <v>27</v>
      </c>
      <c r="AC2539" t="s">
        <v>27</v>
      </c>
      <c r="AD2539" t="s">
        <v>27</v>
      </c>
      <c r="AE2539" t="s">
        <v>27</v>
      </c>
      <c r="AF2539" t="s">
        <v>27</v>
      </c>
      <c r="AG2539">
        <v>5.1100000000000003</v>
      </c>
    </row>
    <row r="2540" spans="1:33" x14ac:dyDescent="0.25">
      <c r="A2540" t="s">
        <v>57</v>
      </c>
      <c r="B2540" s="3">
        <v>46001</v>
      </c>
      <c r="C2540">
        <v>2025344</v>
      </c>
      <c r="D2540" t="s">
        <v>27</v>
      </c>
      <c r="E2540" t="s">
        <v>27</v>
      </c>
      <c r="F2540" t="s">
        <v>27</v>
      </c>
      <c r="G2540" t="s">
        <v>27</v>
      </c>
      <c r="H2540" t="s">
        <v>27</v>
      </c>
      <c r="I2540" t="s">
        <v>27</v>
      </c>
      <c r="J2540" t="s">
        <v>27</v>
      </c>
      <c r="K2540" t="s">
        <v>27</v>
      </c>
      <c r="L2540" t="s">
        <v>27</v>
      </c>
      <c r="M2540" t="s">
        <v>27</v>
      </c>
      <c r="N2540" t="s">
        <v>27</v>
      </c>
      <c r="O2540" t="s">
        <v>27</v>
      </c>
      <c r="P2540" t="s">
        <v>27</v>
      </c>
      <c r="Q2540" t="s">
        <v>27</v>
      </c>
      <c r="R2540" t="s">
        <v>27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  <c r="X2540" t="s">
        <v>27</v>
      </c>
      <c r="Y2540" t="s">
        <v>27</v>
      </c>
      <c r="Z2540" t="s">
        <v>27</v>
      </c>
      <c r="AA2540" t="s">
        <v>27</v>
      </c>
      <c r="AB2540" t="s">
        <v>27</v>
      </c>
      <c r="AC2540" t="s">
        <v>27</v>
      </c>
      <c r="AD2540" t="s">
        <v>27</v>
      </c>
      <c r="AE2540" t="s">
        <v>27</v>
      </c>
      <c r="AF2540" t="s">
        <v>27</v>
      </c>
      <c r="AG2540">
        <v>5.08</v>
      </c>
    </row>
    <row r="2541" spans="1:33" x14ac:dyDescent="0.25">
      <c r="A2541" t="s">
        <v>57</v>
      </c>
      <c r="B2541" s="3">
        <v>46002</v>
      </c>
      <c r="C2541">
        <v>2025345</v>
      </c>
      <c r="D2541" t="s">
        <v>27</v>
      </c>
      <c r="E2541" t="s">
        <v>27</v>
      </c>
      <c r="F2541" t="s">
        <v>27</v>
      </c>
      <c r="G2541" t="s">
        <v>27</v>
      </c>
      <c r="H2541" t="s">
        <v>27</v>
      </c>
      <c r="I2541" t="s">
        <v>27</v>
      </c>
      <c r="J2541" t="s">
        <v>27</v>
      </c>
      <c r="K2541" t="s">
        <v>27</v>
      </c>
      <c r="L2541" t="s">
        <v>27</v>
      </c>
      <c r="M2541" t="s">
        <v>27</v>
      </c>
      <c r="N2541" t="s">
        <v>27</v>
      </c>
      <c r="O2541" t="s">
        <v>27</v>
      </c>
      <c r="P2541" t="s">
        <v>27</v>
      </c>
      <c r="Q2541" t="s">
        <v>27</v>
      </c>
      <c r="R2541" t="s">
        <v>27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  <c r="X2541" t="s">
        <v>27</v>
      </c>
      <c r="Y2541" t="s">
        <v>27</v>
      </c>
      <c r="Z2541" t="s">
        <v>27</v>
      </c>
      <c r="AA2541" t="s">
        <v>27</v>
      </c>
      <c r="AB2541" t="s">
        <v>27</v>
      </c>
      <c r="AC2541" t="s">
        <v>27</v>
      </c>
      <c r="AD2541" t="s">
        <v>27</v>
      </c>
      <c r="AE2541" t="s">
        <v>27</v>
      </c>
      <c r="AF2541" t="s">
        <v>27</v>
      </c>
      <c r="AG2541">
        <v>5.04</v>
      </c>
    </row>
    <row r="2542" spans="1:33" x14ac:dyDescent="0.25">
      <c r="A2542" t="s">
        <v>57</v>
      </c>
      <c r="B2542" s="3">
        <v>46003</v>
      </c>
      <c r="C2542">
        <v>2025346</v>
      </c>
      <c r="D2542" t="s">
        <v>27</v>
      </c>
      <c r="E2542" t="s">
        <v>27</v>
      </c>
      <c r="F2542" t="s">
        <v>27</v>
      </c>
      <c r="G2542" t="s">
        <v>27</v>
      </c>
      <c r="H2542" t="s">
        <v>27</v>
      </c>
      <c r="I2542" t="s">
        <v>27</v>
      </c>
      <c r="J2542" t="s">
        <v>27</v>
      </c>
      <c r="K2542" t="s">
        <v>27</v>
      </c>
      <c r="L2542" t="s">
        <v>27</v>
      </c>
      <c r="M2542" t="s">
        <v>27</v>
      </c>
      <c r="N2542" t="s">
        <v>27</v>
      </c>
      <c r="O2542" t="s">
        <v>27</v>
      </c>
      <c r="P2542" t="s">
        <v>27</v>
      </c>
      <c r="Q2542" t="s">
        <v>27</v>
      </c>
      <c r="R2542" t="s">
        <v>27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Y2542" t="s">
        <v>27</v>
      </c>
      <c r="Z2542" t="s">
        <v>27</v>
      </c>
      <c r="AA2542" t="s">
        <v>27</v>
      </c>
      <c r="AB2542" t="s">
        <v>27</v>
      </c>
      <c r="AC2542" t="s">
        <v>27</v>
      </c>
      <c r="AD2542" t="s">
        <v>27</v>
      </c>
      <c r="AE2542" t="s">
        <v>27</v>
      </c>
      <c r="AF2542" t="s">
        <v>27</v>
      </c>
      <c r="AG2542">
        <v>5.01</v>
      </c>
    </row>
    <row r="2543" spans="1:33" x14ac:dyDescent="0.25">
      <c r="A2543" t="s">
        <v>57</v>
      </c>
      <c r="B2543" s="3">
        <v>46004</v>
      </c>
      <c r="C2543">
        <v>2025347</v>
      </c>
      <c r="D2543" t="s">
        <v>27</v>
      </c>
      <c r="E2543" t="s">
        <v>27</v>
      </c>
      <c r="F2543" t="s">
        <v>27</v>
      </c>
      <c r="G2543" t="s">
        <v>27</v>
      </c>
      <c r="H2543" t="s">
        <v>27</v>
      </c>
      <c r="I2543" t="s">
        <v>27</v>
      </c>
      <c r="J2543" t="s">
        <v>27</v>
      </c>
      <c r="K2543" t="s">
        <v>27</v>
      </c>
      <c r="L2543" t="s">
        <v>27</v>
      </c>
      <c r="M2543" t="s">
        <v>27</v>
      </c>
      <c r="N2543" t="s">
        <v>27</v>
      </c>
      <c r="O2543" t="s">
        <v>27</v>
      </c>
      <c r="P2543" t="s">
        <v>27</v>
      </c>
      <c r="Q2543" t="s">
        <v>27</v>
      </c>
      <c r="R2543" t="s">
        <v>27</v>
      </c>
      <c r="S2543" t="s">
        <v>27</v>
      </c>
      <c r="T2543" t="s">
        <v>27</v>
      </c>
      <c r="U2543" t="s">
        <v>27</v>
      </c>
      <c r="V2543" t="s">
        <v>27</v>
      </c>
      <c r="W2543" t="s">
        <v>27</v>
      </c>
      <c r="X2543" t="s">
        <v>27</v>
      </c>
      <c r="Y2543" t="s">
        <v>27</v>
      </c>
      <c r="Z2543" t="s">
        <v>27</v>
      </c>
      <c r="AA2543" t="s">
        <v>27</v>
      </c>
      <c r="AB2543" t="s">
        <v>27</v>
      </c>
      <c r="AC2543" t="s">
        <v>27</v>
      </c>
      <c r="AD2543" t="s">
        <v>27</v>
      </c>
      <c r="AE2543" t="s">
        <v>27</v>
      </c>
      <c r="AF2543" t="s">
        <v>27</v>
      </c>
      <c r="AG2543">
        <v>4.99</v>
      </c>
    </row>
    <row r="2544" spans="1:33" x14ac:dyDescent="0.25">
      <c r="A2544" t="s">
        <v>57</v>
      </c>
      <c r="B2544" s="3">
        <v>46005</v>
      </c>
      <c r="C2544">
        <v>2025348</v>
      </c>
      <c r="D2544" t="s">
        <v>27</v>
      </c>
      <c r="E2544" t="s">
        <v>27</v>
      </c>
      <c r="F2544" t="s">
        <v>27</v>
      </c>
      <c r="G2544" t="s">
        <v>27</v>
      </c>
      <c r="H2544" t="s">
        <v>27</v>
      </c>
      <c r="I2544" t="s">
        <v>27</v>
      </c>
      <c r="J2544" t="s">
        <v>27</v>
      </c>
      <c r="K2544" t="s">
        <v>27</v>
      </c>
      <c r="L2544" t="s">
        <v>27</v>
      </c>
      <c r="M2544" t="s">
        <v>27</v>
      </c>
      <c r="N2544" t="s">
        <v>27</v>
      </c>
      <c r="O2544" t="s">
        <v>27</v>
      </c>
      <c r="P2544" t="s">
        <v>27</v>
      </c>
      <c r="Q2544" t="s">
        <v>27</v>
      </c>
      <c r="R2544" t="s">
        <v>27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Y2544" t="s">
        <v>27</v>
      </c>
      <c r="Z2544" t="s">
        <v>27</v>
      </c>
      <c r="AA2544" t="s">
        <v>27</v>
      </c>
      <c r="AB2544" t="s">
        <v>27</v>
      </c>
      <c r="AC2544" t="s">
        <v>27</v>
      </c>
      <c r="AD2544" t="s">
        <v>27</v>
      </c>
      <c r="AE2544" t="s">
        <v>27</v>
      </c>
      <c r="AF2544" t="s">
        <v>27</v>
      </c>
      <c r="AG2544">
        <v>4.97</v>
      </c>
    </row>
    <row r="2545" spans="1:33" x14ac:dyDescent="0.25">
      <c r="A2545" t="s">
        <v>57</v>
      </c>
      <c r="B2545" s="3">
        <v>46006</v>
      </c>
      <c r="C2545">
        <v>2025349</v>
      </c>
      <c r="D2545" t="s">
        <v>27</v>
      </c>
      <c r="E2545" t="s">
        <v>27</v>
      </c>
      <c r="F2545" t="s">
        <v>27</v>
      </c>
      <c r="G2545" t="s">
        <v>27</v>
      </c>
      <c r="H2545" t="s">
        <v>27</v>
      </c>
      <c r="I2545" t="s">
        <v>27</v>
      </c>
      <c r="J2545" t="s">
        <v>27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27</v>
      </c>
      <c r="Q2545" t="s">
        <v>27</v>
      </c>
      <c r="R2545" t="s">
        <v>27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Y2545" t="s">
        <v>27</v>
      </c>
      <c r="Z2545" t="s">
        <v>27</v>
      </c>
      <c r="AA2545" t="s">
        <v>27</v>
      </c>
      <c r="AB2545" t="s">
        <v>27</v>
      </c>
      <c r="AC2545" t="s">
        <v>27</v>
      </c>
      <c r="AD2545" t="s">
        <v>27</v>
      </c>
      <c r="AE2545" t="s">
        <v>27</v>
      </c>
      <c r="AF2545" t="s">
        <v>27</v>
      </c>
      <c r="AG2545">
        <v>4.9400000000000004</v>
      </c>
    </row>
    <row r="2546" spans="1:33" x14ac:dyDescent="0.25">
      <c r="A2546" t="s">
        <v>57</v>
      </c>
      <c r="B2546" s="3">
        <v>46007</v>
      </c>
      <c r="C2546">
        <v>2025350</v>
      </c>
      <c r="D2546" t="s">
        <v>27</v>
      </c>
      <c r="E2546" t="s">
        <v>27</v>
      </c>
      <c r="F2546" t="s">
        <v>27</v>
      </c>
      <c r="G2546" t="s">
        <v>27</v>
      </c>
      <c r="H2546" t="s">
        <v>27</v>
      </c>
      <c r="I2546" t="s">
        <v>27</v>
      </c>
      <c r="J2546" t="s">
        <v>27</v>
      </c>
      <c r="K2546" t="s">
        <v>27</v>
      </c>
      <c r="L2546" t="s">
        <v>27</v>
      </c>
      <c r="M2546" t="s">
        <v>27</v>
      </c>
      <c r="N2546" t="s">
        <v>27</v>
      </c>
      <c r="O2546" t="s">
        <v>27</v>
      </c>
      <c r="P2546" t="s">
        <v>27</v>
      </c>
      <c r="Q2546" t="s">
        <v>27</v>
      </c>
      <c r="R2546" t="s">
        <v>27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  <c r="X2546" t="s">
        <v>27</v>
      </c>
      <c r="Y2546" t="s">
        <v>27</v>
      </c>
      <c r="Z2546" t="s">
        <v>27</v>
      </c>
      <c r="AA2546" t="s">
        <v>27</v>
      </c>
      <c r="AB2546" t="s">
        <v>27</v>
      </c>
      <c r="AC2546" t="s">
        <v>27</v>
      </c>
      <c r="AD2546" t="s">
        <v>27</v>
      </c>
      <c r="AE2546" t="s">
        <v>27</v>
      </c>
      <c r="AF2546" t="s">
        <v>27</v>
      </c>
      <c r="AG2546">
        <v>4.93</v>
      </c>
    </row>
    <row r="2547" spans="1:33" x14ac:dyDescent="0.25">
      <c r="A2547" t="s">
        <v>57</v>
      </c>
      <c r="B2547" s="3">
        <v>46008</v>
      </c>
      <c r="C2547">
        <v>2025351</v>
      </c>
      <c r="D2547" t="s">
        <v>27</v>
      </c>
      <c r="E2547" t="s">
        <v>27</v>
      </c>
      <c r="F2547" t="s">
        <v>27</v>
      </c>
      <c r="G2547" t="s">
        <v>27</v>
      </c>
      <c r="H2547" t="s">
        <v>27</v>
      </c>
      <c r="I2547" t="s">
        <v>27</v>
      </c>
      <c r="J2547" t="s">
        <v>27</v>
      </c>
      <c r="K2547" t="s">
        <v>27</v>
      </c>
      <c r="L2547" t="s">
        <v>27</v>
      </c>
      <c r="M2547" t="s">
        <v>27</v>
      </c>
      <c r="N2547" t="s">
        <v>27</v>
      </c>
      <c r="O2547" t="s">
        <v>27</v>
      </c>
      <c r="P2547" t="s">
        <v>27</v>
      </c>
      <c r="Q2547" t="s">
        <v>27</v>
      </c>
      <c r="R2547" t="s">
        <v>27</v>
      </c>
      <c r="S2547" t="s">
        <v>27</v>
      </c>
      <c r="T2547" t="s">
        <v>27</v>
      </c>
      <c r="U2547" t="s">
        <v>27</v>
      </c>
      <c r="V2547" t="s">
        <v>27</v>
      </c>
      <c r="W2547" t="s">
        <v>27</v>
      </c>
      <c r="X2547" t="s">
        <v>27</v>
      </c>
      <c r="Y2547" t="s">
        <v>27</v>
      </c>
      <c r="Z2547" t="s">
        <v>27</v>
      </c>
      <c r="AA2547" t="s">
        <v>27</v>
      </c>
      <c r="AB2547" t="s">
        <v>27</v>
      </c>
      <c r="AC2547" t="s">
        <v>27</v>
      </c>
      <c r="AD2547" t="s">
        <v>27</v>
      </c>
      <c r="AE2547" t="s">
        <v>27</v>
      </c>
      <c r="AF2547" t="s">
        <v>27</v>
      </c>
      <c r="AG2547">
        <v>4.92</v>
      </c>
    </row>
    <row r="2548" spans="1:33" x14ac:dyDescent="0.25">
      <c r="A2548" t="s">
        <v>57</v>
      </c>
      <c r="B2548" s="3">
        <v>46009</v>
      </c>
      <c r="C2548">
        <v>2025352</v>
      </c>
      <c r="D2548" t="s">
        <v>27</v>
      </c>
      <c r="E2548" t="s">
        <v>27</v>
      </c>
      <c r="F2548" t="s">
        <v>27</v>
      </c>
      <c r="G2548" t="s">
        <v>27</v>
      </c>
      <c r="H2548" t="s">
        <v>27</v>
      </c>
      <c r="I2548" t="s">
        <v>27</v>
      </c>
      <c r="J2548" t="s">
        <v>27</v>
      </c>
      <c r="K2548" t="s">
        <v>27</v>
      </c>
      <c r="L2548" t="s">
        <v>27</v>
      </c>
      <c r="M2548" t="s">
        <v>27</v>
      </c>
      <c r="N2548" t="s">
        <v>27</v>
      </c>
      <c r="O2548" t="s">
        <v>27</v>
      </c>
      <c r="P2548" t="s">
        <v>27</v>
      </c>
      <c r="Q2548" t="s">
        <v>27</v>
      </c>
      <c r="R2548" t="s">
        <v>27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Y2548" t="s">
        <v>27</v>
      </c>
      <c r="Z2548" t="s">
        <v>27</v>
      </c>
      <c r="AA2548" t="s">
        <v>27</v>
      </c>
      <c r="AB2548" t="s">
        <v>27</v>
      </c>
      <c r="AC2548" t="s">
        <v>27</v>
      </c>
      <c r="AD2548" t="s">
        <v>27</v>
      </c>
      <c r="AE2548" t="s">
        <v>27</v>
      </c>
      <c r="AF2548" t="s">
        <v>27</v>
      </c>
      <c r="AG2548">
        <v>4.91</v>
      </c>
    </row>
    <row r="2549" spans="1:33" x14ac:dyDescent="0.25">
      <c r="A2549" t="s">
        <v>57</v>
      </c>
      <c r="B2549" s="3">
        <v>46010</v>
      </c>
      <c r="C2549">
        <v>2025353</v>
      </c>
      <c r="D2549" t="s">
        <v>27</v>
      </c>
      <c r="E2549" t="s">
        <v>27</v>
      </c>
      <c r="F2549" t="s">
        <v>27</v>
      </c>
      <c r="G2549" t="s">
        <v>27</v>
      </c>
      <c r="H2549" t="s">
        <v>27</v>
      </c>
      <c r="I2549" t="s">
        <v>27</v>
      </c>
      <c r="J2549" t="s">
        <v>27</v>
      </c>
      <c r="K2549" t="s">
        <v>27</v>
      </c>
      <c r="L2549" t="s">
        <v>27</v>
      </c>
      <c r="M2549" t="s">
        <v>27</v>
      </c>
      <c r="N2549" t="s">
        <v>27</v>
      </c>
      <c r="O2549" t="s">
        <v>27</v>
      </c>
      <c r="P2549" t="s">
        <v>27</v>
      </c>
      <c r="Q2549" t="s">
        <v>27</v>
      </c>
      <c r="R2549" t="s">
        <v>27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Y2549" t="s">
        <v>27</v>
      </c>
      <c r="Z2549" t="s">
        <v>27</v>
      </c>
      <c r="AA2549" t="s">
        <v>27</v>
      </c>
      <c r="AB2549" t="s">
        <v>27</v>
      </c>
      <c r="AC2549" t="s">
        <v>27</v>
      </c>
      <c r="AD2549" t="s">
        <v>27</v>
      </c>
      <c r="AE2549" t="s">
        <v>27</v>
      </c>
      <c r="AF2549" t="s">
        <v>27</v>
      </c>
      <c r="AG2549">
        <v>4.9000000000000004</v>
      </c>
    </row>
    <row r="2550" spans="1:33" x14ac:dyDescent="0.25">
      <c r="A2550" t="s">
        <v>57</v>
      </c>
      <c r="B2550" s="3">
        <v>46011</v>
      </c>
      <c r="C2550">
        <v>2025354</v>
      </c>
      <c r="D2550" t="s">
        <v>27</v>
      </c>
      <c r="E2550" t="s">
        <v>27</v>
      </c>
      <c r="F2550" t="s">
        <v>27</v>
      </c>
      <c r="G2550" t="s">
        <v>27</v>
      </c>
      <c r="H2550" t="s">
        <v>27</v>
      </c>
      <c r="I2550" t="s">
        <v>27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27</v>
      </c>
      <c r="Q2550" t="s">
        <v>27</v>
      </c>
      <c r="R2550" t="s">
        <v>27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  <c r="X2550" t="s">
        <v>27</v>
      </c>
      <c r="Y2550" t="s">
        <v>27</v>
      </c>
      <c r="Z2550" t="s">
        <v>27</v>
      </c>
      <c r="AA2550" t="s">
        <v>27</v>
      </c>
      <c r="AB2550" t="s">
        <v>27</v>
      </c>
      <c r="AC2550" t="s">
        <v>27</v>
      </c>
      <c r="AD2550" t="s">
        <v>27</v>
      </c>
      <c r="AE2550" t="s">
        <v>27</v>
      </c>
      <c r="AF2550" t="s">
        <v>27</v>
      </c>
      <c r="AG2550">
        <v>4.9000000000000004</v>
      </c>
    </row>
    <row r="2551" spans="1:33" x14ac:dyDescent="0.25">
      <c r="A2551" t="s">
        <v>57</v>
      </c>
      <c r="B2551" s="3">
        <v>46012</v>
      </c>
      <c r="C2551">
        <v>2025355</v>
      </c>
      <c r="D2551" t="s">
        <v>27</v>
      </c>
      <c r="E2551" t="s">
        <v>27</v>
      </c>
      <c r="F2551" t="s">
        <v>27</v>
      </c>
      <c r="G2551" t="s">
        <v>27</v>
      </c>
      <c r="H2551" t="s">
        <v>27</v>
      </c>
      <c r="I2551" t="s">
        <v>27</v>
      </c>
      <c r="J2551" t="s">
        <v>27</v>
      </c>
      <c r="K2551" t="s">
        <v>27</v>
      </c>
      <c r="L2551" t="s">
        <v>27</v>
      </c>
      <c r="M2551" t="s">
        <v>27</v>
      </c>
      <c r="N2551" t="s">
        <v>27</v>
      </c>
      <c r="O2551" t="s">
        <v>27</v>
      </c>
      <c r="P2551" t="s">
        <v>27</v>
      </c>
      <c r="Q2551" t="s">
        <v>27</v>
      </c>
      <c r="R2551" t="s">
        <v>27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Y2551" t="s">
        <v>27</v>
      </c>
      <c r="Z2551" t="s">
        <v>27</v>
      </c>
      <c r="AA2551" t="s">
        <v>27</v>
      </c>
      <c r="AB2551" t="s">
        <v>27</v>
      </c>
      <c r="AC2551" t="s">
        <v>27</v>
      </c>
      <c r="AD2551" t="s">
        <v>27</v>
      </c>
      <c r="AE2551" t="s">
        <v>27</v>
      </c>
      <c r="AF2551" t="s">
        <v>27</v>
      </c>
      <c r="AG2551">
        <v>4.9000000000000004</v>
      </c>
    </row>
    <row r="2552" spans="1:33" x14ac:dyDescent="0.25">
      <c r="A2552" t="s">
        <v>57</v>
      </c>
      <c r="B2552" s="3">
        <v>46013</v>
      </c>
      <c r="C2552">
        <v>2025356</v>
      </c>
      <c r="D2552" t="s">
        <v>27</v>
      </c>
      <c r="E2552" t="s">
        <v>27</v>
      </c>
      <c r="F2552" t="s">
        <v>27</v>
      </c>
      <c r="G2552" t="s">
        <v>27</v>
      </c>
      <c r="H2552" t="s">
        <v>27</v>
      </c>
      <c r="I2552" t="s">
        <v>27</v>
      </c>
      <c r="J2552" t="s">
        <v>27</v>
      </c>
      <c r="K2552" t="s">
        <v>27</v>
      </c>
      <c r="L2552" t="s">
        <v>27</v>
      </c>
      <c r="M2552" t="s">
        <v>27</v>
      </c>
      <c r="N2552" t="s">
        <v>27</v>
      </c>
      <c r="O2552" t="s">
        <v>27</v>
      </c>
      <c r="P2552" t="s">
        <v>27</v>
      </c>
      <c r="Q2552" t="s">
        <v>27</v>
      </c>
      <c r="R2552" t="s">
        <v>27</v>
      </c>
      <c r="S2552" t="s">
        <v>27</v>
      </c>
      <c r="T2552" t="s">
        <v>27</v>
      </c>
      <c r="U2552" t="s">
        <v>27</v>
      </c>
      <c r="V2552" t="s">
        <v>27</v>
      </c>
      <c r="W2552" t="s">
        <v>27</v>
      </c>
      <c r="X2552" t="s">
        <v>27</v>
      </c>
      <c r="Y2552" t="s">
        <v>27</v>
      </c>
      <c r="Z2552" t="s">
        <v>27</v>
      </c>
      <c r="AA2552" t="s">
        <v>27</v>
      </c>
      <c r="AB2552" t="s">
        <v>27</v>
      </c>
      <c r="AC2552" t="s">
        <v>27</v>
      </c>
      <c r="AD2552" t="s">
        <v>27</v>
      </c>
      <c r="AE2552" t="s">
        <v>27</v>
      </c>
      <c r="AF2552" t="s">
        <v>27</v>
      </c>
      <c r="AG2552">
        <v>4.9000000000000004</v>
      </c>
    </row>
    <row r="2553" spans="1:33" x14ac:dyDescent="0.25">
      <c r="A2553" t="s">
        <v>57</v>
      </c>
      <c r="B2553" s="3">
        <v>46014</v>
      </c>
      <c r="C2553">
        <v>2025357</v>
      </c>
      <c r="D2553" t="s">
        <v>27</v>
      </c>
      <c r="E2553" t="s">
        <v>27</v>
      </c>
      <c r="F2553" t="s">
        <v>27</v>
      </c>
      <c r="G2553" t="s">
        <v>27</v>
      </c>
      <c r="H2553" t="s">
        <v>27</v>
      </c>
      <c r="I2553" t="s">
        <v>27</v>
      </c>
      <c r="J2553" t="s">
        <v>27</v>
      </c>
      <c r="K2553" t="s">
        <v>27</v>
      </c>
      <c r="L2553" t="s">
        <v>27</v>
      </c>
      <c r="M2553" t="s">
        <v>27</v>
      </c>
      <c r="N2553" t="s">
        <v>27</v>
      </c>
      <c r="O2553" t="s">
        <v>27</v>
      </c>
      <c r="P2553" t="s">
        <v>27</v>
      </c>
      <c r="Q2553" t="s">
        <v>27</v>
      </c>
      <c r="R2553" t="s">
        <v>27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  <c r="X2553" t="s">
        <v>27</v>
      </c>
      <c r="Y2553" t="s">
        <v>27</v>
      </c>
      <c r="Z2553" t="s">
        <v>27</v>
      </c>
      <c r="AA2553" t="s">
        <v>27</v>
      </c>
      <c r="AB2553" t="s">
        <v>27</v>
      </c>
      <c r="AC2553" t="s">
        <v>27</v>
      </c>
      <c r="AD2553" t="s">
        <v>27</v>
      </c>
      <c r="AE2553" t="s">
        <v>27</v>
      </c>
      <c r="AF2553" t="s">
        <v>27</v>
      </c>
      <c r="AG2553">
        <v>4.9000000000000004</v>
      </c>
    </row>
    <row r="2554" spans="1:33" x14ac:dyDescent="0.25">
      <c r="A2554" t="s">
        <v>57</v>
      </c>
      <c r="B2554" s="3">
        <v>46015</v>
      </c>
      <c r="C2554">
        <v>2025358</v>
      </c>
      <c r="D2554" t="s">
        <v>27</v>
      </c>
      <c r="E2554" t="s">
        <v>27</v>
      </c>
      <c r="F2554" t="s">
        <v>27</v>
      </c>
      <c r="G2554" t="s">
        <v>27</v>
      </c>
      <c r="H2554" t="s">
        <v>27</v>
      </c>
      <c r="I2554" t="s">
        <v>27</v>
      </c>
      <c r="J2554" t="s">
        <v>27</v>
      </c>
      <c r="K2554" t="s">
        <v>27</v>
      </c>
      <c r="L2554" t="s">
        <v>27</v>
      </c>
      <c r="M2554" t="s">
        <v>27</v>
      </c>
      <c r="N2554" t="s">
        <v>27</v>
      </c>
      <c r="O2554" t="s">
        <v>27</v>
      </c>
      <c r="P2554" t="s">
        <v>27</v>
      </c>
      <c r="Q2554" t="s">
        <v>27</v>
      </c>
      <c r="R2554" t="s">
        <v>27</v>
      </c>
      <c r="S2554" t="s">
        <v>27</v>
      </c>
      <c r="T2554" t="s">
        <v>27</v>
      </c>
      <c r="U2554" t="s">
        <v>27</v>
      </c>
      <c r="V2554" t="s">
        <v>27</v>
      </c>
      <c r="W2554" t="s">
        <v>27</v>
      </c>
      <c r="X2554" t="s">
        <v>27</v>
      </c>
      <c r="Y2554" t="s">
        <v>27</v>
      </c>
      <c r="Z2554" t="s">
        <v>27</v>
      </c>
      <c r="AA2554" t="s">
        <v>27</v>
      </c>
      <c r="AB2554" t="s">
        <v>27</v>
      </c>
      <c r="AC2554" t="s">
        <v>27</v>
      </c>
      <c r="AD2554" t="s">
        <v>27</v>
      </c>
      <c r="AE2554" t="s">
        <v>27</v>
      </c>
      <c r="AF2554" t="s">
        <v>27</v>
      </c>
      <c r="AG2554">
        <v>4.92</v>
      </c>
    </row>
    <row r="2555" spans="1:33" x14ac:dyDescent="0.25">
      <c r="A2555" t="s">
        <v>57</v>
      </c>
      <c r="B2555" s="3">
        <v>46016</v>
      </c>
      <c r="C2555">
        <v>2025359</v>
      </c>
      <c r="D2555" t="s">
        <v>27</v>
      </c>
      <c r="E2555" t="s">
        <v>27</v>
      </c>
      <c r="F2555" t="s">
        <v>27</v>
      </c>
      <c r="G2555" t="s">
        <v>27</v>
      </c>
      <c r="H2555" t="s">
        <v>27</v>
      </c>
      <c r="I2555" t="s">
        <v>27</v>
      </c>
      <c r="J2555" t="s">
        <v>27</v>
      </c>
      <c r="K2555" t="s">
        <v>27</v>
      </c>
      <c r="L2555" t="s">
        <v>27</v>
      </c>
      <c r="M2555" t="s">
        <v>27</v>
      </c>
      <c r="N2555" t="s">
        <v>27</v>
      </c>
      <c r="O2555" t="s">
        <v>27</v>
      </c>
      <c r="P2555" t="s">
        <v>27</v>
      </c>
      <c r="Q2555" t="s">
        <v>27</v>
      </c>
      <c r="R2555" t="s">
        <v>27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Y2555" t="s">
        <v>27</v>
      </c>
      <c r="Z2555" t="s">
        <v>27</v>
      </c>
      <c r="AA2555" t="s">
        <v>27</v>
      </c>
      <c r="AB2555" t="s">
        <v>27</v>
      </c>
      <c r="AC2555" t="s">
        <v>27</v>
      </c>
      <c r="AD2555" t="s">
        <v>27</v>
      </c>
      <c r="AE2555" t="s">
        <v>27</v>
      </c>
      <c r="AF2555" t="s">
        <v>27</v>
      </c>
      <c r="AG2555">
        <v>4.93</v>
      </c>
    </row>
    <row r="2556" spans="1:33" x14ac:dyDescent="0.25">
      <c r="A2556" t="s">
        <v>57</v>
      </c>
      <c r="B2556" s="3">
        <v>46017</v>
      </c>
      <c r="C2556">
        <v>2025360</v>
      </c>
      <c r="D2556" t="s">
        <v>27</v>
      </c>
      <c r="E2556" t="s">
        <v>27</v>
      </c>
      <c r="F2556" t="s">
        <v>27</v>
      </c>
      <c r="G2556" t="s">
        <v>27</v>
      </c>
      <c r="H2556" t="s">
        <v>27</v>
      </c>
      <c r="I2556" t="s">
        <v>27</v>
      </c>
      <c r="J2556" t="s">
        <v>27</v>
      </c>
      <c r="K2556" t="s">
        <v>27</v>
      </c>
      <c r="L2556" t="s">
        <v>27</v>
      </c>
      <c r="M2556" t="s">
        <v>27</v>
      </c>
      <c r="N2556" t="s">
        <v>27</v>
      </c>
      <c r="O2556" t="s">
        <v>27</v>
      </c>
      <c r="P2556" t="s">
        <v>27</v>
      </c>
      <c r="Q2556" t="s">
        <v>27</v>
      </c>
      <c r="R2556" t="s">
        <v>27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Y2556" t="s">
        <v>27</v>
      </c>
      <c r="Z2556" t="s">
        <v>27</v>
      </c>
      <c r="AA2556" t="s">
        <v>27</v>
      </c>
      <c r="AB2556" t="s">
        <v>27</v>
      </c>
      <c r="AC2556" t="s">
        <v>27</v>
      </c>
      <c r="AD2556" t="s">
        <v>27</v>
      </c>
      <c r="AE2556" t="s">
        <v>27</v>
      </c>
      <c r="AF2556" t="s">
        <v>27</v>
      </c>
      <c r="AG2556">
        <v>4.95</v>
      </c>
    </row>
    <row r="2557" spans="1:33" x14ac:dyDescent="0.25">
      <c r="A2557" t="s">
        <v>57</v>
      </c>
      <c r="B2557" s="3">
        <v>46018</v>
      </c>
      <c r="C2557">
        <v>2025361</v>
      </c>
      <c r="D2557" t="s">
        <v>27</v>
      </c>
      <c r="E2557" t="s">
        <v>27</v>
      </c>
      <c r="F2557" t="s">
        <v>27</v>
      </c>
      <c r="G2557" t="s">
        <v>27</v>
      </c>
      <c r="H2557" t="s">
        <v>27</v>
      </c>
      <c r="I2557" t="s">
        <v>27</v>
      </c>
      <c r="J2557" t="s">
        <v>27</v>
      </c>
      <c r="K2557" t="s">
        <v>27</v>
      </c>
      <c r="L2557" t="s">
        <v>27</v>
      </c>
      <c r="M2557" t="s">
        <v>27</v>
      </c>
      <c r="N2557" t="s">
        <v>27</v>
      </c>
      <c r="O2557" t="s">
        <v>27</v>
      </c>
      <c r="P2557" t="s">
        <v>27</v>
      </c>
      <c r="Q2557" t="s">
        <v>27</v>
      </c>
      <c r="R2557" t="s">
        <v>27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Y2557" t="s">
        <v>27</v>
      </c>
      <c r="Z2557" t="s">
        <v>27</v>
      </c>
      <c r="AA2557" t="s">
        <v>27</v>
      </c>
      <c r="AB2557" t="s">
        <v>27</v>
      </c>
      <c r="AC2557" t="s">
        <v>27</v>
      </c>
      <c r="AD2557" t="s">
        <v>27</v>
      </c>
      <c r="AE2557" t="s">
        <v>27</v>
      </c>
      <c r="AF2557" t="s">
        <v>27</v>
      </c>
      <c r="AG2557">
        <v>4.97</v>
      </c>
    </row>
    <row r="2558" spans="1:33" x14ac:dyDescent="0.25">
      <c r="A2558" t="s">
        <v>57</v>
      </c>
      <c r="B2558" s="3">
        <v>46019</v>
      </c>
      <c r="C2558">
        <v>2025362</v>
      </c>
      <c r="D2558" t="s">
        <v>27</v>
      </c>
      <c r="E2558" t="s">
        <v>27</v>
      </c>
      <c r="F2558" t="s">
        <v>27</v>
      </c>
      <c r="G2558" t="s">
        <v>27</v>
      </c>
      <c r="H2558" t="s">
        <v>27</v>
      </c>
      <c r="I2558" t="s">
        <v>27</v>
      </c>
      <c r="J2558" t="s">
        <v>27</v>
      </c>
      <c r="K2558" t="s">
        <v>27</v>
      </c>
      <c r="L2558" t="s">
        <v>27</v>
      </c>
      <c r="M2558" t="s">
        <v>27</v>
      </c>
      <c r="N2558" t="s">
        <v>27</v>
      </c>
      <c r="O2558" t="s">
        <v>27</v>
      </c>
      <c r="P2558" t="s">
        <v>27</v>
      </c>
      <c r="Q2558" t="s">
        <v>27</v>
      </c>
      <c r="R2558" t="s">
        <v>27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  <c r="X2558" t="s">
        <v>27</v>
      </c>
      <c r="Y2558" t="s">
        <v>27</v>
      </c>
      <c r="Z2558" t="s">
        <v>27</v>
      </c>
      <c r="AA2558" t="s">
        <v>27</v>
      </c>
      <c r="AB2558" t="s">
        <v>27</v>
      </c>
      <c r="AC2558" t="s">
        <v>27</v>
      </c>
      <c r="AD2558" t="s">
        <v>27</v>
      </c>
      <c r="AE2558" t="s">
        <v>27</v>
      </c>
      <c r="AF2558" t="s">
        <v>27</v>
      </c>
      <c r="AG2558">
        <v>5</v>
      </c>
    </row>
    <row r="2559" spans="1:33" x14ac:dyDescent="0.25">
      <c r="A2559" t="s">
        <v>57</v>
      </c>
      <c r="B2559" s="3">
        <v>46020</v>
      </c>
      <c r="C2559">
        <v>2025363</v>
      </c>
      <c r="D2559" t="s">
        <v>27</v>
      </c>
      <c r="E2559" t="s">
        <v>27</v>
      </c>
      <c r="F2559" t="s">
        <v>27</v>
      </c>
      <c r="G2559" t="s">
        <v>27</v>
      </c>
      <c r="H2559" t="s">
        <v>27</v>
      </c>
      <c r="I2559" t="s">
        <v>27</v>
      </c>
      <c r="J2559" t="s">
        <v>27</v>
      </c>
      <c r="K2559" t="s">
        <v>27</v>
      </c>
      <c r="L2559" t="s">
        <v>27</v>
      </c>
      <c r="M2559" t="s">
        <v>27</v>
      </c>
      <c r="N2559" t="s">
        <v>27</v>
      </c>
      <c r="O2559" t="s">
        <v>27</v>
      </c>
      <c r="P2559" t="s">
        <v>27</v>
      </c>
      <c r="Q2559" t="s">
        <v>27</v>
      </c>
      <c r="R2559" t="s">
        <v>27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  <c r="X2559" t="s">
        <v>27</v>
      </c>
      <c r="Y2559" t="s">
        <v>27</v>
      </c>
      <c r="Z2559" t="s">
        <v>27</v>
      </c>
      <c r="AA2559" t="s">
        <v>27</v>
      </c>
      <c r="AB2559" t="s">
        <v>27</v>
      </c>
      <c r="AC2559" t="s">
        <v>27</v>
      </c>
      <c r="AD2559" t="s">
        <v>27</v>
      </c>
      <c r="AE2559" t="s">
        <v>27</v>
      </c>
      <c r="AF2559" t="s">
        <v>27</v>
      </c>
      <c r="AG2559">
        <v>5.0199999999999996</v>
      </c>
    </row>
    <row r="2560" spans="1:33" x14ac:dyDescent="0.25">
      <c r="A2560" t="s">
        <v>57</v>
      </c>
      <c r="B2560" s="3">
        <v>46021</v>
      </c>
      <c r="C2560">
        <v>2025364</v>
      </c>
      <c r="D2560" t="s">
        <v>27</v>
      </c>
      <c r="E2560" t="s">
        <v>27</v>
      </c>
      <c r="F2560" t="s">
        <v>27</v>
      </c>
      <c r="G2560" t="s">
        <v>27</v>
      </c>
      <c r="H2560" t="s">
        <v>27</v>
      </c>
      <c r="I2560" t="s">
        <v>27</v>
      </c>
      <c r="J2560" t="s">
        <v>27</v>
      </c>
      <c r="K2560" t="s">
        <v>27</v>
      </c>
      <c r="L2560" t="s">
        <v>27</v>
      </c>
      <c r="M2560" t="s">
        <v>27</v>
      </c>
      <c r="N2560" t="s">
        <v>27</v>
      </c>
      <c r="O2560" t="s">
        <v>27</v>
      </c>
      <c r="P2560" t="s">
        <v>27</v>
      </c>
      <c r="Q2560" t="s">
        <v>27</v>
      </c>
      <c r="R2560" t="s">
        <v>27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  <c r="X2560" t="s">
        <v>27</v>
      </c>
      <c r="Y2560" t="s">
        <v>27</v>
      </c>
      <c r="Z2560" t="s">
        <v>27</v>
      </c>
      <c r="AA2560" t="s">
        <v>27</v>
      </c>
      <c r="AB2560" t="s">
        <v>27</v>
      </c>
      <c r="AC2560" t="s">
        <v>27</v>
      </c>
      <c r="AD2560" t="s">
        <v>27</v>
      </c>
      <c r="AE2560" t="s">
        <v>27</v>
      </c>
      <c r="AF2560" t="s">
        <v>27</v>
      </c>
      <c r="AG2560">
        <v>5.05</v>
      </c>
    </row>
    <row r="2561" spans="1:33" x14ac:dyDescent="0.25">
      <c r="A2561" t="s">
        <v>57</v>
      </c>
      <c r="B2561" s="3">
        <v>46022</v>
      </c>
      <c r="C2561">
        <v>2025365</v>
      </c>
      <c r="D2561" t="s">
        <v>27</v>
      </c>
      <c r="E2561" t="s">
        <v>27</v>
      </c>
      <c r="F2561" t="s">
        <v>27</v>
      </c>
      <c r="G2561" t="s">
        <v>27</v>
      </c>
      <c r="H2561" t="s">
        <v>27</v>
      </c>
      <c r="I2561" t="s">
        <v>27</v>
      </c>
      <c r="J2561" t="s">
        <v>27</v>
      </c>
      <c r="K2561" t="s">
        <v>27</v>
      </c>
      <c r="L2561" t="s">
        <v>27</v>
      </c>
      <c r="M2561" t="s">
        <v>27</v>
      </c>
      <c r="N2561" t="s">
        <v>27</v>
      </c>
      <c r="O2561" t="s">
        <v>27</v>
      </c>
      <c r="P2561" t="s">
        <v>27</v>
      </c>
      <c r="Q2561" t="s">
        <v>27</v>
      </c>
      <c r="R2561" t="s">
        <v>27</v>
      </c>
      <c r="S2561" t="s">
        <v>27</v>
      </c>
      <c r="T2561" t="s">
        <v>27</v>
      </c>
      <c r="U2561" t="s">
        <v>27</v>
      </c>
      <c r="V2561" t="s">
        <v>27</v>
      </c>
      <c r="W2561" t="s">
        <v>27</v>
      </c>
      <c r="X2561" t="s">
        <v>27</v>
      </c>
      <c r="Y2561" t="s">
        <v>27</v>
      </c>
      <c r="Z2561" t="s">
        <v>27</v>
      </c>
      <c r="AA2561" t="s">
        <v>27</v>
      </c>
      <c r="AB2561" t="s">
        <v>27</v>
      </c>
      <c r="AC2561" t="s">
        <v>27</v>
      </c>
      <c r="AD2561" t="s">
        <v>27</v>
      </c>
      <c r="AE2561" t="s">
        <v>27</v>
      </c>
      <c r="AF2561" t="s">
        <v>27</v>
      </c>
      <c r="AG2561">
        <v>5.09</v>
      </c>
    </row>
    <row r="2565" spans="1:33" x14ac:dyDescent="0.25">
      <c r="Y2565" t="e">
        <f t="shared" ref="Y2565:AF2565" si="0">ROUND(AVERAGE(Y5:Y2561)*100,1)</f>
        <v>#DIV/0!</v>
      </c>
      <c r="Z2565" t="e">
        <f t="shared" si="0"/>
        <v>#DIV/0!</v>
      </c>
      <c r="AA2565" t="e">
        <f t="shared" si="0"/>
        <v>#DIV/0!</v>
      </c>
      <c r="AB2565" t="e">
        <f t="shared" si="0"/>
        <v>#DIV/0!</v>
      </c>
      <c r="AC2565" t="e">
        <f t="shared" si="0"/>
        <v>#DIV/0!</v>
      </c>
      <c r="AD2565" t="e">
        <f t="shared" si="0"/>
        <v>#DIV/0!</v>
      </c>
      <c r="AE2565" t="e">
        <f t="shared" si="0"/>
        <v>#DIV/0!</v>
      </c>
      <c r="AF2565" t="e">
        <f t="shared" si="0"/>
        <v>#DIV/0!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RowHeight="15" x14ac:dyDescent="0.25"/>
  <cols>
    <col min="2" max="25" width="6.7109375" customWidth="1"/>
  </cols>
  <sheetData>
    <row r="1" spans="1:33" x14ac:dyDescent="0.25">
      <c r="A1" t="s">
        <v>42</v>
      </c>
      <c r="C1">
        <v>1</v>
      </c>
      <c r="D1">
        <f>C1+1</f>
        <v>2</v>
      </c>
      <c r="E1">
        <f t="shared" ref="E1:AG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</row>
    <row r="2" spans="1:33" x14ac:dyDescent="0.25">
      <c r="A2" t="s">
        <v>55</v>
      </c>
      <c r="C2" t="s">
        <v>40</v>
      </c>
      <c r="D2" t="s">
        <v>1</v>
      </c>
      <c r="E2" t="s">
        <v>39</v>
      </c>
      <c r="F2" t="s">
        <v>2</v>
      </c>
      <c r="G2" t="s">
        <v>3</v>
      </c>
      <c r="H2" t="s">
        <v>4</v>
      </c>
      <c r="I2" t="s">
        <v>58</v>
      </c>
      <c r="J2" t="s">
        <v>59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s="4" t="s">
        <v>36</v>
      </c>
      <c r="Z2" s="4" t="s">
        <v>36</v>
      </c>
      <c r="AA2" s="4" t="s">
        <v>36</v>
      </c>
      <c r="AB2" s="4" t="s">
        <v>36</v>
      </c>
      <c r="AC2" s="4" t="s">
        <v>36</v>
      </c>
      <c r="AD2" s="4" t="s">
        <v>36</v>
      </c>
      <c r="AE2" s="4" t="s">
        <v>36</v>
      </c>
      <c r="AF2" s="4" t="s">
        <v>36</v>
      </c>
      <c r="AG2" s="1" t="s">
        <v>37</v>
      </c>
    </row>
    <row r="3" spans="1:33" x14ac:dyDescent="0.25">
      <c r="C3" t="s">
        <v>40</v>
      </c>
      <c r="D3" t="s">
        <v>19</v>
      </c>
      <c r="E3" t="s">
        <v>19</v>
      </c>
      <c r="F3" t="s">
        <v>20</v>
      </c>
      <c r="G3" t="s">
        <v>20</v>
      </c>
      <c r="H3" t="s">
        <v>20</v>
      </c>
      <c r="I3" t="s">
        <v>21</v>
      </c>
      <c r="J3" t="s">
        <v>21</v>
      </c>
      <c r="K3" t="s">
        <v>22</v>
      </c>
      <c r="L3" t="s">
        <v>22</v>
      </c>
      <c r="M3" t="s">
        <v>23</v>
      </c>
      <c r="N3" t="s">
        <v>24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25</v>
      </c>
      <c r="W3" t="s">
        <v>26</v>
      </c>
      <c r="X3" t="s">
        <v>26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19</v>
      </c>
    </row>
    <row r="4" spans="1:33" x14ac:dyDescent="0.25">
      <c r="E4" s="6" t="s">
        <v>41</v>
      </c>
      <c r="F4" s="7">
        <v>5</v>
      </c>
      <c r="G4" s="7">
        <v>6</v>
      </c>
      <c r="H4" t="s">
        <v>44</v>
      </c>
    </row>
    <row r="5" spans="1:33" x14ac:dyDescent="0.25">
      <c r="A5" t="s">
        <v>40</v>
      </c>
      <c r="B5" t="str">
        <f>F5</f>
        <v>Tmax</v>
      </c>
      <c r="C5" t="str">
        <f>G5</f>
        <v>Tmin</v>
      </c>
      <c r="F5" t="str">
        <f>VLOOKUP($A5,Graph!$C2:$AF2,F4)</f>
        <v>Tmax</v>
      </c>
      <c r="G5" t="str">
        <f>VLOOKUP($A5,Graph!$C2:$AG2,G4)</f>
        <v>Tmin</v>
      </c>
      <c r="H5" t="str">
        <f>VLOOKUP($A5,Graph!$C3:$AF3,F4)</f>
        <v>C</v>
      </c>
      <c r="I5" t="str">
        <f>VLOOKUP($A5,Graph!$C3:$AG3,G4)</f>
        <v>C</v>
      </c>
    </row>
    <row r="7" spans="1:33" x14ac:dyDescent="0.25">
      <c r="A7">
        <v>2019001</v>
      </c>
      <c r="B7">
        <f>VLOOKUP($A7,Data!$C$5:$AG$2561,F$4)</f>
        <v>-0.7</v>
      </c>
      <c r="C7">
        <f>VLOOKUP($A7,Data!$C$5:$AG$2561,G$4)</f>
        <v>-9.5</v>
      </c>
    </row>
    <row r="8" spans="1:33" x14ac:dyDescent="0.25">
      <c r="A8">
        <v>2019002</v>
      </c>
      <c r="B8">
        <f>VLOOKUP($A8,Data!$C$5:$AG$2561,F$4)</f>
        <v>-6.9</v>
      </c>
      <c r="C8">
        <f>VLOOKUP($A8,Data!$C$5:$AG$2561,G$4)</f>
        <v>-9.6</v>
      </c>
    </row>
    <row r="9" spans="1:33" x14ac:dyDescent="0.25">
      <c r="A9">
        <v>2019003</v>
      </c>
      <c r="B9">
        <f>VLOOKUP($A9,Data!$C$5:$AG$2561,F$4)</f>
        <v>0.5</v>
      </c>
      <c r="C9">
        <f>VLOOKUP($A9,Data!$C$5:$AG$2561,G$4)</f>
        <v>-7.1</v>
      </c>
    </row>
    <row r="10" spans="1:33" x14ac:dyDescent="0.25">
      <c r="A10">
        <v>2019004</v>
      </c>
      <c r="B10">
        <f>VLOOKUP($A10,Data!$C$5:$AG$2561,F$4)</f>
        <v>0.8</v>
      </c>
      <c r="C10">
        <f>VLOOKUP($A10,Data!$C$5:$AG$2561,G$4)</f>
        <v>-9.9</v>
      </c>
    </row>
    <row r="11" spans="1:33" x14ac:dyDescent="0.25">
      <c r="A11">
        <v>2019005</v>
      </c>
      <c r="B11">
        <f>VLOOKUP($A11,Data!$C$5:$AG$2561,F$4)</f>
        <v>0.6</v>
      </c>
      <c r="C11">
        <f>VLOOKUP($A11,Data!$C$5:$AG$2561,G$4)</f>
        <v>-6.9</v>
      </c>
    </row>
    <row r="12" spans="1:33" x14ac:dyDescent="0.25">
      <c r="A12">
        <v>2019006</v>
      </c>
      <c r="B12">
        <f>VLOOKUP($A12,Data!$C$5:$AG$2561,F$4)</f>
        <v>-1.2</v>
      </c>
      <c r="C12">
        <f>VLOOKUP($A12,Data!$C$5:$AG$2561,G$4)</f>
        <v>-14.2</v>
      </c>
    </row>
    <row r="13" spans="1:33" x14ac:dyDescent="0.25">
      <c r="A13">
        <v>2019007</v>
      </c>
      <c r="B13">
        <f>VLOOKUP($A13,Data!$C$5:$AG$2561,F$4)</f>
        <v>-4.8</v>
      </c>
      <c r="C13">
        <f>VLOOKUP($A13,Data!$C$5:$AG$2561,G$4)</f>
        <v>-18.2</v>
      </c>
    </row>
    <row r="14" spans="1:33" x14ac:dyDescent="0.25">
      <c r="A14">
        <v>2019008</v>
      </c>
      <c r="B14">
        <f>VLOOKUP($A14,Data!$C$5:$AG$2561,F$4)</f>
        <v>-6</v>
      </c>
      <c r="C14">
        <f>VLOOKUP($A14,Data!$C$5:$AG$2561,G$4)</f>
        <v>-19.100000000000001</v>
      </c>
    </row>
    <row r="15" spans="1:33" x14ac:dyDescent="0.25">
      <c r="A15">
        <v>2019009</v>
      </c>
      <c r="B15">
        <f>VLOOKUP($A15,Data!$C$5:$AG$2561,F$4)</f>
        <v>0.6</v>
      </c>
      <c r="C15">
        <f>VLOOKUP($A15,Data!$C$5:$AG$2561,G$4)</f>
        <v>-6.1</v>
      </c>
    </row>
    <row r="16" spans="1:33" x14ac:dyDescent="0.25">
      <c r="A16">
        <v>2019010</v>
      </c>
      <c r="B16">
        <f>VLOOKUP($A16,Data!$C$5:$AG$2561,F$4)</f>
        <v>2.1</v>
      </c>
      <c r="C16">
        <f>VLOOKUP($A16,Data!$C$5:$AG$2561,G$4)</f>
        <v>-3.7</v>
      </c>
    </row>
    <row r="17" spans="1:3" x14ac:dyDescent="0.25">
      <c r="A17">
        <v>2019011</v>
      </c>
      <c r="B17">
        <f>VLOOKUP($A17,Data!$C$5:$AG$2561,F$4)</f>
        <v>0.5</v>
      </c>
      <c r="C17">
        <f>VLOOKUP($A17,Data!$C$5:$AG$2561,G$4)</f>
        <v>-4.0999999999999996</v>
      </c>
    </row>
    <row r="18" spans="1:3" x14ac:dyDescent="0.25">
      <c r="A18">
        <v>2019012</v>
      </c>
      <c r="B18">
        <f>VLOOKUP($A18,Data!$C$5:$AG$2561,F$4)</f>
        <v>0.7</v>
      </c>
      <c r="C18">
        <f>VLOOKUP($A18,Data!$C$5:$AG$2561,G$4)</f>
        <v>-8.5</v>
      </c>
    </row>
    <row r="19" spans="1:3" x14ac:dyDescent="0.25">
      <c r="A19">
        <v>2019013</v>
      </c>
      <c r="B19">
        <f>VLOOKUP($A19,Data!$C$5:$AG$2561,F$4)</f>
        <v>3</v>
      </c>
      <c r="C19">
        <f>VLOOKUP($A19,Data!$C$5:$AG$2561,G$4)</f>
        <v>-10.5</v>
      </c>
    </row>
    <row r="20" spans="1:3" x14ac:dyDescent="0.25">
      <c r="A20">
        <v>2019014</v>
      </c>
      <c r="B20">
        <f>VLOOKUP($A20,Data!$C$5:$AG$2561,F$4)</f>
        <v>4.8</v>
      </c>
      <c r="C20">
        <f>VLOOKUP($A20,Data!$C$5:$AG$2561,G$4)</f>
        <v>-14</v>
      </c>
    </row>
    <row r="21" spans="1:3" x14ac:dyDescent="0.25">
      <c r="A21">
        <v>2019015</v>
      </c>
      <c r="B21">
        <f>VLOOKUP($A21,Data!$C$5:$AG$2561,F$4)</f>
        <v>1.7</v>
      </c>
      <c r="C21">
        <f>VLOOKUP($A21,Data!$C$5:$AG$2561,G$4)</f>
        <v>-12.4</v>
      </c>
    </row>
    <row r="22" spans="1:3" x14ac:dyDescent="0.25">
      <c r="A22">
        <v>2019016</v>
      </c>
      <c r="B22">
        <f>VLOOKUP($A22,Data!$C$5:$AG$2561,F$4)</f>
        <v>-0.2</v>
      </c>
      <c r="C22">
        <f>VLOOKUP($A22,Data!$C$5:$AG$2561,G$4)</f>
        <v>-8.1999999999999993</v>
      </c>
    </row>
    <row r="23" spans="1:3" x14ac:dyDescent="0.25">
      <c r="A23">
        <v>2019017</v>
      </c>
      <c r="B23">
        <f>VLOOKUP($A23,Data!$C$5:$AG$2561,F$4)</f>
        <v>-0.3</v>
      </c>
      <c r="C23">
        <f>VLOOKUP($A23,Data!$C$5:$AG$2561,G$4)</f>
        <v>-4.0999999999999996</v>
      </c>
    </row>
    <row r="24" spans="1:3" x14ac:dyDescent="0.25">
      <c r="A24">
        <v>2019018</v>
      </c>
      <c r="B24">
        <f>VLOOKUP($A24,Data!$C$5:$AG$2561,F$4)</f>
        <v>-0.9</v>
      </c>
      <c r="C24">
        <f>VLOOKUP($A24,Data!$C$5:$AG$2561,G$4)</f>
        <v>-5.8</v>
      </c>
    </row>
    <row r="25" spans="1:3" x14ac:dyDescent="0.25">
      <c r="A25">
        <v>2019019</v>
      </c>
      <c r="B25">
        <f>VLOOKUP($A25,Data!$C$5:$AG$2561,F$4)</f>
        <v>1.5</v>
      </c>
      <c r="C25">
        <f>VLOOKUP($A25,Data!$C$5:$AG$2561,G$4)</f>
        <v>-9.1</v>
      </c>
    </row>
    <row r="26" spans="1:3" x14ac:dyDescent="0.25">
      <c r="A26">
        <v>2019020</v>
      </c>
      <c r="B26">
        <f>VLOOKUP($A26,Data!$C$5:$AG$2561,F$4)</f>
        <v>-2.8</v>
      </c>
      <c r="C26">
        <f>VLOOKUP($A26,Data!$C$5:$AG$2561,G$4)</f>
        <v>-12.7</v>
      </c>
    </row>
    <row r="27" spans="1:3" x14ac:dyDescent="0.25">
      <c r="A27">
        <v>2019021</v>
      </c>
      <c r="B27">
        <f>VLOOKUP($A27,Data!$C$5:$AG$2561,F$4)</f>
        <v>-4.7</v>
      </c>
      <c r="C27">
        <f>VLOOKUP($A27,Data!$C$5:$AG$2561,G$4)</f>
        <v>-15.7</v>
      </c>
    </row>
    <row r="28" spans="1:3" x14ac:dyDescent="0.25">
      <c r="A28">
        <v>2019022</v>
      </c>
      <c r="B28">
        <f>VLOOKUP($A28,Data!$C$5:$AG$2561,F$4)</f>
        <v>-5.9</v>
      </c>
      <c r="C28">
        <f>VLOOKUP($A28,Data!$C$5:$AG$2561,G$4)</f>
        <v>-12.8</v>
      </c>
    </row>
    <row r="29" spans="1:3" x14ac:dyDescent="0.25">
      <c r="A29">
        <v>2019023</v>
      </c>
      <c r="B29">
        <f>VLOOKUP($A29,Data!$C$5:$AG$2561,F$4)</f>
        <v>-1.4</v>
      </c>
      <c r="C29">
        <f>VLOOKUP($A29,Data!$C$5:$AG$2561,G$4)</f>
        <v>-10.4</v>
      </c>
    </row>
    <row r="30" spans="1:3" x14ac:dyDescent="0.25">
      <c r="A30">
        <v>2019024</v>
      </c>
      <c r="B30">
        <f>VLOOKUP($A30,Data!$C$5:$AG$2561,F$4)</f>
        <v>2.4</v>
      </c>
      <c r="C30">
        <f>VLOOKUP($A30,Data!$C$5:$AG$2561,G$4)</f>
        <v>-10.5</v>
      </c>
    </row>
    <row r="31" spans="1:3" x14ac:dyDescent="0.25">
      <c r="A31">
        <v>2019025</v>
      </c>
      <c r="B31">
        <f>VLOOKUP($A31,Data!$C$5:$AG$2561,F$4)</f>
        <v>3.5</v>
      </c>
      <c r="C31">
        <f>VLOOKUP($A31,Data!$C$5:$AG$2561,G$4)</f>
        <v>-8.9</v>
      </c>
    </row>
    <row r="32" spans="1:3" x14ac:dyDescent="0.25">
      <c r="A32">
        <v>2019026</v>
      </c>
      <c r="B32">
        <f>VLOOKUP($A32,Data!$C$5:$AG$2561,F$4)</f>
        <v>10.3</v>
      </c>
      <c r="C32">
        <f>VLOOKUP($A32,Data!$C$5:$AG$2561,G$4)</f>
        <v>-6.2</v>
      </c>
    </row>
    <row r="33" spans="1:3" x14ac:dyDescent="0.25">
      <c r="A33">
        <v>2019027</v>
      </c>
      <c r="B33">
        <f>VLOOKUP($A33,Data!$C$5:$AG$2561,F$4)</f>
        <v>4.5999999999999996</v>
      </c>
      <c r="C33">
        <f>VLOOKUP($A33,Data!$C$5:$AG$2561,G$4)</f>
        <v>-12.6</v>
      </c>
    </row>
    <row r="34" spans="1:3" x14ac:dyDescent="0.25">
      <c r="A34">
        <v>2019028</v>
      </c>
      <c r="B34">
        <f>VLOOKUP($A34,Data!$C$5:$AG$2561,F$4)</f>
        <v>-0.9</v>
      </c>
      <c r="C34">
        <f>VLOOKUP($A34,Data!$C$5:$AG$2561,G$4)</f>
        <v>-15.8</v>
      </c>
    </row>
    <row r="35" spans="1:3" x14ac:dyDescent="0.25">
      <c r="A35">
        <v>2019029</v>
      </c>
      <c r="B35">
        <f>VLOOKUP($A35,Data!$C$5:$AG$2561,F$4)</f>
        <v>4.2</v>
      </c>
      <c r="C35">
        <f>VLOOKUP($A35,Data!$C$5:$AG$2561,G$4)</f>
        <v>-17.899999999999999</v>
      </c>
    </row>
    <row r="36" spans="1:3" x14ac:dyDescent="0.25">
      <c r="A36">
        <v>2019030</v>
      </c>
      <c r="B36">
        <f>VLOOKUP($A36,Data!$C$5:$AG$2561,F$4)</f>
        <v>4</v>
      </c>
      <c r="C36">
        <f>VLOOKUP($A36,Data!$C$5:$AG$2561,G$4)</f>
        <v>-14.4</v>
      </c>
    </row>
    <row r="37" spans="1:3" x14ac:dyDescent="0.25">
      <c r="A37">
        <v>2019031</v>
      </c>
      <c r="B37">
        <f>VLOOKUP($A37,Data!$C$5:$AG$2561,F$4)</f>
        <v>1.7</v>
      </c>
      <c r="C37">
        <f>VLOOKUP($A37,Data!$C$5:$AG$2561,G$4)</f>
        <v>-5.2</v>
      </c>
    </row>
    <row r="38" spans="1:3" x14ac:dyDescent="0.25">
      <c r="A38">
        <v>2019032</v>
      </c>
      <c r="B38">
        <f>VLOOKUP($A38,Data!$C$5:$AG$2561,F$4)</f>
        <v>0.7</v>
      </c>
      <c r="C38">
        <f>VLOOKUP($A38,Data!$C$5:$AG$2561,G$4)</f>
        <v>-4.2</v>
      </c>
    </row>
    <row r="39" spans="1:3" x14ac:dyDescent="0.25">
      <c r="A39">
        <v>2019033</v>
      </c>
      <c r="B39">
        <f>VLOOKUP($A39,Data!$C$5:$AG$2561,F$4)</f>
        <v>0.9</v>
      </c>
      <c r="C39">
        <f>VLOOKUP($A39,Data!$C$5:$AG$2561,G$4)</f>
        <v>-11.2</v>
      </c>
    </row>
    <row r="40" spans="1:3" x14ac:dyDescent="0.25">
      <c r="A40">
        <v>2019034</v>
      </c>
      <c r="B40">
        <f>VLOOKUP($A40,Data!$C$5:$AG$2561,F$4)</f>
        <v>-8.5</v>
      </c>
      <c r="C40">
        <f>VLOOKUP($A40,Data!$C$5:$AG$2561,G$4)</f>
        <v>-23.9</v>
      </c>
    </row>
    <row r="41" spans="1:3" x14ac:dyDescent="0.25">
      <c r="A41">
        <v>2019035</v>
      </c>
      <c r="B41">
        <f>VLOOKUP($A41,Data!$C$5:$AG$2561,F$4)</f>
        <v>-18.5</v>
      </c>
      <c r="C41">
        <f>VLOOKUP($A41,Data!$C$5:$AG$2561,G$4)</f>
        <v>-24.8</v>
      </c>
    </row>
    <row r="42" spans="1:3" x14ac:dyDescent="0.25">
      <c r="A42">
        <v>2019036</v>
      </c>
      <c r="B42">
        <f>VLOOKUP($A42,Data!$C$5:$AG$2561,F$4)</f>
        <v>-13.3</v>
      </c>
      <c r="C42">
        <f>VLOOKUP($A42,Data!$C$5:$AG$2561,G$4)</f>
        <v>-26.6</v>
      </c>
    </row>
    <row r="43" spans="1:3" x14ac:dyDescent="0.25">
      <c r="A43">
        <v>2019037</v>
      </c>
      <c r="B43">
        <f>VLOOKUP($A43,Data!$C$5:$AG$2561,F$4)</f>
        <v>-11.3</v>
      </c>
      <c r="C43">
        <f>VLOOKUP($A43,Data!$C$5:$AG$2561,G$4)</f>
        <v>-23.8</v>
      </c>
    </row>
    <row r="44" spans="1:3" x14ac:dyDescent="0.25">
      <c r="A44">
        <v>2019038</v>
      </c>
      <c r="B44">
        <f>VLOOKUP($A44,Data!$C$5:$AG$2561,F$4)</f>
        <v>-7</v>
      </c>
      <c r="C44">
        <f>VLOOKUP($A44,Data!$C$5:$AG$2561,G$4)</f>
        <v>-23.8</v>
      </c>
    </row>
    <row r="45" spans="1:3" x14ac:dyDescent="0.25">
      <c r="A45">
        <v>2019039</v>
      </c>
      <c r="B45">
        <f>VLOOKUP($A45,Data!$C$5:$AG$2561,F$4)</f>
        <v>-11.3</v>
      </c>
      <c r="C45">
        <f>VLOOKUP($A45,Data!$C$5:$AG$2561,G$4)</f>
        <v>-16.7</v>
      </c>
    </row>
    <row r="46" spans="1:3" x14ac:dyDescent="0.25">
      <c r="A46">
        <v>2019040</v>
      </c>
      <c r="B46">
        <f>VLOOKUP($A46,Data!$C$5:$AG$2561,F$4)</f>
        <v>-15</v>
      </c>
      <c r="C46">
        <f>VLOOKUP($A46,Data!$C$5:$AG$2561,G$4)</f>
        <v>-19.899999999999999</v>
      </c>
    </row>
    <row r="47" spans="1:3" x14ac:dyDescent="0.25">
      <c r="A47">
        <v>2019041</v>
      </c>
      <c r="B47">
        <f>VLOOKUP($A47,Data!$C$5:$AG$2561,F$4)</f>
        <v>-11.6</v>
      </c>
      <c r="C47">
        <f>VLOOKUP($A47,Data!$C$5:$AG$2561,G$4)</f>
        <v>-26.2</v>
      </c>
    </row>
    <row r="48" spans="1:3" x14ac:dyDescent="0.25">
      <c r="A48">
        <v>2019042</v>
      </c>
      <c r="B48">
        <f>VLOOKUP($A48,Data!$C$5:$AG$2561,F$4)</f>
        <v>-10.5</v>
      </c>
      <c r="C48">
        <f>VLOOKUP($A48,Data!$C$5:$AG$2561,G$4)</f>
        <v>-27.7</v>
      </c>
    </row>
    <row r="49" spans="1:3" x14ac:dyDescent="0.25">
      <c r="A49">
        <v>2019043</v>
      </c>
      <c r="B49">
        <f>VLOOKUP($A49,Data!$C$5:$AG$2561,F$4)</f>
        <v>-8</v>
      </c>
      <c r="C49">
        <f>VLOOKUP($A49,Data!$C$5:$AG$2561,G$4)</f>
        <v>-17.899999999999999</v>
      </c>
    </row>
    <row r="50" spans="1:3" x14ac:dyDescent="0.25">
      <c r="A50">
        <v>2019044</v>
      </c>
      <c r="B50">
        <f>VLOOKUP($A50,Data!$C$5:$AG$2561,F$4)</f>
        <v>-5.3</v>
      </c>
      <c r="C50">
        <f>VLOOKUP($A50,Data!$C$5:$AG$2561,G$4)</f>
        <v>-19.100000000000001</v>
      </c>
    </row>
    <row r="51" spans="1:3" x14ac:dyDescent="0.25">
      <c r="A51">
        <v>2019045</v>
      </c>
      <c r="B51">
        <f>VLOOKUP($A51,Data!$C$5:$AG$2561,F$4)</f>
        <v>-4.0999999999999996</v>
      </c>
      <c r="C51">
        <f>VLOOKUP($A51,Data!$C$5:$AG$2561,G$4)</f>
        <v>-14.8</v>
      </c>
    </row>
    <row r="52" spans="1:3" x14ac:dyDescent="0.25">
      <c r="A52">
        <v>2019046</v>
      </c>
      <c r="B52">
        <f>VLOOKUP($A52,Data!$C$5:$AG$2561,F$4)</f>
        <v>-1.1000000000000001</v>
      </c>
      <c r="C52">
        <f>VLOOKUP($A52,Data!$C$5:$AG$2561,G$4)</f>
        <v>-8.8000000000000007</v>
      </c>
    </row>
    <row r="53" spans="1:3" x14ac:dyDescent="0.25">
      <c r="A53">
        <v>2019047</v>
      </c>
      <c r="B53">
        <f>VLOOKUP($A53,Data!$C$5:$AG$2561,F$4)</f>
        <v>-2.7</v>
      </c>
      <c r="C53">
        <f>VLOOKUP($A53,Data!$C$5:$AG$2561,G$4)</f>
        <v>-10.6</v>
      </c>
    </row>
    <row r="54" spans="1:3" x14ac:dyDescent="0.25">
      <c r="A54">
        <v>2019048</v>
      </c>
      <c r="B54">
        <f>VLOOKUP($A54,Data!$C$5:$AG$2561,F$4)</f>
        <v>-6.7</v>
      </c>
      <c r="C54">
        <f>VLOOKUP($A54,Data!$C$5:$AG$2561,G$4)</f>
        <v>-16.7</v>
      </c>
    </row>
    <row r="55" spans="1:3" x14ac:dyDescent="0.25">
      <c r="A55">
        <v>2019049</v>
      </c>
      <c r="B55">
        <f>VLOOKUP($A55,Data!$C$5:$AG$2561,F$4)</f>
        <v>-6.7</v>
      </c>
      <c r="C55">
        <f>VLOOKUP($A55,Data!$C$5:$AG$2561,G$4)</f>
        <v>-19.2</v>
      </c>
    </row>
    <row r="56" spans="1:3" x14ac:dyDescent="0.25">
      <c r="A56">
        <v>2019050</v>
      </c>
      <c r="B56">
        <f>VLOOKUP($A56,Data!$C$5:$AG$2561,F$4)</f>
        <v>-4.5999999999999996</v>
      </c>
      <c r="C56">
        <f>VLOOKUP($A56,Data!$C$5:$AG$2561,G$4)</f>
        <v>-12.9</v>
      </c>
    </row>
    <row r="57" spans="1:3" x14ac:dyDescent="0.25">
      <c r="A57">
        <v>2019051</v>
      </c>
      <c r="B57">
        <f>VLOOKUP($A57,Data!$C$5:$AG$2561,F$4)</f>
        <v>-6.3</v>
      </c>
      <c r="C57">
        <f>VLOOKUP($A57,Data!$C$5:$AG$2561,G$4)</f>
        <v>-9.4</v>
      </c>
    </row>
    <row r="58" spans="1:3" x14ac:dyDescent="0.25">
      <c r="A58">
        <v>2019052</v>
      </c>
      <c r="B58">
        <f>VLOOKUP($A58,Data!$C$5:$AG$2561,F$4)</f>
        <v>-5.0999999999999996</v>
      </c>
      <c r="C58">
        <f>VLOOKUP($A58,Data!$C$5:$AG$2561,G$4)</f>
        <v>-17.2</v>
      </c>
    </row>
    <row r="59" spans="1:3" x14ac:dyDescent="0.25">
      <c r="A59">
        <v>2019053</v>
      </c>
      <c r="B59">
        <f>VLOOKUP($A59,Data!$C$5:$AG$2561,F$4)</f>
        <v>-7.2</v>
      </c>
      <c r="C59">
        <f>VLOOKUP($A59,Data!$C$5:$AG$2561,G$4)</f>
        <v>-14.7</v>
      </c>
    </row>
    <row r="60" spans="1:3" x14ac:dyDescent="0.25">
      <c r="A60">
        <v>2019054</v>
      </c>
      <c r="B60">
        <f>VLOOKUP($A60,Data!$C$5:$AG$2561,F$4)</f>
        <v>-4.7</v>
      </c>
      <c r="C60">
        <f>VLOOKUP($A60,Data!$C$5:$AG$2561,G$4)</f>
        <v>-12.3</v>
      </c>
    </row>
    <row r="61" spans="1:3" x14ac:dyDescent="0.25">
      <c r="A61">
        <v>2019055</v>
      </c>
      <c r="B61">
        <f>VLOOKUP($A61,Data!$C$5:$AG$2561,F$4)</f>
        <v>-6.4</v>
      </c>
      <c r="C61">
        <f>VLOOKUP($A61,Data!$C$5:$AG$2561,G$4)</f>
        <v>-14</v>
      </c>
    </row>
    <row r="62" spans="1:3" x14ac:dyDescent="0.25">
      <c r="A62">
        <v>2019056</v>
      </c>
      <c r="B62">
        <f>VLOOKUP($A62,Data!$C$5:$AG$2561,F$4)</f>
        <v>-10.1</v>
      </c>
      <c r="C62">
        <f>VLOOKUP($A62,Data!$C$5:$AG$2561,G$4)</f>
        <v>-16.7</v>
      </c>
    </row>
    <row r="63" spans="1:3" x14ac:dyDescent="0.25">
      <c r="A63">
        <v>2019057</v>
      </c>
      <c r="B63">
        <f>VLOOKUP($A63,Data!$C$5:$AG$2561,F$4)</f>
        <v>-6.9</v>
      </c>
      <c r="C63">
        <f>VLOOKUP($A63,Data!$C$5:$AG$2561,G$4)</f>
        <v>-21.6</v>
      </c>
    </row>
    <row r="64" spans="1:3" x14ac:dyDescent="0.25">
      <c r="A64">
        <v>2019058</v>
      </c>
      <c r="B64">
        <f>VLOOKUP($A64,Data!$C$5:$AG$2561,F$4)</f>
        <v>-4.0999999999999996</v>
      </c>
      <c r="C64">
        <f>VLOOKUP($A64,Data!$C$5:$AG$2561,G$4)</f>
        <v>-19.399999999999999</v>
      </c>
    </row>
    <row r="65" spans="1:3" x14ac:dyDescent="0.25">
      <c r="A65">
        <v>2019059</v>
      </c>
      <c r="B65">
        <f>VLOOKUP($A65,Data!$C$5:$AG$2561,F$4)</f>
        <v>-5.3</v>
      </c>
      <c r="C65">
        <f>VLOOKUP($A65,Data!$C$5:$AG$2561,G$4)</f>
        <v>-9.9</v>
      </c>
    </row>
    <row r="66" spans="1:3" x14ac:dyDescent="0.25">
      <c r="A66">
        <v>2019060</v>
      </c>
      <c r="B66">
        <f>VLOOKUP($A66,Data!$C$5:$AG$2561,F$4)</f>
        <v>-2.8</v>
      </c>
      <c r="C66">
        <f>VLOOKUP($A66,Data!$C$5:$AG$2561,G$4)</f>
        <v>-11.5</v>
      </c>
    </row>
    <row r="67" spans="1:3" x14ac:dyDescent="0.25">
      <c r="A67">
        <v>2019061</v>
      </c>
      <c r="B67">
        <f>VLOOKUP($A67,Data!$C$5:$AG$2561,F$4)</f>
        <v>-8.5</v>
      </c>
      <c r="C67">
        <f>VLOOKUP($A67,Data!$C$5:$AG$2561,G$4)</f>
        <v>-20.8</v>
      </c>
    </row>
    <row r="68" spans="1:3" x14ac:dyDescent="0.25">
      <c r="A68">
        <v>2019062</v>
      </c>
      <c r="B68">
        <f>VLOOKUP($A68,Data!$C$5:$AG$2561,F$4)</f>
        <v>-5.7</v>
      </c>
      <c r="C68">
        <f>VLOOKUP($A68,Data!$C$5:$AG$2561,G$4)</f>
        <v>-24.7</v>
      </c>
    </row>
    <row r="69" spans="1:3" x14ac:dyDescent="0.25">
      <c r="A69">
        <v>2019063</v>
      </c>
      <c r="B69">
        <f>VLOOKUP($A69,Data!$C$5:$AG$2561,F$4)</f>
        <v>-3.9</v>
      </c>
      <c r="C69">
        <f>VLOOKUP($A69,Data!$C$5:$AG$2561,G$4)</f>
        <v>-25.9</v>
      </c>
    </row>
    <row r="70" spans="1:3" x14ac:dyDescent="0.25">
      <c r="A70">
        <v>2019064</v>
      </c>
      <c r="B70">
        <f>VLOOKUP($A70,Data!$C$5:$AG$2561,F$4)</f>
        <v>-1.6</v>
      </c>
      <c r="C70">
        <f>VLOOKUP($A70,Data!$C$5:$AG$2561,G$4)</f>
        <v>-20.399999999999999</v>
      </c>
    </row>
    <row r="71" spans="1:3" x14ac:dyDescent="0.25">
      <c r="A71">
        <v>2019065</v>
      </c>
      <c r="B71">
        <f>VLOOKUP($A71,Data!$C$5:$AG$2561,F$4)</f>
        <v>0.2</v>
      </c>
      <c r="C71">
        <f>VLOOKUP($A71,Data!$C$5:$AG$2561,G$4)</f>
        <v>-6.3</v>
      </c>
    </row>
    <row r="72" spans="1:3" x14ac:dyDescent="0.25">
      <c r="A72">
        <v>2019066</v>
      </c>
      <c r="B72">
        <f>VLOOKUP($A72,Data!$C$5:$AG$2561,F$4)</f>
        <v>-2.2999999999999998</v>
      </c>
      <c r="C72">
        <f>VLOOKUP($A72,Data!$C$5:$AG$2561,G$4)</f>
        <v>-15.2</v>
      </c>
    </row>
    <row r="73" spans="1:3" x14ac:dyDescent="0.25">
      <c r="A73">
        <v>2019067</v>
      </c>
      <c r="B73">
        <f>VLOOKUP($A73,Data!$C$5:$AG$2561,F$4)</f>
        <v>-1.6</v>
      </c>
      <c r="C73">
        <f>VLOOKUP($A73,Data!$C$5:$AG$2561,G$4)</f>
        <v>-20.100000000000001</v>
      </c>
    </row>
    <row r="74" spans="1:3" x14ac:dyDescent="0.25">
      <c r="A74">
        <v>2019068</v>
      </c>
      <c r="B74">
        <f>VLOOKUP($A74,Data!$C$5:$AG$2561,F$4)</f>
        <v>-2.9</v>
      </c>
      <c r="C74">
        <f>VLOOKUP($A74,Data!$C$5:$AG$2561,G$4)</f>
        <v>-17.5</v>
      </c>
    </row>
    <row r="75" spans="1:3" x14ac:dyDescent="0.25">
      <c r="A75">
        <v>2019069</v>
      </c>
      <c r="B75">
        <f>VLOOKUP($A75,Data!$C$5:$AG$2561,F$4)</f>
        <v>1.9</v>
      </c>
      <c r="C75">
        <f>VLOOKUP($A75,Data!$C$5:$AG$2561,G$4)</f>
        <v>-19.100000000000001</v>
      </c>
    </row>
    <row r="76" spans="1:3" x14ac:dyDescent="0.25">
      <c r="A76">
        <v>2019070</v>
      </c>
      <c r="B76">
        <f>VLOOKUP($A76,Data!$C$5:$AG$2561,F$4)</f>
        <v>-0.6</v>
      </c>
      <c r="C76">
        <f>VLOOKUP($A76,Data!$C$5:$AG$2561,G$4)</f>
        <v>-10.7</v>
      </c>
    </row>
    <row r="77" spans="1:3" x14ac:dyDescent="0.25">
      <c r="A77">
        <v>2019071</v>
      </c>
      <c r="B77">
        <f>VLOOKUP($A77,Data!$C$5:$AG$2561,F$4)</f>
        <v>-3.1</v>
      </c>
      <c r="C77">
        <f>VLOOKUP($A77,Data!$C$5:$AG$2561,G$4)</f>
        <v>-11.9</v>
      </c>
    </row>
    <row r="78" spans="1:3" x14ac:dyDescent="0.25">
      <c r="A78">
        <v>2019072</v>
      </c>
      <c r="B78">
        <f>VLOOKUP($A78,Data!$C$5:$AG$2561,F$4)</f>
        <v>1</v>
      </c>
      <c r="C78">
        <f>VLOOKUP($A78,Data!$C$5:$AG$2561,G$4)</f>
        <v>-14.8</v>
      </c>
    </row>
    <row r="79" spans="1:3" x14ac:dyDescent="0.25">
      <c r="A79">
        <v>2019073</v>
      </c>
      <c r="B79">
        <f>VLOOKUP($A79,Data!$C$5:$AG$2561,F$4)</f>
        <v>3.5</v>
      </c>
      <c r="C79">
        <f>VLOOKUP($A79,Data!$C$5:$AG$2561,G$4)</f>
        <v>-15.2</v>
      </c>
    </row>
    <row r="80" spans="1:3" x14ac:dyDescent="0.25">
      <c r="A80">
        <v>2019074</v>
      </c>
      <c r="B80">
        <f>VLOOKUP($A80,Data!$C$5:$AG$2561,F$4)</f>
        <v>6.6</v>
      </c>
      <c r="C80">
        <f>VLOOKUP($A80,Data!$C$5:$AG$2561,G$4)</f>
        <v>-6.9</v>
      </c>
    </row>
    <row r="81" spans="1:3" x14ac:dyDescent="0.25">
      <c r="A81">
        <v>2019075</v>
      </c>
      <c r="B81">
        <f>VLOOKUP($A81,Data!$C$5:$AG$2561,F$4)</f>
        <v>9.1</v>
      </c>
      <c r="C81">
        <f>VLOOKUP($A81,Data!$C$5:$AG$2561,G$4)</f>
        <v>-8.6999999999999993</v>
      </c>
    </row>
    <row r="82" spans="1:3" x14ac:dyDescent="0.25">
      <c r="A82">
        <v>2019076</v>
      </c>
      <c r="B82">
        <f>VLOOKUP($A82,Data!$C$5:$AG$2561,F$4)</f>
        <v>9.4</v>
      </c>
      <c r="C82">
        <f>VLOOKUP($A82,Data!$C$5:$AG$2561,G$4)</f>
        <v>-7.6</v>
      </c>
    </row>
    <row r="83" spans="1:3" x14ac:dyDescent="0.25">
      <c r="A83">
        <v>2019077</v>
      </c>
      <c r="B83">
        <f>VLOOKUP($A83,Data!$C$5:$AG$2561,F$4)</f>
        <v>14</v>
      </c>
      <c r="C83">
        <f>VLOOKUP($A83,Data!$C$5:$AG$2561,G$4)</f>
        <v>-6.1</v>
      </c>
    </row>
    <row r="84" spans="1:3" x14ac:dyDescent="0.25">
      <c r="A84">
        <v>2019078</v>
      </c>
      <c r="B84">
        <f>VLOOKUP($A84,Data!$C$5:$AG$2561,F$4)</f>
        <v>16.2</v>
      </c>
      <c r="C84">
        <f>VLOOKUP($A84,Data!$C$5:$AG$2561,G$4)</f>
        <v>-5.7</v>
      </c>
    </row>
    <row r="85" spans="1:3" x14ac:dyDescent="0.25">
      <c r="A85">
        <v>2019079</v>
      </c>
      <c r="B85">
        <f>VLOOKUP($A85,Data!$C$5:$AG$2561,F$4)</f>
        <v>17.5</v>
      </c>
      <c r="C85">
        <f>VLOOKUP($A85,Data!$C$5:$AG$2561,G$4)</f>
        <v>-2.5</v>
      </c>
    </row>
    <row r="86" spans="1:3" x14ac:dyDescent="0.25">
      <c r="A86">
        <v>2019080</v>
      </c>
      <c r="B86">
        <f>VLOOKUP($A86,Data!$C$5:$AG$2561,F$4)</f>
        <v>17.100000000000001</v>
      </c>
      <c r="C86">
        <f>VLOOKUP($A86,Data!$C$5:$AG$2561,G$4)</f>
        <v>-3.7</v>
      </c>
    </row>
    <row r="87" spans="1:3" x14ac:dyDescent="0.25">
      <c r="A87">
        <v>2019081</v>
      </c>
      <c r="B87">
        <f>VLOOKUP($A87,Data!$C$5:$AG$2561,F$4)</f>
        <v>14.8</v>
      </c>
      <c r="C87">
        <f>VLOOKUP($A87,Data!$C$5:$AG$2561,G$4)</f>
        <v>-3.2</v>
      </c>
    </row>
    <row r="88" spans="1:3" x14ac:dyDescent="0.25">
      <c r="A88">
        <v>2019082</v>
      </c>
      <c r="B88">
        <f>VLOOKUP($A88,Data!$C$5:$AG$2561,F$4)</f>
        <v>8.1999999999999993</v>
      </c>
      <c r="C88">
        <f>VLOOKUP($A88,Data!$C$5:$AG$2561,G$4)</f>
        <v>-1.7</v>
      </c>
    </row>
    <row r="89" spans="1:3" x14ac:dyDescent="0.25">
      <c r="A89">
        <v>2019083</v>
      </c>
      <c r="B89">
        <f>VLOOKUP($A89,Data!$C$5:$AG$2561,F$4)</f>
        <v>9.8000000000000007</v>
      </c>
      <c r="C89">
        <f>VLOOKUP($A89,Data!$C$5:$AG$2561,G$4)</f>
        <v>-1.2</v>
      </c>
    </row>
    <row r="90" spans="1:3" x14ac:dyDescent="0.25">
      <c r="A90">
        <v>2019084</v>
      </c>
      <c r="B90">
        <f>VLOOKUP($A90,Data!$C$5:$AG$2561,F$4)</f>
        <v>7.6</v>
      </c>
      <c r="C90">
        <f>VLOOKUP($A90,Data!$C$5:$AG$2561,G$4)</f>
        <v>0</v>
      </c>
    </row>
    <row r="91" spans="1:3" x14ac:dyDescent="0.25">
      <c r="A91">
        <v>2019085</v>
      </c>
      <c r="B91">
        <f>VLOOKUP($A91,Data!$C$5:$AG$2561,F$4)</f>
        <v>3.8</v>
      </c>
      <c r="C91">
        <f>VLOOKUP($A91,Data!$C$5:$AG$2561,G$4)</f>
        <v>-8</v>
      </c>
    </row>
    <row r="92" spans="1:3" x14ac:dyDescent="0.25">
      <c r="A92">
        <v>2019086</v>
      </c>
      <c r="B92">
        <f>VLOOKUP($A92,Data!$C$5:$AG$2561,F$4)</f>
        <v>6.7</v>
      </c>
      <c r="C92">
        <f>VLOOKUP($A92,Data!$C$5:$AG$2561,G$4)</f>
        <v>-9.6999999999999993</v>
      </c>
    </row>
    <row r="93" spans="1:3" x14ac:dyDescent="0.25">
      <c r="A93">
        <v>2019087</v>
      </c>
      <c r="B93">
        <f>VLOOKUP($A93,Data!$C$5:$AG$2561,F$4)</f>
        <v>7.6</v>
      </c>
      <c r="C93">
        <f>VLOOKUP($A93,Data!$C$5:$AG$2561,G$4)</f>
        <v>-6.8</v>
      </c>
    </row>
    <row r="94" spans="1:3" x14ac:dyDescent="0.25">
      <c r="A94">
        <v>2019088</v>
      </c>
      <c r="B94">
        <f>VLOOKUP($A94,Data!$C$5:$AG$2561,F$4)</f>
        <v>9.6</v>
      </c>
      <c r="C94">
        <f>VLOOKUP($A94,Data!$C$5:$AG$2561,G$4)</f>
        <v>-7</v>
      </c>
    </row>
    <row r="95" spans="1:3" x14ac:dyDescent="0.25">
      <c r="A95">
        <v>2019089</v>
      </c>
      <c r="B95">
        <f>VLOOKUP($A95,Data!$C$5:$AG$2561,F$4)</f>
        <v>11.2</v>
      </c>
      <c r="C95">
        <f>VLOOKUP($A95,Data!$C$5:$AG$2561,G$4)</f>
        <v>-6.8</v>
      </c>
    </row>
    <row r="96" spans="1:3" x14ac:dyDescent="0.25">
      <c r="A96">
        <v>2019090</v>
      </c>
      <c r="B96">
        <f>VLOOKUP($A96,Data!$C$5:$AG$2561,F$4)</f>
        <v>9.6</v>
      </c>
      <c r="C96">
        <f>VLOOKUP($A96,Data!$C$5:$AG$2561,G$4)</f>
        <v>-4.2</v>
      </c>
    </row>
    <row r="97" spans="1:3" x14ac:dyDescent="0.25">
      <c r="A97">
        <v>2019091</v>
      </c>
      <c r="B97">
        <f>VLOOKUP($A97,Data!$C$5:$AG$2561,F$4)</f>
        <v>9.3000000000000007</v>
      </c>
      <c r="C97">
        <f>VLOOKUP($A97,Data!$C$5:$AG$2561,G$4)</f>
        <v>-6.5</v>
      </c>
    </row>
    <row r="98" spans="1:3" x14ac:dyDescent="0.25">
      <c r="A98">
        <v>2019092</v>
      </c>
      <c r="B98">
        <f>VLOOKUP($A98,Data!$C$5:$AG$2561,F$4)</f>
        <v>10.8</v>
      </c>
      <c r="C98">
        <f>VLOOKUP($A98,Data!$C$5:$AG$2561,G$4)</f>
        <v>-7.2</v>
      </c>
    </row>
    <row r="99" spans="1:3" x14ac:dyDescent="0.25">
      <c r="A99">
        <v>2019093</v>
      </c>
      <c r="B99">
        <f>VLOOKUP($A99,Data!$C$5:$AG$2561,F$4)</f>
        <v>5.7</v>
      </c>
      <c r="C99">
        <f>VLOOKUP($A99,Data!$C$5:$AG$2561,G$4)</f>
        <v>-2.4</v>
      </c>
    </row>
    <row r="100" spans="1:3" x14ac:dyDescent="0.25">
      <c r="A100">
        <v>2019094</v>
      </c>
      <c r="B100">
        <f>VLOOKUP($A100,Data!$C$5:$AG$2561,F$4)</f>
        <v>9.6</v>
      </c>
      <c r="C100">
        <f>VLOOKUP($A100,Data!$C$5:$AG$2561,G$4)</f>
        <v>-4.4000000000000004</v>
      </c>
    </row>
    <row r="101" spans="1:3" x14ac:dyDescent="0.25">
      <c r="A101">
        <v>2019095</v>
      </c>
      <c r="B101">
        <f>VLOOKUP($A101,Data!$C$5:$AG$2561,F$4)</f>
        <v>6.2</v>
      </c>
      <c r="C101">
        <f>VLOOKUP($A101,Data!$C$5:$AG$2561,G$4)</f>
        <v>-1.9</v>
      </c>
    </row>
    <row r="102" spans="1:3" x14ac:dyDescent="0.25">
      <c r="A102">
        <v>2019096</v>
      </c>
      <c r="B102">
        <f>VLOOKUP($A102,Data!$C$5:$AG$2561,F$4)</f>
        <v>2.2000000000000002</v>
      </c>
      <c r="C102">
        <f>VLOOKUP($A102,Data!$C$5:$AG$2561,G$4)</f>
        <v>-6.6</v>
      </c>
    </row>
    <row r="103" spans="1:3" x14ac:dyDescent="0.25">
      <c r="A103">
        <v>2019097</v>
      </c>
      <c r="B103">
        <f>VLOOKUP($A103,Data!$C$5:$AG$2561,F$4)</f>
        <v>7</v>
      </c>
      <c r="C103">
        <f>VLOOKUP($A103,Data!$C$5:$AG$2561,G$4)</f>
        <v>-5</v>
      </c>
    </row>
    <row r="104" spans="1:3" x14ac:dyDescent="0.25">
      <c r="A104">
        <v>2019098</v>
      </c>
      <c r="B104">
        <f>VLOOKUP($A104,Data!$C$5:$AG$2561,F$4)</f>
        <v>5.9</v>
      </c>
      <c r="C104">
        <f>VLOOKUP($A104,Data!$C$5:$AG$2561,G$4)</f>
        <v>-6.6</v>
      </c>
    </row>
    <row r="105" spans="1:3" x14ac:dyDescent="0.25">
      <c r="A105">
        <v>2019099</v>
      </c>
      <c r="B105">
        <f>VLOOKUP($A105,Data!$C$5:$AG$2561,F$4)</f>
        <v>6.3</v>
      </c>
      <c r="C105">
        <f>VLOOKUP($A105,Data!$C$5:$AG$2561,G$4)</f>
        <v>-0.8</v>
      </c>
    </row>
    <row r="106" spans="1:3" x14ac:dyDescent="0.25">
      <c r="A106">
        <v>2019100</v>
      </c>
      <c r="B106">
        <f>VLOOKUP($A106,Data!$C$5:$AG$2561,F$4)</f>
        <v>1.5</v>
      </c>
      <c r="C106">
        <f>VLOOKUP($A106,Data!$C$5:$AG$2561,G$4)</f>
        <v>-3.2</v>
      </c>
    </row>
    <row r="107" spans="1:3" x14ac:dyDescent="0.25">
      <c r="A107">
        <v>2019101</v>
      </c>
      <c r="B107">
        <f>VLOOKUP($A107,Data!$C$5:$AG$2561,F$4)</f>
        <v>3.4</v>
      </c>
      <c r="C107">
        <f>VLOOKUP($A107,Data!$C$5:$AG$2561,G$4)</f>
        <v>-5.4</v>
      </c>
    </row>
    <row r="108" spans="1:3" x14ac:dyDescent="0.25">
      <c r="A108">
        <v>2019102</v>
      </c>
      <c r="B108">
        <f>VLOOKUP($A108,Data!$C$5:$AG$2561,F$4)</f>
        <v>5.6</v>
      </c>
      <c r="C108">
        <f>VLOOKUP($A108,Data!$C$5:$AG$2561,G$4)</f>
        <v>-6.1</v>
      </c>
    </row>
    <row r="109" spans="1:3" x14ac:dyDescent="0.25">
      <c r="A109">
        <v>2019103</v>
      </c>
      <c r="B109">
        <f>VLOOKUP($A109,Data!$C$5:$AG$2561,F$4)</f>
        <v>2.1</v>
      </c>
      <c r="C109">
        <f>VLOOKUP($A109,Data!$C$5:$AG$2561,G$4)</f>
        <v>-5.0999999999999996</v>
      </c>
    </row>
    <row r="110" spans="1:3" x14ac:dyDescent="0.25">
      <c r="A110">
        <v>2019104</v>
      </c>
      <c r="B110">
        <f>VLOOKUP($A110,Data!$C$5:$AG$2561,F$4)</f>
        <v>4</v>
      </c>
      <c r="C110">
        <f>VLOOKUP($A110,Data!$C$5:$AG$2561,G$4)</f>
        <v>-4.2</v>
      </c>
    </row>
    <row r="111" spans="1:3" x14ac:dyDescent="0.25">
      <c r="A111">
        <v>2019105</v>
      </c>
      <c r="B111">
        <f>VLOOKUP($A111,Data!$C$5:$AG$2561,F$4)</f>
        <v>5.0999999999999996</v>
      </c>
      <c r="C111">
        <f>VLOOKUP($A111,Data!$C$5:$AG$2561,G$4)</f>
        <v>-9.1</v>
      </c>
    </row>
    <row r="112" spans="1:3" x14ac:dyDescent="0.25">
      <c r="A112">
        <v>2019106</v>
      </c>
      <c r="B112">
        <f>VLOOKUP($A112,Data!$C$5:$AG$2561,F$4)</f>
        <v>8</v>
      </c>
      <c r="C112">
        <f>VLOOKUP($A112,Data!$C$5:$AG$2561,G$4)</f>
        <v>-8.4</v>
      </c>
    </row>
    <row r="113" spans="1:3" x14ac:dyDescent="0.25">
      <c r="A113">
        <v>2019107</v>
      </c>
      <c r="B113">
        <f>VLOOKUP($A113,Data!$C$5:$AG$2561,F$4)</f>
        <v>9.1</v>
      </c>
      <c r="C113">
        <f>VLOOKUP($A113,Data!$C$5:$AG$2561,G$4)</f>
        <v>0.6</v>
      </c>
    </row>
    <row r="114" spans="1:3" x14ac:dyDescent="0.25">
      <c r="A114">
        <v>2019108</v>
      </c>
      <c r="B114">
        <f>VLOOKUP($A114,Data!$C$5:$AG$2561,F$4)</f>
        <v>7.7</v>
      </c>
      <c r="C114">
        <f>VLOOKUP($A114,Data!$C$5:$AG$2561,G$4)</f>
        <v>0.5</v>
      </c>
    </row>
    <row r="115" spans="1:3" x14ac:dyDescent="0.25">
      <c r="A115">
        <v>2019109</v>
      </c>
      <c r="B115">
        <f>VLOOKUP($A115,Data!$C$5:$AG$2561,F$4)</f>
        <v>8.5</v>
      </c>
      <c r="C115">
        <f>VLOOKUP($A115,Data!$C$5:$AG$2561,G$4)</f>
        <v>0.5</v>
      </c>
    </row>
    <row r="116" spans="1:3" x14ac:dyDescent="0.25">
      <c r="A116">
        <v>2019110</v>
      </c>
      <c r="B116">
        <f>VLOOKUP($A116,Data!$C$5:$AG$2561,F$4)</f>
        <v>7.2</v>
      </c>
      <c r="C116">
        <f>VLOOKUP($A116,Data!$C$5:$AG$2561,G$4)</f>
        <v>-5</v>
      </c>
    </row>
    <row r="117" spans="1:3" x14ac:dyDescent="0.25">
      <c r="A117">
        <v>2019111</v>
      </c>
      <c r="B117">
        <f>VLOOKUP($A117,Data!$C$5:$AG$2561,F$4)</f>
        <v>12.8</v>
      </c>
      <c r="C117">
        <f>VLOOKUP($A117,Data!$C$5:$AG$2561,G$4)</f>
        <v>-7.4</v>
      </c>
    </row>
    <row r="118" spans="1:3" x14ac:dyDescent="0.25">
      <c r="A118">
        <v>2019112</v>
      </c>
      <c r="B118">
        <f>VLOOKUP($A118,Data!$C$5:$AG$2561,F$4)</f>
        <v>10.199999999999999</v>
      </c>
      <c r="C118">
        <f>VLOOKUP($A118,Data!$C$5:$AG$2561,G$4)</f>
        <v>-3.6</v>
      </c>
    </row>
    <row r="119" spans="1:3" x14ac:dyDescent="0.25">
      <c r="A119">
        <v>2019113</v>
      </c>
      <c r="B119">
        <f>VLOOKUP($A119,Data!$C$5:$AG$2561,F$4)</f>
        <v>9.4</v>
      </c>
      <c r="C119">
        <f>VLOOKUP($A119,Data!$C$5:$AG$2561,G$4)</f>
        <v>-2.2999999999999998</v>
      </c>
    </row>
    <row r="120" spans="1:3" x14ac:dyDescent="0.25">
      <c r="A120">
        <v>2019114</v>
      </c>
      <c r="B120">
        <f>VLOOKUP($A120,Data!$C$5:$AG$2561,F$4)</f>
        <v>8.1</v>
      </c>
      <c r="C120">
        <f>VLOOKUP($A120,Data!$C$5:$AG$2561,G$4)</f>
        <v>-4.3</v>
      </c>
    </row>
    <row r="121" spans="1:3" x14ac:dyDescent="0.25">
      <c r="A121">
        <v>2019115</v>
      </c>
      <c r="B121">
        <f>VLOOKUP($A121,Data!$C$5:$AG$2561,F$4)</f>
        <v>11.5</v>
      </c>
      <c r="C121">
        <f>VLOOKUP($A121,Data!$C$5:$AG$2561,G$4)</f>
        <v>-6.9</v>
      </c>
    </row>
    <row r="122" spans="1:3" x14ac:dyDescent="0.25">
      <c r="A122">
        <v>2019116</v>
      </c>
      <c r="B122">
        <f>VLOOKUP($A122,Data!$C$5:$AG$2561,F$4)</f>
        <v>9.6</v>
      </c>
      <c r="C122">
        <f>VLOOKUP($A122,Data!$C$5:$AG$2561,G$4)</f>
        <v>-2.5</v>
      </c>
    </row>
    <row r="123" spans="1:3" x14ac:dyDescent="0.25">
      <c r="A123">
        <v>2019117</v>
      </c>
      <c r="B123">
        <f>VLOOKUP($A123,Data!$C$5:$AG$2561,F$4)</f>
        <v>0.4</v>
      </c>
      <c r="C123">
        <f>VLOOKUP($A123,Data!$C$5:$AG$2561,G$4)</f>
        <v>-4.0999999999999996</v>
      </c>
    </row>
    <row r="124" spans="1:3" x14ac:dyDescent="0.25">
      <c r="A124">
        <v>2019118</v>
      </c>
      <c r="B124">
        <f>VLOOKUP($A124,Data!$C$5:$AG$2561,F$4)</f>
        <v>5.8</v>
      </c>
      <c r="C124">
        <f>VLOOKUP($A124,Data!$C$5:$AG$2561,G$4)</f>
        <v>-6</v>
      </c>
    </row>
    <row r="125" spans="1:3" x14ac:dyDescent="0.25">
      <c r="A125">
        <v>2019119</v>
      </c>
      <c r="B125">
        <f>VLOOKUP($A125,Data!$C$5:$AG$2561,F$4)</f>
        <v>6.2</v>
      </c>
      <c r="C125">
        <f>VLOOKUP($A125,Data!$C$5:$AG$2561,G$4)</f>
        <v>-8.1999999999999993</v>
      </c>
    </row>
    <row r="126" spans="1:3" x14ac:dyDescent="0.25">
      <c r="A126">
        <v>2019120</v>
      </c>
      <c r="B126">
        <f>VLOOKUP($A126,Data!$C$5:$AG$2561,F$4)</f>
        <v>6.8</v>
      </c>
      <c r="C126">
        <f>VLOOKUP($A126,Data!$C$5:$AG$2561,G$4)</f>
        <v>-9.1</v>
      </c>
    </row>
    <row r="127" spans="1:3" x14ac:dyDescent="0.25">
      <c r="A127">
        <v>2019121</v>
      </c>
      <c r="B127">
        <f>VLOOKUP($A127,Data!$C$5:$AG$2561,F$4)</f>
        <v>7.8</v>
      </c>
      <c r="C127">
        <f>VLOOKUP($A127,Data!$C$5:$AG$2561,G$4)</f>
        <v>-2</v>
      </c>
    </row>
    <row r="128" spans="1:3" x14ac:dyDescent="0.25">
      <c r="A128">
        <v>2019122</v>
      </c>
      <c r="B128">
        <f>VLOOKUP($A128,Data!$C$5:$AG$2561,F$4)</f>
        <v>9.3000000000000007</v>
      </c>
      <c r="C128">
        <f>VLOOKUP($A128,Data!$C$5:$AG$2561,G$4)</f>
        <v>-2.7</v>
      </c>
    </row>
    <row r="129" spans="1:3" x14ac:dyDescent="0.25">
      <c r="A129">
        <v>2019123</v>
      </c>
      <c r="B129">
        <f>VLOOKUP($A129,Data!$C$5:$AG$2561,F$4)</f>
        <v>13.6</v>
      </c>
      <c r="C129">
        <f>VLOOKUP($A129,Data!$C$5:$AG$2561,G$4)</f>
        <v>-3.2</v>
      </c>
    </row>
    <row r="130" spans="1:3" x14ac:dyDescent="0.25">
      <c r="A130">
        <v>2019124</v>
      </c>
      <c r="B130">
        <f>VLOOKUP($A130,Data!$C$5:$AG$2561,F$4)</f>
        <v>13.6</v>
      </c>
      <c r="C130">
        <f>VLOOKUP($A130,Data!$C$5:$AG$2561,G$4)</f>
        <v>-2.2999999999999998</v>
      </c>
    </row>
    <row r="131" spans="1:3" x14ac:dyDescent="0.25">
      <c r="A131">
        <v>2019125</v>
      </c>
      <c r="B131">
        <f>VLOOKUP($A131,Data!$C$5:$AG$2561,F$4)</f>
        <v>13.1</v>
      </c>
      <c r="C131">
        <f>VLOOKUP($A131,Data!$C$5:$AG$2561,G$4)</f>
        <v>-2.9</v>
      </c>
    </row>
    <row r="132" spans="1:3" x14ac:dyDescent="0.25">
      <c r="A132">
        <v>2019126</v>
      </c>
      <c r="B132">
        <f>VLOOKUP($A132,Data!$C$5:$AG$2561,F$4)</f>
        <v>15</v>
      </c>
      <c r="C132">
        <f>VLOOKUP($A132,Data!$C$5:$AG$2561,G$4)</f>
        <v>-2.4</v>
      </c>
    </row>
    <row r="133" spans="1:3" x14ac:dyDescent="0.25">
      <c r="A133">
        <v>2019127</v>
      </c>
      <c r="B133">
        <f>VLOOKUP($A133,Data!$C$5:$AG$2561,F$4)</f>
        <v>14.2</v>
      </c>
      <c r="C133">
        <f>VLOOKUP($A133,Data!$C$5:$AG$2561,G$4)</f>
        <v>-2.1</v>
      </c>
    </row>
    <row r="134" spans="1:3" x14ac:dyDescent="0.25">
      <c r="A134">
        <v>2019128</v>
      </c>
      <c r="B134">
        <f>VLOOKUP($A134,Data!$C$5:$AG$2561,F$4)</f>
        <v>14.8</v>
      </c>
      <c r="C134">
        <f>VLOOKUP($A134,Data!$C$5:$AG$2561,G$4)</f>
        <v>-1.4</v>
      </c>
    </row>
    <row r="135" spans="1:3" x14ac:dyDescent="0.25">
      <c r="A135">
        <v>2019129</v>
      </c>
      <c r="B135">
        <f>VLOOKUP($A135,Data!$C$5:$AG$2561,F$4)</f>
        <v>17.899999999999999</v>
      </c>
      <c r="C135">
        <f>VLOOKUP($A135,Data!$C$5:$AG$2561,G$4)</f>
        <v>-2.4</v>
      </c>
    </row>
    <row r="136" spans="1:3" x14ac:dyDescent="0.25">
      <c r="A136">
        <v>2019130</v>
      </c>
      <c r="B136">
        <f>VLOOKUP($A136,Data!$C$5:$AG$2561,F$4)</f>
        <v>20</v>
      </c>
      <c r="C136">
        <f>VLOOKUP($A136,Data!$C$5:$AG$2561,G$4)</f>
        <v>-0.9</v>
      </c>
    </row>
    <row r="137" spans="1:3" x14ac:dyDescent="0.25">
      <c r="A137">
        <v>2019131</v>
      </c>
      <c r="B137">
        <f>VLOOKUP($A137,Data!$C$5:$AG$2561,F$4)</f>
        <v>21.5</v>
      </c>
      <c r="C137">
        <f>VLOOKUP($A137,Data!$C$5:$AG$2561,G$4)</f>
        <v>0.4</v>
      </c>
    </row>
    <row r="138" spans="1:3" x14ac:dyDescent="0.25">
      <c r="A138">
        <v>2019132</v>
      </c>
      <c r="B138">
        <f>VLOOKUP($A138,Data!$C$5:$AG$2561,F$4)</f>
        <v>19.899999999999999</v>
      </c>
      <c r="C138">
        <f>VLOOKUP($A138,Data!$C$5:$AG$2561,G$4)</f>
        <v>2</v>
      </c>
    </row>
    <row r="139" spans="1:3" x14ac:dyDescent="0.25">
      <c r="A139">
        <v>2019133</v>
      </c>
      <c r="B139">
        <f>VLOOKUP($A139,Data!$C$5:$AG$2561,F$4)</f>
        <v>18.100000000000001</v>
      </c>
      <c r="C139">
        <f>VLOOKUP($A139,Data!$C$5:$AG$2561,G$4)</f>
        <v>-1.2</v>
      </c>
    </row>
    <row r="140" spans="1:3" x14ac:dyDescent="0.25">
      <c r="A140">
        <v>2019134</v>
      </c>
      <c r="B140">
        <f>VLOOKUP($A140,Data!$C$5:$AG$2561,F$4)</f>
        <v>12.1</v>
      </c>
      <c r="C140">
        <f>VLOOKUP($A140,Data!$C$5:$AG$2561,G$4)</f>
        <v>-1.4</v>
      </c>
    </row>
    <row r="141" spans="1:3" x14ac:dyDescent="0.25">
      <c r="A141">
        <v>2019135</v>
      </c>
      <c r="B141">
        <f>VLOOKUP($A141,Data!$C$5:$AG$2561,F$4)</f>
        <v>15.1</v>
      </c>
      <c r="C141">
        <f>VLOOKUP($A141,Data!$C$5:$AG$2561,G$4)</f>
        <v>-1.7</v>
      </c>
    </row>
    <row r="142" spans="1:3" x14ac:dyDescent="0.25">
      <c r="A142">
        <v>2019136</v>
      </c>
      <c r="B142">
        <f>VLOOKUP($A142,Data!$C$5:$AG$2561,F$4)</f>
        <v>12.2</v>
      </c>
      <c r="C142">
        <f>VLOOKUP($A142,Data!$C$5:$AG$2561,G$4)</f>
        <v>5.5</v>
      </c>
    </row>
    <row r="143" spans="1:3" x14ac:dyDescent="0.25">
      <c r="A143">
        <v>2019137</v>
      </c>
      <c r="B143">
        <f>VLOOKUP($A143,Data!$C$5:$AG$2561,F$4)</f>
        <v>7.6</v>
      </c>
      <c r="C143">
        <f>VLOOKUP($A143,Data!$C$5:$AG$2561,G$4)</f>
        <v>0.5</v>
      </c>
    </row>
    <row r="144" spans="1:3" x14ac:dyDescent="0.25">
      <c r="A144">
        <v>2019138</v>
      </c>
      <c r="B144">
        <f>VLOOKUP($A144,Data!$C$5:$AG$2561,F$4)</f>
        <v>10.9</v>
      </c>
      <c r="C144">
        <f>VLOOKUP($A144,Data!$C$5:$AG$2561,G$4)</f>
        <v>1.1000000000000001</v>
      </c>
    </row>
    <row r="145" spans="1:3" x14ac:dyDescent="0.25">
      <c r="A145">
        <v>2019139</v>
      </c>
      <c r="B145">
        <f>VLOOKUP($A145,Data!$C$5:$AG$2561,F$4)</f>
        <v>11.7</v>
      </c>
      <c r="C145">
        <f>VLOOKUP($A145,Data!$C$5:$AG$2561,G$4)</f>
        <v>2.8</v>
      </c>
    </row>
    <row r="146" spans="1:3" x14ac:dyDescent="0.25">
      <c r="A146">
        <v>2019140</v>
      </c>
      <c r="B146">
        <f>VLOOKUP($A146,Data!$C$5:$AG$2561,F$4)</f>
        <v>11.6</v>
      </c>
      <c r="C146">
        <f>VLOOKUP($A146,Data!$C$5:$AG$2561,G$4)</f>
        <v>2.2999999999999998</v>
      </c>
    </row>
    <row r="147" spans="1:3" x14ac:dyDescent="0.25">
      <c r="A147">
        <v>2019141</v>
      </c>
      <c r="B147">
        <f>VLOOKUP($A147,Data!$C$5:$AG$2561,F$4)</f>
        <v>9.8000000000000007</v>
      </c>
      <c r="C147">
        <f>VLOOKUP($A147,Data!$C$5:$AG$2561,G$4)</f>
        <v>2.1</v>
      </c>
    </row>
    <row r="148" spans="1:3" x14ac:dyDescent="0.25">
      <c r="A148">
        <v>2019142</v>
      </c>
      <c r="B148">
        <f>VLOOKUP($A148,Data!$C$5:$AG$2561,F$4)</f>
        <v>14.8</v>
      </c>
      <c r="C148">
        <f>VLOOKUP($A148,Data!$C$5:$AG$2561,G$4)</f>
        <v>-0.8</v>
      </c>
    </row>
    <row r="149" spans="1:3" x14ac:dyDescent="0.25">
      <c r="A149">
        <v>2019143</v>
      </c>
      <c r="B149">
        <f>VLOOKUP($A149,Data!$C$5:$AG$2561,F$4)</f>
        <v>15.9</v>
      </c>
      <c r="C149">
        <f>VLOOKUP($A149,Data!$C$5:$AG$2561,G$4)</f>
        <v>0.6</v>
      </c>
    </row>
    <row r="150" spans="1:3" x14ac:dyDescent="0.25">
      <c r="A150">
        <v>2019144</v>
      </c>
      <c r="B150">
        <f>VLOOKUP($A150,Data!$C$5:$AG$2561,F$4)</f>
        <v>16.3</v>
      </c>
      <c r="C150">
        <f>VLOOKUP($A150,Data!$C$5:$AG$2561,G$4)</f>
        <v>0.6</v>
      </c>
    </row>
    <row r="151" spans="1:3" x14ac:dyDescent="0.25">
      <c r="A151">
        <v>2019145</v>
      </c>
      <c r="B151">
        <f>VLOOKUP($A151,Data!$C$5:$AG$2561,F$4)</f>
        <v>10</v>
      </c>
      <c r="C151">
        <f>VLOOKUP($A151,Data!$C$5:$AG$2561,G$4)</f>
        <v>3.9</v>
      </c>
    </row>
    <row r="152" spans="1:3" x14ac:dyDescent="0.25">
      <c r="A152">
        <v>2019146</v>
      </c>
      <c r="B152">
        <f>VLOOKUP($A152,Data!$C$5:$AG$2561,F$4)</f>
        <v>15.5</v>
      </c>
      <c r="C152">
        <f>VLOOKUP($A152,Data!$C$5:$AG$2561,G$4)</f>
        <v>1.8</v>
      </c>
    </row>
    <row r="153" spans="1:3" x14ac:dyDescent="0.25">
      <c r="A153">
        <v>2019147</v>
      </c>
      <c r="B153">
        <f>VLOOKUP($A153,Data!$C$5:$AG$2561,F$4)</f>
        <v>19.399999999999999</v>
      </c>
      <c r="C153">
        <f>VLOOKUP($A153,Data!$C$5:$AG$2561,G$4)</f>
        <v>-0.7</v>
      </c>
    </row>
    <row r="154" spans="1:3" x14ac:dyDescent="0.25">
      <c r="A154">
        <v>2019148</v>
      </c>
      <c r="B154">
        <f>VLOOKUP($A154,Data!$C$5:$AG$2561,F$4)</f>
        <v>22.3</v>
      </c>
      <c r="C154">
        <f>VLOOKUP($A154,Data!$C$5:$AG$2561,G$4)</f>
        <v>0.2</v>
      </c>
    </row>
    <row r="155" spans="1:3" x14ac:dyDescent="0.25">
      <c r="A155">
        <v>2019149</v>
      </c>
      <c r="B155">
        <f>VLOOKUP($A155,Data!$C$5:$AG$2561,F$4)</f>
        <v>23.3</v>
      </c>
      <c r="C155">
        <f>VLOOKUP($A155,Data!$C$5:$AG$2561,G$4)</f>
        <v>2.2000000000000002</v>
      </c>
    </row>
    <row r="156" spans="1:3" x14ac:dyDescent="0.25">
      <c r="A156">
        <v>2019150</v>
      </c>
      <c r="B156">
        <f>VLOOKUP($A156,Data!$C$5:$AG$2561,F$4)</f>
        <v>21.7</v>
      </c>
      <c r="C156">
        <f>VLOOKUP($A156,Data!$C$5:$AG$2561,G$4)</f>
        <v>3.9</v>
      </c>
    </row>
    <row r="157" spans="1:3" x14ac:dyDescent="0.25">
      <c r="A157">
        <v>2019151</v>
      </c>
      <c r="B157">
        <f>VLOOKUP($A157,Data!$C$5:$AG$2561,F$4)</f>
        <v>21.8</v>
      </c>
      <c r="C157">
        <f>VLOOKUP($A157,Data!$C$5:$AG$2561,G$4)</f>
        <v>3.5</v>
      </c>
    </row>
    <row r="158" spans="1:3" x14ac:dyDescent="0.25">
      <c r="A158">
        <v>2019152</v>
      </c>
      <c r="B158">
        <f>VLOOKUP($A158,Data!$C$5:$AG$2561,F$4)</f>
        <v>23.8</v>
      </c>
      <c r="C158">
        <f>VLOOKUP($A158,Data!$C$5:$AG$2561,G$4)</f>
        <v>3.7</v>
      </c>
    </row>
    <row r="159" spans="1:3" x14ac:dyDescent="0.25">
      <c r="A159">
        <v>2019153</v>
      </c>
      <c r="B159">
        <f>VLOOKUP($A159,Data!$C$5:$AG$2561,F$4)</f>
        <v>23.4</v>
      </c>
      <c r="C159">
        <f>VLOOKUP($A159,Data!$C$5:$AG$2561,G$4)</f>
        <v>2.6</v>
      </c>
    </row>
    <row r="160" spans="1:3" x14ac:dyDescent="0.25">
      <c r="A160">
        <v>2019154</v>
      </c>
      <c r="B160">
        <f>VLOOKUP($A160,Data!$C$5:$AG$2561,F$4)</f>
        <v>16.7</v>
      </c>
      <c r="C160">
        <f>VLOOKUP($A160,Data!$C$5:$AG$2561,G$4)</f>
        <v>1.3</v>
      </c>
    </row>
    <row r="161" spans="1:3" x14ac:dyDescent="0.25">
      <c r="A161">
        <v>2019155</v>
      </c>
      <c r="B161">
        <f>VLOOKUP($A161,Data!$C$5:$AG$2561,F$4)</f>
        <v>16</v>
      </c>
      <c r="C161">
        <f>VLOOKUP($A161,Data!$C$5:$AG$2561,G$4)</f>
        <v>-1.3</v>
      </c>
    </row>
    <row r="162" spans="1:3" x14ac:dyDescent="0.25">
      <c r="A162">
        <v>2019156</v>
      </c>
      <c r="B162">
        <f>VLOOKUP($A162,Data!$C$5:$AG$2561,F$4)</f>
        <v>14.8</v>
      </c>
      <c r="C162">
        <f>VLOOKUP($A162,Data!$C$5:$AG$2561,G$4)</f>
        <v>3.4</v>
      </c>
    </row>
    <row r="163" spans="1:3" x14ac:dyDescent="0.25">
      <c r="A163">
        <v>2019157</v>
      </c>
      <c r="B163">
        <f>VLOOKUP($A163,Data!$C$5:$AG$2561,F$4)</f>
        <v>10.3</v>
      </c>
      <c r="C163">
        <f>VLOOKUP($A163,Data!$C$5:$AG$2561,G$4)</f>
        <v>-0.6</v>
      </c>
    </row>
    <row r="164" spans="1:3" x14ac:dyDescent="0.25">
      <c r="A164">
        <v>2019158</v>
      </c>
      <c r="B164">
        <f>VLOOKUP($A164,Data!$C$5:$AG$2561,F$4)</f>
        <v>8</v>
      </c>
      <c r="C164">
        <f>VLOOKUP($A164,Data!$C$5:$AG$2561,G$4)</f>
        <v>-2.2999999999999998</v>
      </c>
    </row>
    <row r="165" spans="1:3" x14ac:dyDescent="0.25">
      <c r="A165">
        <v>2019159</v>
      </c>
      <c r="B165">
        <f>VLOOKUP($A165,Data!$C$5:$AG$2561,F$4)</f>
        <v>11.4</v>
      </c>
      <c r="C165">
        <f>VLOOKUP($A165,Data!$C$5:$AG$2561,G$4)</f>
        <v>-1.2</v>
      </c>
    </row>
    <row r="166" spans="1:3" x14ac:dyDescent="0.25">
      <c r="A166">
        <v>2019160</v>
      </c>
      <c r="B166">
        <f>VLOOKUP($A166,Data!$C$5:$AG$2561,F$4)</f>
        <v>16.399999999999999</v>
      </c>
      <c r="C166">
        <f>VLOOKUP($A166,Data!$C$5:$AG$2561,G$4)</f>
        <v>-1.7</v>
      </c>
    </row>
    <row r="167" spans="1:3" x14ac:dyDescent="0.25">
      <c r="A167">
        <v>2019161</v>
      </c>
      <c r="B167">
        <f>VLOOKUP($A167,Data!$C$5:$AG$2561,F$4)</f>
        <v>14.1</v>
      </c>
      <c r="C167">
        <f>VLOOKUP($A167,Data!$C$5:$AG$2561,G$4)</f>
        <v>0.4</v>
      </c>
    </row>
    <row r="168" spans="1:3" x14ac:dyDescent="0.25">
      <c r="A168">
        <v>2019162</v>
      </c>
      <c r="B168">
        <f>VLOOKUP($A168,Data!$C$5:$AG$2561,F$4)</f>
        <v>20.399999999999999</v>
      </c>
      <c r="C168">
        <f>VLOOKUP($A168,Data!$C$5:$AG$2561,G$4)</f>
        <v>4</v>
      </c>
    </row>
    <row r="169" spans="1:3" x14ac:dyDescent="0.25">
      <c r="A169">
        <v>2019163</v>
      </c>
      <c r="B169">
        <f>VLOOKUP($A169,Data!$C$5:$AG$2561,F$4)</f>
        <v>25.4</v>
      </c>
      <c r="C169">
        <f>VLOOKUP($A169,Data!$C$5:$AG$2561,G$4)</f>
        <v>3.2</v>
      </c>
    </row>
    <row r="170" spans="1:3" x14ac:dyDescent="0.25">
      <c r="A170">
        <v>2019164</v>
      </c>
      <c r="B170">
        <f>VLOOKUP($A170,Data!$C$5:$AG$2561,F$4)</f>
        <v>23.4</v>
      </c>
      <c r="C170">
        <f>VLOOKUP($A170,Data!$C$5:$AG$2561,G$4)</f>
        <v>7.3</v>
      </c>
    </row>
    <row r="171" spans="1:3" x14ac:dyDescent="0.25">
      <c r="A171">
        <v>2019165</v>
      </c>
      <c r="B171">
        <f>VLOOKUP($A171,Data!$C$5:$AG$2561,F$4)</f>
        <v>22.5</v>
      </c>
      <c r="C171">
        <f>VLOOKUP($A171,Data!$C$5:$AG$2561,G$4)</f>
        <v>3.7</v>
      </c>
    </row>
    <row r="172" spans="1:3" x14ac:dyDescent="0.25">
      <c r="A172">
        <v>2019166</v>
      </c>
      <c r="B172">
        <f>VLOOKUP($A172,Data!$C$5:$AG$2561,F$4)</f>
        <v>22.7</v>
      </c>
      <c r="C172">
        <f>VLOOKUP($A172,Data!$C$5:$AG$2561,G$4)</f>
        <v>4.9000000000000004</v>
      </c>
    </row>
    <row r="173" spans="1:3" x14ac:dyDescent="0.25">
      <c r="A173">
        <v>2019167</v>
      </c>
      <c r="B173">
        <f>VLOOKUP($A173,Data!$C$5:$AG$2561,F$4)</f>
        <v>22.1</v>
      </c>
      <c r="C173">
        <f>VLOOKUP($A173,Data!$C$5:$AG$2561,G$4)</f>
        <v>4</v>
      </c>
    </row>
    <row r="174" spans="1:3" x14ac:dyDescent="0.25">
      <c r="A174">
        <v>2019168</v>
      </c>
      <c r="B174">
        <f>VLOOKUP($A174,Data!$C$5:$AG$2561,F$4)</f>
        <v>24</v>
      </c>
      <c r="C174">
        <f>VLOOKUP($A174,Data!$C$5:$AG$2561,G$4)</f>
        <v>4.7</v>
      </c>
    </row>
    <row r="175" spans="1:3" x14ac:dyDescent="0.25">
      <c r="A175">
        <v>2019169</v>
      </c>
      <c r="B175">
        <f>VLOOKUP($A175,Data!$C$5:$AG$2561,F$4)</f>
        <v>19.7</v>
      </c>
      <c r="C175">
        <f>VLOOKUP($A175,Data!$C$5:$AG$2561,G$4)</f>
        <v>5.7</v>
      </c>
    </row>
    <row r="176" spans="1:3" x14ac:dyDescent="0.25">
      <c r="A176">
        <v>2019170</v>
      </c>
      <c r="B176">
        <f>VLOOKUP($A176,Data!$C$5:$AG$2561,F$4)</f>
        <v>9.4</v>
      </c>
      <c r="C176">
        <f>VLOOKUP($A176,Data!$C$5:$AG$2561,G$4)</f>
        <v>0.9</v>
      </c>
    </row>
    <row r="177" spans="1:3" x14ac:dyDescent="0.25">
      <c r="A177">
        <v>2019171</v>
      </c>
      <c r="B177">
        <f>VLOOKUP($A177,Data!$C$5:$AG$2561,F$4)</f>
        <v>4.5</v>
      </c>
      <c r="C177">
        <f>VLOOKUP($A177,Data!$C$5:$AG$2561,G$4)</f>
        <v>1.2</v>
      </c>
    </row>
    <row r="178" spans="1:3" x14ac:dyDescent="0.25">
      <c r="A178">
        <v>2019172</v>
      </c>
      <c r="B178">
        <f>VLOOKUP($A178,Data!$C$5:$AG$2561,F$4)</f>
        <v>15.8</v>
      </c>
      <c r="C178">
        <f>VLOOKUP($A178,Data!$C$5:$AG$2561,G$4)</f>
        <v>3.5</v>
      </c>
    </row>
    <row r="179" spans="1:3" x14ac:dyDescent="0.25">
      <c r="A179">
        <v>2019173</v>
      </c>
      <c r="B179">
        <f>VLOOKUP($A179,Data!$C$5:$AG$2561,F$4)</f>
        <v>15.9</v>
      </c>
      <c r="C179">
        <f>VLOOKUP($A179,Data!$C$5:$AG$2561,G$4)</f>
        <v>2.7</v>
      </c>
    </row>
    <row r="180" spans="1:3" x14ac:dyDescent="0.25">
      <c r="A180">
        <v>2019174</v>
      </c>
      <c r="B180">
        <f>VLOOKUP($A180,Data!$C$5:$AG$2561,F$4)</f>
        <v>14.1</v>
      </c>
      <c r="C180">
        <f>VLOOKUP($A180,Data!$C$5:$AG$2561,G$4)</f>
        <v>4.8</v>
      </c>
    </row>
    <row r="181" spans="1:3" x14ac:dyDescent="0.25">
      <c r="A181">
        <v>2019175</v>
      </c>
      <c r="B181">
        <f>VLOOKUP($A181,Data!$C$5:$AG$2561,F$4)</f>
        <v>13.1</v>
      </c>
      <c r="C181">
        <f>VLOOKUP($A181,Data!$C$5:$AG$2561,G$4)</f>
        <v>1.3</v>
      </c>
    </row>
    <row r="182" spans="1:3" x14ac:dyDescent="0.25">
      <c r="A182">
        <v>2019176</v>
      </c>
      <c r="B182">
        <f>VLOOKUP($A182,Data!$C$5:$AG$2561,F$4)</f>
        <v>14.7</v>
      </c>
      <c r="C182">
        <f>VLOOKUP($A182,Data!$C$5:$AG$2561,G$4)</f>
        <v>1</v>
      </c>
    </row>
    <row r="183" spans="1:3" x14ac:dyDescent="0.25">
      <c r="A183">
        <v>2019177</v>
      </c>
      <c r="B183">
        <f>VLOOKUP($A183,Data!$C$5:$AG$2561,F$4)</f>
        <v>18.2</v>
      </c>
      <c r="C183">
        <f>VLOOKUP($A183,Data!$C$5:$AG$2561,G$4)</f>
        <v>0.1</v>
      </c>
    </row>
    <row r="184" spans="1:3" x14ac:dyDescent="0.25">
      <c r="A184">
        <v>2019178</v>
      </c>
      <c r="B184">
        <f>VLOOKUP($A184,Data!$C$5:$AG$2561,F$4)</f>
        <v>15.7</v>
      </c>
      <c r="C184">
        <f>VLOOKUP($A184,Data!$C$5:$AG$2561,G$4)</f>
        <v>4.5</v>
      </c>
    </row>
    <row r="185" spans="1:3" x14ac:dyDescent="0.25">
      <c r="A185">
        <v>2019179</v>
      </c>
      <c r="B185">
        <f>VLOOKUP($A185,Data!$C$5:$AG$2561,F$4)</f>
        <v>13.9</v>
      </c>
      <c r="C185">
        <f>VLOOKUP($A185,Data!$C$5:$AG$2561,G$4)</f>
        <v>0.1</v>
      </c>
    </row>
    <row r="186" spans="1:3" x14ac:dyDescent="0.25">
      <c r="A186">
        <v>2019180</v>
      </c>
      <c r="B186">
        <f>VLOOKUP($A186,Data!$C$5:$AG$2561,F$4)</f>
        <v>14.6</v>
      </c>
      <c r="C186">
        <f>VLOOKUP($A186,Data!$C$5:$AG$2561,G$4)</f>
        <v>-1.1000000000000001</v>
      </c>
    </row>
    <row r="187" spans="1:3" x14ac:dyDescent="0.25">
      <c r="A187">
        <v>2019181</v>
      </c>
      <c r="B187">
        <f>VLOOKUP($A187,Data!$C$5:$AG$2561,F$4)</f>
        <v>19.3</v>
      </c>
      <c r="C187">
        <f>VLOOKUP($A187,Data!$C$5:$AG$2561,G$4)</f>
        <v>1</v>
      </c>
    </row>
    <row r="188" spans="1:3" x14ac:dyDescent="0.25">
      <c r="A188">
        <v>2019182</v>
      </c>
      <c r="B188">
        <f>VLOOKUP($A188,Data!$C$5:$AG$2561,F$4)</f>
        <v>21.8</v>
      </c>
      <c r="C188">
        <f>VLOOKUP($A188,Data!$C$5:$AG$2561,G$4)</f>
        <v>1.9</v>
      </c>
    </row>
    <row r="189" spans="1:3" x14ac:dyDescent="0.25">
      <c r="A189">
        <v>2019183</v>
      </c>
      <c r="B189">
        <f>VLOOKUP($A189,Data!$C$5:$AG$2561,F$4)</f>
        <v>16</v>
      </c>
      <c r="C189">
        <f>VLOOKUP($A189,Data!$C$5:$AG$2561,G$4)</f>
        <v>6.1</v>
      </c>
    </row>
    <row r="190" spans="1:3" x14ac:dyDescent="0.25">
      <c r="A190">
        <v>2019184</v>
      </c>
      <c r="B190">
        <f>VLOOKUP($A190,Data!$C$5:$AG$2561,F$4)</f>
        <v>20.5</v>
      </c>
      <c r="C190">
        <f>VLOOKUP($A190,Data!$C$5:$AG$2561,G$4)</f>
        <v>2</v>
      </c>
    </row>
    <row r="191" spans="1:3" x14ac:dyDescent="0.25">
      <c r="A191">
        <v>2019185</v>
      </c>
      <c r="B191">
        <f>VLOOKUP($A191,Data!$C$5:$AG$2561,F$4)</f>
        <v>16.3</v>
      </c>
      <c r="C191">
        <f>VLOOKUP($A191,Data!$C$5:$AG$2561,G$4)</f>
        <v>7.9</v>
      </c>
    </row>
    <row r="192" spans="1:3" x14ac:dyDescent="0.25">
      <c r="A192">
        <v>2019186</v>
      </c>
      <c r="B192">
        <f>VLOOKUP($A192,Data!$C$5:$AG$2561,F$4)</f>
        <v>16.899999999999999</v>
      </c>
      <c r="C192">
        <f>VLOOKUP($A192,Data!$C$5:$AG$2561,G$4)</f>
        <v>6.4</v>
      </c>
    </row>
    <row r="193" spans="1:3" x14ac:dyDescent="0.25">
      <c r="A193">
        <v>2019187</v>
      </c>
      <c r="B193">
        <f>VLOOKUP($A193,Data!$C$5:$AG$2561,F$4)</f>
        <v>17</v>
      </c>
      <c r="C193">
        <f>VLOOKUP($A193,Data!$C$5:$AG$2561,G$4)</f>
        <v>3.9</v>
      </c>
    </row>
    <row r="194" spans="1:3" x14ac:dyDescent="0.25">
      <c r="A194">
        <v>2019188</v>
      </c>
      <c r="B194">
        <f>VLOOKUP($A194,Data!$C$5:$AG$2561,F$4)</f>
        <v>16</v>
      </c>
      <c r="C194">
        <f>VLOOKUP($A194,Data!$C$5:$AG$2561,G$4)</f>
        <v>3.6</v>
      </c>
    </row>
    <row r="195" spans="1:3" x14ac:dyDescent="0.25">
      <c r="A195">
        <v>2019189</v>
      </c>
      <c r="B195">
        <f>VLOOKUP($A195,Data!$C$5:$AG$2561,F$4)</f>
        <v>17.3</v>
      </c>
      <c r="C195">
        <f>VLOOKUP($A195,Data!$C$5:$AG$2561,G$4)</f>
        <v>1.4</v>
      </c>
    </row>
    <row r="196" spans="1:3" x14ac:dyDescent="0.25">
      <c r="A196">
        <v>2019190</v>
      </c>
      <c r="B196">
        <f>VLOOKUP($A196,Data!$C$5:$AG$2561,F$4)</f>
        <v>21.9</v>
      </c>
      <c r="C196">
        <f>VLOOKUP($A196,Data!$C$5:$AG$2561,G$4)</f>
        <v>2.9</v>
      </c>
    </row>
    <row r="197" spans="1:3" x14ac:dyDescent="0.25">
      <c r="A197">
        <v>2019191</v>
      </c>
      <c r="B197">
        <f>VLOOKUP($A197,Data!$C$5:$AG$2561,F$4)</f>
        <v>19.399999999999999</v>
      </c>
      <c r="C197">
        <f>VLOOKUP($A197,Data!$C$5:$AG$2561,G$4)</f>
        <v>7.9</v>
      </c>
    </row>
    <row r="198" spans="1:3" x14ac:dyDescent="0.25">
      <c r="A198">
        <v>2019192</v>
      </c>
      <c r="B198">
        <f>VLOOKUP($A198,Data!$C$5:$AG$2561,F$4)</f>
        <v>19.3</v>
      </c>
      <c r="C198">
        <f>VLOOKUP($A198,Data!$C$5:$AG$2561,G$4)</f>
        <v>7.1</v>
      </c>
    </row>
    <row r="199" spans="1:3" x14ac:dyDescent="0.25">
      <c r="A199">
        <v>2019193</v>
      </c>
      <c r="B199">
        <f>VLOOKUP($A199,Data!$C$5:$AG$2561,F$4)</f>
        <v>20.9</v>
      </c>
      <c r="C199">
        <f>VLOOKUP($A199,Data!$C$5:$AG$2561,G$4)</f>
        <v>4.5</v>
      </c>
    </row>
    <row r="200" spans="1:3" x14ac:dyDescent="0.25">
      <c r="A200">
        <v>2019194</v>
      </c>
      <c r="B200">
        <f>VLOOKUP($A200,Data!$C$5:$AG$2561,F$4)</f>
        <v>20.399999999999999</v>
      </c>
      <c r="C200">
        <f>VLOOKUP($A200,Data!$C$5:$AG$2561,G$4)</f>
        <v>4.4000000000000004</v>
      </c>
    </row>
    <row r="201" spans="1:3" x14ac:dyDescent="0.25">
      <c r="A201">
        <v>2019195</v>
      </c>
      <c r="B201">
        <f>VLOOKUP($A201,Data!$C$5:$AG$2561,F$4)</f>
        <v>18.5</v>
      </c>
      <c r="C201">
        <f>VLOOKUP($A201,Data!$C$5:$AG$2561,G$4)</f>
        <v>4.7</v>
      </c>
    </row>
    <row r="202" spans="1:3" x14ac:dyDescent="0.25">
      <c r="A202">
        <v>2019196</v>
      </c>
      <c r="B202">
        <f>VLOOKUP($A202,Data!$C$5:$AG$2561,F$4)</f>
        <v>19.399999999999999</v>
      </c>
      <c r="C202">
        <f>VLOOKUP($A202,Data!$C$5:$AG$2561,G$4)</f>
        <v>4.2</v>
      </c>
    </row>
    <row r="203" spans="1:3" x14ac:dyDescent="0.25">
      <c r="A203">
        <v>2019197</v>
      </c>
      <c r="B203">
        <f>VLOOKUP($A203,Data!$C$5:$AG$2561,F$4)</f>
        <v>19.5</v>
      </c>
      <c r="C203">
        <f>VLOOKUP($A203,Data!$C$5:$AG$2561,G$4)</f>
        <v>3.1</v>
      </c>
    </row>
    <row r="204" spans="1:3" x14ac:dyDescent="0.25">
      <c r="A204">
        <v>2019198</v>
      </c>
      <c r="B204">
        <f>VLOOKUP($A204,Data!$C$5:$AG$2561,F$4)</f>
        <v>15.3</v>
      </c>
      <c r="C204">
        <f>VLOOKUP($A204,Data!$C$5:$AG$2561,G$4)</f>
        <v>6</v>
      </c>
    </row>
    <row r="205" spans="1:3" x14ac:dyDescent="0.25">
      <c r="A205">
        <v>2019199</v>
      </c>
      <c r="B205">
        <f>VLOOKUP($A205,Data!$C$5:$AG$2561,F$4)</f>
        <v>12.2</v>
      </c>
      <c r="C205">
        <f>VLOOKUP($A205,Data!$C$5:$AG$2561,G$4)</f>
        <v>2.2000000000000002</v>
      </c>
    </row>
    <row r="206" spans="1:3" x14ac:dyDescent="0.25">
      <c r="A206">
        <v>2019200</v>
      </c>
      <c r="B206">
        <f>VLOOKUP($A206,Data!$C$5:$AG$2561,F$4)</f>
        <v>14.5</v>
      </c>
      <c r="C206">
        <f>VLOOKUP($A206,Data!$C$5:$AG$2561,G$4)</f>
        <v>1.5</v>
      </c>
    </row>
    <row r="207" spans="1:3" x14ac:dyDescent="0.25">
      <c r="A207">
        <v>2019201</v>
      </c>
      <c r="B207">
        <f>VLOOKUP($A207,Data!$C$5:$AG$2561,F$4)</f>
        <v>16.100000000000001</v>
      </c>
      <c r="C207">
        <f>VLOOKUP($A207,Data!$C$5:$AG$2561,G$4)</f>
        <v>3.2</v>
      </c>
    </row>
    <row r="208" spans="1:3" x14ac:dyDescent="0.25">
      <c r="A208">
        <v>2019202</v>
      </c>
      <c r="B208">
        <f>VLOOKUP($A208,Data!$C$5:$AG$2561,F$4)</f>
        <v>23.5</v>
      </c>
      <c r="C208">
        <f>VLOOKUP($A208,Data!$C$5:$AG$2561,G$4)</f>
        <v>2</v>
      </c>
    </row>
    <row r="209" spans="1:3" x14ac:dyDescent="0.25">
      <c r="A209">
        <v>2019203</v>
      </c>
      <c r="B209">
        <f>VLOOKUP($A209,Data!$C$5:$AG$2561,F$4)</f>
        <v>28</v>
      </c>
      <c r="C209">
        <f>VLOOKUP($A209,Data!$C$5:$AG$2561,G$4)</f>
        <v>4.2</v>
      </c>
    </row>
    <row r="210" spans="1:3" x14ac:dyDescent="0.25">
      <c r="A210">
        <v>2019204</v>
      </c>
      <c r="B210">
        <f>VLOOKUP($A210,Data!$C$5:$AG$2561,F$4)</f>
        <v>24.7</v>
      </c>
      <c r="C210">
        <f>VLOOKUP($A210,Data!$C$5:$AG$2561,G$4)</f>
        <v>7.3</v>
      </c>
    </row>
    <row r="211" spans="1:3" x14ac:dyDescent="0.25">
      <c r="A211">
        <v>2019205</v>
      </c>
      <c r="B211">
        <f>VLOOKUP($A211,Data!$C$5:$AG$2561,F$4)</f>
        <v>14.2</v>
      </c>
      <c r="C211">
        <f>VLOOKUP($A211,Data!$C$5:$AG$2561,G$4)</f>
        <v>0.9</v>
      </c>
    </row>
    <row r="212" spans="1:3" x14ac:dyDescent="0.25">
      <c r="A212">
        <v>2019206</v>
      </c>
      <c r="B212">
        <f>VLOOKUP($A212,Data!$C$5:$AG$2561,F$4)</f>
        <v>21.8</v>
      </c>
      <c r="C212">
        <f>VLOOKUP($A212,Data!$C$5:$AG$2561,G$4)</f>
        <v>0.5</v>
      </c>
    </row>
    <row r="213" spans="1:3" x14ac:dyDescent="0.25">
      <c r="A213">
        <v>2019207</v>
      </c>
      <c r="B213">
        <f>VLOOKUP($A213,Data!$C$5:$AG$2561,F$4)</f>
        <v>26.6</v>
      </c>
      <c r="C213">
        <f>VLOOKUP($A213,Data!$C$5:$AG$2561,G$4)</f>
        <v>3.9</v>
      </c>
    </row>
    <row r="214" spans="1:3" x14ac:dyDescent="0.25">
      <c r="A214">
        <v>2019208</v>
      </c>
      <c r="B214">
        <f>VLOOKUP($A214,Data!$C$5:$AG$2561,F$4)</f>
        <v>18.8</v>
      </c>
      <c r="C214">
        <f>VLOOKUP($A214,Data!$C$5:$AG$2561,G$4)</f>
        <v>3.4</v>
      </c>
    </row>
    <row r="215" spans="1:3" x14ac:dyDescent="0.25">
      <c r="A215">
        <v>2019209</v>
      </c>
      <c r="B215">
        <f>VLOOKUP($A215,Data!$C$5:$AG$2561,F$4)</f>
        <v>20.399999999999999</v>
      </c>
      <c r="C215">
        <f>VLOOKUP($A215,Data!$C$5:$AG$2561,G$4)</f>
        <v>1.6</v>
      </c>
    </row>
    <row r="216" spans="1:3" x14ac:dyDescent="0.25">
      <c r="A216">
        <v>2019210</v>
      </c>
      <c r="B216">
        <f>VLOOKUP($A216,Data!$C$5:$AG$2561,F$4)</f>
        <v>24.6</v>
      </c>
      <c r="C216">
        <f>VLOOKUP($A216,Data!$C$5:$AG$2561,G$4)</f>
        <v>3.4</v>
      </c>
    </row>
    <row r="217" spans="1:3" x14ac:dyDescent="0.25">
      <c r="A217">
        <v>2019211</v>
      </c>
      <c r="B217">
        <f>VLOOKUP($A217,Data!$C$5:$AG$2561,F$4)</f>
        <v>22.1</v>
      </c>
      <c r="C217">
        <f>VLOOKUP($A217,Data!$C$5:$AG$2561,G$4)</f>
        <v>6.1</v>
      </c>
    </row>
    <row r="218" spans="1:3" x14ac:dyDescent="0.25">
      <c r="A218">
        <v>2019212</v>
      </c>
      <c r="B218">
        <f>VLOOKUP($A218,Data!$C$5:$AG$2561,F$4)</f>
        <v>24.3</v>
      </c>
      <c r="C218">
        <f>VLOOKUP($A218,Data!$C$5:$AG$2561,G$4)</f>
        <v>2.8</v>
      </c>
    </row>
    <row r="219" spans="1:3" x14ac:dyDescent="0.25">
      <c r="A219">
        <v>2019213</v>
      </c>
      <c r="B219">
        <f>VLOOKUP($A219,Data!$C$5:$AG$2561,F$4)</f>
        <v>25.1</v>
      </c>
      <c r="C219">
        <f>VLOOKUP($A219,Data!$C$5:$AG$2561,G$4)</f>
        <v>4.5999999999999996</v>
      </c>
    </row>
    <row r="220" spans="1:3" x14ac:dyDescent="0.25">
      <c r="A220">
        <v>2019214</v>
      </c>
      <c r="B220">
        <f>VLOOKUP($A220,Data!$C$5:$AG$2561,F$4)</f>
        <v>22.5</v>
      </c>
      <c r="C220">
        <f>VLOOKUP($A220,Data!$C$5:$AG$2561,G$4)</f>
        <v>7.7</v>
      </c>
    </row>
    <row r="221" spans="1:3" x14ac:dyDescent="0.25">
      <c r="A221">
        <v>2019215</v>
      </c>
      <c r="B221">
        <f>VLOOKUP($A221,Data!$C$5:$AG$2561,F$4)</f>
        <v>19.100000000000001</v>
      </c>
      <c r="C221">
        <f>VLOOKUP($A221,Data!$C$5:$AG$2561,G$4)</f>
        <v>1.6</v>
      </c>
    </row>
    <row r="222" spans="1:3" x14ac:dyDescent="0.25">
      <c r="A222">
        <v>2019216</v>
      </c>
      <c r="B222">
        <f>VLOOKUP($A222,Data!$C$5:$AG$2561,F$4)</f>
        <v>22.2</v>
      </c>
      <c r="C222">
        <f>VLOOKUP($A222,Data!$C$5:$AG$2561,G$4)</f>
        <v>1.6</v>
      </c>
    </row>
    <row r="223" spans="1:3" x14ac:dyDescent="0.25">
      <c r="A223">
        <v>2019217</v>
      </c>
      <c r="B223">
        <f>VLOOKUP($A223,Data!$C$5:$AG$2561,F$4)</f>
        <v>26.8</v>
      </c>
      <c r="C223">
        <f>VLOOKUP($A223,Data!$C$5:$AG$2561,G$4)</f>
        <v>3.4</v>
      </c>
    </row>
    <row r="224" spans="1:3" x14ac:dyDescent="0.25">
      <c r="A224">
        <v>2019218</v>
      </c>
      <c r="B224">
        <f>VLOOKUP($A224,Data!$C$5:$AG$2561,F$4)</f>
        <v>29.5</v>
      </c>
      <c r="C224">
        <f>VLOOKUP($A224,Data!$C$5:$AG$2561,G$4)</f>
        <v>5.8</v>
      </c>
    </row>
    <row r="225" spans="1:3" x14ac:dyDescent="0.25">
      <c r="A225">
        <v>2019219</v>
      </c>
      <c r="B225">
        <f>VLOOKUP($A225,Data!$C$5:$AG$2561,F$4)</f>
        <v>29.2</v>
      </c>
      <c r="C225">
        <f>VLOOKUP($A225,Data!$C$5:$AG$2561,G$4)</f>
        <v>4.7</v>
      </c>
    </row>
    <row r="226" spans="1:3" x14ac:dyDescent="0.25">
      <c r="A226">
        <v>2019220</v>
      </c>
      <c r="B226">
        <f>VLOOKUP($A226,Data!$C$5:$AG$2561,F$4)</f>
        <v>27.9</v>
      </c>
      <c r="C226">
        <f>VLOOKUP($A226,Data!$C$5:$AG$2561,G$4)</f>
        <v>8.6</v>
      </c>
    </row>
    <row r="227" spans="1:3" x14ac:dyDescent="0.25">
      <c r="A227">
        <v>2019221</v>
      </c>
      <c r="B227">
        <f>VLOOKUP($A227,Data!$C$5:$AG$2561,F$4)</f>
        <v>25.6</v>
      </c>
      <c r="C227">
        <f>VLOOKUP($A227,Data!$C$5:$AG$2561,G$4)</f>
        <v>8.6999999999999993</v>
      </c>
    </row>
    <row r="228" spans="1:3" x14ac:dyDescent="0.25">
      <c r="A228">
        <v>2019222</v>
      </c>
      <c r="B228">
        <f>VLOOKUP($A228,Data!$C$5:$AG$2561,F$4)</f>
        <v>20.8</v>
      </c>
      <c r="C228">
        <f>VLOOKUP($A228,Data!$C$5:$AG$2561,G$4)</f>
        <v>9</v>
      </c>
    </row>
    <row r="229" spans="1:3" x14ac:dyDescent="0.25">
      <c r="A229">
        <v>2019223</v>
      </c>
      <c r="B229">
        <f>VLOOKUP($A229,Data!$C$5:$AG$2561,F$4)</f>
        <v>12.8</v>
      </c>
      <c r="C229">
        <f>VLOOKUP($A229,Data!$C$5:$AG$2561,G$4)</f>
        <v>8.1</v>
      </c>
    </row>
    <row r="230" spans="1:3" x14ac:dyDescent="0.25">
      <c r="A230">
        <v>2019224</v>
      </c>
      <c r="B230">
        <f>VLOOKUP($A230,Data!$C$5:$AG$2561,F$4)</f>
        <v>19.7</v>
      </c>
      <c r="C230">
        <f>VLOOKUP($A230,Data!$C$5:$AG$2561,G$4)</f>
        <v>6.3</v>
      </c>
    </row>
    <row r="231" spans="1:3" x14ac:dyDescent="0.25">
      <c r="A231">
        <v>2019225</v>
      </c>
      <c r="B231">
        <f>VLOOKUP($A231,Data!$C$5:$AG$2561,F$4)</f>
        <v>19.3</v>
      </c>
      <c r="C231">
        <f>VLOOKUP($A231,Data!$C$5:$AG$2561,G$4)</f>
        <v>3.8</v>
      </c>
    </row>
    <row r="232" spans="1:3" x14ac:dyDescent="0.25">
      <c r="A232">
        <v>2019226</v>
      </c>
      <c r="B232">
        <f>VLOOKUP($A232,Data!$C$5:$AG$2561,F$4)</f>
        <v>21.2</v>
      </c>
      <c r="C232">
        <f>VLOOKUP($A232,Data!$C$5:$AG$2561,G$4)</f>
        <v>5</v>
      </c>
    </row>
    <row r="233" spans="1:3" x14ac:dyDescent="0.25">
      <c r="A233">
        <v>2019227</v>
      </c>
      <c r="B233">
        <f>VLOOKUP($A233,Data!$C$5:$AG$2561,F$4)</f>
        <v>22.3</v>
      </c>
      <c r="C233">
        <f>VLOOKUP($A233,Data!$C$5:$AG$2561,G$4)</f>
        <v>3.8</v>
      </c>
    </row>
    <row r="234" spans="1:3" x14ac:dyDescent="0.25">
      <c r="A234">
        <v>2019228</v>
      </c>
      <c r="B234">
        <f>VLOOKUP($A234,Data!$C$5:$AG$2561,F$4)</f>
        <v>16.5</v>
      </c>
      <c r="C234">
        <f>VLOOKUP($A234,Data!$C$5:$AG$2561,G$4)</f>
        <v>4.8</v>
      </c>
    </row>
    <row r="235" spans="1:3" x14ac:dyDescent="0.25">
      <c r="A235">
        <v>2019229</v>
      </c>
      <c r="B235">
        <f>VLOOKUP($A235,Data!$C$5:$AG$2561,F$4)</f>
        <v>18.399999999999999</v>
      </c>
      <c r="C235">
        <f>VLOOKUP($A235,Data!$C$5:$AG$2561,G$4)</f>
        <v>3.1</v>
      </c>
    </row>
    <row r="236" spans="1:3" x14ac:dyDescent="0.25">
      <c r="A236">
        <v>2019230</v>
      </c>
      <c r="B236">
        <f>VLOOKUP($A236,Data!$C$5:$AG$2561,F$4)</f>
        <v>23</v>
      </c>
      <c r="C236">
        <f>VLOOKUP($A236,Data!$C$5:$AG$2561,G$4)</f>
        <v>2</v>
      </c>
    </row>
    <row r="237" spans="1:3" x14ac:dyDescent="0.25">
      <c r="A237">
        <v>2019231</v>
      </c>
      <c r="B237">
        <f>VLOOKUP($A237,Data!$C$5:$AG$2561,F$4)</f>
        <v>22.3</v>
      </c>
      <c r="C237">
        <f>VLOOKUP($A237,Data!$C$5:$AG$2561,G$4)</f>
        <v>4.8</v>
      </c>
    </row>
    <row r="238" spans="1:3" x14ac:dyDescent="0.25">
      <c r="A238">
        <v>2019232</v>
      </c>
      <c r="B238">
        <f>VLOOKUP($A238,Data!$C$5:$AG$2561,F$4)</f>
        <v>25.8</v>
      </c>
      <c r="C238">
        <f>VLOOKUP($A238,Data!$C$5:$AG$2561,G$4)</f>
        <v>3.2</v>
      </c>
    </row>
    <row r="239" spans="1:3" x14ac:dyDescent="0.25">
      <c r="A239">
        <v>2019233</v>
      </c>
      <c r="B239">
        <f>VLOOKUP($A239,Data!$C$5:$AG$2561,F$4)</f>
        <v>21.2</v>
      </c>
      <c r="C239">
        <f>VLOOKUP($A239,Data!$C$5:$AG$2561,G$4)</f>
        <v>6.2</v>
      </c>
    </row>
    <row r="240" spans="1:3" x14ac:dyDescent="0.25">
      <c r="A240">
        <v>2019234</v>
      </c>
      <c r="B240">
        <f>VLOOKUP($A240,Data!$C$5:$AG$2561,F$4)</f>
        <v>18.7</v>
      </c>
      <c r="C240">
        <f>VLOOKUP($A240,Data!$C$5:$AG$2561,G$4)</f>
        <v>1.9</v>
      </c>
    </row>
    <row r="241" spans="1:3" x14ac:dyDescent="0.25">
      <c r="A241">
        <v>2019235</v>
      </c>
      <c r="B241">
        <f>VLOOKUP($A241,Data!$C$5:$AG$2561,F$4)</f>
        <v>15.9</v>
      </c>
      <c r="C241">
        <f>VLOOKUP($A241,Data!$C$5:$AG$2561,G$4)</f>
        <v>2.9</v>
      </c>
    </row>
    <row r="242" spans="1:3" x14ac:dyDescent="0.25">
      <c r="A242">
        <v>2019236</v>
      </c>
      <c r="B242">
        <f>VLOOKUP($A242,Data!$C$5:$AG$2561,F$4)</f>
        <v>16.8</v>
      </c>
      <c r="C242">
        <f>VLOOKUP($A242,Data!$C$5:$AG$2561,G$4)</f>
        <v>2.2999999999999998</v>
      </c>
    </row>
    <row r="243" spans="1:3" x14ac:dyDescent="0.25">
      <c r="A243">
        <v>2019237</v>
      </c>
      <c r="B243">
        <f>VLOOKUP($A243,Data!$C$5:$AG$2561,F$4)</f>
        <v>14.9</v>
      </c>
      <c r="C243">
        <f>VLOOKUP($A243,Data!$C$5:$AG$2561,G$4)</f>
        <v>1.8</v>
      </c>
    </row>
    <row r="244" spans="1:3" x14ac:dyDescent="0.25">
      <c r="A244">
        <v>2019238</v>
      </c>
      <c r="B244">
        <f>VLOOKUP($A244,Data!$C$5:$AG$2561,F$4)</f>
        <v>17.100000000000001</v>
      </c>
      <c r="C244">
        <f>VLOOKUP($A244,Data!$C$5:$AG$2561,G$4)</f>
        <v>0.5</v>
      </c>
    </row>
    <row r="245" spans="1:3" x14ac:dyDescent="0.25">
      <c r="A245">
        <v>2019239</v>
      </c>
      <c r="B245">
        <f>VLOOKUP($A245,Data!$C$5:$AG$2561,F$4)</f>
        <v>24.5</v>
      </c>
      <c r="C245">
        <f>VLOOKUP($A245,Data!$C$5:$AG$2561,G$4)</f>
        <v>1.2</v>
      </c>
    </row>
    <row r="246" spans="1:3" x14ac:dyDescent="0.25">
      <c r="A246">
        <v>2019240</v>
      </c>
      <c r="B246">
        <f>VLOOKUP($A246,Data!$C$5:$AG$2561,F$4)</f>
        <v>25.1</v>
      </c>
      <c r="C246">
        <f>VLOOKUP($A246,Data!$C$5:$AG$2561,G$4)</f>
        <v>3.9</v>
      </c>
    </row>
    <row r="247" spans="1:3" x14ac:dyDescent="0.25">
      <c r="A247">
        <v>2019241</v>
      </c>
      <c r="B247">
        <f>VLOOKUP($A247,Data!$C$5:$AG$2561,F$4)</f>
        <v>26.5</v>
      </c>
      <c r="C247">
        <f>VLOOKUP($A247,Data!$C$5:$AG$2561,G$4)</f>
        <v>3.4</v>
      </c>
    </row>
    <row r="248" spans="1:3" x14ac:dyDescent="0.25">
      <c r="A248">
        <v>2019242</v>
      </c>
      <c r="B248">
        <f>VLOOKUP($A248,Data!$C$5:$AG$2561,F$4)</f>
        <v>23</v>
      </c>
      <c r="C248">
        <f>VLOOKUP($A248,Data!$C$5:$AG$2561,G$4)</f>
        <v>7.7</v>
      </c>
    </row>
    <row r="249" spans="1:3" x14ac:dyDescent="0.25">
      <c r="A249">
        <v>2019243</v>
      </c>
      <c r="B249">
        <f>VLOOKUP($A249,Data!$C$5:$AG$2561,F$4)</f>
        <v>23</v>
      </c>
      <c r="C249">
        <f>VLOOKUP($A249,Data!$C$5:$AG$2561,G$4)</f>
        <v>7.9</v>
      </c>
    </row>
    <row r="250" spans="1:3" x14ac:dyDescent="0.25">
      <c r="A250">
        <v>2019244</v>
      </c>
      <c r="B250">
        <f>VLOOKUP($A250,Data!$C$5:$AG$2561,F$4)</f>
        <v>21.8</v>
      </c>
      <c r="C250">
        <f>VLOOKUP($A250,Data!$C$5:$AG$2561,G$4)</f>
        <v>5.8</v>
      </c>
    </row>
    <row r="251" spans="1:3" x14ac:dyDescent="0.25">
      <c r="A251">
        <v>2019245</v>
      </c>
      <c r="B251">
        <f>VLOOKUP($A251,Data!$C$5:$AG$2561,F$4)</f>
        <v>21</v>
      </c>
      <c r="C251">
        <f>VLOOKUP($A251,Data!$C$5:$AG$2561,G$4)</f>
        <v>4.3</v>
      </c>
    </row>
    <row r="252" spans="1:3" x14ac:dyDescent="0.25">
      <c r="A252">
        <v>2019246</v>
      </c>
      <c r="B252">
        <f>VLOOKUP($A252,Data!$C$5:$AG$2561,F$4)</f>
        <v>25.3</v>
      </c>
      <c r="C252">
        <f>VLOOKUP($A252,Data!$C$5:$AG$2561,G$4)</f>
        <v>3.2</v>
      </c>
    </row>
    <row r="253" spans="1:3" x14ac:dyDescent="0.25">
      <c r="A253">
        <v>2019247</v>
      </c>
      <c r="B253">
        <f>VLOOKUP($A253,Data!$C$5:$AG$2561,F$4)</f>
        <v>22.1</v>
      </c>
      <c r="C253">
        <f>VLOOKUP($A253,Data!$C$5:$AG$2561,G$4)</f>
        <v>3.9</v>
      </c>
    </row>
    <row r="254" spans="1:3" x14ac:dyDescent="0.25">
      <c r="A254">
        <v>2019248</v>
      </c>
      <c r="B254">
        <f>VLOOKUP($A254,Data!$C$5:$AG$2561,F$4)</f>
        <v>24.6</v>
      </c>
      <c r="C254">
        <f>VLOOKUP($A254,Data!$C$5:$AG$2561,G$4)</f>
        <v>2.9</v>
      </c>
    </row>
    <row r="255" spans="1:3" x14ac:dyDescent="0.25">
      <c r="A255">
        <v>2019249</v>
      </c>
      <c r="B255">
        <f>VLOOKUP($A255,Data!$C$5:$AG$2561,F$4)</f>
        <v>24.4</v>
      </c>
      <c r="C255">
        <f>VLOOKUP($A255,Data!$C$5:$AG$2561,G$4)</f>
        <v>6.8</v>
      </c>
    </row>
    <row r="256" spans="1:3" x14ac:dyDescent="0.25">
      <c r="A256">
        <v>2019250</v>
      </c>
      <c r="B256">
        <f>VLOOKUP($A256,Data!$C$5:$AG$2561,F$4)</f>
        <v>22.9</v>
      </c>
      <c r="C256">
        <f>VLOOKUP($A256,Data!$C$5:$AG$2561,G$4)</f>
        <v>4.8</v>
      </c>
    </row>
    <row r="257" spans="1:3" x14ac:dyDescent="0.25">
      <c r="A257">
        <v>2019251</v>
      </c>
      <c r="B257">
        <f>VLOOKUP($A257,Data!$C$5:$AG$2561,F$4)</f>
        <v>12.8</v>
      </c>
      <c r="C257">
        <f>VLOOKUP($A257,Data!$C$5:$AG$2561,G$4)</f>
        <v>7.2</v>
      </c>
    </row>
    <row r="258" spans="1:3" x14ac:dyDescent="0.25">
      <c r="A258">
        <v>2019252</v>
      </c>
      <c r="B258">
        <f>VLOOKUP($A258,Data!$C$5:$AG$2561,F$4)</f>
        <v>14.4</v>
      </c>
      <c r="C258">
        <f>VLOOKUP($A258,Data!$C$5:$AG$2561,G$4)</f>
        <v>4.7</v>
      </c>
    </row>
    <row r="259" spans="1:3" x14ac:dyDescent="0.25">
      <c r="A259">
        <v>2019253</v>
      </c>
      <c r="B259">
        <f>VLOOKUP($A259,Data!$C$5:$AG$2561,F$4)</f>
        <v>13.4</v>
      </c>
      <c r="C259">
        <f>VLOOKUP($A259,Data!$C$5:$AG$2561,G$4)</f>
        <v>3.9</v>
      </c>
    </row>
    <row r="260" spans="1:3" x14ac:dyDescent="0.25">
      <c r="A260">
        <v>2019254</v>
      </c>
      <c r="B260">
        <f>VLOOKUP($A260,Data!$C$5:$AG$2561,F$4)</f>
        <v>14.7</v>
      </c>
      <c r="C260">
        <f>VLOOKUP($A260,Data!$C$5:$AG$2561,G$4)</f>
        <v>5.5</v>
      </c>
    </row>
    <row r="261" spans="1:3" x14ac:dyDescent="0.25">
      <c r="A261">
        <v>2019255</v>
      </c>
      <c r="B261">
        <f>VLOOKUP($A261,Data!$C$5:$AG$2561,F$4)</f>
        <v>16.7</v>
      </c>
      <c r="C261">
        <f>VLOOKUP($A261,Data!$C$5:$AG$2561,G$4)</f>
        <v>3.6</v>
      </c>
    </row>
    <row r="262" spans="1:3" x14ac:dyDescent="0.25">
      <c r="A262">
        <v>2019256</v>
      </c>
      <c r="B262">
        <f>VLOOKUP($A262,Data!$C$5:$AG$2561,F$4)</f>
        <v>13.6</v>
      </c>
      <c r="C262">
        <f>VLOOKUP($A262,Data!$C$5:$AG$2561,G$4)</f>
        <v>5.4</v>
      </c>
    </row>
    <row r="263" spans="1:3" x14ac:dyDescent="0.25">
      <c r="A263">
        <v>2019257</v>
      </c>
      <c r="B263">
        <f>VLOOKUP($A263,Data!$C$5:$AG$2561,F$4)</f>
        <v>12.1</v>
      </c>
      <c r="C263">
        <f>VLOOKUP($A263,Data!$C$5:$AG$2561,G$4)</f>
        <v>6.3</v>
      </c>
    </row>
    <row r="264" spans="1:3" x14ac:dyDescent="0.25">
      <c r="A264">
        <v>2019258</v>
      </c>
      <c r="B264">
        <f>VLOOKUP($A264,Data!$C$5:$AG$2561,F$4)</f>
        <v>8.6999999999999993</v>
      </c>
      <c r="C264">
        <f>VLOOKUP($A264,Data!$C$5:$AG$2561,G$4)</f>
        <v>5.0999999999999996</v>
      </c>
    </row>
    <row r="265" spans="1:3" x14ac:dyDescent="0.25">
      <c r="A265">
        <v>2019259</v>
      </c>
      <c r="B265">
        <f>VLOOKUP($A265,Data!$C$5:$AG$2561,F$4)</f>
        <v>10.199999999999999</v>
      </c>
      <c r="C265">
        <f>VLOOKUP($A265,Data!$C$5:$AG$2561,G$4)</f>
        <v>2.2000000000000002</v>
      </c>
    </row>
    <row r="266" spans="1:3" x14ac:dyDescent="0.25">
      <c r="A266">
        <v>2019260</v>
      </c>
      <c r="B266">
        <f>VLOOKUP($A266,Data!$C$5:$AG$2561,F$4)</f>
        <v>8.6999999999999993</v>
      </c>
      <c r="C266">
        <f>VLOOKUP($A266,Data!$C$5:$AG$2561,G$4)</f>
        <v>3.3</v>
      </c>
    </row>
    <row r="267" spans="1:3" x14ac:dyDescent="0.25">
      <c r="A267">
        <v>2019261</v>
      </c>
      <c r="B267">
        <f>VLOOKUP($A267,Data!$C$5:$AG$2561,F$4)</f>
        <v>9</v>
      </c>
      <c r="C267">
        <f>VLOOKUP($A267,Data!$C$5:$AG$2561,G$4)</f>
        <v>3.6</v>
      </c>
    </row>
    <row r="268" spans="1:3" x14ac:dyDescent="0.25">
      <c r="A268">
        <v>2019262</v>
      </c>
      <c r="B268">
        <f>VLOOKUP($A268,Data!$C$5:$AG$2561,F$4)</f>
        <v>12.8</v>
      </c>
      <c r="C268">
        <f>VLOOKUP($A268,Data!$C$5:$AG$2561,G$4)</f>
        <v>1</v>
      </c>
    </row>
    <row r="269" spans="1:3" x14ac:dyDescent="0.25">
      <c r="A269">
        <v>2019263</v>
      </c>
      <c r="B269">
        <f>VLOOKUP($A269,Data!$C$5:$AG$2561,F$4)</f>
        <v>11.9</v>
      </c>
      <c r="C269">
        <f>VLOOKUP($A269,Data!$C$5:$AG$2561,G$4)</f>
        <v>-0.4</v>
      </c>
    </row>
    <row r="270" spans="1:3" x14ac:dyDescent="0.25">
      <c r="A270">
        <v>2019264</v>
      </c>
      <c r="B270">
        <f>VLOOKUP($A270,Data!$C$5:$AG$2561,F$4)</f>
        <v>16.600000000000001</v>
      </c>
      <c r="C270">
        <f>VLOOKUP($A270,Data!$C$5:$AG$2561,G$4)</f>
        <v>-0.8</v>
      </c>
    </row>
    <row r="271" spans="1:3" x14ac:dyDescent="0.25">
      <c r="A271">
        <v>2019265</v>
      </c>
      <c r="B271">
        <f>VLOOKUP($A271,Data!$C$5:$AG$2561,F$4)</f>
        <v>11.2</v>
      </c>
      <c r="C271">
        <f>VLOOKUP($A271,Data!$C$5:$AG$2561,G$4)</f>
        <v>1.2</v>
      </c>
    </row>
    <row r="272" spans="1:3" x14ac:dyDescent="0.25">
      <c r="A272">
        <v>2019266</v>
      </c>
      <c r="B272">
        <f>VLOOKUP($A272,Data!$C$5:$AG$2561,F$4)</f>
        <v>7.6</v>
      </c>
      <c r="C272">
        <f>VLOOKUP($A272,Data!$C$5:$AG$2561,G$4)</f>
        <v>4.4000000000000004</v>
      </c>
    </row>
    <row r="273" spans="1:3" x14ac:dyDescent="0.25">
      <c r="A273">
        <v>2019267</v>
      </c>
      <c r="B273">
        <f>VLOOKUP($A273,Data!$C$5:$AG$2561,F$4)</f>
        <v>10.6</v>
      </c>
      <c r="C273">
        <f>VLOOKUP($A273,Data!$C$5:$AG$2561,G$4)</f>
        <v>-1.5</v>
      </c>
    </row>
    <row r="274" spans="1:3" x14ac:dyDescent="0.25">
      <c r="A274">
        <v>2019268</v>
      </c>
      <c r="B274">
        <f>VLOOKUP($A274,Data!$C$5:$AG$2561,F$4)</f>
        <v>9.6999999999999993</v>
      </c>
      <c r="C274">
        <f>VLOOKUP($A274,Data!$C$5:$AG$2561,G$4)</f>
        <v>-1.6</v>
      </c>
    </row>
    <row r="275" spans="1:3" x14ac:dyDescent="0.25">
      <c r="A275">
        <v>2019269</v>
      </c>
      <c r="B275">
        <f>VLOOKUP($A275,Data!$C$5:$AG$2561,F$4)</f>
        <v>9.3000000000000007</v>
      </c>
      <c r="C275">
        <f>VLOOKUP($A275,Data!$C$5:$AG$2561,G$4)</f>
        <v>-1.3</v>
      </c>
    </row>
    <row r="276" spans="1:3" x14ac:dyDescent="0.25">
      <c r="A276">
        <v>2019270</v>
      </c>
      <c r="B276">
        <f>VLOOKUP($A276,Data!$C$5:$AG$2561,F$4)</f>
        <v>4.0999999999999996</v>
      </c>
      <c r="C276">
        <f>VLOOKUP($A276,Data!$C$5:$AG$2561,G$4)</f>
        <v>-0.4</v>
      </c>
    </row>
    <row r="277" spans="1:3" x14ac:dyDescent="0.25">
      <c r="A277">
        <v>2019271</v>
      </c>
      <c r="B277">
        <f>VLOOKUP($A277,Data!$C$5:$AG$2561,F$4)</f>
        <v>1.2</v>
      </c>
      <c r="C277">
        <f>VLOOKUP($A277,Data!$C$5:$AG$2561,G$4)</f>
        <v>-3.4</v>
      </c>
    </row>
    <row r="278" spans="1:3" x14ac:dyDescent="0.25">
      <c r="A278">
        <v>2019272</v>
      </c>
      <c r="B278">
        <f>VLOOKUP($A278,Data!$C$5:$AG$2561,F$4)</f>
        <v>0</v>
      </c>
      <c r="C278">
        <f>VLOOKUP($A278,Data!$C$5:$AG$2561,G$4)</f>
        <v>-5.8</v>
      </c>
    </row>
    <row r="279" spans="1:3" x14ac:dyDescent="0.25">
      <c r="A279">
        <v>2019273</v>
      </c>
      <c r="B279">
        <f>VLOOKUP($A279,Data!$C$5:$AG$2561,F$4)</f>
        <v>2</v>
      </c>
      <c r="C279">
        <f>VLOOKUP($A279,Data!$C$5:$AG$2561,G$4)</f>
        <v>-5.2</v>
      </c>
    </row>
    <row r="280" spans="1:3" x14ac:dyDescent="0.25">
      <c r="A280">
        <v>2019274</v>
      </c>
      <c r="B280">
        <f>VLOOKUP($A280,Data!$C$5:$AG$2561,F$4)</f>
        <v>6.7</v>
      </c>
      <c r="C280">
        <f>VLOOKUP($A280,Data!$C$5:$AG$2561,G$4)</f>
        <v>-6.8</v>
      </c>
    </row>
    <row r="281" spans="1:3" x14ac:dyDescent="0.25">
      <c r="A281">
        <v>2019275</v>
      </c>
      <c r="B281">
        <f>VLOOKUP($A281,Data!$C$5:$AG$2561,F$4)</f>
        <v>5.0999999999999996</v>
      </c>
      <c r="C281">
        <f>VLOOKUP($A281,Data!$C$5:$AG$2561,G$4)</f>
        <v>-3.1</v>
      </c>
    </row>
    <row r="282" spans="1:3" x14ac:dyDescent="0.25">
      <c r="A282">
        <v>2019276</v>
      </c>
      <c r="B282">
        <f>VLOOKUP($A282,Data!$C$5:$AG$2561,F$4)</f>
        <v>7.1</v>
      </c>
      <c r="C282">
        <f>VLOOKUP($A282,Data!$C$5:$AG$2561,G$4)</f>
        <v>-1.6</v>
      </c>
    </row>
    <row r="283" spans="1:3" x14ac:dyDescent="0.25">
      <c r="A283">
        <v>2019277</v>
      </c>
      <c r="B283">
        <f>VLOOKUP($A283,Data!$C$5:$AG$2561,F$4)</f>
        <v>6.1</v>
      </c>
      <c r="C283">
        <f>VLOOKUP($A283,Data!$C$5:$AG$2561,G$4)</f>
        <v>-2.1</v>
      </c>
    </row>
    <row r="284" spans="1:3" x14ac:dyDescent="0.25">
      <c r="A284">
        <v>2019278</v>
      </c>
      <c r="B284">
        <f>VLOOKUP($A284,Data!$C$5:$AG$2561,F$4)</f>
        <v>7.9</v>
      </c>
      <c r="C284">
        <f>VLOOKUP($A284,Data!$C$5:$AG$2561,G$4)</f>
        <v>-3.2</v>
      </c>
    </row>
    <row r="285" spans="1:3" x14ac:dyDescent="0.25">
      <c r="A285">
        <v>2019279</v>
      </c>
      <c r="B285">
        <f>VLOOKUP($A285,Data!$C$5:$AG$2561,F$4)</f>
        <v>9.5</v>
      </c>
      <c r="C285">
        <f>VLOOKUP($A285,Data!$C$5:$AG$2561,G$4)</f>
        <v>-5</v>
      </c>
    </row>
    <row r="286" spans="1:3" x14ac:dyDescent="0.25">
      <c r="A286">
        <v>2019280</v>
      </c>
      <c r="B286">
        <f>VLOOKUP($A286,Data!$C$5:$AG$2561,F$4)</f>
        <v>8.5</v>
      </c>
      <c r="C286">
        <f>VLOOKUP($A286,Data!$C$5:$AG$2561,G$4)</f>
        <v>1.2</v>
      </c>
    </row>
    <row r="287" spans="1:3" x14ac:dyDescent="0.25">
      <c r="A287">
        <v>2019281</v>
      </c>
      <c r="B287">
        <f>VLOOKUP($A287,Data!$C$5:$AG$2561,F$4)</f>
        <v>2.6</v>
      </c>
      <c r="C287">
        <f>VLOOKUP($A287,Data!$C$5:$AG$2561,G$4)</f>
        <v>-6.4</v>
      </c>
    </row>
    <row r="288" spans="1:3" x14ac:dyDescent="0.25">
      <c r="A288">
        <v>2019282</v>
      </c>
      <c r="B288">
        <f>VLOOKUP($A288,Data!$C$5:$AG$2561,F$4)</f>
        <v>-1.3</v>
      </c>
      <c r="C288">
        <f>VLOOKUP($A288,Data!$C$5:$AG$2561,G$4)</f>
        <v>-12.5</v>
      </c>
    </row>
    <row r="289" spans="1:3" x14ac:dyDescent="0.25">
      <c r="A289">
        <v>2019283</v>
      </c>
      <c r="B289">
        <f>VLOOKUP($A289,Data!$C$5:$AG$2561,F$4)</f>
        <v>5.6</v>
      </c>
      <c r="C289">
        <f>VLOOKUP($A289,Data!$C$5:$AG$2561,G$4)</f>
        <v>-12.9</v>
      </c>
    </row>
    <row r="290" spans="1:3" x14ac:dyDescent="0.25">
      <c r="A290">
        <v>2019284</v>
      </c>
      <c r="B290">
        <f>VLOOKUP($A290,Data!$C$5:$AG$2561,F$4)</f>
        <v>6.1</v>
      </c>
      <c r="C290">
        <f>VLOOKUP($A290,Data!$C$5:$AG$2561,G$4)</f>
        <v>-10.6</v>
      </c>
    </row>
    <row r="291" spans="1:3" x14ac:dyDescent="0.25">
      <c r="A291">
        <v>2019285</v>
      </c>
      <c r="B291">
        <f>VLOOKUP($A291,Data!$C$5:$AG$2561,F$4)</f>
        <v>7.1</v>
      </c>
      <c r="C291">
        <f>VLOOKUP($A291,Data!$C$5:$AG$2561,G$4)</f>
        <v>-5.7</v>
      </c>
    </row>
    <row r="292" spans="1:3" x14ac:dyDescent="0.25">
      <c r="A292">
        <v>2019286</v>
      </c>
      <c r="B292">
        <f>VLOOKUP($A292,Data!$C$5:$AG$2561,F$4)</f>
        <v>2.1</v>
      </c>
      <c r="C292">
        <f>VLOOKUP($A292,Data!$C$5:$AG$2561,G$4)</f>
        <v>-0.4</v>
      </c>
    </row>
    <row r="293" spans="1:3" x14ac:dyDescent="0.25">
      <c r="A293">
        <v>2019287</v>
      </c>
      <c r="B293">
        <f>VLOOKUP($A293,Data!$C$5:$AG$2561,F$4)</f>
        <v>6.4</v>
      </c>
      <c r="C293">
        <f>VLOOKUP($A293,Data!$C$5:$AG$2561,G$4)</f>
        <v>-2.2999999999999998</v>
      </c>
    </row>
    <row r="294" spans="1:3" x14ac:dyDescent="0.25">
      <c r="A294">
        <v>2019288</v>
      </c>
      <c r="B294">
        <f>VLOOKUP($A294,Data!$C$5:$AG$2561,F$4)</f>
        <v>4.0999999999999996</v>
      </c>
      <c r="C294">
        <f>VLOOKUP($A294,Data!$C$5:$AG$2561,G$4)</f>
        <v>-2.2000000000000002</v>
      </c>
    </row>
    <row r="295" spans="1:3" x14ac:dyDescent="0.25">
      <c r="A295">
        <v>2019289</v>
      </c>
      <c r="B295">
        <f>VLOOKUP($A295,Data!$C$5:$AG$2561,F$4)</f>
        <v>9</v>
      </c>
      <c r="C295">
        <f>VLOOKUP($A295,Data!$C$5:$AG$2561,G$4)</f>
        <v>0.3</v>
      </c>
    </row>
    <row r="296" spans="1:3" x14ac:dyDescent="0.25">
      <c r="A296">
        <v>2019290</v>
      </c>
      <c r="B296">
        <f>VLOOKUP($A296,Data!$C$5:$AG$2561,F$4)</f>
        <v>5.7</v>
      </c>
      <c r="C296">
        <f>VLOOKUP($A296,Data!$C$5:$AG$2561,G$4)</f>
        <v>0</v>
      </c>
    </row>
    <row r="297" spans="1:3" x14ac:dyDescent="0.25">
      <c r="A297">
        <v>2019291</v>
      </c>
      <c r="B297">
        <f>VLOOKUP($A297,Data!$C$5:$AG$2561,F$4)</f>
        <v>2.2000000000000002</v>
      </c>
      <c r="C297">
        <f>VLOOKUP($A297,Data!$C$5:$AG$2561,G$4)</f>
        <v>-1.5</v>
      </c>
    </row>
    <row r="298" spans="1:3" x14ac:dyDescent="0.25">
      <c r="A298">
        <v>2019292</v>
      </c>
      <c r="B298">
        <f>VLOOKUP($A298,Data!$C$5:$AG$2561,F$4)</f>
        <v>3</v>
      </c>
      <c r="C298">
        <f>VLOOKUP($A298,Data!$C$5:$AG$2561,G$4)</f>
        <v>-5.3</v>
      </c>
    </row>
    <row r="299" spans="1:3" x14ac:dyDescent="0.25">
      <c r="A299">
        <v>2019293</v>
      </c>
      <c r="B299">
        <f>VLOOKUP($A299,Data!$C$5:$AG$2561,F$4)</f>
        <v>1.9</v>
      </c>
      <c r="C299">
        <f>VLOOKUP($A299,Data!$C$5:$AG$2561,G$4)</f>
        <v>-2.2999999999999998</v>
      </c>
    </row>
    <row r="300" spans="1:3" x14ac:dyDescent="0.25">
      <c r="A300">
        <v>2019294</v>
      </c>
      <c r="B300">
        <f>VLOOKUP($A300,Data!$C$5:$AG$2561,F$4)</f>
        <v>1</v>
      </c>
      <c r="C300">
        <f>VLOOKUP($A300,Data!$C$5:$AG$2561,G$4)</f>
        <v>-2</v>
      </c>
    </row>
    <row r="301" spans="1:3" x14ac:dyDescent="0.25">
      <c r="A301">
        <v>2019295</v>
      </c>
      <c r="B301">
        <f>VLOOKUP($A301,Data!$C$5:$AG$2561,F$4)</f>
        <v>5.7</v>
      </c>
      <c r="C301">
        <f>VLOOKUP($A301,Data!$C$5:$AG$2561,G$4)</f>
        <v>-0.2</v>
      </c>
    </row>
    <row r="302" spans="1:3" x14ac:dyDescent="0.25">
      <c r="A302">
        <v>2019296</v>
      </c>
      <c r="B302">
        <f>VLOOKUP($A302,Data!$C$5:$AG$2561,F$4)</f>
        <v>4.9000000000000004</v>
      </c>
      <c r="C302">
        <f>VLOOKUP($A302,Data!$C$5:$AG$2561,G$4)</f>
        <v>-3.3</v>
      </c>
    </row>
    <row r="303" spans="1:3" x14ac:dyDescent="0.25">
      <c r="A303">
        <v>2019297</v>
      </c>
      <c r="B303">
        <f>VLOOKUP($A303,Data!$C$5:$AG$2561,F$4)</f>
        <v>11</v>
      </c>
      <c r="C303">
        <f>VLOOKUP($A303,Data!$C$5:$AG$2561,G$4)</f>
        <v>-1.8</v>
      </c>
    </row>
    <row r="304" spans="1:3" x14ac:dyDescent="0.25">
      <c r="A304">
        <v>2019298</v>
      </c>
      <c r="B304">
        <f>VLOOKUP($A304,Data!$C$5:$AG$2561,F$4)</f>
        <v>8.9</v>
      </c>
      <c r="C304">
        <f>VLOOKUP($A304,Data!$C$5:$AG$2561,G$4)</f>
        <v>-2.1</v>
      </c>
    </row>
    <row r="305" spans="1:3" x14ac:dyDescent="0.25">
      <c r="A305">
        <v>2019299</v>
      </c>
      <c r="B305">
        <f>VLOOKUP($A305,Data!$C$5:$AG$2561,F$4)</f>
        <v>0.9</v>
      </c>
      <c r="C305">
        <f>VLOOKUP($A305,Data!$C$5:$AG$2561,G$4)</f>
        <v>-6.5</v>
      </c>
    </row>
    <row r="306" spans="1:3" x14ac:dyDescent="0.25">
      <c r="A306">
        <v>2019300</v>
      </c>
      <c r="B306">
        <f>VLOOKUP($A306,Data!$C$5:$AG$2561,F$4)</f>
        <v>0.9</v>
      </c>
      <c r="C306">
        <f>VLOOKUP($A306,Data!$C$5:$AG$2561,G$4)</f>
        <v>-8.6</v>
      </c>
    </row>
    <row r="307" spans="1:3" x14ac:dyDescent="0.25">
      <c r="A307">
        <v>2019301</v>
      </c>
      <c r="B307">
        <f>VLOOKUP($A307,Data!$C$5:$AG$2561,F$4)</f>
        <v>-1.7</v>
      </c>
      <c r="C307">
        <f>VLOOKUP($A307,Data!$C$5:$AG$2561,G$4)</f>
        <v>-15</v>
      </c>
    </row>
    <row r="308" spans="1:3" x14ac:dyDescent="0.25">
      <c r="A308">
        <v>2019302</v>
      </c>
      <c r="B308">
        <f>VLOOKUP($A308,Data!$C$5:$AG$2561,F$4)</f>
        <v>-1.7</v>
      </c>
      <c r="C308">
        <f>VLOOKUP($A308,Data!$C$5:$AG$2561,G$4)</f>
        <v>-19.5</v>
      </c>
    </row>
    <row r="309" spans="1:3" x14ac:dyDescent="0.25">
      <c r="A309">
        <v>2019303</v>
      </c>
      <c r="B309">
        <f>VLOOKUP($A309,Data!$C$5:$AG$2561,F$4)</f>
        <v>2.5</v>
      </c>
      <c r="C309">
        <f>VLOOKUP($A309,Data!$C$5:$AG$2561,G$4)</f>
        <v>-14</v>
      </c>
    </row>
    <row r="310" spans="1:3" x14ac:dyDescent="0.25">
      <c r="A310">
        <v>2019304</v>
      </c>
      <c r="B310">
        <f>VLOOKUP($A310,Data!$C$5:$AG$2561,F$4)</f>
        <v>2.2999999999999998</v>
      </c>
      <c r="C310">
        <f>VLOOKUP($A310,Data!$C$5:$AG$2561,G$4)</f>
        <v>-9.8000000000000007</v>
      </c>
    </row>
    <row r="311" spans="1:3" x14ac:dyDescent="0.25">
      <c r="A311">
        <v>2019305</v>
      </c>
      <c r="B311">
        <f>VLOOKUP($A311,Data!$C$5:$AG$2561,F$4)</f>
        <v>7</v>
      </c>
      <c r="C311">
        <f>VLOOKUP($A311,Data!$C$5:$AG$2561,G$4)</f>
        <v>-11.6</v>
      </c>
    </row>
    <row r="312" spans="1:3" x14ac:dyDescent="0.25">
      <c r="A312">
        <v>2019306</v>
      </c>
      <c r="B312">
        <f>VLOOKUP($A312,Data!$C$5:$AG$2561,F$4)</f>
        <v>8.9</v>
      </c>
      <c r="C312">
        <f>VLOOKUP($A312,Data!$C$5:$AG$2561,G$4)</f>
        <v>-2</v>
      </c>
    </row>
    <row r="313" spans="1:3" x14ac:dyDescent="0.25">
      <c r="A313">
        <v>2019307</v>
      </c>
      <c r="B313">
        <f>VLOOKUP($A313,Data!$C$5:$AG$2561,F$4)</f>
        <v>6.1</v>
      </c>
      <c r="C313">
        <f>VLOOKUP($A313,Data!$C$5:$AG$2561,G$4)</f>
        <v>-0.3</v>
      </c>
    </row>
    <row r="314" spans="1:3" x14ac:dyDescent="0.25">
      <c r="A314">
        <v>2019308</v>
      </c>
      <c r="B314">
        <f>VLOOKUP($A314,Data!$C$5:$AG$2561,F$4)</f>
        <v>11.2</v>
      </c>
      <c r="C314">
        <f>VLOOKUP($A314,Data!$C$5:$AG$2561,G$4)</f>
        <v>-3</v>
      </c>
    </row>
    <row r="315" spans="1:3" x14ac:dyDescent="0.25">
      <c r="A315">
        <v>2019309</v>
      </c>
      <c r="B315">
        <f>VLOOKUP($A315,Data!$C$5:$AG$2561,F$4)</f>
        <v>7.9</v>
      </c>
      <c r="C315">
        <f>VLOOKUP($A315,Data!$C$5:$AG$2561,G$4)</f>
        <v>-3.8</v>
      </c>
    </row>
    <row r="316" spans="1:3" x14ac:dyDescent="0.25">
      <c r="A316">
        <v>2019310</v>
      </c>
      <c r="B316">
        <f>VLOOKUP($A316,Data!$C$5:$AG$2561,F$4)</f>
        <v>6.3</v>
      </c>
      <c r="C316">
        <f>VLOOKUP($A316,Data!$C$5:$AG$2561,G$4)</f>
        <v>-6</v>
      </c>
    </row>
    <row r="317" spans="1:3" x14ac:dyDescent="0.25">
      <c r="A317">
        <v>2019311</v>
      </c>
      <c r="B317">
        <f>VLOOKUP($A317,Data!$C$5:$AG$2561,F$4)</f>
        <v>5.8</v>
      </c>
      <c r="C317">
        <f>VLOOKUP($A317,Data!$C$5:$AG$2561,G$4)</f>
        <v>-6.3</v>
      </c>
    </row>
    <row r="318" spans="1:3" x14ac:dyDescent="0.25">
      <c r="A318">
        <v>2019312</v>
      </c>
      <c r="B318">
        <f>VLOOKUP($A318,Data!$C$5:$AG$2561,F$4)</f>
        <v>2.2999999999999998</v>
      </c>
      <c r="C318">
        <f>VLOOKUP($A318,Data!$C$5:$AG$2561,G$4)</f>
        <v>-1.6</v>
      </c>
    </row>
    <row r="319" spans="1:3" x14ac:dyDescent="0.25">
      <c r="A319">
        <v>2019313</v>
      </c>
      <c r="B319">
        <f>VLOOKUP($A319,Data!$C$5:$AG$2561,F$4)</f>
        <v>6.1</v>
      </c>
      <c r="C319">
        <f>VLOOKUP($A319,Data!$C$5:$AG$2561,G$4)</f>
        <v>0.1</v>
      </c>
    </row>
    <row r="320" spans="1:3" x14ac:dyDescent="0.25">
      <c r="A320">
        <v>2019314</v>
      </c>
      <c r="B320">
        <f>VLOOKUP($A320,Data!$C$5:$AG$2561,F$4)</f>
        <v>2.9</v>
      </c>
      <c r="C320">
        <f>VLOOKUP($A320,Data!$C$5:$AG$2561,G$4)</f>
        <v>-8.1999999999999993</v>
      </c>
    </row>
    <row r="321" spans="1:3" x14ac:dyDescent="0.25">
      <c r="A321">
        <v>2019315</v>
      </c>
      <c r="B321">
        <f>VLOOKUP($A321,Data!$C$5:$AG$2561,F$4)</f>
        <v>1.9</v>
      </c>
      <c r="C321">
        <f>VLOOKUP($A321,Data!$C$5:$AG$2561,G$4)</f>
        <v>-9</v>
      </c>
    </row>
    <row r="322" spans="1:3" x14ac:dyDescent="0.25">
      <c r="A322">
        <v>2019316</v>
      </c>
      <c r="B322">
        <f>VLOOKUP($A322,Data!$C$5:$AG$2561,F$4)</f>
        <v>1.7</v>
      </c>
      <c r="C322">
        <f>VLOOKUP($A322,Data!$C$5:$AG$2561,G$4)</f>
        <v>-2.5</v>
      </c>
    </row>
    <row r="323" spans="1:3" x14ac:dyDescent="0.25">
      <c r="A323">
        <v>2019317</v>
      </c>
      <c r="B323">
        <f>VLOOKUP($A323,Data!$C$5:$AG$2561,F$4)</f>
        <v>4.0999999999999996</v>
      </c>
      <c r="C323">
        <f>VLOOKUP($A323,Data!$C$5:$AG$2561,G$4)</f>
        <v>-3.7</v>
      </c>
    </row>
    <row r="324" spans="1:3" x14ac:dyDescent="0.25">
      <c r="A324">
        <v>2019318</v>
      </c>
      <c r="B324">
        <f>VLOOKUP($A324,Data!$C$5:$AG$2561,F$4)</f>
        <v>0.7</v>
      </c>
      <c r="C324">
        <f>VLOOKUP($A324,Data!$C$5:$AG$2561,G$4)</f>
        <v>-3.3</v>
      </c>
    </row>
    <row r="325" spans="1:3" x14ac:dyDescent="0.25">
      <c r="A325">
        <v>2019319</v>
      </c>
      <c r="B325">
        <f>VLOOKUP($A325,Data!$C$5:$AG$2561,F$4)</f>
        <v>2.2000000000000002</v>
      </c>
      <c r="C325">
        <f>VLOOKUP($A325,Data!$C$5:$AG$2561,G$4)</f>
        <v>-0.8</v>
      </c>
    </row>
    <row r="326" spans="1:3" x14ac:dyDescent="0.25">
      <c r="A326">
        <v>2019320</v>
      </c>
      <c r="B326">
        <f>VLOOKUP($A326,Data!$C$5:$AG$2561,F$4)</f>
        <v>0.9</v>
      </c>
      <c r="C326">
        <f>VLOOKUP($A326,Data!$C$5:$AG$2561,G$4)</f>
        <v>-3.1</v>
      </c>
    </row>
    <row r="327" spans="1:3" x14ac:dyDescent="0.25">
      <c r="A327">
        <v>2019321</v>
      </c>
      <c r="B327">
        <f>VLOOKUP($A327,Data!$C$5:$AG$2561,F$4)</f>
        <v>5.4</v>
      </c>
      <c r="C327">
        <f>VLOOKUP($A327,Data!$C$5:$AG$2561,G$4)</f>
        <v>-1.4</v>
      </c>
    </row>
    <row r="328" spans="1:3" x14ac:dyDescent="0.25">
      <c r="A328">
        <v>2019322</v>
      </c>
      <c r="B328">
        <f>VLOOKUP($A328,Data!$C$5:$AG$2561,F$4)</f>
        <v>3.5</v>
      </c>
      <c r="C328">
        <f>VLOOKUP($A328,Data!$C$5:$AG$2561,G$4)</f>
        <v>-1.8</v>
      </c>
    </row>
    <row r="329" spans="1:3" x14ac:dyDescent="0.25">
      <c r="A329">
        <v>2019323</v>
      </c>
      <c r="B329">
        <f>VLOOKUP($A329,Data!$C$5:$AG$2561,F$4)</f>
        <v>0.1</v>
      </c>
      <c r="C329">
        <f>VLOOKUP($A329,Data!$C$5:$AG$2561,G$4)</f>
        <v>-4.5999999999999996</v>
      </c>
    </row>
    <row r="330" spans="1:3" x14ac:dyDescent="0.25">
      <c r="A330">
        <v>2019324</v>
      </c>
      <c r="B330">
        <f>VLOOKUP($A330,Data!$C$5:$AG$2561,F$4)</f>
        <v>-1.4</v>
      </c>
      <c r="C330">
        <f>VLOOKUP($A330,Data!$C$5:$AG$2561,G$4)</f>
        <v>-11.8</v>
      </c>
    </row>
    <row r="331" spans="1:3" x14ac:dyDescent="0.25">
      <c r="A331">
        <v>2019325</v>
      </c>
      <c r="B331">
        <f>VLOOKUP($A331,Data!$C$5:$AG$2561,F$4)</f>
        <v>5.2</v>
      </c>
      <c r="C331">
        <f>VLOOKUP($A331,Data!$C$5:$AG$2561,G$4)</f>
        <v>-11.2</v>
      </c>
    </row>
    <row r="332" spans="1:3" x14ac:dyDescent="0.25">
      <c r="A332">
        <v>2019326</v>
      </c>
      <c r="B332">
        <f>VLOOKUP($A332,Data!$C$5:$AG$2561,F$4)</f>
        <v>6.9</v>
      </c>
      <c r="C332">
        <f>VLOOKUP($A332,Data!$C$5:$AG$2561,G$4)</f>
        <v>-9.9</v>
      </c>
    </row>
    <row r="333" spans="1:3" x14ac:dyDescent="0.25">
      <c r="A333">
        <v>2019327</v>
      </c>
      <c r="B333">
        <f>VLOOKUP($A333,Data!$C$5:$AG$2561,F$4)</f>
        <v>2.4</v>
      </c>
      <c r="C333">
        <f>VLOOKUP($A333,Data!$C$5:$AG$2561,G$4)</f>
        <v>-5.3</v>
      </c>
    </row>
    <row r="334" spans="1:3" x14ac:dyDescent="0.25">
      <c r="A334">
        <v>2019328</v>
      </c>
      <c r="B334">
        <f>VLOOKUP($A334,Data!$C$5:$AG$2561,F$4)</f>
        <v>0.5</v>
      </c>
      <c r="C334">
        <f>VLOOKUP($A334,Data!$C$5:$AG$2561,G$4)</f>
        <v>-4.4000000000000004</v>
      </c>
    </row>
    <row r="335" spans="1:3" x14ac:dyDescent="0.25">
      <c r="A335">
        <v>2019329</v>
      </c>
      <c r="B335">
        <f>VLOOKUP($A335,Data!$C$5:$AG$2561,F$4)</f>
        <v>-3.9</v>
      </c>
      <c r="C335">
        <f>VLOOKUP($A335,Data!$C$5:$AG$2561,G$4)</f>
        <v>-14.8</v>
      </c>
    </row>
    <row r="336" spans="1:3" x14ac:dyDescent="0.25">
      <c r="A336">
        <v>2019330</v>
      </c>
      <c r="B336">
        <f>VLOOKUP($A336,Data!$C$5:$AG$2561,F$4)</f>
        <v>-5.3</v>
      </c>
      <c r="C336">
        <f>VLOOKUP($A336,Data!$C$5:$AG$2561,G$4)</f>
        <v>-18</v>
      </c>
    </row>
    <row r="337" spans="1:3" x14ac:dyDescent="0.25">
      <c r="A337">
        <v>2019331</v>
      </c>
      <c r="B337">
        <f>VLOOKUP($A337,Data!$C$5:$AG$2561,F$4)</f>
        <v>-7.8</v>
      </c>
      <c r="C337">
        <f>VLOOKUP($A337,Data!$C$5:$AG$2561,G$4)</f>
        <v>-14.7</v>
      </c>
    </row>
    <row r="338" spans="1:3" x14ac:dyDescent="0.25">
      <c r="A338">
        <v>2019332</v>
      </c>
      <c r="B338">
        <f>VLOOKUP($A338,Data!$C$5:$AG$2561,F$4)</f>
        <v>-7.9</v>
      </c>
      <c r="C338">
        <f>VLOOKUP($A338,Data!$C$5:$AG$2561,G$4)</f>
        <v>-19.3</v>
      </c>
    </row>
    <row r="339" spans="1:3" x14ac:dyDescent="0.25">
      <c r="A339">
        <v>2019333</v>
      </c>
      <c r="B339">
        <f>VLOOKUP($A339,Data!$C$5:$AG$2561,F$4)</f>
        <v>-7.3</v>
      </c>
      <c r="C339">
        <f>VLOOKUP($A339,Data!$C$5:$AG$2561,G$4)</f>
        <v>-19.600000000000001</v>
      </c>
    </row>
    <row r="340" spans="1:3" x14ac:dyDescent="0.25">
      <c r="A340">
        <v>2019334</v>
      </c>
      <c r="B340">
        <f>VLOOKUP($A340,Data!$C$5:$AG$2561,F$4)</f>
        <v>-3</v>
      </c>
      <c r="C340">
        <f>VLOOKUP($A340,Data!$C$5:$AG$2561,G$4)</f>
        <v>-16.100000000000001</v>
      </c>
    </row>
    <row r="341" spans="1:3" x14ac:dyDescent="0.25">
      <c r="A341">
        <v>2019335</v>
      </c>
      <c r="B341">
        <f>VLOOKUP($A341,Data!$C$5:$AG$2561,F$4)</f>
        <v>-7.2</v>
      </c>
      <c r="C341">
        <f>VLOOKUP($A341,Data!$C$5:$AG$2561,G$4)</f>
        <v>-14.1</v>
      </c>
    </row>
    <row r="342" spans="1:3" x14ac:dyDescent="0.25">
      <c r="A342">
        <v>2019336</v>
      </c>
      <c r="B342">
        <f>VLOOKUP($A342,Data!$C$5:$AG$2561,F$4)</f>
        <v>-0.5</v>
      </c>
      <c r="C342">
        <f>VLOOKUP($A342,Data!$C$5:$AG$2561,G$4)</f>
        <v>-7.7</v>
      </c>
    </row>
    <row r="343" spans="1:3" x14ac:dyDescent="0.25">
      <c r="A343">
        <v>2019337</v>
      </c>
      <c r="B343">
        <f>VLOOKUP($A343,Data!$C$5:$AG$2561,F$4)</f>
        <v>4.5</v>
      </c>
      <c r="C343">
        <f>VLOOKUP($A343,Data!$C$5:$AG$2561,G$4)</f>
        <v>-2.2000000000000002</v>
      </c>
    </row>
    <row r="344" spans="1:3" x14ac:dyDescent="0.25">
      <c r="A344">
        <v>2019338</v>
      </c>
      <c r="B344">
        <f>VLOOKUP($A344,Data!$C$5:$AG$2561,F$4)</f>
        <v>2.5</v>
      </c>
      <c r="C344">
        <f>VLOOKUP($A344,Data!$C$5:$AG$2561,G$4)</f>
        <v>-9.6</v>
      </c>
    </row>
    <row r="345" spans="1:3" x14ac:dyDescent="0.25">
      <c r="A345">
        <v>2019339</v>
      </c>
      <c r="B345">
        <f>VLOOKUP($A345,Data!$C$5:$AG$2561,F$4)</f>
        <v>0.1</v>
      </c>
      <c r="C345">
        <f>VLOOKUP($A345,Data!$C$5:$AG$2561,G$4)</f>
        <v>-12.5</v>
      </c>
    </row>
    <row r="346" spans="1:3" x14ac:dyDescent="0.25">
      <c r="A346">
        <v>2019340</v>
      </c>
      <c r="B346">
        <f>VLOOKUP($A346,Data!$C$5:$AG$2561,F$4)</f>
        <v>-0.3</v>
      </c>
      <c r="C346">
        <f>VLOOKUP($A346,Data!$C$5:$AG$2561,G$4)</f>
        <v>-2.9</v>
      </c>
    </row>
    <row r="347" spans="1:3" x14ac:dyDescent="0.25">
      <c r="A347">
        <v>2019341</v>
      </c>
      <c r="B347">
        <f>VLOOKUP($A347,Data!$C$5:$AG$2561,F$4)</f>
        <v>0.4</v>
      </c>
      <c r="C347">
        <f>VLOOKUP($A347,Data!$C$5:$AG$2561,G$4)</f>
        <v>-1.9</v>
      </c>
    </row>
    <row r="348" spans="1:3" x14ac:dyDescent="0.25">
      <c r="A348">
        <v>2019342</v>
      </c>
      <c r="B348">
        <f>VLOOKUP($A348,Data!$C$5:$AG$2561,F$4)</f>
        <v>-1.9</v>
      </c>
      <c r="C348">
        <f>VLOOKUP($A348,Data!$C$5:$AG$2561,G$4)</f>
        <v>-11.5</v>
      </c>
    </row>
    <row r="349" spans="1:3" x14ac:dyDescent="0.25">
      <c r="A349">
        <v>2019343</v>
      </c>
      <c r="B349">
        <f>VLOOKUP($A349,Data!$C$5:$AG$2561,F$4)</f>
        <v>1.9</v>
      </c>
      <c r="C349">
        <f>VLOOKUP($A349,Data!$C$5:$AG$2561,G$4)</f>
        <v>-12.3</v>
      </c>
    </row>
    <row r="350" spans="1:3" x14ac:dyDescent="0.25">
      <c r="A350">
        <v>2019344</v>
      </c>
      <c r="B350">
        <f>VLOOKUP($A350,Data!$C$5:$AG$2561,F$4)</f>
        <v>-3</v>
      </c>
      <c r="C350">
        <f>VLOOKUP($A350,Data!$C$5:$AG$2561,G$4)</f>
        <v>-9.4</v>
      </c>
    </row>
    <row r="351" spans="1:3" x14ac:dyDescent="0.25">
      <c r="A351">
        <v>2019345</v>
      </c>
      <c r="B351">
        <f>VLOOKUP($A351,Data!$C$5:$AG$2561,F$4)</f>
        <v>-1.2</v>
      </c>
      <c r="C351">
        <f>VLOOKUP($A351,Data!$C$5:$AG$2561,G$4)</f>
        <v>-8</v>
      </c>
    </row>
    <row r="352" spans="1:3" x14ac:dyDescent="0.25">
      <c r="A352">
        <v>2019346</v>
      </c>
      <c r="B352">
        <f>VLOOKUP($A352,Data!$C$5:$AG$2561,F$4)</f>
        <v>-1.6</v>
      </c>
      <c r="C352">
        <f>VLOOKUP($A352,Data!$C$5:$AG$2561,G$4)</f>
        <v>-9.3000000000000007</v>
      </c>
    </row>
    <row r="353" spans="1:3" x14ac:dyDescent="0.25">
      <c r="A353">
        <v>2019347</v>
      </c>
      <c r="B353">
        <f>VLOOKUP($A353,Data!$C$5:$AG$2561,F$4)</f>
        <v>-1.6</v>
      </c>
      <c r="C353">
        <f>VLOOKUP($A353,Data!$C$5:$AG$2561,G$4)</f>
        <v>-7.7</v>
      </c>
    </row>
    <row r="354" spans="1:3" x14ac:dyDescent="0.25">
      <c r="A354">
        <v>2019348</v>
      </c>
      <c r="B354">
        <f>VLOOKUP($A354,Data!$C$5:$AG$2561,F$4)</f>
        <v>-2.9</v>
      </c>
      <c r="C354">
        <f>VLOOKUP($A354,Data!$C$5:$AG$2561,G$4)</f>
        <v>-9.4</v>
      </c>
    </row>
    <row r="355" spans="1:3" x14ac:dyDescent="0.25">
      <c r="A355">
        <v>2019349</v>
      </c>
      <c r="B355">
        <f>VLOOKUP($A355,Data!$C$5:$AG$2561,F$4)</f>
        <v>-5</v>
      </c>
      <c r="C355">
        <f>VLOOKUP($A355,Data!$C$5:$AG$2561,G$4)</f>
        <v>-15.3</v>
      </c>
    </row>
    <row r="356" spans="1:3" x14ac:dyDescent="0.25">
      <c r="A356">
        <v>2019350</v>
      </c>
      <c r="B356">
        <f>VLOOKUP($A356,Data!$C$5:$AG$2561,F$4)</f>
        <v>-6.9</v>
      </c>
      <c r="C356">
        <f>VLOOKUP($A356,Data!$C$5:$AG$2561,G$4)</f>
        <v>-18.100000000000001</v>
      </c>
    </row>
    <row r="357" spans="1:3" x14ac:dyDescent="0.25">
      <c r="A357">
        <v>2019351</v>
      </c>
      <c r="B357">
        <f>VLOOKUP($A357,Data!$C$5:$AG$2561,F$4)</f>
        <v>-5.6</v>
      </c>
      <c r="C357">
        <f>VLOOKUP($A357,Data!$C$5:$AG$2561,G$4)</f>
        <v>-8.1999999999999993</v>
      </c>
    </row>
    <row r="358" spans="1:3" x14ac:dyDescent="0.25">
      <c r="A358">
        <v>2019352</v>
      </c>
      <c r="B358">
        <f>VLOOKUP($A358,Data!$C$5:$AG$2561,F$4)</f>
        <v>-4.9000000000000004</v>
      </c>
      <c r="C358">
        <f>VLOOKUP($A358,Data!$C$5:$AG$2561,G$4)</f>
        <v>-7.8</v>
      </c>
    </row>
    <row r="359" spans="1:3" x14ac:dyDescent="0.25">
      <c r="A359">
        <v>2019353</v>
      </c>
      <c r="B359">
        <f>VLOOKUP($A359,Data!$C$5:$AG$2561,F$4)</f>
        <v>-2.5</v>
      </c>
      <c r="C359">
        <f>VLOOKUP($A359,Data!$C$5:$AG$2561,G$4)</f>
        <v>-8</v>
      </c>
    </row>
    <row r="360" spans="1:3" x14ac:dyDescent="0.25">
      <c r="A360">
        <v>2019354</v>
      </c>
      <c r="B360">
        <f>VLOOKUP($A360,Data!$C$5:$AG$2561,F$4)</f>
        <v>1.2</v>
      </c>
      <c r="C360">
        <f>VLOOKUP($A360,Data!$C$5:$AG$2561,G$4)</f>
        <v>-4.0999999999999996</v>
      </c>
    </row>
    <row r="361" spans="1:3" x14ac:dyDescent="0.25">
      <c r="A361">
        <v>2019355</v>
      </c>
      <c r="B361">
        <f>VLOOKUP($A361,Data!$C$5:$AG$2561,F$4)</f>
        <v>1.5</v>
      </c>
      <c r="C361">
        <f>VLOOKUP($A361,Data!$C$5:$AG$2561,G$4)</f>
        <v>-4.9000000000000004</v>
      </c>
    </row>
    <row r="362" spans="1:3" x14ac:dyDescent="0.25">
      <c r="A362">
        <v>2019356</v>
      </c>
      <c r="B362">
        <f>VLOOKUP($A362,Data!$C$5:$AG$2561,F$4)</f>
        <v>-1.9</v>
      </c>
      <c r="C362">
        <f>VLOOKUP($A362,Data!$C$5:$AG$2561,G$4)</f>
        <v>-11.3</v>
      </c>
    </row>
    <row r="363" spans="1:3" x14ac:dyDescent="0.25">
      <c r="A363">
        <v>2019357</v>
      </c>
      <c r="B363">
        <f>VLOOKUP($A363,Data!$C$5:$AG$2561,F$4)</f>
        <v>-0.1</v>
      </c>
      <c r="C363">
        <f>VLOOKUP($A363,Data!$C$5:$AG$2561,G$4)</f>
        <v>-9.6</v>
      </c>
    </row>
    <row r="364" spans="1:3" x14ac:dyDescent="0.25">
      <c r="A364">
        <v>2019358</v>
      </c>
      <c r="B364">
        <f>VLOOKUP($A364,Data!$C$5:$AG$2561,F$4)</f>
        <v>-3.8</v>
      </c>
      <c r="C364">
        <f>VLOOKUP($A364,Data!$C$5:$AG$2561,G$4)</f>
        <v>-13.9</v>
      </c>
    </row>
    <row r="365" spans="1:3" x14ac:dyDescent="0.25">
      <c r="A365">
        <v>2019359</v>
      </c>
      <c r="B365">
        <f>VLOOKUP($A365,Data!$C$5:$AG$2561,F$4)</f>
        <v>-3.3</v>
      </c>
      <c r="C365">
        <f>VLOOKUP($A365,Data!$C$5:$AG$2561,G$4)</f>
        <v>-18.5</v>
      </c>
    </row>
    <row r="366" spans="1:3" x14ac:dyDescent="0.25">
      <c r="A366">
        <v>2019360</v>
      </c>
      <c r="B366">
        <f>VLOOKUP($A366,Data!$C$5:$AG$2561,F$4)</f>
        <v>-6.9</v>
      </c>
      <c r="C366">
        <f>VLOOKUP($A366,Data!$C$5:$AG$2561,G$4)</f>
        <v>-19</v>
      </c>
    </row>
    <row r="367" spans="1:3" x14ac:dyDescent="0.25">
      <c r="A367">
        <v>2019361</v>
      </c>
      <c r="B367">
        <f>VLOOKUP($A367,Data!$C$5:$AG$2561,F$4)</f>
        <v>-4.7</v>
      </c>
      <c r="C367">
        <f>VLOOKUP($A367,Data!$C$5:$AG$2561,G$4)</f>
        <v>-11.1</v>
      </c>
    </row>
    <row r="368" spans="1:3" x14ac:dyDescent="0.25">
      <c r="A368">
        <v>2019362</v>
      </c>
      <c r="B368">
        <f>VLOOKUP($A368,Data!$C$5:$AG$2561,F$4)</f>
        <v>-3.9</v>
      </c>
      <c r="C368">
        <f>VLOOKUP($A368,Data!$C$5:$AG$2561,G$4)</f>
        <v>-14.7</v>
      </c>
    </row>
    <row r="369" spans="1:3" x14ac:dyDescent="0.25">
      <c r="A369">
        <v>2019363</v>
      </c>
      <c r="B369">
        <f>VLOOKUP($A369,Data!$C$5:$AG$2561,F$4)</f>
        <v>1.1000000000000001</v>
      </c>
      <c r="C369">
        <f>VLOOKUP($A369,Data!$C$5:$AG$2561,G$4)</f>
        <v>-10.9</v>
      </c>
    </row>
    <row r="370" spans="1:3" x14ac:dyDescent="0.25">
      <c r="A370">
        <v>2019364</v>
      </c>
      <c r="B370">
        <f>VLOOKUP($A370,Data!$C$5:$AG$2561,F$4)</f>
        <v>-3.3</v>
      </c>
      <c r="C370">
        <f>VLOOKUP($A370,Data!$C$5:$AG$2561,G$4)</f>
        <v>-10.5</v>
      </c>
    </row>
    <row r="371" spans="1:3" x14ac:dyDescent="0.25">
      <c r="A371">
        <v>2019365</v>
      </c>
      <c r="B371">
        <f>VLOOKUP($A371,Data!$C$5:$AG$2561,F$4)</f>
        <v>-0.5</v>
      </c>
      <c r="C371">
        <f>VLOOKUP($A371,Data!$C$5:$AG$2561,G$4)</f>
        <v>-6.2</v>
      </c>
    </row>
    <row r="372" spans="1:3" x14ac:dyDescent="0.25">
      <c r="A372">
        <v>2020001</v>
      </c>
      <c r="B372">
        <f>VLOOKUP($A372,Data!$C$5:$AG$2561,F$4)</f>
        <v>0.8</v>
      </c>
      <c r="C372">
        <f>VLOOKUP($A372,Data!$C$5:$AG$2561,G$4)</f>
        <v>-2.7</v>
      </c>
    </row>
    <row r="373" spans="1:3" x14ac:dyDescent="0.25">
      <c r="A373">
        <v>2020002</v>
      </c>
      <c r="B373">
        <f>VLOOKUP($A373,Data!$C$5:$AG$2561,F$4)</f>
        <v>-2.4</v>
      </c>
      <c r="C373">
        <f>VLOOKUP($A373,Data!$C$5:$AG$2561,G$4)</f>
        <v>-7.1</v>
      </c>
    </row>
    <row r="374" spans="1:3" x14ac:dyDescent="0.25">
      <c r="A374">
        <v>2020003</v>
      </c>
      <c r="B374">
        <f>VLOOKUP($A374,Data!$C$5:$AG$2561,F$4)</f>
        <v>0.2</v>
      </c>
      <c r="C374">
        <f>VLOOKUP($A374,Data!$C$5:$AG$2561,G$4)</f>
        <v>-5.0999999999999996</v>
      </c>
    </row>
    <row r="375" spans="1:3" x14ac:dyDescent="0.25">
      <c r="A375">
        <v>2020004</v>
      </c>
      <c r="B375">
        <f>VLOOKUP($A375,Data!$C$5:$AG$2561,F$4)</f>
        <v>0</v>
      </c>
      <c r="C375">
        <f>VLOOKUP($A375,Data!$C$5:$AG$2561,G$4)</f>
        <v>-7</v>
      </c>
    </row>
    <row r="376" spans="1:3" x14ac:dyDescent="0.25">
      <c r="A376">
        <v>2020005</v>
      </c>
      <c r="B376">
        <f>VLOOKUP($A376,Data!$C$5:$AG$2561,F$4)</f>
        <v>-3.1</v>
      </c>
      <c r="C376">
        <f>VLOOKUP($A376,Data!$C$5:$AG$2561,G$4)</f>
        <v>-7.2</v>
      </c>
    </row>
    <row r="377" spans="1:3" x14ac:dyDescent="0.25">
      <c r="A377">
        <v>2020006</v>
      </c>
      <c r="B377">
        <f>VLOOKUP($A377,Data!$C$5:$AG$2561,F$4)</f>
        <v>-3.3</v>
      </c>
      <c r="C377">
        <f>VLOOKUP($A377,Data!$C$5:$AG$2561,G$4)</f>
        <v>-7.6</v>
      </c>
    </row>
    <row r="378" spans="1:3" x14ac:dyDescent="0.25">
      <c r="A378">
        <v>2020007</v>
      </c>
      <c r="B378">
        <f>VLOOKUP($A378,Data!$C$5:$AG$2561,F$4)</f>
        <v>0.6</v>
      </c>
      <c r="C378">
        <f>VLOOKUP($A378,Data!$C$5:$AG$2561,G$4)</f>
        <v>-3.8</v>
      </c>
    </row>
    <row r="379" spans="1:3" x14ac:dyDescent="0.25">
      <c r="A379">
        <v>2020008</v>
      </c>
      <c r="B379">
        <f>VLOOKUP($A379,Data!$C$5:$AG$2561,F$4)</f>
        <v>-0.9</v>
      </c>
      <c r="C379">
        <f>VLOOKUP($A379,Data!$C$5:$AG$2561,G$4)</f>
        <v>-18.3</v>
      </c>
    </row>
    <row r="380" spans="1:3" x14ac:dyDescent="0.25">
      <c r="A380">
        <v>2020009</v>
      </c>
      <c r="B380">
        <f>VLOOKUP($A380,Data!$C$5:$AG$2561,F$4)</f>
        <v>-8</v>
      </c>
      <c r="C380">
        <f>VLOOKUP($A380,Data!$C$5:$AG$2561,G$4)</f>
        <v>-20.100000000000001</v>
      </c>
    </row>
    <row r="381" spans="1:3" x14ac:dyDescent="0.25">
      <c r="A381">
        <v>2020010</v>
      </c>
      <c r="B381">
        <f>VLOOKUP($A381,Data!$C$5:$AG$2561,F$4)</f>
        <v>-7.6</v>
      </c>
      <c r="C381">
        <f>VLOOKUP($A381,Data!$C$5:$AG$2561,G$4)</f>
        <v>-15.1</v>
      </c>
    </row>
    <row r="382" spans="1:3" x14ac:dyDescent="0.25">
      <c r="A382">
        <v>2020011</v>
      </c>
      <c r="B382">
        <f>VLOOKUP($A382,Data!$C$5:$AG$2561,F$4)</f>
        <v>-2.8</v>
      </c>
      <c r="C382">
        <f>VLOOKUP($A382,Data!$C$5:$AG$2561,G$4)</f>
        <v>-7.7</v>
      </c>
    </row>
    <row r="383" spans="1:3" x14ac:dyDescent="0.25">
      <c r="A383">
        <v>2020012</v>
      </c>
      <c r="B383">
        <f>VLOOKUP($A383,Data!$C$5:$AG$2561,F$4)</f>
        <v>-4.8</v>
      </c>
      <c r="C383">
        <f>VLOOKUP($A383,Data!$C$5:$AG$2561,G$4)</f>
        <v>-23.8</v>
      </c>
    </row>
    <row r="384" spans="1:3" x14ac:dyDescent="0.25">
      <c r="A384">
        <v>2020013</v>
      </c>
      <c r="B384">
        <f>VLOOKUP($A384,Data!$C$5:$AG$2561,F$4)</f>
        <v>-21.9</v>
      </c>
      <c r="C384">
        <f>VLOOKUP($A384,Data!$C$5:$AG$2561,G$4)</f>
        <v>-26.7</v>
      </c>
    </row>
    <row r="385" spans="1:3" x14ac:dyDescent="0.25">
      <c r="A385">
        <v>2020014</v>
      </c>
      <c r="B385">
        <f>VLOOKUP($A385,Data!$C$5:$AG$2561,F$4)</f>
        <v>-21</v>
      </c>
      <c r="C385">
        <f>VLOOKUP($A385,Data!$C$5:$AG$2561,G$4)</f>
        <v>-26.3</v>
      </c>
    </row>
    <row r="386" spans="1:3" x14ac:dyDescent="0.25">
      <c r="A386">
        <v>2020015</v>
      </c>
      <c r="B386">
        <f>VLOOKUP($A386,Data!$C$5:$AG$2561,F$4)</f>
        <v>-9.8000000000000007</v>
      </c>
      <c r="C386">
        <f>VLOOKUP($A386,Data!$C$5:$AG$2561,G$4)</f>
        <v>-23.4</v>
      </c>
    </row>
    <row r="387" spans="1:3" x14ac:dyDescent="0.25">
      <c r="A387">
        <v>2020016</v>
      </c>
      <c r="B387">
        <f>VLOOKUP($A387,Data!$C$5:$AG$2561,F$4)</f>
        <v>-4.5</v>
      </c>
      <c r="C387">
        <f>VLOOKUP($A387,Data!$C$5:$AG$2561,G$4)</f>
        <v>-17.3</v>
      </c>
    </row>
    <row r="388" spans="1:3" x14ac:dyDescent="0.25">
      <c r="A388">
        <v>2020017</v>
      </c>
      <c r="B388">
        <f>VLOOKUP($A388,Data!$C$5:$AG$2561,F$4)</f>
        <v>-6.4</v>
      </c>
      <c r="C388">
        <f>VLOOKUP($A388,Data!$C$5:$AG$2561,G$4)</f>
        <v>-18.3</v>
      </c>
    </row>
    <row r="389" spans="1:3" x14ac:dyDescent="0.25">
      <c r="A389">
        <v>2020018</v>
      </c>
      <c r="B389">
        <f>VLOOKUP($A389,Data!$C$5:$AG$2561,F$4)</f>
        <v>-6.1</v>
      </c>
      <c r="C389">
        <f>VLOOKUP($A389,Data!$C$5:$AG$2561,G$4)</f>
        <v>-12.5</v>
      </c>
    </row>
    <row r="390" spans="1:3" x14ac:dyDescent="0.25">
      <c r="A390">
        <v>2020019</v>
      </c>
      <c r="B390">
        <f>VLOOKUP($A390,Data!$C$5:$AG$2561,F$4)</f>
        <v>-0.2</v>
      </c>
      <c r="C390">
        <f>VLOOKUP($A390,Data!$C$5:$AG$2561,G$4)</f>
        <v>-7.4</v>
      </c>
    </row>
    <row r="391" spans="1:3" x14ac:dyDescent="0.25">
      <c r="A391">
        <v>2020020</v>
      </c>
      <c r="B391">
        <f>VLOOKUP($A391,Data!$C$5:$AG$2561,F$4)</f>
        <v>0</v>
      </c>
      <c r="C391">
        <f>VLOOKUP($A391,Data!$C$5:$AG$2561,G$4)</f>
        <v>-3.1</v>
      </c>
    </row>
    <row r="392" spans="1:3" x14ac:dyDescent="0.25">
      <c r="A392">
        <v>2020021</v>
      </c>
      <c r="B392">
        <f>VLOOKUP($A392,Data!$C$5:$AG$2561,F$4)</f>
        <v>0.2</v>
      </c>
      <c r="C392">
        <f>VLOOKUP($A392,Data!$C$5:$AG$2561,G$4)</f>
        <v>-4.2</v>
      </c>
    </row>
    <row r="393" spans="1:3" x14ac:dyDescent="0.25">
      <c r="A393">
        <v>2020022</v>
      </c>
      <c r="B393">
        <f>VLOOKUP($A393,Data!$C$5:$AG$2561,F$4)</f>
        <v>-0.3</v>
      </c>
      <c r="C393">
        <f>VLOOKUP($A393,Data!$C$5:$AG$2561,G$4)</f>
        <v>-4.7</v>
      </c>
    </row>
    <row r="394" spans="1:3" x14ac:dyDescent="0.25">
      <c r="A394">
        <v>2020023</v>
      </c>
      <c r="B394">
        <f>VLOOKUP($A394,Data!$C$5:$AG$2561,F$4)</f>
        <v>1.4</v>
      </c>
      <c r="C394">
        <f>VLOOKUP($A394,Data!$C$5:$AG$2561,G$4)</f>
        <v>-3.8</v>
      </c>
    </row>
    <row r="395" spans="1:3" x14ac:dyDescent="0.25">
      <c r="A395">
        <v>2020024</v>
      </c>
      <c r="B395">
        <f>VLOOKUP($A395,Data!$C$5:$AG$2561,F$4)</f>
        <v>3.3</v>
      </c>
      <c r="C395">
        <f>VLOOKUP($A395,Data!$C$5:$AG$2561,G$4)</f>
        <v>-6.2</v>
      </c>
    </row>
    <row r="396" spans="1:3" x14ac:dyDescent="0.25">
      <c r="A396">
        <v>2020025</v>
      </c>
      <c r="B396">
        <f>VLOOKUP($A396,Data!$C$5:$AG$2561,F$4)</f>
        <v>-0.9</v>
      </c>
      <c r="C396">
        <f>VLOOKUP($A396,Data!$C$5:$AG$2561,G$4)</f>
        <v>-10.4</v>
      </c>
    </row>
    <row r="397" spans="1:3" x14ac:dyDescent="0.25">
      <c r="A397">
        <v>2020026</v>
      </c>
      <c r="B397">
        <f>VLOOKUP($A397,Data!$C$5:$AG$2561,F$4)</f>
        <v>1.5</v>
      </c>
      <c r="C397">
        <f>VLOOKUP($A397,Data!$C$5:$AG$2561,G$4)</f>
        <v>-3.6</v>
      </c>
    </row>
    <row r="398" spans="1:3" x14ac:dyDescent="0.25">
      <c r="A398">
        <v>2020027</v>
      </c>
      <c r="B398">
        <f>VLOOKUP($A398,Data!$C$5:$AG$2561,F$4)</f>
        <v>0.4</v>
      </c>
      <c r="C398">
        <f>VLOOKUP($A398,Data!$C$5:$AG$2561,G$4)</f>
        <v>-4.5999999999999996</v>
      </c>
    </row>
    <row r="399" spans="1:3" x14ac:dyDescent="0.25">
      <c r="A399">
        <v>2020028</v>
      </c>
      <c r="B399">
        <f>VLOOKUP($A399,Data!$C$5:$AG$2561,F$4)</f>
        <v>1.4</v>
      </c>
      <c r="C399">
        <f>VLOOKUP($A399,Data!$C$5:$AG$2561,G$4)</f>
        <v>-10</v>
      </c>
    </row>
    <row r="400" spans="1:3" x14ac:dyDescent="0.25">
      <c r="A400">
        <v>2020029</v>
      </c>
      <c r="B400">
        <f>VLOOKUP($A400,Data!$C$5:$AG$2561,F$4)</f>
        <v>-1.2</v>
      </c>
      <c r="C400">
        <f>VLOOKUP($A400,Data!$C$5:$AG$2561,G$4)</f>
        <v>-10.1</v>
      </c>
    </row>
    <row r="401" spans="1:3" x14ac:dyDescent="0.25">
      <c r="A401">
        <v>2020030</v>
      </c>
      <c r="B401">
        <f>VLOOKUP($A401,Data!$C$5:$AG$2561,F$4)</f>
        <v>-1.9</v>
      </c>
      <c r="C401">
        <f>VLOOKUP($A401,Data!$C$5:$AG$2561,G$4)</f>
        <v>-13.2</v>
      </c>
    </row>
    <row r="402" spans="1:3" x14ac:dyDescent="0.25">
      <c r="A402">
        <v>2020031</v>
      </c>
      <c r="B402">
        <f>VLOOKUP($A402,Data!$C$5:$AG$2561,F$4)</f>
        <v>2.2999999999999998</v>
      </c>
      <c r="C402">
        <f>VLOOKUP($A402,Data!$C$5:$AG$2561,G$4)</f>
        <v>-3</v>
      </c>
    </row>
    <row r="403" spans="1:3" x14ac:dyDescent="0.25">
      <c r="A403">
        <v>2020032</v>
      </c>
      <c r="B403">
        <f>VLOOKUP($A403,Data!$C$5:$AG$2561,F$4)</f>
        <v>2.4</v>
      </c>
      <c r="C403">
        <f>VLOOKUP($A403,Data!$C$5:$AG$2561,G$4)</f>
        <v>-11</v>
      </c>
    </row>
    <row r="404" spans="1:3" x14ac:dyDescent="0.25">
      <c r="A404">
        <v>2020033</v>
      </c>
      <c r="B404">
        <f>VLOOKUP($A404,Data!$C$5:$AG$2561,F$4)</f>
        <v>-3.7</v>
      </c>
      <c r="C404">
        <f>VLOOKUP($A404,Data!$C$5:$AG$2561,G$4)</f>
        <v>-17.2</v>
      </c>
    </row>
    <row r="405" spans="1:3" x14ac:dyDescent="0.25">
      <c r="A405">
        <v>2020034</v>
      </c>
      <c r="B405">
        <f>VLOOKUP($A405,Data!$C$5:$AG$2561,F$4)</f>
        <v>-8.6</v>
      </c>
      <c r="C405">
        <f>VLOOKUP($A405,Data!$C$5:$AG$2561,G$4)</f>
        <v>-21.8</v>
      </c>
    </row>
    <row r="406" spans="1:3" x14ac:dyDescent="0.25">
      <c r="A406">
        <v>2020035</v>
      </c>
      <c r="B406">
        <f>VLOOKUP($A406,Data!$C$5:$AG$2561,F$4)</f>
        <v>-5.2</v>
      </c>
      <c r="C406">
        <f>VLOOKUP($A406,Data!$C$5:$AG$2561,G$4)</f>
        <v>-21.2</v>
      </c>
    </row>
    <row r="407" spans="1:3" x14ac:dyDescent="0.25">
      <c r="A407">
        <v>2020036</v>
      </c>
      <c r="B407">
        <f>VLOOKUP($A407,Data!$C$5:$AG$2561,F$4)</f>
        <v>-0.7</v>
      </c>
      <c r="C407">
        <f>VLOOKUP($A407,Data!$C$5:$AG$2561,G$4)</f>
        <v>-8.1999999999999993</v>
      </c>
    </row>
    <row r="408" spans="1:3" x14ac:dyDescent="0.25">
      <c r="A408">
        <v>2020037</v>
      </c>
      <c r="B408">
        <f>VLOOKUP($A408,Data!$C$5:$AG$2561,F$4)</f>
        <v>-0.8</v>
      </c>
      <c r="C408">
        <f>VLOOKUP($A408,Data!$C$5:$AG$2561,G$4)</f>
        <v>-4.8</v>
      </c>
    </row>
    <row r="409" spans="1:3" x14ac:dyDescent="0.25">
      <c r="A409">
        <v>2020038</v>
      </c>
      <c r="B409">
        <f>VLOOKUP($A409,Data!$C$5:$AG$2561,F$4)</f>
        <v>-3.5</v>
      </c>
      <c r="C409">
        <f>VLOOKUP($A409,Data!$C$5:$AG$2561,G$4)</f>
        <v>-7.5</v>
      </c>
    </row>
    <row r="410" spans="1:3" x14ac:dyDescent="0.25">
      <c r="A410">
        <v>2020039</v>
      </c>
      <c r="B410">
        <f>VLOOKUP($A410,Data!$C$5:$AG$2561,F$4)</f>
        <v>-4</v>
      </c>
      <c r="C410">
        <f>VLOOKUP($A410,Data!$C$5:$AG$2561,G$4)</f>
        <v>-7.8</v>
      </c>
    </row>
    <row r="411" spans="1:3" x14ac:dyDescent="0.25">
      <c r="A411">
        <v>2020040</v>
      </c>
      <c r="B411">
        <f>VLOOKUP($A411,Data!$C$5:$AG$2561,F$4)</f>
        <v>-2.2999999999999998</v>
      </c>
      <c r="C411">
        <f>VLOOKUP($A411,Data!$C$5:$AG$2561,G$4)</f>
        <v>-14.6</v>
      </c>
    </row>
    <row r="412" spans="1:3" x14ac:dyDescent="0.25">
      <c r="A412">
        <v>2020041</v>
      </c>
      <c r="B412">
        <f>VLOOKUP($A412,Data!$C$5:$AG$2561,F$4)</f>
        <v>-1.3</v>
      </c>
      <c r="C412">
        <f>VLOOKUP($A412,Data!$C$5:$AG$2561,G$4)</f>
        <v>-9.1999999999999993</v>
      </c>
    </row>
    <row r="413" spans="1:3" x14ac:dyDescent="0.25">
      <c r="A413">
        <v>2020042</v>
      </c>
      <c r="B413">
        <f>VLOOKUP($A413,Data!$C$5:$AG$2561,F$4)</f>
        <v>0.2</v>
      </c>
      <c r="C413">
        <f>VLOOKUP($A413,Data!$C$5:$AG$2561,G$4)</f>
        <v>-5.5</v>
      </c>
    </row>
    <row r="414" spans="1:3" x14ac:dyDescent="0.25">
      <c r="A414">
        <v>2020043</v>
      </c>
      <c r="B414">
        <f>VLOOKUP($A414,Data!$C$5:$AG$2561,F$4)</f>
        <v>2.6</v>
      </c>
      <c r="C414">
        <f>VLOOKUP($A414,Data!$C$5:$AG$2561,G$4)</f>
        <v>-10.3</v>
      </c>
    </row>
    <row r="415" spans="1:3" x14ac:dyDescent="0.25">
      <c r="A415">
        <v>2020044</v>
      </c>
      <c r="B415">
        <f>VLOOKUP($A415,Data!$C$5:$AG$2561,F$4)</f>
        <v>-0.8</v>
      </c>
      <c r="C415">
        <f>VLOOKUP($A415,Data!$C$5:$AG$2561,G$4)</f>
        <v>-10.3</v>
      </c>
    </row>
    <row r="416" spans="1:3" x14ac:dyDescent="0.25">
      <c r="A416">
        <v>2020045</v>
      </c>
      <c r="B416">
        <f>VLOOKUP($A416,Data!$C$5:$AG$2561,F$4)</f>
        <v>-0.8</v>
      </c>
      <c r="C416">
        <f>VLOOKUP($A416,Data!$C$5:$AG$2561,G$4)</f>
        <v>-6.1</v>
      </c>
    </row>
    <row r="417" spans="1:3" x14ac:dyDescent="0.25">
      <c r="A417">
        <v>2020046</v>
      </c>
      <c r="B417">
        <f>VLOOKUP($A417,Data!$C$5:$AG$2561,F$4)</f>
        <v>-1.1000000000000001</v>
      </c>
      <c r="C417">
        <f>VLOOKUP($A417,Data!$C$5:$AG$2561,G$4)</f>
        <v>-6.2</v>
      </c>
    </row>
    <row r="418" spans="1:3" x14ac:dyDescent="0.25">
      <c r="A418">
        <v>2020047</v>
      </c>
      <c r="B418">
        <f>VLOOKUP($A418,Data!$C$5:$AG$2561,F$4)</f>
        <v>-2.8</v>
      </c>
      <c r="C418">
        <f>VLOOKUP($A418,Data!$C$5:$AG$2561,G$4)</f>
        <v>-6.9</v>
      </c>
    </row>
    <row r="419" spans="1:3" x14ac:dyDescent="0.25">
      <c r="A419">
        <v>2020048</v>
      </c>
      <c r="B419">
        <f>VLOOKUP($A419,Data!$C$5:$AG$2561,F$4)</f>
        <v>-4.4000000000000004</v>
      </c>
      <c r="C419">
        <f>VLOOKUP($A419,Data!$C$5:$AG$2561,G$4)</f>
        <v>-10</v>
      </c>
    </row>
    <row r="420" spans="1:3" x14ac:dyDescent="0.25">
      <c r="A420">
        <v>2020049</v>
      </c>
      <c r="B420">
        <f>VLOOKUP($A420,Data!$C$5:$AG$2561,F$4)</f>
        <v>-2.9</v>
      </c>
      <c r="C420">
        <f>VLOOKUP($A420,Data!$C$5:$AG$2561,G$4)</f>
        <v>-16.899999999999999</v>
      </c>
    </row>
    <row r="421" spans="1:3" x14ac:dyDescent="0.25">
      <c r="A421">
        <v>2020050</v>
      </c>
      <c r="B421">
        <f>VLOOKUP($A421,Data!$C$5:$AG$2561,F$4)</f>
        <v>-1.2</v>
      </c>
      <c r="C421">
        <f>VLOOKUP($A421,Data!$C$5:$AG$2561,G$4)</f>
        <v>-18.7</v>
      </c>
    </row>
    <row r="422" spans="1:3" x14ac:dyDescent="0.25">
      <c r="A422">
        <v>2020051</v>
      </c>
      <c r="B422">
        <f>VLOOKUP($A422,Data!$C$5:$AG$2561,F$4)</f>
        <v>-0.6</v>
      </c>
      <c r="C422">
        <f>VLOOKUP($A422,Data!$C$5:$AG$2561,G$4)</f>
        <v>-15.1</v>
      </c>
    </row>
    <row r="423" spans="1:3" x14ac:dyDescent="0.25">
      <c r="A423">
        <v>2020052</v>
      </c>
      <c r="B423">
        <f>VLOOKUP($A423,Data!$C$5:$AG$2561,F$4)</f>
        <v>3.4</v>
      </c>
      <c r="C423">
        <f>VLOOKUP($A423,Data!$C$5:$AG$2561,G$4)</f>
        <v>-15.6</v>
      </c>
    </row>
    <row r="424" spans="1:3" x14ac:dyDescent="0.25">
      <c r="A424">
        <v>2020053</v>
      </c>
      <c r="B424">
        <f>VLOOKUP($A424,Data!$C$5:$AG$2561,F$4)</f>
        <v>-1.4</v>
      </c>
      <c r="C424">
        <f>VLOOKUP($A424,Data!$C$5:$AG$2561,G$4)</f>
        <v>-10.5</v>
      </c>
    </row>
    <row r="425" spans="1:3" x14ac:dyDescent="0.25">
      <c r="A425">
        <v>2020054</v>
      </c>
      <c r="B425">
        <f>VLOOKUP($A425,Data!$C$5:$AG$2561,F$4)</f>
        <v>-0.3</v>
      </c>
      <c r="C425">
        <f>VLOOKUP($A425,Data!$C$5:$AG$2561,G$4)</f>
        <v>-8.4</v>
      </c>
    </row>
    <row r="426" spans="1:3" x14ac:dyDescent="0.25">
      <c r="A426">
        <v>2020055</v>
      </c>
      <c r="B426">
        <f>VLOOKUP($A426,Data!$C$5:$AG$2561,F$4)</f>
        <v>-2.6</v>
      </c>
      <c r="C426">
        <f>VLOOKUP($A426,Data!$C$5:$AG$2561,G$4)</f>
        <v>-14.2</v>
      </c>
    </row>
    <row r="427" spans="1:3" x14ac:dyDescent="0.25">
      <c r="A427">
        <v>2020056</v>
      </c>
      <c r="B427">
        <f>VLOOKUP($A427,Data!$C$5:$AG$2561,F$4)</f>
        <v>-2.4</v>
      </c>
      <c r="C427">
        <f>VLOOKUP($A427,Data!$C$5:$AG$2561,G$4)</f>
        <v>-15.7</v>
      </c>
    </row>
    <row r="428" spans="1:3" x14ac:dyDescent="0.25">
      <c r="A428">
        <v>2020057</v>
      </c>
      <c r="B428">
        <f>VLOOKUP($A428,Data!$C$5:$AG$2561,F$4)</f>
        <v>2.9</v>
      </c>
      <c r="C428">
        <f>VLOOKUP($A428,Data!$C$5:$AG$2561,G$4)</f>
        <v>-7.1</v>
      </c>
    </row>
    <row r="429" spans="1:3" x14ac:dyDescent="0.25">
      <c r="A429">
        <v>2020058</v>
      </c>
      <c r="B429">
        <f>VLOOKUP($A429,Data!$C$5:$AG$2561,F$4)</f>
        <v>4.3</v>
      </c>
      <c r="C429">
        <f>VLOOKUP($A429,Data!$C$5:$AG$2561,G$4)</f>
        <v>-6</v>
      </c>
    </row>
    <row r="430" spans="1:3" x14ac:dyDescent="0.25">
      <c r="A430">
        <v>2020059</v>
      </c>
      <c r="B430">
        <f>VLOOKUP($A430,Data!$C$5:$AG$2561,F$4)</f>
        <v>6.8</v>
      </c>
      <c r="C430">
        <f>VLOOKUP($A430,Data!$C$5:$AG$2561,G$4)</f>
        <v>-7.6</v>
      </c>
    </row>
    <row r="431" spans="1:3" x14ac:dyDescent="0.25">
      <c r="A431">
        <v>2020060</v>
      </c>
      <c r="B431">
        <f>VLOOKUP($A431,Data!$C$5:$AG$2561,F$4)</f>
        <v>-2</v>
      </c>
      <c r="C431">
        <f>VLOOKUP($A431,Data!$C$5:$AG$2561,G$4)</f>
        <v>-6.5</v>
      </c>
    </row>
    <row r="432" spans="1:3" x14ac:dyDescent="0.25">
      <c r="A432">
        <v>2020061</v>
      </c>
      <c r="B432">
        <f>VLOOKUP($A432,Data!$C$5:$AG$2561,F$4)</f>
        <v>-1.8</v>
      </c>
      <c r="C432">
        <f>VLOOKUP($A432,Data!$C$5:$AG$2561,G$4)</f>
        <v>-13.5</v>
      </c>
    </row>
    <row r="433" spans="1:3" x14ac:dyDescent="0.25">
      <c r="A433">
        <v>2020062</v>
      </c>
      <c r="B433">
        <f>VLOOKUP($A433,Data!$C$5:$AG$2561,F$4)</f>
        <v>0.9</v>
      </c>
      <c r="C433">
        <f>VLOOKUP($A433,Data!$C$5:$AG$2561,G$4)</f>
        <v>-3.6</v>
      </c>
    </row>
    <row r="434" spans="1:3" x14ac:dyDescent="0.25">
      <c r="A434">
        <v>2020063</v>
      </c>
      <c r="B434">
        <f>VLOOKUP($A434,Data!$C$5:$AG$2561,F$4)</f>
        <v>7</v>
      </c>
      <c r="C434">
        <f>VLOOKUP($A434,Data!$C$5:$AG$2561,G$4)</f>
        <v>-4.9000000000000004</v>
      </c>
    </row>
    <row r="435" spans="1:3" x14ac:dyDescent="0.25">
      <c r="A435">
        <v>2020064</v>
      </c>
      <c r="B435">
        <f>VLOOKUP($A435,Data!$C$5:$AG$2561,F$4)</f>
        <v>-0.4</v>
      </c>
      <c r="C435">
        <f>VLOOKUP($A435,Data!$C$5:$AG$2561,G$4)</f>
        <v>-12.6</v>
      </c>
    </row>
    <row r="436" spans="1:3" x14ac:dyDescent="0.25">
      <c r="A436">
        <v>2020065</v>
      </c>
      <c r="B436">
        <f>VLOOKUP($A436,Data!$C$5:$AG$2561,F$4)</f>
        <v>5.9</v>
      </c>
      <c r="C436">
        <f>VLOOKUP($A436,Data!$C$5:$AG$2561,G$4)</f>
        <v>-6.3</v>
      </c>
    </row>
    <row r="437" spans="1:3" x14ac:dyDescent="0.25">
      <c r="A437">
        <v>2020066</v>
      </c>
      <c r="B437">
        <f>VLOOKUP($A437,Data!$C$5:$AG$2561,F$4)</f>
        <v>3.1</v>
      </c>
      <c r="C437">
        <f>VLOOKUP($A437,Data!$C$5:$AG$2561,G$4)</f>
        <v>-6.5</v>
      </c>
    </row>
    <row r="438" spans="1:3" x14ac:dyDescent="0.25">
      <c r="A438">
        <v>2020067</v>
      </c>
      <c r="B438">
        <f>VLOOKUP($A438,Data!$C$5:$AG$2561,F$4)</f>
        <v>-0.2</v>
      </c>
      <c r="C438">
        <f>VLOOKUP($A438,Data!$C$5:$AG$2561,G$4)</f>
        <v>-11.8</v>
      </c>
    </row>
    <row r="439" spans="1:3" x14ac:dyDescent="0.25">
      <c r="A439">
        <v>2020068</v>
      </c>
      <c r="B439">
        <f>VLOOKUP($A439,Data!$C$5:$AG$2561,F$4)</f>
        <v>-1.3</v>
      </c>
      <c r="C439">
        <f>VLOOKUP($A439,Data!$C$5:$AG$2561,G$4)</f>
        <v>-16.8</v>
      </c>
    </row>
    <row r="440" spans="1:3" x14ac:dyDescent="0.25">
      <c r="A440">
        <v>2020069</v>
      </c>
      <c r="B440">
        <f>VLOOKUP($A440,Data!$C$5:$AG$2561,F$4)</f>
        <v>1.1000000000000001</v>
      </c>
      <c r="C440">
        <f>VLOOKUP($A440,Data!$C$5:$AG$2561,G$4)</f>
        <v>-19.7</v>
      </c>
    </row>
    <row r="441" spans="1:3" x14ac:dyDescent="0.25">
      <c r="A441">
        <v>2020070</v>
      </c>
      <c r="B441">
        <f>VLOOKUP($A441,Data!$C$5:$AG$2561,F$4)</f>
        <v>-1.2</v>
      </c>
      <c r="C441">
        <f>VLOOKUP($A441,Data!$C$5:$AG$2561,G$4)</f>
        <v>-17.2</v>
      </c>
    </row>
    <row r="442" spans="1:3" x14ac:dyDescent="0.25">
      <c r="A442">
        <v>2020071</v>
      </c>
      <c r="B442">
        <f>VLOOKUP($A442,Data!$C$5:$AG$2561,F$4)</f>
        <v>-1</v>
      </c>
      <c r="C442">
        <f>VLOOKUP($A442,Data!$C$5:$AG$2561,G$4)</f>
        <v>-13.1</v>
      </c>
    </row>
    <row r="443" spans="1:3" x14ac:dyDescent="0.25">
      <c r="A443">
        <v>2020072</v>
      </c>
      <c r="B443">
        <f>VLOOKUP($A443,Data!$C$5:$AG$2561,F$4)</f>
        <v>-2.4</v>
      </c>
      <c r="C443">
        <f>VLOOKUP($A443,Data!$C$5:$AG$2561,G$4)</f>
        <v>-15.9</v>
      </c>
    </row>
    <row r="444" spans="1:3" x14ac:dyDescent="0.25">
      <c r="A444">
        <v>2020073</v>
      </c>
      <c r="B444">
        <f>VLOOKUP($A444,Data!$C$5:$AG$2561,F$4)</f>
        <v>-7.8</v>
      </c>
      <c r="C444">
        <f>VLOOKUP($A444,Data!$C$5:$AG$2561,G$4)</f>
        <v>-12.6</v>
      </c>
    </row>
    <row r="445" spans="1:3" x14ac:dyDescent="0.25">
      <c r="A445">
        <v>2020074</v>
      </c>
      <c r="B445">
        <f>VLOOKUP($A445,Data!$C$5:$AG$2561,F$4)</f>
        <v>-11.5</v>
      </c>
      <c r="C445">
        <f>VLOOKUP($A445,Data!$C$5:$AG$2561,G$4)</f>
        <v>-16.899999999999999</v>
      </c>
    </row>
    <row r="446" spans="1:3" x14ac:dyDescent="0.25">
      <c r="A446">
        <v>2020075</v>
      </c>
      <c r="B446">
        <f>VLOOKUP($A446,Data!$C$5:$AG$2561,F$4)</f>
        <v>-6.1</v>
      </c>
      <c r="C446">
        <f>VLOOKUP($A446,Data!$C$5:$AG$2561,G$4)</f>
        <v>-17.5</v>
      </c>
    </row>
    <row r="447" spans="1:3" x14ac:dyDescent="0.25">
      <c r="A447">
        <v>2020076</v>
      </c>
      <c r="B447">
        <f>VLOOKUP($A447,Data!$C$5:$AG$2561,F$4)</f>
        <v>6.2</v>
      </c>
      <c r="C447">
        <f>VLOOKUP($A447,Data!$C$5:$AG$2561,G$4)</f>
        <v>-12.5</v>
      </c>
    </row>
    <row r="448" spans="1:3" x14ac:dyDescent="0.25">
      <c r="A448">
        <v>2020077</v>
      </c>
      <c r="B448">
        <f>VLOOKUP($A448,Data!$C$5:$AG$2561,F$4)</f>
        <v>6.1</v>
      </c>
      <c r="C448">
        <f>VLOOKUP($A448,Data!$C$5:$AG$2561,G$4)</f>
        <v>-11.3</v>
      </c>
    </row>
    <row r="449" spans="1:3" x14ac:dyDescent="0.25">
      <c r="A449">
        <v>2020078</v>
      </c>
      <c r="B449">
        <f>VLOOKUP($A449,Data!$C$5:$AG$2561,F$4)</f>
        <v>5.6</v>
      </c>
      <c r="C449">
        <f>VLOOKUP($A449,Data!$C$5:$AG$2561,G$4)</f>
        <v>-11.9</v>
      </c>
    </row>
    <row r="450" spans="1:3" x14ac:dyDescent="0.25">
      <c r="A450">
        <v>2020079</v>
      </c>
      <c r="B450">
        <f>VLOOKUP($A450,Data!$C$5:$AG$2561,F$4)</f>
        <v>7.7</v>
      </c>
      <c r="C450">
        <f>VLOOKUP($A450,Data!$C$5:$AG$2561,G$4)</f>
        <v>-14.2</v>
      </c>
    </row>
    <row r="451" spans="1:3" x14ac:dyDescent="0.25">
      <c r="A451">
        <v>2020080</v>
      </c>
      <c r="B451">
        <f>VLOOKUP($A451,Data!$C$5:$AG$2561,F$4)</f>
        <v>8.1</v>
      </c>
      <c r="C451">
        <f>VLOOKUP($A451,Data!$C$5:$AG$2561,G$4)</f>
        <v>-10.4</v>
      </c>
    </row>
    <row r="452" spans="1:3" x14ac:dyDescent="0.25">
      <c r="A452">
        <v>2020081</v>
      </c>
      <c r="B452">
        <f>VLOOKUP($A452,Data!$C$5:$AG$2561,F$4)</f>
        <v>6.3</v>
      </c>
      <c r="C452">
        <f>VLOOKUP($A452,Data!$C$5:$AG$2561,G$4)</f>
        <v>-10.1</v>
      </c>
    </row>
    <row r="453" spans="1:3" x14ac:dyDescent="0.25">
      <c r="A453">
        <v>2020082</v>
      </c>
      <c r="B453">
        <f>VLOOKUP($A453,Data!$C$5:$AG$2561,F$4)</f>
        <v>7.6</v>
      </c>
      <c r="C453">
        <f>VLOOKUP($A453,Data!$C$5:$AG$2561,G$4)</f>
        <v>-11.4</v>
      </c>
    </row>
    <row r="454" spans="1:3" x14ac:dyDescent="0.25">
      <c r="A454">
        <v>2020083</v>
      </c>
      <c r="B454">
        <f>VLOOKUP($A454,Data!$C$5:$AG$2561,F$4)</f>
        <v>4</v>
      </c>
      <c r="C454">
        <f>VLOOKUP($A454,Data!$C$5:$AG$2561,G$4)</f>
        <v>-11.3</v>
      </c>
    </row>
    <row r="455" spans="1:3" x14ac:dyDescent="0.25">
      <c r="A455">
        <v>2020084</v>
      </c>
      <c r="B455">
        <f>VLOOKUP($A455,Data!$C$5:$AG$2561,F$4)</f>
        <v>1.5</v>
      </c>
      <c r="C455">
        <f>VLOOKUP($A455,Data!$C$5:$AG$2561,G$4)</f>
        <v>-12.6</v>
      </c>
    </row>
    <row r="456" spans="1:3" x14ac:dyDescent="0.25">
      <c r="A456">
        <v>2020085</v>
      </c>
      <c r="B456">
        <f>VLOOKUP($A456,Data!$C$5:$AG$2561,F$4)</f>
        <v>0.5</v>
      </c>
      <c r="C456">
        <f>VLOOKUP($A456,Data!$C$5:$AG$2561,G$4)</f>
        <v>-13</v>
      </c>
    </row>
    <row r="457" spans="1:3" x14ac:dyDescent="0.25">
      <c r="A457">
        <v>2020086</v>
      </c>
      <c r="B457">
        <f>VLOOKUP($A457,Data!$C$5:$AG$2561,F$4)</f>
        <v>0.5</v>
      </c>
      <c r="C457">
        <f>VLOOKUP($A457,Data!$C$5:$AG$2561,G$4)</f>
        <v>-13.3</v>
      </c>
    </row>
    <row r="458" spans="1:3" x14ac:dyDescent="0.25">
      <c r="A458">
        <v>2020087</v>
      </c>
      <c r="B458">
        <f>VLOOKUP($A458,Data!$C$5:$AG$2561,F$4)</f>
        <v>2.4</v>
      </c>
      <c r="C458">
        <f>VLOOKUP($A458,Data!$C$5:$AG$2561,G$4)</f>
        <v>-4</v>
      </c>
    </row>
    <row r="459" spans="1:3" x14ac:dyDescent="0.25">
      <c r="A459">
        <v>2020088</v>
      </c>
      <c r="B459">
        <f>VLOOKUP($A459,Data!$C$5:$AG$2561,F$4)</f>
        <v>5.9</v>
      </c>
      <c r="C459">
        <f>VLOOKUP($A459,Data!$C$5:$AG$2561,G$4)</f>
        <v>-2.9</v>
      </c>
    </row>
    <row r="460" spans="1:3" x14ac:dyDescent="0.25">
      <c r="A460">
        <v>2020089</v>
      </c>
      <c r="B460">
        <f>VLOOKUP($A460,Data!$C$5:$AG$2561,F$4)</f>
        <v>6.5</v>
      </c>
      <c r="C460">
        <f>VLOOKUP($A460,Data!$C$5:$AG$2561,G$4)</f>
        <v>-2.6</v>
      </c>
    </row>
    <row r="461" spans="1:3" x14ac:dyDescent="0.25">
      <c r="A461">
        <v>2020090</v>
      </c>
      <c r="B461">
        <f>VLOOKUP($A461,Data!$C$5:$AG$2561,F$4)</f>
        <v>1.9</v>
      </c>
      <c r="C461">
        <f>VLOOKUP($A461,Data!$C$5:$AG$2561,G$4)</f>
        <v>-7.8</v>
      </c>
    </row>
    <row r="462" spans="1:3" x14ac:dyDescent="0.25">
      <c r="A462">
        <v>2020091</v>
      </c>
      <c r="B462">
        <f>VLOOKUP($A462,Data!$C$5:$AG$2561,F$4)</f>
        <v>2.1</v>
      </c>
      <c r="C462">
        <f>VLOOKUP($A462,Data!$C$5:$AG$2561,G$4)</f>
        <v>-10.7</v>
      </c>
    </row>
    <row r="463" spans="1:3" x14ac:dyDescent="0.25">
      <c r="A463">
        <v>2020092</v>
      </c>
      <c r="B463">
        <f>VLOOKUP($A463,Data!$C$5:$AG$2561,F$4)</f>
        <v>-2.9</v>
      </c>
      <c r="C463">
        <f>VLOOKUP($A463,Data!$C$5:$AG$2561,G$4)</f>
        <v>-17.899999999999999</v>
      </c>
    </row>
    <row r="464" spans="1:3" x14ac:dyDescent="0.25">
      <c r="A464">
        <v>2020093</v>
      </c>
      <c r="B464">
        <f>VLOOKUP($A464,Data!$C$5:$AG$2561,F$4)</f>
        <v>0.3</v>
      </c>
      <c r="C464">
        <f>VLOOKUP($A464,Data!$C$5:$AG$2561,G$4)</f>
        <v>-21.8</v>
      </c>
    </row>
    <row r="465" spans="1:3" x14ac:dyDescent="0.25">
      <c r="A465">
        <v>2020094</v>
      </c>
      <c r="B465">
        <f>VLOOKUP($A465,Data!$C$5:$AG$2561,F$4)</f>
        <v>-1.5</v>
      </c>
      <c r="C465">
        <f>VLOOKUP($A465,Data!$C$5:$AG$2561,G$4)</f>
        <v>-16.7</v>
      </c>
    </row>
    <row r="466" spans="1:3" x14ac:dyDescent="0.25">
      <c r="A466">
        <v>2020095</v>
      </c>
      <c r="B466">
        <f>VLOOKUP($A466,Data!$C$5:$AG$2561,F$4)</f>
        <v>-0.8</v>
      </c>
      <c r="C466">
        <f>VLOOKUP($A466,Data!$C$5:$AG$2561,G$4)</f>
        <v>-16.7</v>
      </c>
    </row>
    <row r="467" spans="1:3" x14ac:dyDescent="0.25">
      <c r="A467">
        <v>2020096</v>
      </c>
      <c r="B467">
        <f>VLOOKUP($A467,Data!$C$5:$AG$2561,F$4)</f>
        <v>1.2</v>
      </c>
      <c r="C467">
        <f>VLOOKUP($A467,Data!$C$5:$AG$2561,G$4)</f>
        <v>-13.2</v>
      </c>
    </row>
    <row r="468" spans="1:3" x14ac:dyDescent="0.25">
      <c r="A468">
        <v>2020097</v>
      </c>
      <c r="B468">
        <f>VLOOKUP($A468,Data!$C$5:$AG$2561,F$4)</f>
        <v>6.6</v>
      </c>
      <c r="C468">
        <f>VLOOKUP($A468,Data!$C$5:$AG$2561,G$4)</f>
        <v>-13</v>
      </c>
    </row>
    <row r="469" spans="1:3" x14ac:dyDescent="0.25">
      <c r="A469">
        <v>2020098</v>
      </c>
      <c r="B469">
        <f>VLOOKUP($A469,Data!$C$5:$AG$2561,F$4)</f>
        <v>7.9</v>
      </c>
      <c r="C469">
        <f>VLOOKUP($A469,Data!$C$5:$AG$2561,G$4)</f>
        <v>-2.8</v>
      </c>
    </row>
    <row r="470" spans="1:3" x14ac:dyDescent="0.25">
      <c r="A470">
        <v>2020099</v>
      </c>
      <c r="B470">
        <f>VLOOKUP($A470,Data!$C$5:$AG$2561,F$4)</f>
        <v>10</v>
      </c>
      <c r="C470">
        <f>VLOOKUP($A470,Data!$C$5:$AG$2561,G$4)</f>
        <v>-8.5</v>
      </c>
    </row>
    <row r="471" spans="1:3" x14ac:dyDescent="0.25">
      <c r="A471">
        <v>2020100</v>
      </c>
      <c r="B471">
        <f>VLOOKUP($A471,Data!$C$5:$AG$2561,F$4)</f>
        <v>15.3</v>
      </c>
      <c r="C471">
        <f>VLOOKUP($A471,Data!$C$5:$AG$2561,G$4)</f>
        <v>-5.3</v>
      </c>
    </row>
    <row r="472" spans="1:3" x14ac:dyDescent="0.25">
      <c r="A472">
        <v>2020101</v>
      </c>
      <c r="B472">
        <f>VLOOKUP($A472,Data!$C$5:$AG$2561,F$4)</f>
        <v>11.3</v>
      </c>
      <c r="C472">
        <f>VLOOKUP($A472,Data!$C$5:$AG$2561,G$4)</f>
        <v>-2.8</v>
      </c>
    </row>
    <row r="473" spans="1:3" x14ac:dyDescent="0.25">
      <c r="A473">
        <v>2020102</v>
      </c>
      <c r="B473">
        <f>VLOOKUP($A473,Data!$C$5:$AG$2561,F$4)</f>
        <v>1.9</v>
      </c>
      <c r="C473">
        <f>VLOOKUP($A473,Data!$C$5:$AG$2561,G$4)</f>
        <v>-11.4</v>
      </c>
    </row>
    <row r="474" spans="1:3" x14ac:dyDescent="0.25">
      <c r="A474">
        <v>2020103</v>
      </c>
      <c r="B474">
        <f>VLOOKUP($A474,Data!$C$5:$AG$2561,F$4)</f>
        <v>1.8</v>
      </c>
      <c r="C474">
        <f>VLOOKUP($A474,Data!$C$5:$AG$2561,G$4)</f>
        <v>-15.1</v>
      </c>
    </row>
    <row r="475" spans="1:3" x14ac:dyDescent="0.25">
      <c r="A475">
        <v>2020104</v>
      </c>
      <c r="B475">
        <f>VLOOKUP($A475,Data!$C$5:$AG$2561,F$4)</f>
        <v>7.1</v>
      </c>
      <c r="C475">
        <f>VLOOKUP($A475,Data!$C$5:$AG$2561,G$4)</f>
        <v>-14.9</v>
      </c>
    </row>
    <row r="476" spans="1:3" x14ac:dyDescent="0.25">
      <c r="A476">
        <v>2020105</v>
      </c>
      <c r="B476">
        <f>VLOOKUP($A476,Data!$C$5:$AG$2561,F$4)</f>
        <v>6.6</v>
      </c>
      <c r="C476">
        <f>VLOOKUP($A476,Data!$C$5:$AG$2561,G$4)</f>
        <v>-0.8</v>
      </c>
    </row>
    <row r="477" spans="1:3" x14ac:dyDescent="0.25">
      <c r="A477">
        <v>2020106</v>
      </c>
      <c r="B477">
        <f>VLOOKUP($A477,Data!$C$5:$AG$2561,F$4)</f>
        <v>7.1</v>
      </c>
      <c r="C477">
        <f>VLOOKUP($A477,Data!$C$5:$AG$2561,G$4)</f>
        <v>-5.9</v>
      </c>
    </row>
    <row r="478" spans="1:3" x14ac:dyDescent="0.25">
      <c r="A478">
        <v>2020107</v>
      </c>
      <c r="B478">
        <f>VLOOKUP($A478,Data!$C$5:$AG$2561,F$4)</f>
        <v>11.1</v>
      </c>
      <c r="C478">
        <f>VLOOKUP($A478,Data!$C$5:$AG$2561,G$4)</f>
        <v>-9.1999999999999993</v>
      </c>
    </row>
    <row r="479" spans="1:3" x14ac:dyDescent="0.25">
      <c r="A479">
        <v>2020108</v>
      </c>
      <c r="B479">
        <f>VLOOKUP($A479,Data!$C$5:$AG$2561,F$4)</f>
        <v>6.8</v>
      </c>
      <c r="C479">
        <f>VLOOKUP($A479,Data!$C$5:$AG$2561,G$4)</f>
        <v>-5.9</v>
      </c>
    </row>
    <row r="480" spans="1:3" x14ac:dyDescent="0.25">
      <c r="A480">
        <v>2020109</v>
      </c>
      <c r="B480">
        <f>VLOOKUP($A480,Data!$C$5:$AG$2561,F$4)</f>
        <v>8.6999999999999993</v>
      </c>
      <c r="C480">
        <f>VLOOKUP($A480,Data!$C$5:$AG$2561,G$4)</f>
        <v>-2.7</v>
      </c>
    </row>
    <row r="481" spans="1:3" x14ac:dyDescent="0.25">
      <c r="A481">
        <v>2020110</v>
      </c>
      <c r="B481">
        <f>VLOOKUP($A481,Data!$C$5:$AG$2561,F$4)</f>
        <v>11.1</v>
      </c>
      <c r="C481">
        <f>VLOOKUP($A481,Data!$C$5:$AG$2561,G$4)</f>
        <v>-2.5</v>
      </c>
    </row>
    <row r="482" spans="1:3" x14ac:dyDescent="0.25">
      <c r="A482">
        <v>2020111</v>
      </c>
      <c r="B482">
        <f>VLOOKUP($A482,Data!$C$5:$AG$2561,F$4)</f>
        <v>15.6</v>
      </c>
      <c r="C482">
        <f>VLOOKUP($A482,Data!$C$5:$AG$2561,G$4)</f>
        <v>-3.7</v>
      </c>
    </row>
    <row r="483" spans="1:3" x14ac:dyDescent="0.25">
      <c r="A483">
        <v>2020112</v>
      </c>
      <c r="B483">
        <f>VLOOKUP($A483,Data!$C$5:$AG$2561,F$4)</f>
        <v>10.5</v>
      </c>
      <c r="C483">
        <f>VLOOKUP($A483,Data!$C$5:$AG$2561,G$4)</f>
        <v>-2.2000000000000002</v>
      </c>
    </row>
    <row r="484" spans="1:3" x14ac:dyDescent="0.25">
      <c r="A484">
        <v>2020113</v>
      </c>
      <c r="B484">
        <f>VLOOKUP($A484,Data!$C$5:$AG$2561,F$4)</f>
        <v>6.2</v>
      </c>
      <c r="C484">
        <f>VLOOKUP($A484,Data!$C$5:$AG$2561,G$4)</f>
        <v>-2.2999999999999998</v>
      </c>
    </row>
    <row r="485" spans="1:3" x14ac:dyDescent="0.25">
      <c r="A485">
        <v>2020114</v>
      </c>
      <c r="B485">
        <f>VLOOKUP($A485,Data!$C$5:$AG$2561,F$4)</f>
        <v>7</v>
      </c>
      <c r="C485">
        <f>VLOOKUP($A485,Data!$C$5:$AG$2561,G$4)</f>
        <v>-1.8</v>
      </c>
    </row>
    <row r="486" spans="1:3" x14ac:dyDescent="0.25">
      <c r="A486">
        <v>2020115</v>
      </c>
      <c r="B486">
        <f>VLOOKUP($A486,Data!$C$5:$AG$2561,F$4)</f>
        <v>11.3</v>
      </c>
      <c r="C486">
        <f>VLOOKUP($A486,Data!$C$5:$AG$2561,G$4)</f>
        <v>-4.8</v>
      </c>
    </row>
    <row r="487" spans="1:3" x14ac:dyDescent="0.25">
      <c r="A487">
        <v>2020116</v>
      </c>
      <c r="B487">
        <f>VLOOKUP($A487,Data!$C$5:$AG$2561,F$4)</f>
        <v>9</v>
      </c>
      <c r="C487">
        <f>VLOOKUP($A487,Data!$C$5:$AG$2561,G$4)</f>
        <v>-2.2999999999999998</v>
      </c>
    </row>
    <row r="488" spans="1:3" x14ac:dyDescent="0.25">
      <c r="A488">
        <v>2020117</v>
      </c>
      <c r="B488">
        <f>VLOOKUP($A488,Data!$C$5:$AG$2561,F$4)</f>
        <v>8.1</v>
      </c>
      <c r="C488">
        <f>VLOOKUP($A488,Data!$C$5:$AG$2561,G$4)</f>
        <v>-3</v>
      </c>
    </row>
    <row r="489" spans="1:3" x14ac:dyDescent="0.25">
      <c r="A489">
        <v>2020118</v>
      </c>
      <c r="B489">
        <f>VLOOKUP($A489,Data!$C$5:$AG$2561,F$4)</f>
        <v>7.5</v>
      </c>
      <c r="C489">
        <f>VLOOKUP($A489,Data!$C$5:$AG$2561,G$4)</f>
        <v>-0.5</v>
      </c>
    </row>
    <row r="490" spans="1:3" x14ac:dyDescent="0.25">
      <c r="A490">
        <v>2020119</v>
      </c>
      <c r="B490">
        <f>VLOOKUP($A490,Data!$C$5:$AG$2561,F$4)</f>
        <v>11.4</v>
      </c>
      <c r="C490">
        <f>VLOOKUP($A490,Data!$C$5:$AG$2561,G$4)</f>
        <v>-5.4</v>
      </c>
    </row>
    <row r="491" spans="1:3" x14ac:dyDescent="0.25">
      <c r="A491">
        <v>2020120</v>
      </c>
      <c r="B491">
        <f>VLOOKUP($A491,Data!$C$5:$AG$2561,F$4)</f>
        <v>15.6</v>
      </c>
      <c r="C491">
        <f>VLOOKUP($A491,Data!$C$5:$AG$2561,G$4)</f>
        <v>-0.6</v>
      </c>
    </row>
    <row r="492" spans="1:3" x14ac:dyDescent="0.25">
      <c r="A492">
        <v>2020121</v>
      </c>
      <c r="B492">
        <f>VLOOKUP($A492,Data!$C$5:$AG$2561,F$4)</f>
        <v>9.4</v>
      </c>
      <c r="C492">
        <f>VLOOKUP($A492,Data!$C$5:$AG$2561,G$4)</f>
        <v>-3.2</v>
      </c>
    </row>
    <row r="493" spans="1:3" x14ac:dyDescent="0.25">
      <c r="A493">
        <v>2020122</v>
      </c>
      <c r="B493">
        <f>VLOOKUP($A493,Data!$C$5:$AG$2561,F$4)</f>
        <v>13.2</v>
      </c>
      <c r="C493">
        <f>VLOOKUP($A493,Data!$C$5:$AG$2561,G$4)</f>
        <v>-5.4</v>
      </c>
    </row>
    <row r="494" spans="1:3" x14ac:dyDescent="0.25">
      <c r="A494">
        <v>2020123</v>
      </c>
      <c r="B494">
        <f>VLOOKUP($A494,Data!$C$5:$AG$2561,F$4)</f>
        <v>12.6</v>
      </c>
      <c r="C494">
        <f>VLOOKUP($A494,Data!$C$5:$AG$2561,G$4)</f>
        <v>-2.4</v>
      </c>
    </row>
    <row r="495" spans="1:3" x14ac:dyDescent="0.25">
      <c r="A495">
        <v>2020124</v>
      </c>
      <c r="B495">
        <f>VLOOKUP($A495,Data!$C$5:$AG$2561,F$4)</f>
        <v>4.3</v>
      </c>
      <c r="C495">
        <f>VLOOKUP($A495,Data!$C$5:$AG$2561,G$4)</f>
        <v>-3.2</v>
      </c>
    </row>
    <row r="496" spans="1:3" x14ac:dyDescent="0.25">
      <c r="A496">
        <v>2020125</v>
      </c>
      <c r="B496">
        <f>VLOOKUP($A496,Data!$C$5:$AG$2561,F$4)</f>
        <v>10.5</v>
      </c>
      <c r="C496">
        <f>VLOOKUP($A496,Data!$C$5:$AG$2561,G$4)</f>
        <v>-7</v>
      </c>
    </row>
    <row r="497" spans="1:3" x14ac:dyDescent="0.25">
      <c r="A497">
        <v>2020126</v>
      </c>
      <c r="B497">
        <f>VLOOKUP($A497,Data!$C$5:$AG$2561,F$4)</f>
        <v>13.5</v>
      </c>
      <c r="C497">
        <f>VLOOKUP($A497,Data!$C$5:$AG$2561,G$4)</f>
        <v>-1.9</v>
      </c>
    </row>
    <row r="498" spans="1:3" x14ac:dyDescent="0.25">
      <c r="A498">
        <v>2020127</v>
      </c>
      <c r="B498">
        <f>VLOOKUP($A498,Data!$C$5:$AG$2561,F$4)</f>
        <v>7.1</v>
      </c>
      <c r="C498">
        <f>VLOOKUP($A498,Data!$C$5:$AG$2561,G$4)</f>
        <v>-0.6</v>
      </c>
    </row>
    <row r="499" spans="1:3" x14ac:dyDescent="0.25">
      <c r="A499">
        <v>2020128</v>
      </c>
      <c r="B499">
        <f>VLOOKUP($A499,Data!$C$5:$AG$2561,F$4)</f>
        <v>9.5</v>
      </c>
      <c r="C499">
        <f>VLOOKUP($A499,Data!$C$5:$AG$2561,G$4)</f>
        <v>-2.1</v>
      </c>
    </row>
    <row r="500" spans="1:3" x14ac:dyDescent="0.25">
      <c r="A500">
        <v>2020129</v>
      </c>
      <c r="B500">
        <f>VLOOKUP($A500,Data!$C$5:$AG$2561,F$4)</f>
        <v>15.9</v>
      </c>
      <c r="C500">
        <f>VLOOKUP($A500,Data!$C$5:$AG$2561,G$4)</f>
        <v>-3.5</v>
      </c>
    </row>
    <row r="501" spans="1:3" x14ac:dyDescent="0.25">
      <c r="A501">
        <v>2020130</v>
      </c>
      <c r="B501">
        <f>VLOOKUP($A501,Data!$C$5:$AG$2561,F$4)</f>
        <v>17.899999999999999</v>
      </c>
      <c r="C501">
        <f>VLOOKUP($A501,Data!$C$5:$AG$2561,G$4)</f>
        <v>-1.2</v>
      </c>
    </row>
    <row r="502" spans="1:3" x14ac:dyDescent="0.25">
      <c r="A502">
        <v>2020131</v>
      </c>
      <c r="B502">
        <f>VLOOKUP($A502,Data!$C$5:$AG$2561,F$4)</f>
        <v>17.899999999999999</v>
      </c>
      <c r="C502">
        <f>VLOOKUP($A502,Data!$C$5:$AG$2561,G$4)</f>
        <v>-0.9</v>
      </c>
    </row>
    <row r="503" spans="1:3" x14ac:dyDescent="0.25">
      <c r="A503">
        <v>2020132</v>
      </c>
      <c r="B503">
        <f>VLOOKUP($A503,Data!$C$5:$AG$2561,F$4)</f>
        <v>15.7</v>
      </c>
      <c r="C503">
        <f>VLOOKUP($A503,Data!$C$5:$AG$2561,G$4)</f>
        <v>1.6</v>
      </c>
    </row>
    <row r="504" spans="1:3" x14ac:dyDescent="0.25">
      <c r="A504">
        <v>2020133</v>
      </c>
      <c r="B504">
        <f>VLOOKUP($A504,Data!$C$5:$AG$2561,F$4)</f>
        <v>10.3</v>
      </c>
      <c r="C504">
        <f>VLOOKUP($A504,Data!$C$5:$AG$2561,G$4)</f>
        <v>1.1000000000000001</v>
      </c>
    </row>
    <row r="505" spans="1:3" x14ac:dyDescent="0.25">
      <c r="A505">
        <v>2020134</v>
      </c>
      <c r="B505">
        <f>VLOOKUP($A505,Data!$C$5:$AG$2561,F$4)</f>
        <v>13.6</v>
      </c>
      <c r="C505">
        <f>VLOOKUP($A505,Data!$C$5:$AG$2561,G$4)</f>
        <v>-0.6</v>
      </c>
    </row>
    <row r="506" spans="1:3" x14ac:dyDescent="0.25">
      <c r="A506">
        <v>2020135</v>
      </c>
      <c r="B506">
        <f>VLOOKUP($A506,Data!$C$5:$AG$2561,F$4)</f>
        <v>11.8</v>
      </c>
      <c r="C506">
        <f>VLOOKUP($A506,Data!$C$5:$AG$2561,G$4)</f>
        <v>-0.6</v>
      </c>
    </row>
    <row r="507" spans="1:3" x14ac:dyDescent="0.25">
      <c r="A507">
        <v>2020136</v>
      </c>
      <c r="B507">
        <f>VLOOKUP($A507,Data!$C$5:$AG$2561,F$4)</f>
        <v>13.6</v>
      </c>
      <c r="C507">
        <f>VLOOKUP($A507,Data!$C$5:$AG$2561,G$4)</f>
        <v>-1.6</v>
      </c>
    </row>
    <row r="508" spans="1:3" x14ac:dyDescent="0.25">
      <c r="A508">
        <v>2020137</v>
      </c>
      <c r="B508">
        <f>VLOOKUP($A508,Data!$C$5:$AG$2561,F$4)</f>
        <v>10.5</v>
      </c>
      <c r="C508">
        <f>VLOOKUP($A508,Data!$C$5:$AG$2561,G$4)</f>
        <v>0.2</v>
      </c>
    </row>
    <row r="509" spans="1:3" x14ac:dyDescent="0.25">
      <c r="A509">
        <v>2020138</v>
      </c>
      <c r="B509">
        <f>VLOOKUP($A509,Data!$C$5:$AG$2561,F$4)</f>
        <v>10.3</v>
      </c>
      <c r="C509">
        <f>VLOOKUP($A509,Data!$C$5:$AG$2561,G$4)</f>
        <v>2.2999999999999998</v>
      </c>
    </row>
    <row r="510" spans="1:3" x14ac:dyDescent="0.25">
      <c r="A510">
        <v>2020139</v>
      </c>
      <c r="B510">
        <f>VLOOKUP($A510,Data!$C$5:$AG$2561,F$4)</f>
        <v>13.7</v>
      </c>
      <c r="C510">
        <f>VLOOKUP($A510,Data!$C$5:$AG$2561,G$4)</f>
        <v>-0.5</v>
      </c>
    </row>
    <row r="511" spans="1:3" x14ac:dyDescent="0.25">
      <c r="A511">
        <v>2020140</v>
      </c>
      <c r="B511">
        <f>VLOOKUP($A511,Data!$C$5:$AG$2561,F$4)</f>
        <v>15.7</v>
      </c>
      <c r="C511">
        <f>VLOOKUP($A511,Data!$C$5:$AG$2561,G$4)</f>
        <v>-1.2</v>
      </c>
    </row>
    <row r="512" spans="1:3" x14ac:dyDescent="0.25">
      <c r="A512">
        <v>2020141</v>
      </c>
      <c r="B512">
        <f>VLOOKUP($A512,Data!$C$5:$AG$2561,F$4)</f>
        <v>13.5</v>
      </c>
      <c r="C512">
        <f>VLOOKUP($A512,Data!$C$5:$AG$2561,G$4)</f>
        <v>-0.5</v>
      </c>
    </row>
    <row r="513" spans="1:3" x14ac:dyDescent="0.25">
      <c r="A513">
        <v>2020142</v>
      </c>
      <c r="B513">
        <f>VLOOKUP($A513,Data!$C$5:$AG$2561,F$4)</f>
        <v>5.7</v>
      </c>
      <c r="C513">
        <f>VLOOKUP($A513,Data!$C$5:$AG$2561,G$4)</f>
        <v>0</v>
      </c>
    </row>
    <row r="514" spans="1:3" x14ac:dyDescent="0.25">
      <c r="A514">
        <v>2020143</v>
      </c>
      <c r="B514">
        <f>VLOOKUP($A514,Data!$C$5:$AG$2561,F$4)</f>
        <v>1.9</v>
      </c>
      <c r="C514">
        <f>VLOOKUP($A514,Data!$C$5:$AG$2561,G$4)</f>
        <v>-0.2</v>
      </c>
    </row>
    <row r="515" spans="1:3" x14ac:dyDescent="0.25">
      <c r="A515">
        <v>2020144</v>
      </c>
      <c r="B515">
        <f>VLOOKUP($A515,Data!$C$5:$AG$2561,F$4)</f>
        <v>13</v>
      </c>
      <c r="C515">
        <f>VLOOKUP($A515,Data!$C$5:$AG$2561,G$4)</f>
        <v>-0.9</v>
      </c>
    </row>
    <row r="516" spans="1:3" x14ac:dyDescent="0.25">
      <c r="A516">
        <v>2020145</v>
      </c>
      <c r="B516">
        <f>VLOOKUP($A516,Data!$C$5:$AG$2561,F$4)</f>
        <v>14.4</v>
      </c>
      <c r="C516">
        <f>VLOOKUP($A516,Data!$C$5:$AG$2561,G$4)</f>
        <v>-1.5</v>
      </c>
    </row>
    <row r="517" spans="1:3" x14ac:dyDescent="0.25">
      <c r="A517">
        <v>2020146</v>
      </c>
      <c r="B517">
        <f>VLOOKUP($A517,Data!$C$5:$AG$2561,F$4)</f>
        <v>9.5</v>
      </c>
      <c r="C517">
        <f>VLOOKUP($A517,Data!$C$5:$AG$2561,G$4)</f>
        <v>0.9</v>
      </c>
    </row>
    <row r="518" spans="1:3" x14ac:dyDescent="0.25">
      <c r="A518">
        <v>2020147</v>
      </c>
      <c r="B518">
        <f>VLOOKUP($A518,Data!$C$5:$AG$2561,F$4)</f>
        <v>12.2</v>
      </c>
      <c r="C518">
        <f>VLOOKUP($A518,Data!$C$5:$AG$2561,G$4)</f>
        <v>1.2</v>
      </c>
    </row>
    <row r="519" spans="1:3" x14ac:dyDescent="0.25">
      <c r="A519">
        <v>2020148</v>
      </c>
      <c r="B519">
        <f>VLOOKUP($A519,Data!$C$5:$AG$2561,F$4)</f>
        <v>15.7</v>
      </c>
      <c r="C519">
        <f>VLOOKUP($A519,Data!$C$5:$AG$2561,G$4)</f>
        <v>-1.1000000000000001</v>
      </c>
    </row>
    <row r="520" spans="1:3" x14ac:dyDescent="0.25">
      <c r="A520">
        <v>2020149</v>
      </c>
      <c r="B520">
        <f>VLOOKUP($A520,Data!$C$5:$AG$2561,F$4)</f>
        <v>20.3</v>
      </c>
      <c r="C520">
        <f>VLOOKUP($A520,Data!$C$5:$AG$2561,G$4)</f>
        <v>-0.4</v>
      </c>
    </row>
    <row r="521" spans="1:3" x14ac:dyDescent="0.25">
      <c r="A521">
        <v>2020150</v>
      </c>
      <c r="B521">
        <f>VLOOKUP($A521,Data!$C$5:$AG$2561,F$4)</f>
        <v>24.4</v>
      </c>
      <c r="C521">
        <f>VLOOKUP($A521,Data!$C$5:$AG$2561,G$4)</f>
        <v>1.8</v>
      </c>
    </row>
    <row r="522" spans="1:3" x14ac:dyDescent="0.25">
      <c r="A522">
        <v>2020151</v>
      </c>
      <c r="B522">
        <f>VLOOKUP($A522,Data!$C$5:$AG$2561,F$4)</f>
        <v>18.5</v>
      </c>
      <c r="C522">
        <f>VLOOKUP($A522,Data!$C$5:$AG$2561,G$4)</f>
        <v>3.8</v>
      </c>
    </row>
    <row r="523" spans="1:3" x14ac:dyDescent="0.25">
      <c r="A523">
        <v>2020152</v>
      </c>
      <c r="B523">
        <f>VLOOKUP($A523,Data!$C$5:$AG$2561,F$4)</f>
        <v>8.1999999999999993</v>
      </c>
      <c r="C523">
        <f>VLOOKUP($A523,Data!$C$5:$AG$2561,G$4)</f>
        <v>-1.1000000000000001</v>
      </c>
    </row>
    <row r="524" spans="1:3" x14ac:dyDescent="0.25">
      <c r="A524">
        <v>2020153</v>
      </c>
      <c r="B524">
        <f>VLOOKUP($A524,Data!$C$5:$AG$2561,F$4)</f>
        <v>12.7</v>
      </c>
      <c r="C524">
        <f>VLOOKUP($A524,Data!$C$5:$AG$2561,G$4)</f>
        <v>-0.9</v>
      </c>
    </row>
    <row r="525" spans="1:3" x14ac:dyDescent="0.25">
      <c r="A525">
        <v>2020154</v>
      </c>
      <c r="B525">
        <f>VLOOKUP($A525,Data!$C$5:$AG$2561,F$4)</f>
        <v>16.100000000000001</v>
      </c>
      <c r="C525">
        <f>VLOOKUP($A525,Data!$C$5:$AG$2561,G$4)</f>
        <v>-2.2000000000000002</v>
      </c>
    </row>
    <row r="526" spans="1:3" x14ac:dyDescent="0.25">
      <c r="A526">
        <v>2020155</v>
      </c>
      <c r="B526">
        <f>VLOOKUP($A526,Data!$C$5:$AG$2561,F$4)</f>
        <v>14.6</v>
      </c>
      <c r="C526">
        <f>VLOOKUP($A526,Data!$C$5:$AG$2561,G$4)</f>
        <v>-1.9</v>
      </c>
    </row>
    <row r="527" spans="1:3" x14ac:dyDescent="0.25">
      <c r="A527">
        <v>2020156</v>
      </c>
      <c r="B527">
        <f>VLOOKUP($A527,Data!$C$5:$AG$2561,F$4)</f>
        <v>13.2</v>
      </c>
      <c r="C527">
        <f>VLOOKUP($A527,Data!$C$5:$AG$2561,G$4)</f>
        <v>-2.2999999999999998</v>
      </c>
    </row>
    <row r="528" spans="1:3" x14ac:dyDescent="0.25">
      <c r="A528">
        <v>2020157</v>
      </c>
      <c r="B528">
        <f>VLOOKUP($A528,Data!$C$5:$AG$2561,F$4)</f>
        <v>14.5</v>
      </c>
      <c r="C528">
        <f>VLOOKUP($A528,Data!$C$5:$AG$2561,G$4)</f>
        <v>-0.6</v>
      </c>
    </row>
    <row r="529" spans="1:3" x14ac:dyDescent="0.25">
      <c r="A529">
        <v>2020158</v>
      </c>
      <c r="B529">
        <f>VLOOKUP($A529,Data!$C$5:$AG$2561,F$4)</f>
        <v>12.8</v>
      </c>
      <c r="C529">
        <f>VLOOKUP($A529,Data!$C$5:$AG$2561,G$4)</f>
        <v>0.6</v>
      </c>
    </row>
    <row r="530" spans="1:3" x14ac:dyDescent="0.25">
      <c r="A530">
        <v>2020159</v>
      </c>
      <c r="B530">
        <f>VLOOKUP($A530,Data!$C$5:$AG$2561,F$4)</f>
        <v>9.9</v>
      </c>
      <c r="C530">
        <f>VLOOKUP($A530,Data!$C$5:$AG$2561,G$4)</f>
        <v>2.1</v>
      </c>
    </row>
    <row r="531" spans="1:3" x14ac:dyDescent="0.25">
      <c r="A531">
        <v>2020160</v>
      </c>
      <c r="B531">
        <f>VLOOKUP($A531,Data!$C$5:$AG$2561,F$4)</f>
        <v>9.9</v>
      </c>
      <c r="C531">
        <f>VLOOKUP($A531,Data!$C$5:$AG$2561,G$4)</f>
        <v>-2.4</v>
      </c>
    </row>
    <row r="532" spans="1:3" x14ac:dyDescent="0.25">
      <c r="A532">
        <v>2020161</v>
      </c>
      <c r="B532">
        <f>VLOOKUP($A532,Data!$C$5:$AG$2561,F$4)</f>
        <v>6.8</v>
      </c>
      <c r="C532">
        <f>VLOOKUP($A532,Data!$C$5:$AG$2561,G$4)</f>
        <v>-3.7</v>
      </c>
    </row>
    <row r="533" spans="1:3" x14ac:dyDescent="0.25">
      <c r="A533">
        <v>2020162</v>
      </c>
      <c r="B533">
        <f>VLOOKUP($A533,Data!$C$5:$AG$2561,F$4)</f>
        <v>17</v>
      </c>
      <c r="C533">
        <f>VLOOKUP($A533,Data!$C$5:$AG$2561,G$4)</f>
        <v>2.8</v>
      </c>
    </row>
    <row r="534" spans="1:3" x14ac:dyDescent="0.25">
      <c r="A534">
        <v>2020163</v>
      </c>
      <c r="B534">
        <f>VLOOKUP($A534,Data!$C$5:$AG$2561,F$4)</f>
        <v>16.3</v>
      </c>
      <c r="C534">
        <f>VLOOKUP($A534,Data!$C$5:$AG$2561,G$4)</f>
        <v>1.4</v>
      </c>
    </row>
    <row r="535" spans="1:3" x14ac:dyDescent="0.25">
      <c r="A535">
        <v>2020164</v>
      </c>
      <c r="B535">
        <f>VLOOKUP($A535,Data!$C$5:$AG$2561,F$4)</f>
        <v>18.2</v>
      </c>
      <c r="C535">
        <f>VLOOKUP($A535,Data!$C$5:$AG$2561,G$4)</f>
        <v>5.2</v>
      </c>
    </row>
    <row r="536" spans="1:3" x14ac:dyDescent="0.25">
      <c r="A536">
        <v>2020165</v>
      </c>
      <c r="B536">
        <f>VLOOKUP($A536,Data!$C$5:$AG$2561,F$4)</f>
        <v>5.3</v>
      </c>
      <c r="C536">
        <f>VLOOKUP($A536,Data!$C$5:$AG$2561,G$4)</f>
        <v>2</v>
      </c>
    </row>
    <row r="537" spans="1:3" x14ac:dyDescent="0.25">
      <c r="A537">
        <v>2020166</v>
      </c>
      <c r="B537">
        <f>VLOOKUP($A537,Data!$C$5:$AG$2561,F$4)</f>
        <v>4.5999999999999996</v>
      </c>
      <c r="C537">
        <f>VLOOKUP($A537,Data!$C$5:$AG$2561,G$4)</f>
        <v>-0.7</v>
      </c>
    </row>
    <row r="538" spans="1:3" x14ac:dyDescent="0.25">
      <c r="A538">
        <v>2020167</v>
      </c>
      <c r="B538">
        <f>VLOOKUP($A538,Data!$C$5:$AG$2561,F$4)</f>
        <v>10.4</v>
      </c>
      <c r="C538">
        <f>VLOOKUP($A538,Data!$C$5:$AG$2561,G$4)</f>
        <v>-0.7</v>
      </c>
    </row>
    <row r="539" spans="1:3" x14ac:dyDescent="0.25">
      <c r="A539">
        <v>2020168</v>
      </c>
      <c r="B539">
        <f>VLOOKUP($A539,Data!$C$5:$AG$2561,F$4)</f>
        <v>14.6</v>
      </c>
      <c r="C539">
        <f>VLOOKUP($A539,Data!$C$5:$AG$2561,G$4)</f>
        <v>1.8</v>
      </c>
    </row>
    <row r="540" spans="1:3" x14ac:dyDescent="0.25">
      <c r="A540">
        <v>2020169</v>
      </c>
      <c r="B540">
        <f>VLOOKUP($A540,Data!$C$5:$AG$2561,F$4)</f>
        <v>16.100000000000001</v>
      </c>
      <c r="C540">
        <f>VLOOKUP($A540,Data!$C$5:$AG$2561,G$4)</f>
        <v>0.9</v>
      </c>
    </row>
    <row r="541" spans="1:3" x14ac:dyDescent="0.25">
      <c r="A541">
        <v>2020170</v>
      </c>
      <c r="B541">
        <f>VLOOKUP($A541,Data!$C$5:$AG$2561,F$4)</f>
        <v>20.5</v>
      </c>
      <c r="C541">
        <f>VLOOKUP($A541,Data!$C$5:$AG$2561,G$4)</f>
        <v>0.9</v>
      </c>
    </row>
    <row r="542" spans="1:3" x14ac:dyDescent="0.25">
      <c r="A542">
        <v>2020171</v>
      </c>
      <c r="B542">
        <f>VLOOKUP($A542,Data!$C$5:$AG$2561,F$4)</f>
        <v>21.7</v>
      </c>
      <c r="C542">
        <f>VLOOKUP($A542,Data!$C$5:$AG$2561,G$4)</f>
        <v>2.9</v>
      </c>
    </row>
    <row r="543" spans="1:3" x14ac:dyDescent="0.25">
      <c r="A543">
        <v>2020172</v>
      </c>
      <c r="B543">
        <f>VLOOKUP($A543,Data!$C$5:$AG$2561,F$4)</f>
        <v>16.2</v>
      </c>
      <c r="C543">
        <f>VLOOKUP($A543,Data!$C$5:$AG$2561,G$4)</f>
        <v>8.4</v>
      </c>
    </row>
    <row r="544" spans="1:3" x14ac:dyDescent="0.25">
      <c r="A544">
        <v>2020173</v>
      </c>
      <c r="B544">
        <f>VLOOKUP($A544,Data!$C$5:$AG$2561,F$4)</f>
        <v>19.399999999999999</v>
      </c>
      <c r="C544">
        <f>VLOOKUP($A544,Data!$C$5:$AG$2561,G$4)</f>
        <v>4.8</v>
      </c>
    </row>
    <row r="545" spans="1:3" x14ac:dyDescent="0.25">
      <c r="A545">
        <v>2020174</v>
      </c>
      <c r="B545">
        <f>VLOOKUP($A545,Data!$C$5:$AG$2561,F$4)</f>
        <v>21.8</v>
      </c>
      <c r="C545">
        <f>VLOOKUP($A545,Data!$C$5:$AG$2561,G$4)</f>
        <v>0.9</v>
      </c>
    </row>
    <row r="546" spans="1:3" x14ac:dyDescent="0.25">
      <c r="A546">
        <v>2020175</v>
      </c>
      <c r="B546">
        <f>VLOOKUP($A546,Data!$C$5:$AG$2561,F$4)</f>
        <v>23.1</v>
      </c>
      <c r="C546">
        <f>VLOOKUP($A546,Data!$C$5:$AG$2561,G$4)</f>
        <v>6.1</v>
      </c>
    </row>
    <row r="547" spans="1:3" x14ac:dyDescent="0.25">
      <c r="A547">
        <v>2020176</v>
      </c>
      <c r="B547">
        <f>VLOOKUP($A547,Data!$C$5:$AG$2561,F$4)</f>
        <v>17.5</v>
      </c>
      <c r="C547">
        <f>VLOOKUP($A547,Data!$C$5:$AG$2561,G$4)</f>
        <v>6.7</v>
      </c>
    </row>
    <row r="548" spans="1:3" x14ac:dyDescent="0.25">
      <c r="A548">
        <v>2020177</v>
      </c>
      <c r="B548">
        <f>VLOOKUP($A548,Data!$C$5:$AG$2561,F$4)</f>
        <v>22.9</v>
      </c>
      <c r="C548">
        <f>VLOOKUP($A548,Data!$C$5:$AG$2561,G$4)</f>
        <v>5.5</v>
      </c>
    </row>
    <row r="549" spans="1:3" x14ac:dyDescent="0.25">
      <c r="A549">
        <v>2020178</v>
      </c>
      <c r="B549">
        <f>VLOOKUP($A549,Data!$C$5:$AG$2561,F$4)</f>
        <v>19.8</v>
      </c>
      <c r="C549">
        <f>VLOOKUP($A549,Data!$C$5:$AG$2561,G$4)</f>
        <v>7</v>
      </c>
    </row>
    <row r="550" spans="1:3" x14ac:dyDescent="0.25">
      <c r="A550">
        <v>2020179</v>
      </c>
      <c r="B550">
        <f>VLOOKUP($A550,Data!$C$5:$AG$2561,F$4)</f>
        <v>13.9</v>
      </c>
      <c r="C550">
        <f>VLOOKUP($A550,Data!$C$5:$AG$2561,G$4)</f>
        <v>4.5999999999999996</v>
      </c>
    </row>
    <row r="551" spans="1:3" x14ac:dyDescent="0.25">
      <c r="A551">
        <v>2020180</v>
      </c>
      <c r="B551">
        <f>VLOOKUP($A551,Data!$C$5:$AG$2561,F$4)</f>
        <v>13.2</v>
      </c>
      <c r="C551">
        <f>VLOOKUP($A551,Data!$C$5:$AG$2561,G$4)</f>
        <v>4.2</v>
      </c>
    </row>
    <row r="552" spans="1:3" x14ac:dyDescent="0.25">
      <c r="A552">
        <v>2020181</v>
      </c>
      <c r="B552">
        <f>VLOOKUP($A552,Data!$C$5:$AG$2561,F$4)</f>
        <v>19.5</v>
      </c>
      <c r="C552">
        <f>VLOOKUP($A552,Data!$C$5:$AG$2561,G$4)</f>
        <v>3.9</v>
      </c>
    </row>
    <row r="553" spans="1:3" x14ac:dyDescent="0.25">
      <c r="A553">
        <v>2020182</v>
      </c>
      <c r="B553">
        <f>VLOOKUP($A553,Data!$C$5:$AG$2561,F$4)</f>
        <v>12</v>
      </c>
      <c r="C553">
        <f>VLOOKUP($A553,Data!$C$5:$AG$2561,G$4)</f>
        <v>4.7</v>
      </c>
    </row>
    <row r="554" spans="1:3" x14ac:dyDescent="0.25">
      <c r="A554">
        <v>2020183</v>
      </c>
      <c r="B554">
        <f>VLOOKUP($A554,Data!$C$5:$AG$2561,F$4)</f>
        <v>9.4</v>
      </c>
      <c r="C554">
        <f>VLOOKUP($A554,Data!$C$5:$AG$2561,G$4)</f>
        <v>3.7</v>
      </c>
    </row>
    <row r="555" spans="1:3" x14ac:dyDescent="0.25">
      <c r="A555">
        <v>2020184</v>
      </c>
      <c r="B555">
        <f>VLOOKUP($A555,Data!$C$5:$AG$2561,F$4)</f>
        <v>13.8</v>
      </c>
      <c r="C555">
        <f>VLOOKUP($A555,Data!$C$5:$AG$2561,G$4)</f>
        <v>3.8</v>
      </c>
    </row>
    <row r="556" spans="1:3" x14ac:dyDescent="0.25">
      <c r="A556">
        <v>2020185</v>
      </c>
      <c r="B556">
        <f>VLOOKUP($A556,Data!$C$5:$AG$2561,F$4)</f>
        <v>13.2</v>
      </c>
      <c r="C556">
        <f>VLOOKUP($A556,Data!$C$5:$AG$2561,G$4)</f>
        <v>0.5</v>
      </c>
    </row>
    <row r="557" spans="1:3" x14ac:dyDescent="0.25">
      <c r="A557">
        <v>2020186</v>
      </c>
      <c r="B557">
        <f>VLOOKUP($A557,Data!$C$5:$AG$2561,F$4)</f>
        <v>15.7</v>
      </c>
      <c r="C557">
        <f>VLOOKUP($A557,Data!$C$5:$AG$2561,G$4)</f>
        <v>2.4</v>
      </c>
    </row>
    <row r="558" spans="1:3" x14ac:dyDescent="0.25">
      <c r="A558">
        <v>2020187</v>
      </c>
      <c r="B558">
        <f>VLOOKUP($A558,Data!$C$5:$AG$2561,F$4)</f>
        <v>20.5</v>
      </c>
      <c r="C558">
        <f>VLOOKUP($A558,Data!$C$5:$AG$2561,G$4)</f>
        <v>1.7</v>
      </c>
    </row>
    <row r="559" spans="1:3" x14ac:dyDescent="0.25">
      <c r="A559">
        <v>2020188</v>
      </c>
      <c r="B559">
        <f>VLOOKUP($A559,Data!$C$5:$AG$2561,F$4)</f>
        <v>22.6</v>
      </c>
      <c r="C559">
        <f>VLOOKUP($A559,Data!$C$5:$AG$2561,G$4)</f>
        <v>4</v>
      </c>
    </row>
    <row r="560" spans="1:3" x14ac:dyDescent="0.25">
      <c r="A560">
        <v>2020189</v>
      </c>
      <c r="B560">
        <f>VLOOKUP($A560,Data!$C$5:$AG$2561,F$4)</f>
        <v>12.7</v>
      </c>
      <c r="C560">
        <f>VLOOKUP($A560,Data!$C$5:$AG$2561,G$4)</f>
        <v>2.1</v>
      </c>
    </row>
    <row r="561" spans="1:3" x14ac:dyDescent="0.25">
      <c r="A561">
        <v>2020190</v>
      </c>
      <c r="B561">
        <f>VLOOKUP($A561,Data!$C$5:$AG$2561,F$4)</f>
        <v>17.600000000000001</v>
      </c>
      <c r="C561">
        <f>VLOOKUP($A561,Data!$C$5:$AG$2561,G$4)</f>
        <v>2.2999999999999998</v>
      </c>
    </row>
    <row r="562" spans="1:3" x14ac:dyDescent="0.25">
      <c r="A562">
        <v>2020191</v>
      </c>
      <c r="B562">
        <f>VLOOKUP($A562,Data!$C$5:$AG$2561,F$4)</f>
        <v>13.1</v>
      </c>
      <c r="C562">
        <f>VLOOKUP($A562,Data!$C$5:$AG$2561,G$4)</f>
        <v>3.4</v>
      </c>
    </row>
    <row r="563" spans="1:3" x14ac:dyDescent="0.25">
      <c r="A563">
        <v>2020192</v>
      </c>
      <c r="B563">
        <f>VLOOKUP($A563,Data!$C$5:$AG$2561,F$4)</f>
        <v>19.3</v>
      </c>
      <c r="C563">
        <f>VLOOKUP($A563,Data!$C$5:$AG$2561,G$4)</f>
        <v>3.6</v>
      </c>
    </row>
    <row r="564" spans="1:3" x14ac:dyDescent="0.25">
      <c r="A564">
        <v>2020193</v>
      </c>
      <c r="B564">
        <f>VLOOKUP($A564,Data!$C$5:$AG$2561,F$4)</f>
        <v>18.8</v>
      </c>
      <c r="C564">
        <f>VLOOKUP($A564,Data!$C$5:$AG$2561,G$4)</f>
        <v>3.6</v>
      </c>
    </row>
    <row r="565" spans="1:3" x14ac:dyDescent="0.25">
      <c r="A565">
        <v>2020194</v>
      </c>
      <c r="B565">
        <f>VLOOKUP($A565,Data!$C$5:$AG$2561,F$4)</f>
        <v>13.8</v>
      </c>
      <c r="C565">
        <f>VLOOKUP($A565,Data!$C$5:$AG$2561,G$4)</f>
        <v>-0.1</v>
      </c>
    </row>
    <row r="566" spans="1:3" x14ac:dyDescent="0.25">
      <c r="A566">
        <v>2020195</v>
      </c>
      <c r="B566">
        <f>VLOOKUP($A566,Data!$C$5:$AG$2561,F$4)</f>
        <v>16.100000000000001</v>
      </c>
      <c r="C566">
        <f>VLOOKUP($A566,Data!$C$5:$AG$2561,G$4)</f>
        <v>-0.8</v>
      </c>
    </row>
    <row r="567" spans="1:3" x14ac:dyDescent="0.25">
      <c r="A567">
        <v>2020196</v>
      </c>
      <c r="B567">
        <f>VLOOKUP($A567,Data!$C$5:$AG$2561,F$4)</f>
        <v>21.1</v>
      </c>
      <c r="C567">
        <f>VLOOKUP($A567,Data!$C$5:$AG$2561,G$4)</f>
        <v>0</v>
      </c>
    </row>
    <row r="568" spans="1:3" x14ac:dyDescent="0.25">
      <c r="A568">
        <v>2020197</v>
      </c>
      <c r="B568">
        <f>VLOOKUP($A568,Data!$C$5:$AG$2561,F$4)</f>
        <v>22.2</v>
      </c>
      <c r="C568">
        <f>VLOOKUP($A568,Data!$C$5:$AG$2561,G$4)</f>
        <v>3.5</v>
      </c>
    </row>
    <row r="569" spans="1:3" x14ac:dyDescent="0.25">
      <c r="A569">
        <v>2020198</v>
      </c>
      <c r="B569">
        <f>VLOOKUP($A569,Data!$C$5:$AG$2561,F$4)</f>
        <v>18.7</v>
      </c>
      <c r="C569">
        <f>VLOOKUP($A569,Data!$C$5:$AG$2561,G$4)</f>
        <v>4.5999999999999996</v>
      </c>
    </row>
    <row r="570" spans="1:3" x14ac:dyDescent="0.25">
      <c r="A570">
        <v>2020199</v>
      </c>
      <c r="B570">
        <f>VLOOKUP($A570,Data!$C$5:$AG$2561,F$4)</f>
        <v>18.8</v>
      </c>
      <c r="C570">
        <f>VLOOKUP($A570,Data!$C$5:$AG$2561,G$4)</f>
        <v>6.1</v>
      </c>
    </row>
    <row r="571" spans="1:3" x14ac:dyDescent="0.25">
      <c r="A571">
        <v>2020200</v>
      </c>
      <c r="B571">
        <f>VLOOKUP($A571,Data!$C$5:$AG$2561,F$4)</f>
        <v>21.3</v>
      </c>
      <c r="C571">
        <f>VLOOKUP($A571,Data!$C$5:$AG$2561,G$4)</f>
        <v>3.7</v>
      </c>
    </row>
    <row r="572" spans="1:3" x14ac:dyDescent="0.25">
      <c r="A572">
        <v>2020201</v>
      </c>
      <c r="B572">
        <f>VLOOKUP($A572,Data!$C$5:$AG$2561,F$4)</f>
        <v>21.6</v>
      </c>
      <c r="C572">
        <f>VLOOKUP($A572,Data!$C$5:$AG$2561,G$4)</f>
        <v>5.9</v>
      </c>
    </row>
    <row r="573" spans="1:3" x14ac:dyDescent="0.25">
      <c r="A573">
        <v>2020202</v>
      </c>
      <c r="B573">
        <f>VLOOKUP($A573,Data!$C$5:$AG$2561,F$4)</f>
        <v>24.2</v>
      </c>
      <c r="C573">
        <f>VLOOKUP($A573,Data!$C$5:$AG$2561,G$4)</f>
        <v>4.7</v>
      </c>
    </row>
    <row r="574" spans="1:3" x14ac:dyDescent="0.25">
      <c r="A574">
        <v>2020203</v>
      </c>
      <c r="B574">
        <f>VLOOKUP($A574,Data!$C$5:$AG$2561,F$4)</f>
        <v>26.5</v>
      </c>
      <c r="C574">
        <f>VLOOKUP($A574,Data!$C$5:$AG$2561,G$4)</f>
        <v>7</v>
      </c>
    </row>
    <row r="575" spans="1:3" x14ac:dyDescent="0.25">
      <c r="A575">
        <v>2020204</v>
      </c>
      <c r="B575">
        <f>VLOOKUP($A575,Data!$C$5:$AG$2561,F$4)</f>
        <v>25</v>
      </c>
      <c r="C575">
        <f>VLOOKUP($A575,Data!$C$5:$AG$2561,G$4)</f>
        <v>10.4</v>
      </c>
    </row>
    <row r="576" spans="1:3" x14ac:dyDescent="0.25">
      <c r="A576">
        <v>2020205</v>
      </c>
      <c r="B576">
        <f>VLOOKUP($A576,Data!$C$5:$AG$2561,F$4)</f>
        <v>20.5</v>
      </c>
      <c r="C576">
        <f>VLOOKUP($A576,Data!$C$5:$AG$2561,G$4)</f>
        <v>7.9</v>
      </c>
    </row>
    <row r="577" spans="1:3" x14ac:dyDescent="0.25">
      <c r="A577">
        <v>2020206</v>
      </c>
      <c r="B577">
        <f>VLOOKUP($A577,Data!$C$5:$AG$2561,F$4)</f>
        <v>15.3</v>
      </c>
      <c r="C577">
        <f>VLOOKUP($A577,Data!$C$5:$AG$2561,G$4)</f>
        <v>2.9</v>
      </c>
    </row>
    <row r="578" spans="1:3" x14ac:dyDescent="0.25">
      <c r="A578">
        <v>2020207</v>
      </c>
      <c r="B578">
        <f>VLOOKUP($A578,Data!$C$5:$AG$2561,F$4)</f>
        <v>18.600000000000001</v>
      </c>
      <c r="C578">
        <f>VLOOKUP($A578,Data!$C$5:$AG$2561,G$4)</f>
        <v>0.6</v>
      </c>
    </row>
    <row r="579" spans="1:3" x14ac:dyDescent="0.25">
      <c r="A579">
        <v>2020208</v>
      </c>
      <c r="B579">
        <f>VLOOKUP($A579,Data!$C$5:$AG$2561,F$4)</f>
        <v>24.3</v>
      </c>
      <c r="C579">
        <f>VLOOKUP($A579,Data!$C$5:$AG$2561,G$4)</f>
        <v>2.8</v>
      </c>
    </row>
    <row r="580" spans="1:3" x14ac:dyDescent="0.25">
      <c r="A580">
        <v>2020209</v>
      </c>
      <c r="B580">
        <f>VLOOKUP($A580,Data!$C$5:$AG$2561,F$4)</f>
        <v>30.3</v>
      </c>
      <c r="C580">
        <f>VLOOKUP($A580,Data!$C$5:$AG$2561,G$4)</f>
        <v>5.7</v>
      </c>
    </row>
    <row r="581" spans="1:3" x14ac:dyDescent="0.25">
      <c r="A581">
        <v>2020210</v>
      </c>
      <c r="B581">
        <f>VLOOKUP($A581,Data!$C$5:$AG$2561,F$4)</f>
        <v>28.4</v>
      </c>
      <c r="C581">
        <f>VLOOKUP($A581,Data!$C$5:$AG$2561,G$4)</f>
        <v>7.8</v>
      </c>
    </row>
    <row r="582" spans="1:3" x14ac:dyDescent="0.25">
      <c r="A582">
        <v>2020211</v>
      </c>
      <c r="B582">
        <f>VLOOKUP($A582,Data!$C$5:$AG$2561,F$4)</f>
        <v>29.1</v>
      </c>
      <c r="C582">
        <f>VLOOKUP($A582,Data!$C$5:$AG$2561,G$4)</f>
        <v>5.9</v>
      </c>
    </row>
    <row r="583" spans="1:3" x14ac:dyDescent="0.25">
      <c r="A583">
        <v>2020212</v>
      </c>
      <c r="B583">
        <f>VLOOKUP($A583,Data!$C$5:$AG$2561,F$4)</f>
        <v>31.7</v>
      </c>
      <c r="C583">
        <f>VLOOKUP($A583,Data!$C$5:$AG$2561,G$4)</f>
        <v>7.7</v>
      </c>
    </row>
    <row r="584" spans="1:3" x14ac:dyDescent="0.25">
      <c r="A584">
        <v>2020213</v>
      </c>
      <c r="B584">
        <f>VLOOKUP($A584,Data!$C$5:$AG$2561,F$4)</f>
        <v>32.1</v>
      </c>
      <c r="C584">
        <f>VLOOKUP($A584,Data!$C$5:$AG$2561,G$4)</f>
        <v>10.199999999999999</v>
      </c>
    </row>
    <row r="585" spans="1:3" x14ac:dyDescent="0.25">
      <c r="A585">
        <v>2020214</v>
      </c>
      <c r="B585">
        <f>VLOOKUP($A585,Data!$C$5:$AG$2561,F$4)</f>
        <v>29.5</v>
      </c>
      <c r="C585">
        <f>VLOOKUP($A585,Data!$C$5:$AG$2561,G$4)</f>
        <v>9.8000000000000007</v>
      </c>
    </row>
    <row r="586" spans="1:3" x14ac:dyDescent="0.25">
      <c r="A586">
        <v>2020215</v>
      </c>
      <c r="B586">
        <f>VLOOKUP($A586,Data!$C$5:$AG$2561,F$4)</f>
        <v>26.9</v>
      </c>
      <c r="C586">
        <f>VLOOKUP($A586,Data!$C$5:$AG$2561,G$4)</f>
        <v>7.4</v>
      </c>
    </row>
    <row r="587" spans="1:3" x14ac:dyDescent="0.25">
      <c r="A587">
        <v>2020216</v>
      </c>
      <c r="B587">
        <f>VLOOKUP($A587,Data!$C$5:$AG$2561,F$4)</f>
        <v>20.9</v>
      </c>
      <c r="C587">
        <f>VLOOKUP($A587,Data!$C$5:$AG$2561,G$4)</f>
        <v>5.4</v>
      </c>
    </row>
    <row r="588" spans="1:3" x14ac:dyDescent="0.25">
      <c r="A588">
        <v>2020217</v>
      </c>
      <c r="B588">
        <f>VLOOKUP($A588,Data!$C$5:$AG$2561,F$4)</f>
        <v>25.9</v>
      </c>
      <c r="C588">
        <f>VLOOKUP($A588,Data!$C$5:$AG$2561,G$4)</f>
        <v>2.7</v>
      </c>
    </row>
    <row r="589" spans="1:3" x14ac:dyDescent="0.25">
      <c r="A589">
        <v>2020218</v>
      </c>
      <c r="B589">
        <f>VLOOKUP($A589,Data!$C$5:$AG$2561,F$4)</f>
        <v>27.1</v>
      </c>
      <c r="C589">
        <f>VLOOKUP($A589,Data!$C$5:$AG$2561,G$4)</f>
        <v>5</v>
      </c>
    </row>
    <row r="590" spans="1:3" x14ac:dyDescent="0.25">
      <c r="A590">
        <v>2020219</v>
      </c>
      <c r="B590">
        <f>VLOOKUP($A590,Data!$C$5:$AG$2561,F$4)</f>
        <v>19.5</v>
      </c>
      <c r="C590">
        <f>VLOOKUP($A590,Data!$C$5:$AG$2561,G$4)</f>
        <v>3.9</v>
      </c>
    </row>
    <row r="591" spans="1:3" x14ac:dyDescent="0.25">
      <c r="A591">
        <v>2020220</v>
      </c>
      <c r="B591">
        <f>VLOOKUP($A591,Data!$C$5:$AG$2561,F$4)</f>
        <v>15.9</v>
      </c>
      <c r="C591">
        <f>VLOOKUP($A591,Data!$C$5:$AG$2561,G$4)</f>
        <v>4.2</v>
      </c>
    </row>
    <row r="592" spans="1:3" x14ac:dyDescent="0.25">
      <c r="A592">
        <v>2020221</v>
      </c>
      <c r="B592">
        <f>VLOOKUP($A592,Data!$C$5:$AG$2561,F$4)</f>
        <v>17.100000000000001</v>
      </c>
      <c r="C592">
        <f>VLOOKUP($A592,Data!$C$5:$AG$2561,G$4)</f>
        <v>5.7</v>
      </c>
    </row>
    <row r="593" spans="1:3" x14ac:dyDescent="0.25">
      <c r="A593">
        <v>2020222</v>
      </c>
      <c r="B593">
        <f>VLOOKUP($A593,Data!$C$5:$AG$2561,F$4)</f>
        <v>18.399999999999999</v>
      </c>
      <c r="C593">
        <f>VLOOKUP($A593,Data!$C$5:$AG$2561,G$4)</f>
        <v>1.8</v>
      </c>
    </row>
    <row r="594" spans="1:3" x14ac:dyDescent="0.25">
      <c r="A594">
        <v>2020223</v>
      </c>
      <c r="B594">
        <f>VLOOKUP($A594,Data!$C$5:$AG$2561,F$4)</f>
        <v>21.9</v>
      </c>
      <c r="C594">
        <f>VLOOKUP($A594,Data!$C$5:$AG$2561,G$4)</f>
        <v>3.4</v>
      </c>
    </row>
    <row r="595" spans="1:3" x14ac:dyDescent="0.25">
      <c r="A595">
        <v>2020224</v>
      </c>
      <c r="B595">
        <f>VLOOKUP($A595,Data!$C$5:$AG$2561,F$4)</f>
        <v>20.9</v>
      </c>
      <c r="C595">
        <f>VLOOKUP($A595,Data!$C$5:$AG$2561,G$4)</f>
        <v>1.8</v>
      </c>
    </row>
    <row r="596" spans="1:3" x14ac:dyDescent="0.25">
      <c r="A596">
        <v>2020225</v>
      </c>
      <c r="B596">
        <f>VLOOKUP($A596,Data!$C$5:$AG$2561,F$4)</f>
        <v>17</v>
      </c>
      <c r="C596">
        <f>VLOOKUP($A596,Data!$C$5:$AG$2561,G$4)</f>
        <v>-1.7</v>
      </c>
    </row>
    <row r="597" spans="1:3" x14ac:dyDescent="0.25">
      <c r="A597">
        <v>2020226</v>
      </c>
      <c r="B597">
        <f>VLOOKUP($A597,Data!$C$5:$AG$2561,F$4)</f>
        <v>18.2</v>
      </c>
      <c r="C597">
        <f>VLOOKUP($A597,Data!$C$5:$AG$2561,G$4)</f>
        <v>-1.1000000000000001</v>
      </c>
    </row>
    <row r="598" spans="1:3" x14ac:dyDescent="0.25">
      <c r="A598">
        <v>2020227</v>
      </c>
      <c r="B598">
        <f>VLOOKUP($A598,Data!$C$5:$AG$2561,F$4)</f>
        <v>22.4</v>
      </c>
      <c r="C598">
        <f>VLOOKUP($A598,Data!$C$5:$AG$2561,G$4)</f>
        <v>-1.1000000000000001</v>
      </c>
    </row>
    <row r="599" spans="1:3" x14ac:dyDescent="0.25">
      <c r="A599">
        <v>2020228</v>
      </c>
      <c r="B599">
        <f>VLOOKUP($A599,Data!$C$5:$AG$2561,F$4)</f>
        <v>28.1</v>
      </c>
      <c r="C599">
        <f>VLOOKUP($A599,Data!$C$5:$AG$2561,G$4)</f>
        <v>3.6</v>
      </c>
    </row>
    <row r="600" spans="1:3" x14ac:dyDescent="0.25">
      <c r="A600">
        <v>2020229</v>
      </c>
      <c r="B600">
        <f>VLOOKUP($A600,Data!$C$5:$AG$2561,F$4)</f>
        <v>31.5</v>
      </c>
      <c r="C600">
        <f>VLOOKUP($A600,Data!$C$5:$AG$2561,G$4)</f>
        <v>7.5</v>
      </c>
    </row>
    <row r="601" spans="1:3" x14ac:dyDescent="0.25">
      <c r="A601">
        <v>2020230</v>
      </c>
      <c r="B601">
        <f>VLOOKUP($A601,Data!$C$5:$AG$2561,F$4)</f>
        <v>31.1</v>
      </c>
      <c r="C601">
        <f>VLOOKUP($A601,Data!$C$5:$AG$2561,G$4)</f>
        <v>9.9</v>
      </c>
    </row>
    <row r="602" spans="1:3" x14ac:dyDescent="0.25">
      <c r="A602">
        <v>2020231</v>
      </c>
      <c r="B602">
        <f>VLOOKUP($A602,Data!$C$5:$AG$2561,F$4)</f>
        <v>29.9</v>
      </c>
      <c r="C602">
        <f>VLOOKUP($A602,Data!$C$5:$AG$2561,G$4)</f>
        <v>7.2</v>
      </c>
    </row>
    <row r="603" spans="1:3" x14ac:dyDescent="0.25">
      <c r="A603">
        <v>2020232</v>
      </c>
      <c r="B603">
        <f>VLOOKUP($A603,Data!$C$5:$AG$2561,F$4)</f>
        <v>25.6</v>
      </c>
      <c r="C603">
        <f>VLOOKUP($A603,Data!$C$5:$AG$2561,G$4)</f>
        <v>4.7</v>
      </c>
    </row>
    <row r="604" spans="1:3" x14ac:dyDescent="0.25">
      <c r="A604">
        <v>2020233</v>
      </c>
      <c r="B604">
        <f>VLOOKUP($A604,Data!$C$5:$AG$2561,F$4)</f>
        <v>21.7</v>
      </c>
      <c r="C604">
        <f>VLOOKUP($A604,Data!$C$5:$AG$2561,G$4)</f>
        <v>8.4</v>
      </c>
    </row>
    <row r="605" spans="1:3" x14ac:dyDescent="0.25">
      <c r="A605">
        <v>2020234</v>
      </c>
      <c r="B605">
        <f>VLOOKUP($A605,Data!$C$5:$AG$2561,F$4)</f>
        <v>22.2</v>
      </c>
      <c r="C605">
        <f>VLOOKUP($A605,Data!$C$5:$AG$2561,G$4)</f>
        <v>6.9</v>
      </c>
    </row>
    <row r="606" spans="1:3" x14ac:dyDescent="0.25">
      <c r="A606">
        <v>2020235</v>
      </c>
      <c r="B606">
        <f>VLOOKUP($A606,Data!$C$5:$AG$2561,F$4)</f>
        <v>19.399999999999999</v>
      </c>
      <c r="C606">
        <f>VLOOKUP($A606,Data!$C$5:$AG$2561,G$4)</f>
        <v>3.2</v>
      </c>
    </row>
    <row r="607" spans="1:3" x14ac:dyDescent="0.25">
      <c r="A607">
        <v>2020236</v>
      </c>
      <c r="B607">
        <f>VLOOKUP($A607,Data!$C$5:$AG$2561,F$4)</f>
        <v>22.4</v>
      </c>
      <c r="C607">
        <f>VLOOKUP($A607,Data!$C$5:$AG$2561,G$4)</f>
        <v>1.2</v>
      </c>
    </row>
    <row r="608" spans="1:3" x14ac:dyDescent="0.25">
      <c r="A608">
        <v>2020237</v>
      </c>
      <c r="B608">
        <f>VLOOKUP($A608,Data!$C$5:$AG$2561,F$4)</f>
        <v>17.399999999999999</v>
      </c>
      <c r="C608">
        <f>VLOOKUP($A608,Data!$C$5:$AG$2561,G$4)</f>
        <v>3.7</v>
      </c>
    </row>
    <row r="609" spans="1:3" x14ac:dyDescent="0.25">
      <c r="A609">
        <v>2020238</v>
      </c>
      <c r="B609">
        <f>VLOOKUP($A609,Data!$C$5:$AG$2561,F$4)</f>
        <v>20.3</v>
      </c>
      <c r="C609">
        <f>VLOOKUP($A609,Data!$C$5:$AG$2561,G$4)</f>
        <v>-0.1</v>
      </c>
    </row>
    <row r="610" spans="1:3" x14ac:dyDescent="0.25">
      <c r="A610">
        <v>2020239</v>
      </c>
      <c r="B610">
        <f>VLOOKUP($A610,Data!$C$5:$AG$2561,F$4)</f>
        <v>21.7</v>
      </c>
      <c r="C610">
        <f>VLOOKUP($A610,Data!$C$5:$AG$2561,G$4)</f>
        <v>-1</v>
      </c>
    </row>
    <row r="611" spans="1:3" x14ac:dyDescent="0.25">
      <c r="A611">
        <v>2020240</v>
      </c>
      <c r="B611">
        <f>VLOOKUP($A611,Data!$C$5:$AG$2561,F$4)</f>
        <v>20.8</v>
      </c>
      <c r="C611">
        <f>VLOOKUP($A611,Data!$C$5:$AG$2561,G$4)</f>
        <v>-0.9</v>
      </c>
    </row>
    <row r="612" spans="1:3" x14ac:dyDescent="0.25">
      <c r="A612">
        <v>2020241</v>
      </c>
      <c r="B612">
        <f>VLOOKUP($A612,Data!$C$5:$AG$2561,F$4)</f>
        <v>25.8</v>
      </c>
      <c r="C612">
        <f>VLOOKUP($A612,Data!$C$5:$AG$2561,G$4)</f>
        <v>1.4</v>
      </c>
    </row>
    <row r="613" spans="1:3" x14ac:dyDescent="0.25">
      <c r="A613">
        <v>2020242</v>
      </c>
      <c r="B613">
        <f>VLOOKUP($A613,Data!$C$5:$AG$2561,F$4)</f>
        <v>15</v>
      </c>
      <c r="C613">
        <f>VLOOKUP($A613,Data!$C$5:$AG$2561,G$4)</f>
        <v>3.2</v>
      </c>
    </row>
    <row r="614" spans="1:3" x14ac:dyDescent="0.25">
      <c r="A614">
        <v>2020243</v>
      </c>
      <c r="B614">
        <f>VLOOKUP($A614,Data!$C$5:$AG$2561,F$4)</f>
        <v>14.9</v>
      </c>
      <c r="C614">
        <f>VLOOKUP($A614,Data!$C$5:$AG$2561,G$4)</f>
        <v>1.7</v>
      </c>
    </row>
    <row r="615" spans="1:3" x14ac:dyDescent="0.25">
      <c r="A615">
        <v>2020244</v>
      </c>
      <c r="B615">
        <f>VLOOKUP($A615,Data!$C$5:$AG$2561,F$4)</f>
        <v>13.6</v>
      </c>
      <c r="C615">
        <f>VLOOKUP($A615,Data!$C$5:$AG$2561,G$4)</f>
        <v>4</v>
      </c>
    </row>
    <row r="616" spans="1:3" x14ac:dyDescent="0.25">
      <c r="A616">
        <v>2020245</v>
      </c>
      <c r="B616">
        <f>VLOOKUP($A616,Data!$C$5:$AG$2561,F$4)</f>
        <v>23.4</v>
      </c>
      <c r="C616">
        <f>VLOOKUP($A616,Data!$C$5:$AG$2561,G$4)</f>
        <v>6.3</v>
      </c>
    </row>
    <row r="617" spans="1:3" x14ac:dyDescent="0.25">
      <c r="A617">
        <v>2020246</v>
      </c>
      <c r="B617">
        <f>VLOOKUP($A617,Data!$C$5:$AG$2561,F$4)</f>
        <v>19.2</v>
      </c>
      <c r="C617">
        <f>VLOOKUP($A617,Data!$C$5:$AG$2561,G$4)</f>
        <v>3.2</v>
      </c>
    </row>
    <row r="618" spans="1:3" x14ac:dyDescent="0.25">
      <c r="A618">
        <v>2020247</v>
      </c>
      <c r="B618">
        <f>VLOOKUP($A618,Data!$C$5:$AG$2561,F$4)</f>
        <v>24.6</v>
      </c>
      <c r="C618">
        <f>VLOOKUP($A618,Data!$C$5:$AG$2561,G$4)</f>
        <v>2.1</v>
      </c>
    </row>
    <row r="619" spans="1:3" x14ac:dyDescent="0.25">
      <c r="A619">
        <v>2020248</v>
      </c>
      <c r="B619">
        <f>VLOOKUP($A619,Data!$C$5:$AG$2561,F$4)</f>
        <v>27.9</v>
      </c>
      <c r="C619">
        <f>VLOOKUP($A619,Data!$C$5:$AG$2561,G$4)</f>
        <v>4.5</v>
      </c>
    </row>
    <row r="620" spans="1:3" x14ac:dyDescent="0.25">
      <c r="A620">
        <v>2020249</v>
      </c>
      <c r="B620">
        <f>VLOOKUP($A620,Data!$C$5:$AG$2561,F$4)</f>
        <v>24.9</v>
      </c>
      <c r="C620">
        <f>VLOOKUP($A620,Data!$C$5:$AG$2561,G$4)</f>
        <v>6.5</v>
      </c>
    </row>
    <row r="621" spans="1:3" x14ac:dyDescent="0.25">
      <c r="A621">
        <v>2020250</v>
      </c>
      <c r="B621">
        <f>VLOOKUP($A621,Data!$C$5:$AG$2561,F$4)</f>
        <v>23.8</v>
      </c>
      <c r="C621">
        <f>VLOOKUP($A621,Data!$C$5:$AG$2561,G$4)</f>
        <v>4.3</v>
      </c>
    </row>
    <row r="622" spans="1:3" x14ac:dyDescent="0.25">
      <c r="A622">
        <v>2020251</v>
      </c>
      <c r="B622">
        <f>VLOOKUP($A622,Data!$C$5:$AG$2561,F$4)</f>
        <v>15.8</v>
      </c>
      <c r="C622">
        <f>VLOOKUP($A622,Data!$C$5:$AG$2561,G$4)</f>
        <v>-1</v>
      </c>
    </row>
    <row r="623" spans="1:3" x14ac:dyDescent="0.25">
      <c r="A623">
        <v>2020252</v>
      </c>
      <c r="B623">
        <f>VLOOKUP($A623,Data!$C$5:$AG$2561,F$4)</f>
        <v>17.5</v>
      </c>
      <c r="C623">
        <f>VLOOKUP($A623,Data!$C$5:$AG$2561,G$4)</f>
        <v>-3</v>
      </c>
    </row>
    <row r="624" spans="1:3" x14ac:dyDescent="0.25">
      <c r="A624">
        <v>2020253</v>
      </c>
      <c r="B624">
        <f>VLOOKUP($A624,Data!$C$5:$AG$2561,F$4)</f>
        <v>22.6</v>
      </c>
      <c r="C624">
        <f>VLOOKUP($A624,Data!$C$5:$AG$2561,G$4)</f>
        <v>0.5</v>
      </c>
    </row>
    <row r="625" spans="1:3" x14ac:dyDescent="0.25">
      <c r="A625">
        <v>2020254</v>
      </c>
      <c r="B625">
        <f>VLOOKUP($A625,Data!$C$5:$AG$2561,F$4)</f>
        <v>25.9</v>
      </c>
      <c r="C625">
        <f>VLOOKUP($A625,Data!$C$5:$AG$2561,G$4)</f>
        <v>2.2999999999999998</v>
      </c>
    </row>
    <row r="626" spans="1:3" x14ac:dyDescent="0.25">
      <c r="A626">
        <v>2020255</v>
      </c>
      <c r="B626">
        <f>VLOOKUP($A626,Data!$C$5:$AG$2561,F$4)</f>
        <v>26.9</v>
      </c>
      <c r="C626">
        <f>VLOOKUP($A626,Data!$C$5:$AG$2561,G$4)</f>
        <v>3.6</v>
      </c>
    </row>
    <row r="627" spans="1:3" x14ac:dyDescent="0.25">
      <c r="A627">
        <v>2020256</v>
      </c>
      <c r="B627">
        <f>VLOOKUP($A627,Data!$C$5:$AG$2561,F$4)</f>
        <v>25.2</v>
      </c>
      <c r="C627">
        <f>VLOOKUP($A627,Data!$C$5:$AG$2561,G$4)</f>
        <v>3.5</v>
      </c>
    </row>
    <row r="628" spans="1:3" x14ac:dyDescent="0.25">
      <c r="A628">
        <v>2020257</v>
      </c>
      <c r="B628">
        <f>VLOOKUP($A628,Data!$C$5:$AG$2561,F$4)</f>
        <v>18.399999999999999</v>
      </c>
      <c r="C628">
        <f>VLOOKUP($A628,Data!$C$5:$AG$2561,G$4)</f>
        <v>2.8</v>
      </c>
    </row>
    <row r="629" spans="1:3" x14ac:dyDescent="0.25">
      <c r="A629">
        <v>2020258</v>
      </c>
      <c r="B629">
        <f>VLOOKUP($A629,Data!$C$5:$AG$2561,F$4)</f>
        <v>20.3</v>
      </c>
      <c r="C629">
        <f>VLOOKUP($A629,Data!$C$5:$AG$2561,G$4)</f>
        <v>5.4</v>
      </c>
    </row>
    <row r="630" spans="1:3" x14ac:dyDescent="0.25">
      <c r="A630">
        <v>2020259</v>
      </c>
      <c r="B630">
        <f>VLOOKUP($A630,Data!$C$5:$AG$2561,F$4)</f>
        <v>21.8</v>
      </c>
      <c r="C630">
        <f>VLOOKUP($A630,Data!$C$5:$AG$2561,G$4)</f>
        <v>3.8</v>
      </c>
    </row>
    <row r="631" spans="1:3" x14ac:dyDescent="0.25">
      <c r="A631">
        <v>2020260</v>
      </c>
      <c r="B631">
        <f>VLOOKUP($A631,Data!$C$5:$AG$2561,F$4)</f>
        <v>23</v>
      </c>
      <c r="C631">
        <f>VLOOKUP($A631,Data!$C$5:$AG$2561,G$4)</f>
        <v>6.4</v>
      </c>
    </row>
    <row r="632" spans="1:3" x14ac:dyDescent="0.25">
      <c r="A632">
        <v>2020261</v>
      </c>
      <c r="B632">
        <f>VLOOKUP($A632,Data!$C$5:$AG$2561,F$4)</f>
        <v>23.9</v>
      </c>
      <c r="C632">
        <f>VLOOKUP($A632,Data!$C$5:$AG$2561,G$4)</f>
        <v>4.9000000000000004</v>
      </c>
    </row>
    <row r="633" spans="1:3" x14ac:dyDescent="0.25">
      <c r="A633">
        <v>2020262</v>
      </c>
      <c r="B633">
        <f>VLOOKUP($A633,Data!$C$5:$AG$2561,F$4)</f>
        <v>22.7</v>
      </c>
      <c r="C633">
        <f>VLOOKUP($A633,Data!$C$5:$AG$2561,G$4)</f>
        <v>3.3</v>
      </c>
    </row>
    <row r="634" spans="1:3" x14ac:dyDescent="0.25">
      <c r="A634">
        <v>2020263</v>
      </c>
      <c r="B634">
        <f>VLOOKUP($A634,Data!$C$5:$AG$2561,F$4)</f>
        <v>13</v>
      </c>
      <c r="C634">
        <f>VLOOKUP($A634,Data!$C$5:$AG$2561,G$4)</f>
        <v>6.1</v>
      </c>
    </row>
    <row r="635" spans="1:3" x14ac:dyDescent="0.25">
      <c r="A635">
        <v>2020264</v>
      </c>
      <c r="B635">
        <f>VLOOKUP($A635,Data!$C$5:$AG$2561,F$4)</f>
        <v>16.600000000000001</v>
      </c>
      <c r="C635">
        <f>VLOOKUP($A635,Data!$C$5:$AG$2561,G$4)</f>
        <v>0.8</v>
      </c>
    </row>
    <row r="636" spans="1:3" x14ac:dyDescent="0.25">
      <c r="A636">
        <v>2020265</v>
      </c>
      <c r="B636">
        <f>VLOOKUP($A636,Data!$C$5:$AG$2561,F$4)</f>
        <v>16.399999999999999</v>
      </c>
      <c r="C636">
        <f>VLOOKUP($A636,Data!$C$5:$AG$2561,G$4)</f>
        <v>-0.6</v>
      </c>
    </row>
    <row r="637" spans="1:3" x14ac:dyDescent="0.25">
      <c r="A637">
        <v>2020266</v>
      </c>
      <c r="B637">
        <f>VLOOKUP($A637,Data!$C$5:$AG$2561,F$4)</f>
        <v>18.5</v>
      </c>
      <c r="C637">
        <f>VLOOKUP($A637,Data!$C$5:$AG$2561,G$4)</f>
        <v>0.9</v>
      </c>
    </row>
    <row r="638" spans="1:3" x14ac:dyDescent="0.25">
      <c r="A638">
        <v>2020267</v>
      </c>
      <c r="B638">
        <f>VLOOKUP($A638,Data!$C$5:$AG$2561,F$4)</f>
        <v>12.8</v>
      </c>
      <c r="C638">
        <f>VLOOKUP($A638,Data!$C$5:$AG$2561,G$4)</f>
        <v>3.8</v>
      </c>
    </row>
    <row r="639" spans="1:3" x14ac:dyDescent="0.25">
      <c r="A639">
        <v>2020268</v>
      </c>
      <c r="B639">
        <f>VLOOKUP($A639,Data!$C$5:$AG$2561,F$4)</f>
        <v>10.1</v>
      </c>
      <c r="C639">
        <f>VLOOKUP($A639,Data!$C$5:$AG$2561,G$4)</f>
        <v>0.2</v>
      </c>
    </row>
    <row r="640" spans="1:3" x14ac:dyDescent="0.25">
      <c r="A640">
        <v>2020269</v>
      </c>
      <c r="B640">
        <f>VLOOKUP($A640,Data!$C$5:$AG$2561,F$4)</f>
        <v>6</v>
      </c>
      <c r="C640">
        <f>VLOOKUP($A640,Data!$C$5:$AG$2561,G$4)</f>
        <v>0.5</v>
      </c>
    </row>
    <row r="641" spans="1:3" x14ac:dyDescent="0.25">
      <c r="A641">
        <v>2020270</v>
      </c>
      <c r="B641">
        <f>VLOOKUP($A641,Data!$C$5:$AG$2561,F$4)</f>
        <v>6.7</v>
      </c>
      <c r="C641">
        <f>VLOOKUP($A641,Data!$C$5:$AG$2561,G$4)</f>
        <v>0.8</v>
      </c>
    </row>
    <row r="642" spans="1:3" x14ac:dyDescent="0.25">
      <c r="A642">
        <v>2020271</v>
      </c>
      <c r="B642">
        <f>VLOOKUP($A642,Data!$C$5:$AG$2561,F$4)</f>
        <v>12.8</v>
      </c>
      <c r="C642">
        <f>VLOOKUP($A642,Data!$C$5:$AG$2561,G$4)</f>
        <v>-2.4</v>
      </c>
    </row>
    <row r="643" spans="1:3" x14ac:dyDescent="0.25">
      <c r="A643">
        <v>2020272</v>
      </c>
      <c r="B643">
        <f>VLOOKUP($A643,Data!$C$5:$AG$2561,F$4)</f>
        <v>20.100000000000001</v>
      </c>
      <c r="C643">
        <f>VLOOKUP($A643,Data!$C$5:$AG$2561,G$4)</f>
        <v>-0.2</v>
      </c>
    </row>
    <row r="644" spans="1:3" x14ac:dyDescent="0.25">
      <c r="A644">
        <v>2020273</v>
      </c>
      <c r="B644">
        <f>VLOOKUP($A644,Data!$C$5:$AG$2561,F$4)</f>
        <v>22.6</v>
      </c>
      <c r="C644">
        <f>VLOOKUP($A644,Data!$C$5:$AG$2561,G$4)</f>
        <v>1.5</v>
      </c>
    </row>
    <row r="645" spans="1:3" x14ac:dyDescent="0.25">
      <c r="A645">
        <v>2020274</v>
      </c>
      <c r="B645">
        <f>VLOOKUP($A645,Data!$C$5:$AG$2561,F$4)</f>
        <v>21.7</v>
      </c>
      <c r="C645">
        <f>VLOOKUP($A645,Data!$C$5:$AG$2561,G$4)</f>
        <v>1.8</v>
      </c>
    </row>
    <row r="646" spans="1:3" x14ac:dyDescent="0.25">
      <c r="A646">
        <v>2020275</v>
      </c>
      <c r="B646">
        <f>VLOOKUP($A646,Data!$C$5:$AG$2561,F$4)</f>
        <v>18.899999999999999</v>
      </c>
      <c r="C646">
        <f>VLOOKUP($A646,Data!$C$5:$AG$2561,G$4)</f>
        <v>3.6</v>
      </c>
    </row>
    <row r="647" spans="1:3" x14ac:dyDescent="0.25">
      <c r="A647">
        <v>2020276</v>
      </c>
      <c r="B647">
        <f>VLOOKUP($A647,Data!$C$5:$AG$2561,F$4)</f>
        <v>21.5</v>
      </c>
      <c r="C647">
        <f>VLOOKUP($A647,Data!$C$5:$AG$2561,G$4)</f>
        <v>2.7</v>
      </c>
    </row>
    <row r="648" spans="1:3" x14ac:dyDescent="0.25">
      <c r="A648">
        <v>2020277</v>
      </c>
      <c r="B648">
        <f>VLOOKUP($A648,Data!$C$5:$AG$2561,F$4)</f>
        <v>21.1</v>
      </c>
      <c r="C648">
        <f>VLOOKUP($A648,Data!$C$5:$AG$2561,G$4)</f>
        <v>3.2</v>
      </c>
    </row>
    <row r="649" spans="1:3" x14ac:dyDescent="0.25">
      <c r="A649">
        <v>2020278</v>
      </c>
      <c r="B649">
        <f>VLOOKUP($A649,Data!$C$5:$AG$2561,F$4)</f>
        <v>16.3</v>
      </c>
      <c r="C649">
        <f>VLOOKUP($A649,Data!$C$5:$AG$2561,G$4)</f>
        <v>0.9</v>
      </c>
    </row>
    <row r="650" spans="1:3" x14ac:dyDescent="0.25">
      <c r="A650">
        <v>2020279</v>
      </c>
      <c r="B650">
        <f>VLOOKUP($A650,Data!$C$5:$AG$2561,F$4)</f>
        <v>19.7</v>
      </c>
      <c r="C650">
        <f>VLOOKUP($A650,Data!$C$5:$AG$2561,G$4)</f>
        <v>0.1</v>
      </c>
    </row>
    <row r="651" spans="1:3" x14ac:dyDescent="0.25">
      <c r="A651">
        <v>2020280</v>
      </c>
      <c r="B651">
        <f>VLOOKUP($A651,Data!$C$5:$AG$2561,F$4)</f>
        <v>18.600000000000001</v>
      </c>
      <c r="C651">
        <f>VLOOKUP($A651,Data!$C$5:$AG$2561,G$4)</f>
        <v>5.4</v>
      </c>
    </row>
    <row r="652" spans="1:3" x14ac:dyDescent="0.25">
      <c r="A652">
        <v>2020281</v>
      </c>
      <c r="B652">
        <f>VLOOKUP($A652,Data!$C$5:$AG$2561,F$4)</f>
        <v>20.5</v>
      </c>
      <c r="C652">
        <f>VLOOKUP($A652,Data!$C$5:$AG$2561,G$4)</f>
        <v>2.1</v>
      </c>
    </row>
    <row r="653" spans="1:3" x14ac:dyDescent="0.25">
      <c r="A653">
        <v>2020282</v>
      </c>
      <c r="B653">
        <f>VLOOKUP($A653,Data!$C$5:$AG$2561,F$4)</f>
        <v>10.8</v>
      </c>
      <c r="C653">
        <f>VLOOKUP($A653,Data!$C$5:$AG$2561,G$4)</f>
        <v>1.8</v>
      </c>
    </row>
    <row r="654" spans="1:3" x14ac:dyDescent="0.25">
      <c r="A654">
        <v>2020283</v>
      </c>
      <c r="B654">
        <f>VLOOKUP($A654,Data!$C$5:$AG$2561,F$4)</f>
        <v>9.3000000000000007</v>
      </c>
      <c r="C654">
        <f>VLOOKUP($A654,Data!$C$5:$AG$2561,G$4)</f>
        <v>2.1</v>
      </c>
    </row>
    <row r="655" spans="1:3" x14ac:dyDescent="0.25">
      <c r="A655">
        <v>2020284</v>
      </c>
      <c r="B655">
        <f>VLOOKUP($A655,Data!$C$5:$AG$2561,F$4)</f>
        <v>9</v>
      </c>
      <c r="C655">
        <f>VLOOKUP($A655,Data!$C$5:$AG$2561,G$4)</f>
        <v>0.7</v>
      </c>
    </row>
    <row r="656" spans="1:3" x14ac:dyDescent="0.25">
      <c r="A656">
        <v>2020285</v>
      </c>
      <c r="B656">
        <f>VLOOKUP($A656,Data!$C$5:$AG$2561,F$4)</f>
        <v>4.5999999999999996</v>
      </c>
      <c r="C656">
        <f>VLOOKUP($A656,Data!$C$5:$AG$2561,G$4)</f>
        <v>-0.7</v>
      </c>
    </row>
    <row r="657" spans="1:3" x14ac:dyDescent="0.25">
      <c r="A657">
        <v>2020286</v>
      </c>
      <c r="B657">
        <f>VLOOKUP($A657,Data!$C$5:$AG$2561,F$4)</f>
        <v>3.9</v>
      </c>
      <c r="C657">
        <f>VLOOKUP($A657,Data!$C$5:$AG$2561,G$4)</f>
        <v>-1.5</v>
      </c>
    </row>
    <row r="658" spans="1:3" x14ac:dyDescent="0.25">
      <c r="A658">
        <v>2020287</v>
      </c>
      <c r="B658">
        <f>VLOOKUP($A658,Data!$C$5:$AG$2561,F$4)</f>
        <v>2.6</v>
      </c>
      <c r="C658">
        <f>VLOOKUP($A658,Data!$C$5:$AG$2561,G$4)</f>
        <v>-1.4</v>
      </c>
    </row>
    <row r="659" spans="1:3" x14ac:dyDescent="0.25">
      <c r="A659">
        <v>2020288</v>
      </c>
      <c r="B659">
        <f>VLOOKUP($A659,Data!$C$5:$AG$2561,F$4)</f>
        <v>4.3</v>
      </c>
      <c r="C659">
        <f>VLOOKUP($A659,Data!$C$5:$AG$2561,G$4)</f>
        <v>-1.2</v>
      </c>
    </row>
    <row r="660" spans="1:3" x14ac:dyDescent="0.25">
      <c r="A660">
        <v>2020289</v>
      </c>
      <c r="B660">
        <f>VLOOKUP($A660,Data!$C$5:$AG$2561,F$4)</f>
        <v>4.7</v>
      </c>
      <c r="C660">
        <f>VLOOKUP($A660,Data!$C$5:$AG$2561,G$4)</f>
        <v>-1.1000000000000001</v>
      </c>
    </row>
    <row r="661" spans="1:3" x14ac:dyDescent="0.25">
      <c r="A661">
        <v>2020290</v>
      </c>
      <c r="B661">
        <f>VLOOKUP($A661,Data!$C$5:$AG$2561,F$4)</f>
        <v>9</v>
      </c>
      <c r="C661">
        <f>VLOOKUP($A661,Data!$C$5:$AG$2561,G$4)</f>
        <v>-0.5</v>
      </c>
    </row>
    <row r="662" spans="1:3" x14ac:dyDescent="0.25">
      <c r="A662">
        <v>2020291</v>
      </c>
      <c r="B662">
        <f>VLOOKUP($A662,Data!$C$5:$AG$2561,F$4)</f>
        <v>-0.3</v>
      </c>
      <c r="C662">
        <f>VLOOKUP($A662,Data!$C$5:$AG$2561,G$4)</f>
        <v>-2.4</v>
      </c>
    </row>
    <row r="663" spans="1:3" x14ac:dyDescent="0.25">
      <c r="A663">
        <v>2020292</v>
      </c>
      <c r="B663">
        <f>VLOOKUP($A663,Data!$C$5:$AG$2561,F$4)</f>
        <v>3.6</v>
      </c>
      <c r="C663">
        <f>VLOOKUP($A663,Data!$C$5:$AG$2561,G$4)</f>
        <v>-2.8</v>
      </c>
    </row>
    <row r="664" spans="1:3" x14ac:dyDescent="0.25">
      <c r="A664">
        <v>2020293</v>
      </c>
      <c r="B664">
        <f>VLOOKUP($A664,Data!$C$5:$AG$2561,F$4)</f>
        <v>4.9000000000000004</v>
      </c>
      <c r="C664">
        <f>VLOOKUP($A664,Data!$C$5:$AG$2561,G$4)</f>
        <v>-1.2</v>
      </c>
    </row>
    <row r="665" spans="1:3" x14ac:dyDescent="0.25">
      <c r="A665">
        <v>2020294</v>
      </c>
      <c r="B665">
        <f>VLOOKUP($A665,Data!$C$5:$AG$2561,F$4)</f>
        <v>2.2999999999999998</v>
      </c>
      <c r="C665">
        <f>VLOOKUP($A665,Data!$C$5:$AG$2561,G$4)</f>
        <v>-2.4</v>
      </c>
    </row>
    <row r="666" spans="1:3" x14ac:dyDescent="0.25">
      <c r="A666">
        <v>2020295</v>
      </c>
      <c r="B666">
        <f>VLOOKUP($A666,Data!$C$5:$AG$2561,F$4)</f>
        <v>-2</v>
      </c>
      <c r="C666">
        <f>VLOOKUP($A666,Data!$C$5:$AG$2561,G$4)</f>
        <v>-10.3</v>
      </c>
    </row>
    <row r="667" spans="1:3" x14ac:dyDescent="0.25">
      <c r="A667">
        <v>2020296</v>
      </c>
      <c r="B667">
        <f>VLOOKUP($A667,Data!$C$5:$AG$2561,F$4)</f>
        <v>-0.5</v>
      </c>
      <c r="C667">
        <f>VLOOKUP($A667,Data!$C$5:$AG$2561,G$4)</f>
        <v>-13.7</v>
      </c>
    </row>
    <row r="668" spans="1:3" x14ac:dyDescent="0.25">
      <c r="A668">
        <v>2020297</v>
      </c>
      <c r="B668">
        <f>VLOOKUP($A668,Data!$C$5:$AG$2561,F$4)</f>
        <v>-4.5</v>
      </c>
      <c r="C668">
        <f>VLOOKUP($A668,Data!$C$5:$AG$2561,G$4)</f>
        <v>-8.9</v>
      </c>
    </row>
    <row r="669" spans="1:3" x14ac:dyDescent="0.25">
      <c r="A669">
        <v>2020298</v>
      </c>
      <c r="B669">
        <f>VLOOKUP($A669,Data!$C$5:$AG$2561,F$4)</f>
        <v>-6.5</v>
      </c>
      <c r="C669">
        <f>VLOOKUP($A669,Data!$C$5:$AG$2561,G$4)</f>
        <v>-11.6</v>
      </c>
    </row>
    <row r="670" spans="1:3" x14ac:dyDescent="0.25">
      <c r="A670">
        <v>2020299</v>
      </c>
      <c r="B670">
        <f>VLOOKUP($A670,Data!$C$5:$AG$2561,F$4)</f>
        <v>-3.1</v>
      </c>
      <c r="C670">
        <f>VLOOKUP($A670,Data!$C$5:$AG$2561,G$4)</f>
        <v>-17.899999999999999</v>
      </c>
    </row>
    <row r="671" spans="1:3" x14ac:dyDescent="0.25">
      <c r="A671">
        <v>2020300</v>
      </c>
      <c r="B671">
        <f>VLOOKUP($A671,Data!$C$5:$AG$2561,F$4)</f>
        <v>4.4000000000000004</v>
      </c>
      <c r="C671">
        <f>VLOOKUP($A671,Data!$C$5:$AG$2561,G$4)</f>
        <v>-10.8</v>
      </c>
    </row>
    <row r="672" spans="1:3" x14ac:dyDescent="0.25">
      <c r="A672">
        <v>2020301</v>
      </c>
      <c r="B672">
        <f>VLOOKUP($A672,Data!$C$5:$AG$2561,F$4)</f>
        <v>4.5</v>
      </c>
      <c r="C672">
        <f>VLOOKUP($A672,Data!$C$5:$AG$2561,G$4)</f>
        <v>-7.9</v>
      </c>
    </row>
    <row r="673" spans="1:3" x14ac:dyDescent="0.25">
      <c r="A673">
        <v>2020302</v>
      </c>
      <c r="B673">
        <f>VLOOKUP($A673,Data!$C$5:$AG$2561,F$4)</f>
        <v>8</v>
      </c>
      <c r="C673">
        <f>VLOOKUP($A673,Data!$C$5:$AG$2561,G$4)</f>
        <v>3.6</v>
      </c>
    </row>
    <row r="674" spans="1:3" x14ac:dyDescent="0.25">
      <c r="A674">
        <v>2020303</v>
      </c>
      <c r="B674">
        <f>VLOOKUP($A674,Data!$C$5:$AG$2561,F$4)</f>
        <v>9.9</v>
      </c>
      <c r="C674">
        <f>VLOOKUP($A674,Data!$C$5:$AG$2561,G$4)</f>
        <v>-0.7</v>
      </c>
    </row>
    <row r="675" spans="1:3" x14ac:dyDescent="0.25">
      <c r="A675">
        <v>2020304</v>
      </c>
      <c r="B675">
        <f>VLOOKUP($A675,Data!$C$5:$AG$2561,F$4)</f>
        <v>5.2</v>
      </c>
      <c r="C675">
        <f>VLOOKUP($A675,Data!$C$5:$AG$2561,G$4)</f>
        <v>-3.2</v>
      </c>
    </row>
    <row r="676" spans="1:3" x14ac:dyDescent="0.25">
      <c r="A676">
        <v>2020305</v>
      </c>
      <c r="B676">
        <f>VLOOKUP($A676,Data!$C$5:$AG$2561,F$4)</f>
        <v>6</v>
      </c>
      <c r="C676">
        <f>VLOOKUP($A676,Data!$C$5:$AG$2561,G$4)</f>
        <v>-7.2</v>
      </c>
    </row>
    <row r="677" spans="1:3" x14ac:dyDescent="0.25">
      <c r="A677">
        <v>2020306</v>
      </c>
      <c r="B677">
        <f>VLOOKUP($A677,Data!$C$5:$AG$2561,F$4)</f>
        <v>7.8</v>
      </c>
      <c r="C677">
        <f>VLOOKUP($A677,Data!$C$5:$AG$2561,G$4)</f>
        <v>-4.5999999999999996</v>
      </c>
    </row>
    <row r="678" spans="1:3" x14ac:dyDescent="0.25">
      <c r="A678">
        <v>2020307</v>
      </c>
      <c r="B678">
        <f>VLOOKUP($A678,Data!$C$5:$AG$2561,F$4)</f>
        <v>9.4</v>
      </c>
      <c r="C678">
        <f>VLOOKUP($A678,Data!$C$5:$AG$2561,G$4)</f>
        <v>-2.4</v>
      </c>
    </row>
    <row r="679" spans="1:3" x14ac:dyDescent="0.25">
      <c r="A679">
        <v>2020308</v>
      </c>
      <c r="B679">
        <f>VLOOKUP($A679,Data!$C$5:$AG$2561,F$4)</f>
        <v>3.4</v>
      </c>
      <c r="C679">
        <f>VLOOKUP($A679,Data!$C$5:$AG$2561,G$4)</f>
        <v>-0.1</v>
      </c>
    </row>
    <row r="680" spans="1:3" x14ac:dyDescent="0.25">
      <c r="A680">
        <v>2020309</v>
      </c>
      <c r="B680">
        <f>VLOOKUP($A680,Data!$C$5:$AG$2561,F$4)</f>
        <v>6.3</v>
      </c>
      <c r="C680">
        <f>VLOOKUP($A680,Data!$C$5:$AG$2561,G$4)</f>
        <v>0.4</v>
      </c>
    </row>
    <row r="681" spans="1:3" x14ac:dyDescent="0.25">
      <c r="A681">
        <v>2020310</v>
      </c>
      <c r="B681">
        <f>VLOOKUP($A681,Data!$C$5:$AG$2561,F$4)</f>
        <v>6.1</v>
      </c>
      <c r="C681">
        <f>VLOOKUP($A681,Data!$C$5:$AG$2561,G$4)</f>
        <v>-5.7</v>
      </c>
    </row>
    <row r="682" spans="1:3" x14ac:dyDescent="0.25">
      <c r="A682">
        <v>2020311</v>
      </c>
      <c r="B682">
        <f>VLOOKUP($A682,Data!$C$5:$AG$2561,F$4)</f>
        <v>-0.5</v>
      </c>
      <c r="C682">
        <f>VLOOKUP($A682,Data!$C$5:$AG$2561,G$4)</f>
        <v>-8.1</v>
      </c>
    </row>
    <row r="683" spans="1:3" x14ac:dyDescent="0.25">
      <c r="A683">
        <v>2020312</v>
      </c>
      <c r="B683">
        <f>VLOOKUP($A683,Data!$C$5:$AG$2561,F$4)</f>
        <v>-5.0999999999999996</v>
      </c>
      <c r="C683">
        <f>VLOOKUP($A683,Data!$C$5:$AG$2561,G$4)</f>
        <v>-9.9</v>
      </c>
    </row>
    <row r="684" spans="1:3" x14ac:dyDescent="0.25">
      <c r="A684">
        <v>2020313</v>
      </c>
      <c r="B684">
        <f>VLOOKUP($A684,Data!$C$5:$AG$2561,F$4)</f>
        <v>-6.1</v>
      </c>
      <c r="C684">
        <f>VLOOKUP($A684,Data!$C$5:$AG$2561,G$4)</f>
        <v>-16.7</v>
      </c>
    </row>
    <row r="685" spans="1:3" x14ac:dyDescent="0.25">
      <c r="A685">
        <v>2020314</v>
      </c>
      <c r="B685">
        <f>VLOOKUP($A685,Data!$C$5:$AG$2561,F$4)</f>
        <v>-4.9000000000000004</v>
      </c>
      <c r="C685">
        <f>VLOOKUP($A685,Data!$C$5:$AG$2561,G$4)</f>
        <v>-17.8</v>
      </c>
    </row>
    <row r="686" spans="1:3" x14ac:dyDescent="0.25">
      <c r="A686">
        <v>2020315</v>
      </c>
      <c r="B686">
        <f>VLOOKUP($A686,Data!$C$5:$AG$2561,F$4)</f>
        <v>-4.0999999999999996</v>
      </c>
      <c r="C686">
        <f>VLOOKUP($A686,Data!$C$5:$AG$2561,G$4)</f>
        <v>-7.6</v>
      </c>
    </row>
    <row r="687" spans="1:3" x14ac:dyDescent="0.25">
      <c r="A687">
        <v>2020316</v>
      </c>
      <c r="B687">
        <f>VLOOKUP($A687,Data!$C$5:$AG$2561,F$4)</f>
        <v>-5.3</v>
      </c>
      <c r="C687">
        <f>VLOOKUP($A687,Data!$C$5:$AG$2561,G$4)</f>
        <v>-7.9</v>
      </c>
    </row>
    <row r="688" spans="1:3" x14ac:dyDescent="0.25">
      <c r="A688">
        <v>2020317</v>
      </c>
      <c r="B688">
        <f>VLOOKUP($A688,Data!$C$5:$AG$2561,F$4)</f>
        <v>-4.5999999999999996</v>
      </c>
      <c r="C688">
        <f>VLOOKUP($A688,Data!$C$5:$AG$2561,G$4)</f>
        <v>-7.6</v>
      </c>
    </row>
    <row r="689" spans="1:3" x14ac:dyDescent="0.25">
      <c r="A689">
        <v>2020318</v>
      </c>
      <c r="B689">
        <f>VLOOKUP($A689,Data!$C$5:$AG$2561,F$4)</f>
        <v>-1.8</v>
      </c>
      <c r="C689">
        <f>VLOOKUP($A689,Data!$C$5:$AG$2561,G$4)</f>
        <v>-5.6</v>
      </c>
    </row>
    <row r="690" spans="1:3" x14ac:dyDescent="0.25">
      <c r="A690">
        <v>2020319</v>
      </c>
      <c r="B690">
        <f>VLOOKUP($A690,Data!$C$5:$AG$2561,F$4)</f>
        <v>-0.7</v>
      </c>
      <c r="C690">
        <f>VLOOKUP($A690,Data!$C$5:$AG$2561,G$4)</f>
        <v>-6.2</v>
      </c>
    </row>
    <row r="691" spans="1:3" x14ac:dyDescent="0.25">
      <c r="A691">
        <v>2020320</v>
      </c>
      <c r="B691">
        <f>VLOOKUP($A691,Data!$C$5:$AG$2561,F$4)</f>
        <v>-0.3</v>
      </c>
      <c r="C691">
        <f>VLOOKUP($A691,Data!$C$5:$AG$2561,G$4)</f>
        <v>-8.4</v>
      </c>
    </row>
    <row r="692" spans="1:3" x14ac:dyDescent="0.25">
      <c r="A692">
        <v>2020321</v>
      </c>
      <c r="B692">
        <f>VLOOKUP($A692,Data!$C$5:$AG$2561,F$4)</f>
        <v>-0.9</v>
      </c>
      <c r="C692">
        <f>VLOOKUP($A692,Data!$C$5:$AG$2561,G$4)</f>
        <v>-8.6</v>
      </c>
    </row>
    <row r="693" spans="1:3" x14ac:dyDescent="0.25">
      <c r="A693">
        <v>2020322</v>
      </c>
      <c r="B693">
        <f>VLOOKUP($A693,Data!$C$5:$AG$2561,F$4)</f>
        <v>4.7</v>
      </c>
      <c r="C693">
        <f>VLOOKUP($A693,Data!$C$5:$AG$2561,G$4)</f>
        <v>-1.5</v>
      </c>
    </row>
    <row r="694" spans="1:3" x14ac:dyDescent="0.25">
      <c r="A694">
        <v>2020323</v>
      </c>
      <c r="B694">
        <f>VLOOKUP($A694,Data!$C$5:$AG$2561,F$4)</f>
        <v>0</v>
      </c>
      <c r="C694">
        <f>VLOOKUP($A694,Data!$C$5:$AG$2561,G$4)</f>
        <v>-3.3</v>
      </c>
    </row>
    <row r="695" spans="1:3" x14ac:dyDescent="0.25">
      <c r="A695">
        <v>2020324</v>
      </c>
      <c r="B695">
        <f>VLOOKUP($A695,Data!$C$5:$AG$2561,F$4)</f>
        <v>-1.2</v>
      </c>
      <c r="C695">
        <f>VLOOKUP($A695,Data!$C$5:$AG$2561,G$4)</f>
        <v>-11.6</v>
      </c>
    </row>
    <row r="696" spans="1:3" x14ac:dyDescent="0.25">
      <c r="A696">
        <v>2020325</v>
      </c>
      <c r="B696">
        <f>VLOOKUP($A696,Data!$C$5:$AG$2561,F$4)</f>
        <v>-2.2999999999999998</v>
      </c>
      <c r="C696">
        <f>VLOOKUP($A696,Data!$C$5:$AG$2561,G$4)</f>
        <v>-10.6</v>
      </c>
    </row>
    <row r="697" spans="1:3" x14ac:dyDescent="0.25">
      <c r="A697">
        <v>2020326</v>
      </c>
      <c r="B697">
        <f>VLOOKUP($A697,Data!$C$5:$AG$2561,F$4)</f>
        <v>2.2000000000000002</v>
      </c>
      <c r="C697">
        <f>VLOOKUP($A697,Data!$C$5:$AG$2561,G$4)</f>
        <v>-9</v>
      </c>
    </row>
    <row r="698" spans="1:3" x14ac:dyDescent="0.25">
      <c r="A698">
        <v>2020327</v>
      </c>
      <c r="B698">
        <f>VLOOKUP($A698,Data!$C$5:$AG$2561,F$4)</f>
        <v>-3.5</v>
      </c>
      <c r="C698">
        <f>VLOOKUP($A698,Data!$C$5:$AG$2561,G$4)</f>
        <v>-5.8</v>
      </c>
    </row>
    <row r="699" spans="1:3" x14ac:dyDescent="0.25">
      <c r="A699">
        <v>2020328</v>
      </c>
      <c r="B699">
        <f>VLOOKUP($A699,Data!$C$5:$AG$2561,F$4)</f>
        <v>-2.1</v>
      </c>
      <c r="C699">
        <f>VLOOKUP($A699,Data!$C$5:$AG$2561,G$4)</f>
        <v>-7.1</v>
      </c>
    </row>
    <row r="700" spans="1:3" x14ac:dyDescent="0.25">
      <c r="A700">
        <v>2020329</v>
      </c>
      <c r="B700">
        <f>VLOOKUP($A700,Data!$C$5:$AG$2561,F$4)</f>
        <v>-2.4</v>
      </c>
      <c r="C700">
        <f>VLOOKUP($A700,Data!$C$5:$AG$2561,G$4)</f>
        <v>-5.7</v>
      </c>
    </row>
    <row r="701" spans="1:3" x14ac:dyDescent="0.25">
      <c r="A701">
        <v>2020330</v>
      </c>
      <c r="B701">
        <f>VLOOKUP($A701,Data!$C$5:$AG$2561,F$4)</f>
        <v>-1.3</v>
      </c>
      <c r="C701">
        <f>VLOOKUP($A701,Data!$C$5:$AG$2561,G$4)</f>
        <v>-7.3</v>
      </c>
    </row>
    <row r="702" spans="1:3" x14ac:dyDescent="0.25">
      <c r="A702">
        <v>2020331</v>
      </c>
      <c r="B702">
        <f>VLOOKUP($A702,Data!$C$5:$AG$2561,F$4)</f>
        <v>1.3</v>
      </c>
      <c r="C702">
        <f>VLOOKUP($A702,Data!$C$5:$AG$2561,G$4)</f>
        <v>-7.5</v>
      </c>
    </row>
    <row r="703" spans="1:3" x14ac:dyDescent="0.25">
      <c r="A703">
        <v>2020332</v>
      </c>
      <c r="B703">
        <f>VLOOKUP($A703,Data!$C$5:$AG$2561,F$4)</f>
        <v>-1.6</v>
      </c>
      <c r="C703">
        <f>VLOOKUP($A703,Data!$C$5:$AG$2561,G$4)</f>
        <v>-4.9000000000000004</v>
      </c>
    </row>
    <row r="704" spans="1:3" x14ac:dyDescent="0.25">
      <c r="A704">
        <v>2020333</v>
      </c>
      <c r="B704">
        <f>VLOOKUP($A704,Data!$C$5:$AG$2561,F$4)</f>
        <v>-0.3</v>
      </c>
      <c r="C704">
        <f>VLOOKUP($A704,Data!$C$5:$AG$2561,G$4)</f>
        <v>-11.3</v>
      </c>
    </row>
    <row r="705" spans="1:3" x14ac:dyDescent="0.25">
      <c r="A705">
        <v>2020334</v>
      </c>
      <c r="B705">
        <f>VLOOKUP($A705,Data!$C$5:$AG$2561,F$4)</f>
        <v>-2.2000000000000002</v>
      </c>
      <c r="C705">
        <f>VLOOKUP($A705,Data!$C$5:$AG$2561,G$4)</f>
        <v>-9.1999999999999993</v>
      </c>
    </row>
    <row r="706" spans="1:3" x14ac:dyDescent="0.25">
      <c r="A706">
        <v>2020335</v>
      </c>
      <c r="B706">
        <f>VLOOKUP($A706,Data!$C$5:$AG$2561,F$4)</f>
        <v>-1.2</v>
      </c>
      <c r="C706">
        <f>VLOOKUP($A706,Data!$C$5:$AG$2561,G$4)</f>
        <v>-5.2</v>
      </c>
    </row>
    <row r="707" spans="1:3" x14ac:dyDescent="0.25">
      <c r="A707">
        <v>2020336</v>
      </c>
      <c r="B707">
        <f>VLOOKUP($A707,Data!$C$5:$AG$2561,F$4)</f>
        <v>0.3</v>
      </c>
      <c r="C707">
        <f>VLOOKUP($A707,Data!$C$5:$AG$2561,G$4)</f>
        <v>-13.3</v>
      </c>
    </row>
    <row r="708" spans="1:3" x14ac:dyDescent="0.25">
      <c r="A708">
        <v>2020337</v>
      </c>
      <c r="B708">
        <f>VLOOKUP($A708,Data!$C$5:$AG$2561,F$4)</f>
        <v>4.0999999999999996</v>
      </c>
      <c r="C708">
        <f>VLOOKUP($A708,Data!$C$5:$AG$2561,G$4)</f>
        <v>-12.2</v>
      </c>
    </row>
    <row r="709" spans="1:3" x14ac:dyDescent="0.25">
      <c r="A709">
        <v>2020338</v>
      </c>
      <c r="B709">
        <f>VLOOKUP($A709,Data!$C$5:$AG$2561,F$4)</f>
        <v>1.3</v>
      </c>
      <c r="C709">
        <f>VLOOKUP($A709,Data!$C$5:$AG$2561,G$4)</f>
        <v>-6.4</v>
      </c>
    </row>
    <row r="710" spans="1:3" x14ac:dyDescent="0.25">
      <c r="A710">
        <v>2020339</v>
      </c>
      <c r="B710">
        <f>VLOOKUP($A710,Data!$C$5:$AG$2561,F$4)</f>
        <v>7.2</v>
      </c>
      <c r="C710">
        <f>VLOOKUP($A710,Data!$C$5:$AG$2561,G$4)</f>
        <v>-9.1</v>
      </c>
    </row>
    <row r="711" spans="1:3" x14ac:dyDescent="0.25">
      <c r="A711">
        <v>2020340</v>
      </c>
      <c r="B711">
        <f>VLOOKUP($A711,Data!$C$5:$AG$2561,F$4)</f>
        <v>3.1</v>
      </c>
      <c r="C711">
        <f>VLOOKUP($A711,Data!$C$5:$AG$2561,G$4)</f>
        <v>-9.1999999999999993</v>
      </c>
    </row>
    <row r="712" spans="1:3" x14ac:dyDescent="0.25">
      <c r="A712">
        <v>2020341</v>
      </c>
      <c r="B712">
        <f>VLOOKUP($A712,Data!$C$5:$AG$2561,F$4)</f>
        <v>5.5</v>
      </c>
      <c r="C712">
        <f>VLOOKUP($A712,Data!$C$5:$AG$2561,G$4)</f>
        <v>-10.3</v>
      </c>
    </row>
    <row r="713" spans="1:3" x14ac:dyDescent="0.25">
      <c r="A713">
        <v>2020342</v>
      </c>
      <c r="B713">
        <f>VLOOKUP($A713,Data!$C$5:$AG$2561,F$4)</f>
        <v>-2.1</v>
      </c>
      <c r="C713">
        <f>VLOOKUP($A713,Data!$C$5:$AG$2561,G$4)</f>
        <v>-4.5</v>
      </c>
    </row>
    <row r="714" spans="1:3" x14ac:dyDescent="0.25">
      <c r="A714">
        <v>2020343</v>
      </c>
      <c r="B714">
        <f>VLOOKUP($A714,Data!$C$5:$AG$2561,F$4)</f>
        <v>1.1000000000000001</v>
      </c>
      <c r="C714">
        <f>VLOOKUP($A714,Data!$C$5:$AG$2561,G$4)</f>
        <v>-3.3</v>
      </c>
    </row>
    <row r="715" spans="1:3" x14ac:dyDescent="0.25">
      <c r="A715">
        <v>2020344</v>
      </c>
      <c r="B715">
        <f>VLOOKUP($A715,Data!$C$5:$AG$2561,F$4)</f>
        <v>0.1</v>
      </c>
      <c r="C715">
        <f>VLOOKUP($A715,Data!$C$5:$AG$2561,G$4)</f>
        <v>-5.3</v>
      </c>
    </row>
    <row r="716" spans="1:3" x14ac:dyDescent="0.25">
      <c r="A716">
        <v>2020345</v>
      </c>
      <c r="B716">
        <f>VLOOKUP($A716,Data!$C$5:$AG$2561,F$4)</f>
        <v>-2.7</v>
      </c>
      <c r="C716">
        <f>VLOOKUP($A716,Data!$C$5:$AG$2561,G$4)</f>
        <v>-10.8</v>
      </c>
    </row>
    <row r="717" spans="1:3" x14ac:dyDescent="0.25">
      <c r="A717">
        <v>2020346</v>
      </c>
      <c r="B717">
        <f>VLOOKUP($A717,Data!$C$5:$AG$2561,F$4)</f>
        <v>-3.3</v>
      </c>
      <c r="C717">
        <f>VLOOKUP($A717,Data!$C$5:$AG$2561,G$4)</f>
        <v>-7.1</v>
      </c>
    </row>
    <row r="718" spans="1:3" x14ac:dyDescent="0.25">
      <c r="A718">
        <v>2020347</v>
      </c>
      <c r="B718">
        <f>VLOOKUP($A718,Data!$C$5:$AG$2561,F$4)</f>
        <v>-2.8</v>
      </c>
      <c r="C718">
        <f>VLOOKUP($A718,Data!$C$5:$AG$2561,G$4)</f>
        <v>-8.1</v>
      </c>
    </row>
    <row r="719" spans="1:3" x14ac:dyDescent="0.25">
      <c r="A719">
        <v>2020348</v>
      </c>
      <c r="B719">
        <f>VLOOKUP($A719,Data!$C$5:$AG$2561,F$4)</f>
        <v>-6.7</v>
      </c>
      <c r="C719">
        <f>VLOOKUP($A719,Data!$C$5:$AG$2561,G$4)</f>
        <v>-8.9</v>
      </c>
    </row>
    <row r="720" spans="1:3" x14ac:dyDescent="0.25">
      <c r="A720">
        <v>2020349</v>
      </c>
      <c r="B720">
        <f>VLOOKUP($A720,Data!$C$5:$AG$2561,F$4)</f>
        <v>-1.7</v>
      </c>
      <c r="C720">
        <f>VLOOKUP($A720,Data!$C$5:$AG$2561,G$4)</f>
        <v>-7.4</v>
      </c>
    </row>
    <row r="721" spans="1:3" x14ac:dyDescent="0.25">
      <c r="A721">
        <v>2020350</v>
      </c>
      <c r="B721">
        <f>VLOOKUP($A721,Data!$C$5:$AG$2561,F$4)</f>
        <v>-3.7</v>
      </c>
      <c r="C721">
        <f>VLOOKUP($A721,Data!$C$5:$AG$2561,G$4)</f>
        <v>-7.4</v>
      </c>
    </row>
    <row r="722" spans="1:3" x14ac:dyDescent="0.25">
      <c r="A722">
        <v>2020351</v>
      </c>
      <c r="B722">
        <f>VLOOKUP($A722,Data!$C$5:$AG$2561,F$4)</f>
        <v>-1.9</v>
      </c>
      <c r="C722">
        <f>VLOOKUP($A722,Data!$C$5:$AG$2561,G$4)</f>
        <v>-4.5</v>
      </c>
    </row>
    <row r="723" spans="1:3" x14ac:dyDescent="0.25">
      <c r="A723">
        <v>2020352</v>
      </c>
      <c r="B723">
        <f>VLOOKUP($A723,Data!$C$5:$AG$2561,F$4)</f>
        <v>-1.6</v>
      </c>
      <c r="C723">
        <f>VLOOKUP($A723,Data!$C$5:$AG$2561,G$4)</f>
        <v>-7.5</v>
      </c>
    </row>
    <row r="724" spans="1:3" x14ac:dyDescent="0.25">
      <c r="A724">
        <v>2020353</v>
      </c>
      <c r="B724">
        <f>VLOOKUP($A724,Data!$C$5:$AG$2561,F$4)</f>
        <v>-1.6</v>
      </c>
      <c r="C724">
        <f>VLOOKUP($A724,Data!$C$5:$AG$2561,G$4)</f>
        <v>-4.4000000000000004</v>
      </c>
    </row>
    <row r="725" spans="1:3" x14ac:dyDescent="0.25">
      <c r="A725">
        <v>2020354</v>
      </c>
      <c r="B725">
        <f>VLOOKUP($A725,Data!$C$5:$AG$2561,F$4)</f>
        <v>-1</v>
      </c>
      <c r="C725">
        <f>VLOOKUP($A725,Data!$C$5:$AG$2561,G$4)</f>
        <v>-3.4</v>
      </c>
    </row>
    <row r="726" spans="1:3" x14ac:dyDescent="0.25">
      <c r="A726">
        <v>2020355</v>
      </c>
      <c r="B726">
        <f>VLOOKUP($A726,Data!$C$5:$AG$2561,F$4)</f>
        <v>0.9</v>
      </c>
      <c r="C726">
        <f>VLOOKUP($A726,Data!$C$5:$AG$2561,G$4)</f>
        <v>-3.6</v>
      </c>
    </row>
    <row r="727" spans="1:3" x14ac:dyDescent="0.25">
      <c r="A727">
        <v>2020356</v>
      </c>
      <c r="B727">
        <f>VLOOKUP($A727,Data!$C$5:$AG$2561,F$4)</f>
        <v>-1.9</v>
      </c>
      <c r="C727">
        <f>VLOOKUP($A727,Data!$C$5:$AG$2561,G$4)</f>
        <v>-6.9</v>
      </c>
    </row>
    <row r="728" spans="1:3" x14ac:dyDescent="0.25">
      <c r="A728">
        <v>2020357</v>
      </c>
      <c r="B728">
        <f>VLOOKUP($A728,Data!$C$5:$AG$2561,F$4)</f>
        <v>-6.7</v>
      </c>
      <c r="C728">
        <f>VLOOKUP($A728,Data!$C$5:$AG$2561,G$4)</f>
        <v>-17.399999999999999</v>
      </c>
    </row>
    <row r="729" spans="1:3" x14ac:dyDescent="0.25">
      <c r="A729">
        <v>2020358</v>
      </c>
      <c r="B729">
        <f>VLOOKUP($A729,Data!$C$5:$AG$2561,F$4)</f>
        <v>-5</v>
      </c>
      <c r="C729">
        <f>VLOOKUP($A729,Data!$C$5:$AG$2561,G$4)</f>
        <v>-18.7</v>
      </c>
    </row>
    <row r="730" spans="1:3" x14ac:dyDescent="0.25">
      <c r="A730">
        <v>2020359</v>
      </c>
      <c r="B730">
        <f>VLOOKUP($A730,Data!$C$5:$AG$2561,F$4)</f>
        <v>-6.2</v>
      </c>
      <c r="C730">
        <f>VLOOKUP($A730,Data!$C$5:$AG$2561,G$4)</f>
        <v>-11.6</v>
      </c>
    </row>
    <row r="731" spans="1:3" x14ac:dyDescent="0.25">
      <c r="A731">
        <v>2020360</v>
      </c>
      <c r="B731">
        <f>VLOOKUP($A731,Data!$C$5:$AG$2561,F$4)</f>
        <v>-4</v>
      </c>
      <c r="C731">
        <f>VLOOKUP($A731,Data!$C$5:$AG$2561,G$4)</f>
        <v>-9.1</v>
      </c>
    </row>
    <row r="732" spans="1:3" x14ac:dyDescent="0.25">
      <c r="A732">
        <v>2020361</v>
      </c>
      <c r="B732">
        <f>VLOOKUP($A732,Data!$C$5:$AG$2561,F$4)</f>
        <v>-2.8</v>
      </c>
      <c r="C732">
        <f>VLOOKUP($A732,Data!$C$5:$AG$2561,G$4)</f>
        <v>-7.8</v>
      </c>
    </row>
    <row r="733" spans="1:3" x14ac:dyDescent="0.25">
      <c r="A733">
        <v>2020362</v>
      </c>
      <c r="B733">
        <f>VLOOKUP($A733,Data!$C$5:$AG$2561,F$4)</f>
        <v>-2.8</v>
      </c>
      <c r="C733">
        <f>VLOOKUP($A733,Data!$C$5:$AG$2561,G$4)</f>
        <v>-10.8</v>
      </c>
    </row>
    <row r="734" spans="1:3" x14ac:dyDescent="0.25">
      <c r="A734">
        <v>2020363</v>
      </c>
      <c r="B734">
        <f>VLOOKUP($A734,Data!$C$5:$AG$2561,F$4)</f>
        <v>-3.4</v>
      </c>
      <c r="C734">
        <f>VLOOKUP($A734,Data!$C$5:$AG$2561,G$4)</f>
        <v>-13.6</v>
      </c>
    </row>
    <row r="735" spans="1:3" x14ac:dyDescent="0.25">
      <c r="A735">
        <v>2020364</v>
      </c>
      <c r="B735">
        <f>VLOOKUP($A735,Data!$C$5:$AG$2561,F$4)</f>
        <v>-5.0999999999999996</v>
      </c>
      <c r="C735">
        <f>VLOOKUP($A735,Data!$C$5:$AG$2561,G$4)</f>
        <v>-15.8</v>
      </c>
    </row>
    <row r="736" spans="1:3" x14ac:dyDescent="0.25">
      <c r="A736">
        <v>2020365</v>
      </c>
      <c r="B736">
        <f>VLOOKUP($A736,Data!$C$5:$AG$2561,F$4)</f>
        <v>-6</v>
      </c>
      <c r="C736">
        <f>VLOOKUP($A736,Data!$C$5:$AG$2561,G$4)</f>
        <v>-9</v>
      </c>
    </row>
    <row r="737" spans="1:3" x14ac:dyDescent="0.25">
      <c r="A737">
        <v>2020366</v>
      </c>
      <c r="B737">
        <f>VLOOKUP($A737,Data!$C$5:$AG$2561,F$4)</f>
        <v>0</v>
      </c>
      <c r="C737">
        <f>VLOOKUP($A737,Data!$C$5:$AG$2561,G$4)</f>
        <v>-8</v>
      </c>
    </row>
    <row r="738" spans="1:3" x14ac:dyDescent="0.25">
      <c r="A738">
        <v>2021001</v>
      </c>
      <c r="B738">
        <f>VLOOKUP($A738,Data!$C$5:$AG$2561,F$4)</f>
        <v>-0.1</v>
      </c>
      <c r="C738">
        <f>VLOOKUP($A738,Data!$C$5:$AG$2561,G$4)</f>
        <v>-5.2</v>
      </c>
    </row>
    <row r="739" spans="1:3" x14ac:dyDescent="0.25">
      <c r="A739">
        <v>2021002</v>
      </c>
      <c r="B739">
        <f>VLOOKUP($A739,Data!$C$5:$AG$2561,F$4)</f>
        <v>-0.7</v>
      </c>
      <c r="C739">
        <f>VLOOKUP($A739,Data!$C$5:$AG$2561,G$4)</f>
        <v>-4</v>
      </c>
    </row>
    <row r="740" spans="1:3" x14ac:dyDescent="0.25">
      <c r="A740">
        <v>2021003</v>
      </c>
      <c r="B740">
        <f>VLOOKUP($A740,Data!$C$5:$AG$2561,F$4)</f>
        <v>-1.5</v>
      </c>
      <c r="C740">
        <f>VLOOKUP($A740,Data!$C$5:$AG$2561,G$4)</f>
        <v>-7.5</v>
      </c>
    </row>
    <row r="741" spans="1:3" x14ac:dyDescent="0.25">
      <c r="A741">
        <v>2021004</v>
      </c>
      <c r="B741">
        <f>VLOOKUP($A741,Data!$C$5:$AG$2561,F$4)</f>
        <v>-0.2</v>
      </c>
      <c r="C741">
        <f>VLOOKUP($A741,Data!$C$5:$AG$2561,G$4)</f>
        <v>-7.2</v>
      </c>
    </row>
    <row r="742" spans="1:3" x14ac:dyDescent="0.25">
      <c r="A742">
        <v>2021005</v>
      </c>
      <c r="B742">
        <f>VLOOKUP($A742,Data!$C$5:$AG$2561,F$4)</f>
        <v>-2.8</v>
      </c>
      <c r="C742">
        <f>VLOOKUP($A742,Data!$C$5:$AG$2561,G$4)</f>
        <v>-11.6</v>
      </c>
    </row>
    <row r="743" spans="1:3" x14ac:dyDescent="0.25">
      <c r="A743">
        <v>2021006</v>
      </c>
      <c r="B743">
        <f>VLOOKUP($A743,Data!$C$5:$AG$2561,F$4)</f>
        <v>0.6</v>
      </c>
      <c r="C743">
        <f>VLOOKUP($A743,Data!$C$5:$AG$2561,G$4)</f>
        <v>-7.8</v>
      </c>
    </row>
    <row r="744" spans="1:3" x14ac:dyDescent="0.25">
      <c r="A744">
        <v>2021007</v>
      </c>
      <c r="B744">
        <f>VLOOKUP($A744,Data!$C$5:$AG$2561,F$4)</f>
        <v>-0.8</v>
      </c>
      <c r="C744">
        <f>VLOOKUP($A744,Data!$C$5:$AG$2561,G$4)</f>
        <v>-13.4</v>
      </c>
    </row>
    <row r="745" spans="1:3" x14ac:dyDescent="0.25">
      <c r="A745">
        <v>2021008</v>
      </c>
      <c r="B745">
        <f>VLOOKUP($A745,Data!$C$5:$AG$2561,F$4)</f>
        <v>-2.1</v>
      </c>
      <c r="C745">
        <f>VLOOKUP($A745,Data!$C$5:$AG$2561,G$4)</f>
        <v>-8.4</v>
      </c>
    </row>
    <row r="746" spans="1:3" x14ac:dyDescent="0.25">
      <c r="A746">
        <v>2021009</v>
      </c>
      <c r="B746">
        <f>VLOOKUP($A746,Data!$C$5:$AG$2561,F$4)</f>
        <v>-4.8</v>
      </c>
      <c r="C746">
        <f>VLOOKUP($A746,Data!$C$5:$AG$2561,G$4)</f>
        <v>-14.4</v>
      </c>
    </row>
    <row r="747" spans="1:3" x14ac:dyDescent="0.25">
      <c r="A747">
        <v>2021010</v>
      </c>
      <c r="B747">
        <f>VLOOKUP($A747,Data!$C$5:$AG$2561,F$4)</f>
        <v>-3</v>
      </c>
      <c r="C747">
        <f>VLOOKUP($A747,Data!$C$5:$AG$2561,G$4)</f>
        <v>-5.2</v>
      </c>
    </row>
    <row r="748" spans="1:3" x14ac:dyDescent="0.25">
      <c r="A748">
        <v>2021011</v>
      </c>
      <c r="B748">
        <f>VLOOKUP($A748,Data!$C$5:$AG$2561,F$4)</f>
        <v>-1.4</v>
      </c>
      <c r="C748">
        <f>VLOOKUP($A748,Data!$C$5:$AG$2561,G$4)</f>
        <v>-4.5</v>
      </c>
    </row>
    <row r="749" spans="1:3" x14ac:dyDescent="0.25">
      <c r="A749">
        <v>2021012</v>
      </c>
      <c r="B749">
        <f>VLOOKUP($A749,Data!$C$5:$AG$2561,F$4)</f>
        <v>2.2000000000000002</v>
      </c>
      <c r="C749">
        <f>VLOOKUP($A749,Data!$C$5:$AG$2561,G$4)</f>
        <v>-3.1</v>
      </c>
    </row>
    <row r="750" spans="1:3" x14ac:dyDescent="0.25">
      <c r="A750">
        <v>2021013</v>
      </c>
      <c r="B750">
        <f>VLOOKUP($A750,Data!$C$5:$AG$2561,F$4)</f>
        <v>2.7</v>
      </c>
      <c r="C750">
        <f>VLOOKUP($A750,Data!$C$5:$AG$2561,G$4)</f>
        <v>-9.5</v>
      </c>
    </row>
    <row r="751" spans="1:3" x14ac:dyDescent="0.25">
      <c r="A751">
        <v>2021014</v>
      </c>
      <c r="B751">
        <f>VLOOKUP($A751,Data!$C$5:$AG$2561,F$4)</f>
        <v>-1.5</v>
      </c>
      <c r="C751">
        <f>VLOOKUP($A751,Data!$C$5:$AG$2561,G$4)</f>
        <v>-15.6</v>
      </c>
    </row>
    <row r="752" spans="1:3" x14ac:dyDescent="0.25">
      <c r="A752">
        <v>2021015</v>
      </c>
      <c r="B752">
        <f>VLOOKUP($A752,Data!$C$5:$AG$2561,F$4)</f>
        <v>2.2000000000000002</v>
      </c>
      <c r="C752">
        <f>VLOOKUP($A752,Data!$C$5:$AG$2561,G$4)</f>
        <v>-8.1</v>
      </c>
    </row>
    <row r="753" spans="1:3" x14ac:dyDescent="0.25">
      <c r="A753">
        <v>2021016</v>
      </c>
      <c r="B753">
        <f>VLOOKUP($A753,Data!$C$5:$AG$2561,F$4)</f>
        <v>-1.7</v>
      </c>
      <c r="C753">
        <f>VLOOKUP($A753,Data!$C$5:$AG$2561,G$4)</f>
        <v>-10.6</v>
      </c>
    </row>
    <row r="754" spans="1:3" x14ac:dyDescent="0.25">
      <c r="A754">
        <v>2021017</v>
      </c>
      <c r="B754">
        <f>VLOOKUP($A754,Data!$C$5:$AG$2561,F$4)</f>
        <v>2.2000000000000002</v>
      </c>
      <c r="C754">
        <f>VLOOKUP($A754,Data!$C$5:$AG$2561,G$4)</f>
        <v>-4</v>
      </c>
    </row>
    <row r="755" spans="1:3" x14ac:dyDescent="0.25">
      <c r="A755">
        <v>2021018</v>
      </c>
      <c r="B755">
        <f>VLOOKUP($A755,Data!$C$5:$AG$2561,F$4)</f>
        <v>-0.5</v>
      </c>
      <c r="C755">
        <f>VLOOKUP($A755,Data!$C$5:$AG$2561,G$4)</f>
        <v>-13.5</v>
      </c>
    </row>
    <row r="756" spans="1:3" x14ac:dyDescent="0.25">
      <c r="A756">
        <v>2021019</v>
      </c>
      <c r="B756">
        <f>VLOOKUP($A756,Data!$C$5:$AG$2561,F$4)</f>
        <v>-2.1</v>
      </c>
      <c r="C756">
        <f>VLOOKUP($A756,Data!$C$5:$AG$2561,G$4)</f>
        <v>-13.7</v>
      </c>
    </row>
    <row r="757" spans="1:3" x14ac:dyDescent="0.25">
      <c r="A757">
        <v>2021020</v>
      </c>
      <c r="B757">
        <f>VLOOKUP($A757,Data!$C$5:$AG$2561,F$4)</f>
        <v>-1.2</v>
      </c>
      <c r="C757">
        <f>VLOOKUP($A757,Data!$C$5:$AG$2561,G$4)</f>
        <v>-13.2</v>
      </c>
    </row>
    <row r="758" spans="1:3" x14ac:dyDescent="0.25">
      <c r="A758">
        <v>2021021</v>
      </c>
      <c r="B758">
        <f>VLOOKUP($A758,Data!$C$5:$AG$2561,F$4)</f>
        <v>-4.8</v>
      </c>
      <c r="C758">
        <f>VLOOKUP($A758,Data!$C$5:$AG$2561,G$4)</f>
        <v>-18</v>
      </c>
    </row>
    <row r="759" spans="1:3" x14ac:dyDescent="0.25">
      <c r="A759">
        <v>2021022</v>
      </c>
      <c r="B759">
        <f>VLOOKUP($A759,Data!$C$5:$AG$2561,F$4)</f>
        <v>-5.0999999999999996</v>
      </c>
      <c r="C759">
        <f>VLOOKUP($A759,Data!$C$5:$AG$2561,G$4)</f>
        <v>-19.3</v>
      </c>
    </row>
    <row r="760" spans="1:3" x14ac:dyDescent="0.25">
      <c r="A760">
        <v>2021023</v>
      </c>
      <c r="B760">
        <f>VLOOKUP($A760,Data!$C$5:$AG$2561,F$4)</f>
        <v>0.6</v>
      </c>
      <c r="C760">
        <f>VLOOKUP($A760,Data!$C$5:$AG$2561,G$4)</f>
        <v>-16.8</v>
      </c>
    </row>
    <row r="761" spans="1:3" x14ac:dyDescent="0.25">
      <c r="A761">
        <v>2021024</v>
      </c>
      <c r="B761">
        <f>VLOOKUP($A761,Data!$C$5:$AG$2561,F$4)</f>
        <v>-8.6999999999999993</v>
      </c>
      <c r="C761">
        <f>VLOOKUP($A761,Data!$C$5:$AG$2561,G$4)</f>
        <v>-16.8</v>
      </c>
    </row>
    <row r="762" spans="1:3" x14ac:dyDescent="0.25">
      <c r="A762">
        <v>2021025</v>
      </c>
      <c r="B762">
        <f>VLOOKUP($A762,Data!$C$5:$AG$2561,F$4)</f>
        <v>-6</v>
      </c>
      <c r="C762">
        <f>VLOOKUP($A762,Data!$C$5:$AG$2561,G$4)</f>
        <v>-12.1</v>
      </c>
    </row>
    <row r="763" spans="1:3" x14ac:dyDescent="0.25">
      <c r="A763">
        <v>2021026</v>
      </c>
      <c r="B763">
        <f>VLOOKUP($A763,Data!$C$5:$AG$2561,F$4)</f>
        <v>-6.8</v>
      </c>
      <c r="C763">
        <f>VLOOKUP($A763,Data!$C$5:$AG$2561,G$4)</f>
        <v>-11.1</v>
      </c>
    </row>
    <row r="764" spans="1:3" x14ac:dyDescent="0.25">
      <c r="A764">
        <v>2021027</v>
      </c>
      <c r="B764">
        <f>VLOOKUP($A764,Data!$C$5:$AG$2561,F$4)</f>
        <v>-3.5</v>
      </c>
      <c r="C764">
        <f>VLOOKUP($A764,Data!$C$5:$AG$2561,G$4)</f>
        <v>-8.6999999999999993</v>
      </c>
    </row>
    <row r="765" spans="1:3" x14ac:dyDescent="0.25">
      <c r="A765">
        <v>2021028</v>
      </c>
      <c r="B765">
        <f>VLOOKUP($A765,Data!$C$5:$AG$2561,F$4)</f>
        <v>-1.9</v>
      </c>
      <c r="C765">
        <f>VLOOKUP($A765,Data!$C$5:$AG$2561,G$4)</f>
        <v>-5.9</v>
      </c>
    </row>
    <row r="766" spans="1:3" x14ac:dyDescent="0.25">
      <c r="A766">
        <v>2021029</v>
      </c>
      <c r="B766">
        <f>VLOOKUP($A766,Data!$C$5:$AG$2561,F$4)</f>
        <v>-1.6</v>
      </c>
      <c r="C766">
        <f>VLOOKUP($A766,Data!$C$5:$AG$2561,G$4)</f>
        <v>-12.2</v>
      </c>
    </row>
    <row r="767" spans="1:3" x14ac:dyDescent="0.25">
      <c r="A767">
        <v>2021030</v>
      </c>
      <c r="B767">
        <f>VLOOKUP($A767,Data!$C$5:$AG$2561,F$4)</f>
        <v>-1.4</v>
      </c>
      <c r="C767">
        <f>VLOOKUP($A767,Data!$C$5:$AG$2561,G$4)</f>
        <v>-12.5</v>
      </c>
    </row>
    <row r="768" spans="1:3" x14ac:dyDescent="0.25">
      <c r="A768">
        <v>2021031</v>
      </c>
      <c r="B768">
        <f>VLOOKUP($A768,Data!$C$5:$AG$2561,F$4)</f>
        <v>1</v>
      </c>
      <c r="C768">
        <f>VLOOKUP($A768,Data!$C$5:$AG$2561,G$4)</f>
        <v>-1.7</v>
      </c>
    </row>
    <row r="769" spans="1:3" x14ac:dyDescent="0.25">
      <c r="A769">
        <v>2021032</v>
      </c>
      <c r="B769">
        <f>VLOOKUP($A769,Data!$C$5:$AG$2561,F$4)</f>
        <v>2</v>
      </c>
      <c r="C769">
        <f>VLOOKUP($A769,Data!$C$5:$AG$2561,G$4)</f>
        <v>-0.4</v>
      </c>
    </row>
    <row r="770" spans="1:3" x14ac:dyDescent="0.25">
      <c r="A770">
        <v>2021033</v>
      </c>
      <c r="B770">
        <f>VLOOKUP($A770,Data!$C$5:$AG$2561,F$4)</f>
        <v>1.2</v>
      </c>
      <c r="C770">
        <f>VLOOKUP($A770,Data!$C$5:$AG$2561,G$4)</f>
        <v>-5.8</v>
      </c>
    </row>
    <row r="771" spans="1:3" x14ac:dyDescent="0.25">
      <c r="A771">
        <v>2021034</v>
      </c>
      <c r="B771">
        <f>VLOOKUP($A771,Data!$C$5:$AG$2561,F$4)</f>
        <v>-3.2</v>
      </c>
      <c r="C771">
        <f>VLOOKUP($A771,Data!$C$5:$AG$2561,G$4)</f>
        <v>-13.1</v>
      </c>
    </row>
    <row r="772" spans="1:3" x14ac:dyDescent="0.25">
      <c r="A772">
        <v>2021035</v>
      </c>
      <c r="B772">
        <f>VLOOKUP($A772,Data!$C$5:$AG$2561,F$4)</f>
        <v>-2.8</v>
      </c>
      <c r="C772">
        <f>VLOOKUP($A772,Data!$C$5:$AG$2561,G$4)</f>
        <v>-8</v>
      </c>
    </row>
    <row r="773" spans="1:3" x14ac:dyDescent="0.25">
      <c r="A773">
        <v>2021036</v>
      </c>
      <c r="B773">
        <f>VLOOKUP($A773,Data!$C$5:$AG$2561,F$4)</f>
        <v>-1.3</v>
      </c>
      <c r="C773">
        <f>VLOOKUP($A773,Data!$C$5:$AG$2561,G$4)</f>
        <v>-4.4000000000000004</v>
      </c>
    </row>
    <row r="774" spans="1:3" x14ac:dyDescent="0.25">
      <c r="A774">
        <v>2021037</v>
      </c>
      <c r="B774">
        <f>VLOOKUP($A774,Data!$C$5:$AG$2561,F$4)</f>
        <v>-2.7</v>
      </c>
      <c r="C774">
        <f>VLOOKUP($A774,Data!$C$5:$AG$2561,G$4)</f>
        <v>-9.5</v>
      </c>
    </row>
    <row r="775" spans="1:3" x14ac:dyDescent="0.25">
      <c r="A775">
        <v>2021038</v>
      </c>
      <c r="B775">
        <f>VLOOKUP($A775,Data!$C$5:$AG$2561,F$4)</f>
        <v>-7.3</v>
      </c>
      <c r="C775">
        <f>VLOOKUP($A775,Data!$C$5:$AG$2561,G$4)</f>
        <v>-13</v>
      </c>
    </row>
    <row r="776" spans="1:3" x14ac:dyDescent="0.25">
      <c r="A776">
        <v>2021039</v>
      </c>
      <c r="B776">
        <f>VLOOKUP($A776,Data!$C$5:$AG$2561,F$4)</f>
        <v>-11.2</v>
      </c>
      <c r="C776">
        <f>VLOOKUP($A776,Data!$C$5:$AG$2561,G$4)</f>
        <v>-26.5</v>
      </c>
    </row>
    <row r="777" spans="1:3" x14ac:dyDescent="0.25">
      <c r="A777">
        <v>2021040</v>
      </c>
      <c r="B777">
        <f>VLOOKUP($A777,Data!$C$5:$AG$2561,F$4)</f>
        <v>-8.9</v>
      </c>
      <c r="C777">
        <f>VLOOKUP($A777,Data!$C$5:$AG$2561,G$4)</f>
        <v>-30.6</v>
      </c>
    </row>
    <row r="778" spans="1:3" x14ac:dyDescent="0.25">
      <c r="A778">
        <v>2021041</v>
      </c>
      <c r="B778">
        <f>VLOOKUP($A778,Data!$C$5:$AG$2561,F$4)</f>
        <v>-13.5</v>
      </c>
      <c r="C778">
        <f>VLOOKUP($A778,Data!$C$5:$AG$2561,G$4)</f>
        <v>-27.6</v>
      </c>
    </row>
    <row r="779" spans="1:3" x14ac:dyDescent="0.25">
      <c r="A779">
        <v>2021042</v>
      </c>
      <c r="B779">
        <f>VLOOKUP($A779,Data!$C$5:$AG$2561,F$4)</f>
        <v>-14.5</v>
      </c>
      <c r="C779">
        <f>VLOOKUP($A779,Data!$C$5:$AG$2561,G$4)</f>
        <v>-29.4</v>
      </c>
    </row>
    <row r="780" spans="1:3" x14ac:dyDescent="0.25">
      <c r="A780">
        <v>2021043</v>
      </c>
      <c r="B780">
        <f>VLOOKUP($A780,Data!$C$5:$AG$2561,F$4)</f>
        <v>-12.1</v>
      </c>
      <c r="C780">
        <f>VLOOKUP($A780,Data!$C$5:$AG$2561,G$4)</f>
        <v>-30.6</v>
      </c>
    </row>
    <row r="781" spans="1:3" x14ac:dyDescent="0.25">
      <c r="A781">
        <v>2021044</v>
      </c>
      <c r="B781">
        <f>VLOOKUP($A781,Data!$C$5:$AG$2561,F$4)</f>
        <v>-10.3</v>
      </c>
      <c r="C781">
        <f>VLOOKUP($A781,Data!$C$5:$AG$2561,G$4)</f>
        <v>-16.600000000000001</v>
      </c>
    </row>
    <row r="782" spans="1:3" x14ac:dyDescent="0.25">
      <c r="A782">
        <v>2021045</v>
      </c>
      <c r="B782">
        <f>VLOOKUP($A782,Data!$C$5:$AG$2561,F$4)</f>
        <v>-9.6999999999999993</v>
      </c>
      <c r="C782">
        <f>VLOOKUP($A782,Data!$C$5:$AG$2561,G$4)</f>
        <v>-14.9</v>
      </c>
    </row>
    <row r="783" spans="1:3" x14ac:dyDescent="0.25">
      <c r="A783">
        <v>2021046</v>
      </c>
      <c r="B783">
        <f>VLOOKUP($A783,Data!$C$5:$AG$2561,F$4)</f>
        <v>-5.0999999999999996</v>
      </c>
      <c r="C783">
        <f>VLOOKUP($A783,Data!$C$5:$AG$2561,G$4)</f>
        <v>-13.8</v>
      </c>
    </row>
    <row r="784" spans="1:3" x14ac:dyDescent="0.25">
      <c r="A784">
        <v>2021047</v>
      </c>
      <c r="B784">
        <f>VLOOKUP($A784,Data!$C$5:$AG$2561,F$4)</f>
        <v>-3.3</v>
      </c>
      <c r="C784">
        <f>VLOOKUP($A784,Data!$C$5:$AG$2561,G$4)</f>
        <v>-9.5</v>
      </c>
    </row>
    <row r="785" spans="1:3" x14ac:dyDescent="0.25">
      <c r="A785">
        <v>2021048</v>
      </c>
      <c r="B785">
        <f>VLOOKUP($A785,Data!$C$5:$AG$2561,F$4)</f>
        <v>-6.2</v>
      </c>
      <c r="C785">
        <f>VLOOKUP($A785,Data!$C$5:$AG$2561,G$4)</f>
        <v>-18.7</v>
      </c>
    </row>
    <row r="786" spans="1:3" x14ac:dyDescent="0.25">
      <c r="A786">
        <v>2021049</v>
      </c>
      <c r="B786">
        <f>VLOOKUP($A786,Data!$C$5:$AG$2561,F$4)</f>
        <v>-7.8</v>
      </c>
      <c r="C786">
        <f>VLOOKUP($A786,Data!$C$5:$AG$2561,G$4)</f>
        <v>-19.5</v>
      </c>
    </row>
    <row r="787" spans="1:3" x14ac:dyDescent="0.25">
      <c r="A787">
        <v>2021050</v>
      </c>
      <c r="B787">
        <f>VLOOKUP($A787,Data!$C$5:$AG$2561,F$4)</f>
        <v>-0.6</v>
      </c>
      <c r="C787">
        <f>VLOOKUP($A787,Data!$C$5:$AG$2561,G$4)</f>
        <v>-15.6</v>
      </c>
    </row>
    <row r="788" spans="1:3" x14ac:dyDescent="0.25">
      <c r="A788">
        <v>2021051</v>
      </c>
      <c r="B788">
        <f>VLOOKUP($A788,Data!$C$5:$AG$2561,F$4)</f>
        <v>-2.8</v>
      </c>
      <c r="C788">
        <f>VLOOKUP($A788,Data!$C$5:$AG$2561,G$4)</f>
        <v>-9.4</v>
      </c>
    </row>
    <row r="789" spans="1:3" x14ac:dyDescent="0.25">
      <c r="A789">
        <v>2021052</v>
      </c>
      <c r="B789">
        <f>VLOOKUP($A789,Data!$C$5:$AG$2561,F$4)</f>
        <v>1.8</v>
      </c>
      <c r="C789">
        <f>VLOOKUP($A789,Data!$C$5:$AG$2561,G$4)</f>
        <v>-5.9</v>
      </c>
    </row>
    <row r="790" spans="1:3" x14ac:dyDescent="0.25">
      <c r="A790">
        <v>2021053</v>
      </c>
      <c r="B790">
        <f>VLOOKUP($A790,Data!$C$5:$AG$2561,F$4)</f>
        <v>2.1</v>
      </c>
      <c r="C790">
        <f>VLOOKUP($A790,Data!$C$5:$AG$2561,G$4)</f>
        <v>-4.3</v>
      </c>
    </row>
    <row r="791" spans="1:3" x14ac:dyDescent="0.25">
      <c r="A791">
        <v>2021054</v>
      </c>
      <c r="B791">
        <f>VLOOKUP($A791,Data!$C$5:$AG$2561,F$4)</f>
        <v>-3.5</v>
      </c>
      <c r="C791">
        <f>VLOOKUP($A791,Data!$C$5:$AG$2561,G$4)</f>
        <v>-12.7</v>
      </c>
    </row>
    <row r="792" spans="1:3" x14ac:dyDescent="0.25">
      <c r="A792">
        <v>2021055</v>
      </c>
      <c r="B792">
        <f>VLOOKUP($A792,Data!$C$5:$AG$2561,F$4)</f>
        <v>-0.6</v>
      </c>
      <c r="C792">
        <f>VLOOKUP($A792,Data!$C$5:$AG$2561,G$4)</f>
        <v>-15</v>
      </c>
    </row>
    <row r="793" spans="1:3" x14ac:dyDescent="0.25">
      <c r="A793">
        <v>2021056</v>
      </c>
      <c r="B793">
        <f>VLOOKUP($A793,Data!$C$5:$AG$2561,F$4)</f>
        <v>-2.5</v>
      </c>
      <c r="C793">
        <f>VLOOKUP($A793,Data!$C$5:$AG$2561,G$4)</f>
        <v>-7.3</v>
      </c>
    </row>
    <row r="794" spans="1:3" x14ac:dyDescent="0.25">
      <c r="A794">
        <v>2021057</v>
      </c>
      <c r="B794">
        <f>VLOOKUP($A794,Data!$C$5:$AG$2561,F$4)</f>
        <v>-1.7</v>
      </c>
      <c r="C794">
        <f>VLOOKUP($A794,Data!$C$5:$AG$2561,G$4)</f>
        <v>-8.1999999999999993</v>
      </c>
    </row>
    <row r="795" spans="1:3" x14ac:dyDescent="0.25">
      <c r="A795">
        <v>2021058</v>
      </c>
      <c r="B795">
        <f>VLOOKUP($A795,Data!$C$5:$AG$2561,F$4)</f>
        <v>-2.7</v>
      </c>
      <c r="C795">
        <f>VLOOKUP($A795,Data!$C$5:$AG$2561,G$4)</f>
        <v>-10.6</v>
      </c>
    </row>
    <row r="796" spans="1:3" x14ac:dyDescent="0.25">
      <c r="A796">
        <v>2021059</v>
      </c>
      <c r="B796">
        <f>VLOOKUP($A796,Data!$C$5:$AG$2561,F$4)</f>
        <v>3</v>
      </c>
      <c r="C796">
        <f>VLOOKUP($A796,Data!$C$5:$AG$2561,G$4)</f>
        <v>-6.9</v>
      </c>
    </row>
    <row r="797" spans="1:3" x14ac:dyDescent="0.25">
      <c r="A797">
        <v>2021060</v>
      </c>
      <c r="B797">
        <f>VLOOKUP($A797,Data!$C$5:$AG$2561,F$4)</f>
        <v>6.2</v>
      </c>
      <c r="C797">
        <f>VLOOKUP($A797,Data!$C$5:$AG$2561,G$4)</f>
        <v>-3.5</v>
      </c>
    </row>
    <row r="798" spans="1:3" x14ac:dyDescent="0.25">
      <c r="A798">
        <v>2021061</v>
      </c>
      <c r="B798">
        <f>VLOOKUP($A798,Data!$C$5:$AG$2561,F$4)</f>
        <v>2</v>
      </c>
      <c r="C798">
        <f>VLOOKUP($A798,Data!$C$5:$AG$2561,G$4)</f>
        <v>-7.1</v>
      </c>
    </row>
    <row r="799" spans="1:3" x14ac:dyDescent="0.25">
      <c r="A799">
        <v>2021062</v>
      </c>
      <c r="B799">
        <f>VLOOKUP($A799,Data!$C$5:$AG$2561,F$4)</f>
        <v>7.5</v>
      </c>
      <c r="C799">
        <f>VLOOKUP($A799,Data!$C$5:$AG$2561,G$4)</f>
        <v>-9.4</v>
      </c>
    </row>
    <row r="800" spans="1:3" x14ac:dyDescent="0.25">
      <c r="A800">
        <v>2021063</v>
      </c>
      <c r="B800">
        <f>VLOOKUP($A800,Data!$C$5:$AG$2561,F$4)</f>
        <v>9</v>
      </c>
      <c r="C800">
        <f>VLOOKUP($A800,Data!$C$5:$AG$2561,G$4)</f>
        <v>-7.4</v>
      </c>
    </row>
    <row r="801" spans="1:3" x14ac:dyDescent="0.25">
      <c r="A801">
        <v>2021064</v>
      </c>
      <c r="B801">
        <f>VLOOKUP($A801,Data!$C$5:$AG$2561,F$4)</f>
        <v>8.6</v>
      </c>
      <c r="C801">
        <f>VLOOKUP($A801,Data!$C$5:$AG$2561,G$4)</f>
        <v>-1</v>
      </c>
    </row>
    <row r="802" spans="1:3" x14ac:dyDescent="0.25">
      <c r="A802">
        <v>2021065</v>
      </c>
      <c r="B802">
        <f>VLOOKUP($A802,Data!$C$5:$AG$2561,F$4)</f>
        <v>3.2</v>
      </c>
      <c r="C802">
        <f>VLOOKUP($A802,Data!$C$5:$AG$2561,G$4)</f>
        <v>-6.5</v>
      </c>
    </row>
    <row r="803" spans="1:3" x14ac:dyDescent="0.25">
      <c r="A803">
        <v>2021066</v>
      </c>
      <c r="B803">
        <f>VLOOKUP($A803,Data!$C$5:$AG$2561,F$4)</f>
        <v>-0.5</v>
      </c>
      <c r="C803">
        <f>VLOOKUP($A803,Data!$C$5:$AG$2561,G$4)</f>
        <v>-13.1</v>
      </c>
    </row>
    <row r="804" spans="1:3" x14ac:dyDescent="0.25">
      <c r="A804">
        <v>2021067</v>
      </c>
      <c r="B804">
        <f>VLOOKUP($A804,Data!$C$5:$AG$2561,F$4)</f>
        <v>3.6</v>
      </c>
      <c r="C804">
        <f>VLOOKUP($A804,Data!$C$5:$AG$2561,G$4)</f>
        <v>-16.600000000000001</v>
      </c>
    </row>
    <row r="805" spans="1:3" x14ac:dyDescent="0.25">
      <c r="A805">
        <v>2021068</v>
      </c>
      <c r="B805">
        <f>VLOOKUP($A805,Data!$C$5:$AG$2561,F$4)</f>
        <v>2.5</v>
      </c>
      <c r="C805">
        <f>VLOOKUP($A805,Data!$C$5:$AG$2561,G$4)</f>
        <v>-13.7</v>
      </c>
    </row>
    <row r="806" spans="1:3" x14ac:dyDescent="0.25">
      <c r="A806">
        <v>2021069</v>
      </c>
      <c r="B806">
        <f>VLOOKUP($A806,Data!$C$5:$AG$2561,F$4)</f>
        <v>0.5</v>
      </c>
      <c r="C806">
        <f>VLOOKUP($A806,Data!$C$5:$AG$2561,G$4)</f>
        <v>-13.6</v>
      </c>
    </row>
    <row r="807" spans="1:3" x14ac:dyDescent="0.25">
      <c r="A807">
        <v>2021070</v>
      </c>
      <c r="B807">
        <f>VLOOKUP($A807,Data!$C$5:$AG$2561,F$4)</f>
        <v>3.1</v>
      </c>
      <c r="C807">
        <f>VLOOKUP($A807,Data!$C$5:$AG$2561,G$4)</f>
        <v>-17.5</v>
      </c>
    </row>
    <row r="808" spans="1:3" x14ac:dyDescent="0.25">
      <c r="A808">
        <v>2021071</v>
      </c>
      <c r="B808">
        <f>VLOOKUP($A808,Data!$C$5:$AG$2561,F$4)</f>
        <v>8.1999999999999993</v>
      </c>
      <c r="C808">
        <f>VLOOKUP($A808,Data!$C$5:$AG$2561,G$4)</f>
        <v>-11.8</v>
      </c>
    </row>
    <row r="809" spans="1:3" x14ac:dyDescent="0.25">
      <c r="A809">
        <v>2021072</v>
      </c>
      <c r="B809">
        <f>VLOOKUP($A809,Data!$C$5:$AG$2561,F$4)</f>
        <v>11.5</v>
      </c>
      <c r="C809">
        <f>VLOOKUP($A809,Data!$C$5:$AG$2561,G$4)</f>
        <v>-7.7</v>
      </c>
    </row>
    <row r="810" spans="1:3" x14ac:dyDescent="0.25">
      <c r="A810">
        <v>2021073</v>
      </c>
      <c r="B810">
        <f>VLOOKUP($A810,Data!$C$5:$AG$2561,F$4)</f>
        <v>6</v>
      </c>
      <c r="C810">
        <f>VLOOKUP($A810,Data!$C$5:$AG$2561,G$4)</f>
        <v>-2.2999999999999998</v>
      </c>
    </row>
    <row r="811" spans="1:3" x14ac:dyDescent="0.25">
      <c r="A811">
        <v>2021074</v>
      </c>
      <c r="B811">
        <f>VLOOKUP($A811,Data!$C$5:$AG$2561,F$4)</f>
        <v>1.4</v>
      </c>
      <c r="C811">
        <f>VLOOKUP($A811,Data!$C$5:$AG$2561,G$4)</f>
        <v>-10.8</v>
      </c>
    </row>
    <row r="812" spans="1:3" x14ac:dyDescent="0.25">
      <c r="A812">
        <v>2021075</v>
      </c>
      <c r="B812">
        <f>VLOOKUP($A812,Data!$C$5:$AG$2561,F$4)</f>
        <v>6.6</v>
      </c>
      <c r="C812">
        <f>VLOOKUP($A812,Data!$C$5:$AG$2561,G$4)</f>
        <v>-13.9</v>
      </c>
    </row>
    <row r="813" spans="1:3" x14ac:dyDescent="0.25">
      <c r="A813">
        <v>2021076</v>
      </c>
      <c r="B813">
        <f>VLOOKUP($A813,Data!$C$5:$AG$2561,F$4)</f>
        <v>8.3000000000000007</v>
      </c>
      <c r="C813">
        <f>VLOOKUP($A813,Data!$C$5:$AG$2561,G$4)</f>
        <v>-11.2</v>
      </c>
    </row>
    <row r="814" spans="1:3" x14ac:dyDescent="0.25">
      <c r="A814">
        <v>2021077</v>
      </c>
      <c r="B814">
        <f>VLOOKUP($A814,Data!$C$5:$AG$2561,F$4)</f>
        <v>11.3</v>
      </c>
      <c r="C814">
        <f>VLOOKUP($A814,Data!$C$5:$AG$2561,G$4)</f>
        <v>-3.2</v>
      </c>
    </row>
    <row r="815" spans="1:3" x14ac:dyDescent="0.25">
      <c r="A815">
        <v>2021078</v>
      </c>
      <c r="B815">
        <f>VLOOKUP($A815,Data!$C$5:$AG$2561,F$4)</f>
        <v>4.2</v>
      </c>
      <c r="C815">
        <f>VLOOKUP($A815,Data!$C$5:$AG$2561,G$4)</f>
        <v>-4.2</v>
      </c>
    </row>
    <row r="816" spans="1:3" x14ac:dyDescent="0.25">
      <c r="A816">
        <v>2021079</v>
      </c>
      <c r="B816">
        <f>VLOOKUP($A816,Data!$C$5:$AG$2561,F$4)</f>
        <v>2.7</v>
      </c>
      <c r="C816">
        <f>VLOOKUP($A816,Data!$C$5:$AG$2561,G$4)</f>
        <v>-5.2</v>
      </c>
    </row>
    <row r="817" spans="1:3" x14ac:dyDescent="0.25">
      <c r="A817">
        <v>2021080</v>
      </c>
      <c r="B817">
        <f>VLOOKUP($A817,Data!$C$5:$AG$2561,F$4)</f>
        <v>-2.2000000000000002</v>
      </c>
      <c r="C817">
        <f>VLOOKUP($A817,Data!$C$5:$AG$2561,G$4)</f>
        <v>-4.7</v>
      </c>
    </row>
    <row r="818" spans="1:3" x14ac:dyDescent="0.25">
      <c r="A818">
        <v>2021081</v>
      </c>
      <c r="B818">
        <f>VLOOKUP($A818,Data!$C$5:$AG$2561,F$4)</f>
        <v>0.2</v>
      </c>
      <c r="C818">
        <f>VLOOKUP($A818,Data!$C$5:$AG$2561,G$4)</f>
        <v>-10.5</v>
      </c>
    </row>
    <row r="819" spans="1:3" x14ac:dyDescent="0.25">
      <c r="A819">
        <v>2021082</v>
      </c>
      <c r="B819">
        <f>VLOOKUP($A819,Data!$C$5:$AG$2561,F$4)</f>
        <v>3.6</v>
      </c>
      <c r="C819">
        <f>VLOOKUP($A819,Data!$C$5:$AG$2561,G$4)</f>
        <v>-14.2</v>
      </c>
    </row>
    <row r="820" spans="1:3" x14ac:dyDescent="0.25">
      <c r="A820">
        <v>2021083</v>
      </c>
      <c r="B820">
        <f>VLOOKUP($A820,Data!$C$5:$AG$2561,F$4)</f>
        <v>2.4</v>
      </c>
      <c r="C820">
        <f>VLOOKUP($A820,Data!$C$5:$AG$2561,G$4)</f>
        <v>-4.4000000000000004</v>
      </c>
    </row>
    <row r="821" spans="1:3" x14ac:dyDescent="0.25">
      <c r="A821">
        <v>2021084</v>
      </c>
      <c r="B821">
        <f>VLOOKUP($A821,Data!$C$5:$AG$2561,F$4)</f>
        <v>3.1</v>
      </c>
      <c r="C821">
        <f>VLOOKUP($A821,Data!$C$5:$AG$2561,G$4)</f>
        <v>-5.4</v>
      </c>
    </row>
    <row r="822" spans="1:3" x14ac:dyDescent="0.25">
      <c r="A822">
        <v>2021085</v>
      </c>
      <c r="B822">
        <f>VLOOKUP($A822,Data!$C$5:$AG$2561,F$4)</f>
        <v>3.7</v>
      </c>
      <c r="C822">
        <f>VLOOKUP($A822,Data!$C$5:$AG$2561,G$4)</f>
        <v>-5.3</v>
      </c>
    </row>
    <row r="823" spans="1:3" x14ac:dyDescent="0.25">
      <c r="A823">
        <v>2021086</v>
      </c>
      <c r="B823">
        <f>VLOOKUP($A823,Data!$C$5:$AG$2561,F$4)</f>
        <v>7.1</v>
      </c>
      <c r="C823">
        <f>VLOOKUP($A823,Data!$C$5:$AG$2561,G$4)</f>
        <v>-3.1</v>
      </c>
    </row>
    <row r="824" spans="1:3" x14ac:dyDescent="0.25">
      <c r="A824">
        <v>2021087</v>
      </c>
      <c r="B824">
        <f>VLOOKUP($A824,Data!$C$5:$AG$2561,F$4)</f>
        <v>6</v>
      </c>
      <c r="C824">
        <f>VLOOKUP($A824,Data!$C$5:$AG$2561,G$4)</f>
        <v>-7.9</v>
      </c>
    </row>
    <row r="825" spans="1:3" x14ac:dyDescent="0.25">
      <c r="A825">
        <v>2021088</v>
      </c>
      <c r="B825">
        <f>VLOOKUP($A825,Data!$C$5:$AG$2561,F$4)</f>
        <v>-3.4</v>
      </c>
      <c r="C825">
        <f>VLOOKUP($A825,Data!$C$5:$AG$2561,G$4)</f>
        <v>-11.5</v>
      </c>
    </row>
    <row r="826" spans="1:3" x14ac:dyDescent="0.25">
      <c r="A826">
        <v>2021089</v>
      </c>
      <c r="B826">
        <f>VLOOKUP($A826,Data!$C$5:$AG$2561,F$4)</f>
        <v>1.9</v>
      </c>
      <c r="C826">
        <f>VLOOKUP($A826,Data!$C$5:$AG$2561,G$4)</f>
        <v>-9.8000000000000007</v>
      </c>
    </row>
    <row r="827" spans="1:3" x14ac:dyDescent="0.25">
      <c r="A827">
        <v>2021090</v>
      </c>
      <c r="B827">
        <f>VLOOKUP($A827,Data!$C$5:$AG$2561,F$4)</f>
        <v>9</v>
      </c>
      <c r="C827">
        <f>VLOOKUP($A827,Data!$C$5:$AG$2561,G$4)</f>
        <v>-11.5</v>
      </c>
    </row>
    <row r="828" spans="1:3" x14ac:dyDescent="0.25">
      <c r="A828">
        <v>2021091</v>
      </c>
      <c r="B828">
        <f>VLOOKUP($A828,Data!$C$5:$AG$2561,F$4)</f>
        <v>10</v>
      </c>
      <c r="C828">
        <f>VLOOKUP($A828,Data!$C$5:$AG$2561,G$4)</f>
        <v>-4.0999999999999996</v>
      </c>
    </row>
    <row r="829" spans="1:3" x14ac:dyDescent="0.25">
      <c r="A829">
        <v>2021092</v>
      </c>
      <c r="B829">
        <f>VLOOKUP($A829,Data!$C$5:$AG$2561,F$4)</f>
        <v>9.8000000000000007</v>
      </c>
      <c r="C829">
        <f>VLOOKUP($A829,Data!$C$5:$AG$2561,G$4)</f>
        <v>-8</v>
      </c>
    </row>
    <row r="830" spans="1:3" x14ac:dyDescent="0.25">
      <c r="A830">
        <v>2021093</v>
      </c>
      <c r="B830">
        <f>VLOOKUP($A830,Data!$C$5:$AG$2561,F$4)</f>
        <v>10.1</v>
      </c>
      <c r="C830">
        <f>VLOOKUP($A830,Data!$C$5:$AG$2561,G$4)</f>
        <v>-3.1</v>
      </c>
    </row>
    <row r="831" spans="1:3" x14ac:dyDescent="0.25">
      <c r="A831">
        <v>2021094</v>
      </c>
      <c r="B831">
        <f>VLOOKUP($A831,Data!$C$5:$AG$2561,F$4)</f>
        <v>3.3</v>
      </c>
      <c r="C831">
        <f>VLOOKUP($A831,Data!$C$5:$AG$2561,G$4)</f>
        <v>-8.5</v>
      </c>
    </row>
    <row r="832" spans="1:3" x14ac:dyDescent="0.25">
      <c r="A832">
        <v>2021095</v>
      </c>
      <c r="B832">
        <f>VLOOKUP($A832,Data!$C$5:$AG$2561,F$4)</f>
        <v>6.9</v>
      </c>
      <c r="C832">
        <f>VLOOKUP($A832,Data!$C$5:$AG$2561,G$4)</f>
        <v>-9.6999999999999993</v>
      </c>
    </row>
    <row r="833" spans="1:3" x14ac:dyDescent="0.25">
      <c r="A833">
        <v>2021096</v>
      </c>
      <c r="B833">
        <f>VLOOKUP($A833,Data!$C$5:$AG$2561,F$4)</f>
        <v>9.3000000000000007</v>
      </c>
      <c r="C833">
        <f>VLOOKUP($A833,Data!$C$5:$AG$2561,G$4)</f>
        <v>-8.1</v>
      </c>
    </row>
    <row r="834" spans="1:3" x14ac:dyDescent="0.25">
      <c r="A834">
        <v>2021097</v>
      </c>
      <c r="B834">
        <f>VLOOKUP($A834,Data!$C$5:$AG$2561,F$4)</f>
        <v>4.3</v>
      </c>
      <c r="C834">
        <f>VLOOKUP($A834,Data!$C$5:$AG$2561,G$4)</f>
        <v>-3</v>
      </c>
    </row>
    <row r="835" spans="1:3" x14ac:dyDescent="0.25">
      <c r="A835">
        <v>2021098</v>
      </c>
      <c r="B835">
        <f>VLOOKUP($A835,Data!$C$5:$AG$2561,F$4)</f>
        <v>2</v>
      </c>
      <c r="C835">
        <f>VLOOKUP($A835,Data!$C$5:$AG$2561,G$4)</f>
        <v>-8</v>
      </c>
    </row>
    <row r="836" spans="1:3" x14ac:dyDescent="0.25">
      <c r="A836">
        <v>2021099</v>
      </c>
      <c r="B836">
        <f>VLOOKUP($A836,Data!$C$5:$AG$2561,F$4)</f>
        <v>2.2999999999999998</v>
      </c>
      <c r="C836">
        <f>VLOOKUP($A836,Data!$C$5:$AG$2561,G$4)</f>
        <v>-8.1999999999999993</v>
      </c>
    </row>
    <row r="837" spans="1:3" x14ac:dyDescent="0.25">
      <c r="A837">
        <v>2021100</v>
      </c>
      <c r="B837">
        <f>VLOOKUP($A837,Data!$C$5:$AG$2561,F$4)</f>
        <v>-1.6</v>
      </c>
      <c r="C837">
        <f>VLOOKUP($A837,Data!$C$5:$AG$2561,G$4)</f>
        <v>-16.7</v>
      </c>
    </row>
    <row r="838" spans="1:3" x14ac:dyDescent="0.25">
      <c r="A838">
        <v>2021101</v>
      </c>
      <c r="B838">
        <f>VLOOKUP($A838,Data!$C$5:$AG$2561,F$4)</f>
        <v>3</v>
      </c>
      <c r="C838">
        <f>VLOOKUP($A838,Data!$C$5:$AG$2561,G$4)</f>
        <v>-17.2</v>
      </c>
    </row>
    <row r="839" spans="1:3" x14ac:dyDescent="0.25">
      <c r="A839">
        <v>2021102</v>
      </c>
      <c r="B839">
        <f>VLOOKUP($A839,Data!$C$5:$AG$2561,F$4)</f>
        <v>4.9000000000000004</v>
      </c>
      <c r="C839">
        <f>VLOOKUP($A839,Data!$C$5:$AG$2561,G$4)</f>
        <v>-12.1</v>
      </c>
    </row>
    <row r="840" spans="1:3" x14ac:dyDescent="0.25">
      <c r="A840">
        <v>2021103</v>
      </c>
      <c r="B840">
        <f>VLOOKUP($A840,Data!$C$5:$AG$2561,F$4)</f>
        <v>6.9</v>
      </c>
      <c r="C840">
        <f>VLOOKUP($A840,Data!$C$5:$AG$2561,G$4)</f>
        <v>-11.6</v>
      </c>
    </row>
    <row r="841" spans="1:3" x14ac:dyDescent="0.25">
      <c r="A841">
        <v>2021104</v>
      </c>
      <c r="B841">
        <f>VLOOKUP($A841,Data!$C$5:$AG$2561,F$4)</f>
        <v>11.6</v>
      </c>
      <c r="C841">
        <f>VLOOKUP($A841,Data!$C$5:$AG$2561,G$4)</f>
        <v>-4.5</v>
      </c>
    </row>
    <row r="842" spans="1:3" x14ac:dyDescent="0.25">
      <c r="A842">
        <v>2021105</v>
      </c>
      <c r="B842">
        <f>VLOOKUP($A842,Data!$C$5:$AG$2561,F$4)</f>
        <v>14.4</v>
      </c>
      <c r="C842">
        <f>VLOOKUP($A842,Data!$C$5:$AG$2561,G$4)</f>
        <v>-4.7</v>
      </c>
    </row>
    <row r="843" spans="1:3" x14ac:dyDescent="0.25">
      <c r="A843">
        <v>2021106</v>
      </c>
      <c r="B843">
        <f>VLOOKUP($A843,Data!$C$5:$AG$2561,F$4)</f>
        <v>16.600000000000001</v>
      </c>
      <c r="C843">
        <f>VLOOKUP($A843,Data!$C$5:$AG$2561,G$4)</f>
        <v>-3.9</v>
      </c>
    </row>
    <row r="844" spans="1:3" x14ac:dyDescent="0.25">
      <c r="A844">
        <v>2021107</v>
      </c>
      <c r="B844">
        <f>VLOOKUP($A844,Data!$C$5:$AG$2561,F$4)</f>
        <v>18.100000000000001</v>
      </c>
      <c r="C844">
        <f>VLOOKUP($A844,Data!$C$5:$AG$2561,G$4)</f>
        <v>-3.1</v>
      </c>
    </row>
    <row r="845" spans="1:3" x14ac:dyDescent="0.25">
      <c r="A845">
        <v>2021108</v>
      </c>
      <c r="B845">
        <f>VLOOKUP($A845,Data!$C$5:$AG$2561,F$4)</f>
        <v>16.100000000000001</v>
      </c>
      <c r="C845">
        <f>VLOOKUP($A845,Data!$C$5:$AG$2561,G$4)</f>
        <v>-2.9</v>
      </c>
    </row>
    <row r="846" spans="1:3" x14ac:dyDescent="0.25">
      <c r="A846">
        <v>2021109</v>
      </c>
      <c r="B846">
        <f>VLOOKUP($A846,Data!$C$5:$AG$2561,F$4)</f>
        <v>9.9</v>
      </c>
      <c r="C846">
        <f>VLOOKUP($A846,Data!$C$5:$AG$2561,G$4)</f>
        <v>-6.2</v>
      </c>
    </row>
    <row r="847" spans="1:3" x14ac:dyDescent="0.25">
      <c r="A847">
        <v>2021110</v>
      </c>
      <c r="B847">
        <f>VLOOKUP($A847,Data!$C$5:$AG$2561,F$4)</f>
        <v>12.2</v>
      </c>
      <c r="C847">
        <f>VLOOKUP($A847,Data!$C$5:$AG$2561,G$4)</f>
        <v>-6.5</v>
      </c>
    </row>
    <row r="848" spans="1:3" x14ac:dyDescent="0.25">
      <c r="A848">
        <v>2021111</v>
      </c>
      <c r="B848">
        <f>VLOOKUP($A848,Data!$C$5:$AG$2561,F$4)</f>
        <v>14.3</v>
      </c>
      <c r="C848">
        <f>VLOOKUP($A848,Data!$C$5:$AG$2561,G$4)</f>
        <v>-5.2</v>
      </c>
    </row>
    <row r="849" spans="1:3" x14ac:dyDescent="0.25">
      <c r="A849">
        <v>2021112</v>
      </c>
      <c r="B849">
        <f>VLOOKUP($A849,Data!$C$5:$AG$2561,F$4)</f>
        <v>7.2</v>
      </c>
      <c r="C849">
        <f>VLOOKUP($A849,Data!$C$5:$AG$2561,G$4)</f>
        <v>-4.7</v>
      </c>
    </row>
    <row r="850" spans="1:3" x14ac:dyDescent="0.25">
      <c r="A850">
        <v>2021113</v>
      </c>
      <c r="B850">
        <f>VLOOKUP($A850,Data!$C$5:$AG$2561,F$4)</f>
        <v>7.4</v>
      </c>
      <c r="C850">
        <f>VLOOKUP($A850,Data!$C$5:$AG$2561,G$4)</f>
        <v>-8.6</v>
      </c>
    </row>
    <row r="851" spans="1:3" x14ac:dyDescent="0.25">
      <c r="A851">
        <v>2021114</v>
      </c>
      <c r="B851">
        <f>VLOOKUP($A851,Data!$C$5:$AG$2561,F$4)</f>
        <v>5.0999999999999996</v>
      </c>
      <c r="C851">
        <f>VLOOKUP($A851,Data!$C$5:$AG$2561,G$4)</f>
        <v>0</v>
      </c>
    </row>
    <row r="852" spans="1:3" x14ac:dyDescent="0.25">
      <c r="A852">
        <v>2021115</v>
      </c>
      <c r="B852">
        <f>VLOOKUP($A852,Data!$C$5:$AG$2561,F$4)</f>
        <v>5.0999999999999996</v>
      </c>
      <c r="C852">
        <f>VLOOKUP($A852,Data!$C$5:$AG$2561,G$4)</f>
        <v>-0.8</v>
      </c>
    </row>
    <row r="853" spans="1:3" x14ac:dyDescent="0.25">
      <c r="A853">
        <v>2021116</v>
      </c>
      <c r="B853">
        <f>VLOOKUP($A853,Data!$C$5:$AG$2561,F$4)</f>
        <v>8.8000000000000007</v>
      </c>
      <c r="C853">
        <f>VLOOKUP($A853,Data!$C$5:$AG$2561,G$4)</f>
        <v>-4.4000000000000004</v>
      </c>
    </row>
    <row r="854" spans="1:3" x14ac:dyDescent="0.25">
      <c r="A854">
        <v>2021117</v>
      </c>
      <c r="B854">
        <f>VLOOKUP($A854,Data!$C$5:$AG$2561,F$4)</f>
        <v>6.8</v>
      </c>
      <c r="C854">
        <f>VLOOKUP($A854,Data!$C$5:$AG$2561,G$4)</f>
        <v>-4.2</v>
      </c>
    </row>
    <row r="855" spans="1:3" x14ac:dyDescent="0.25">
      <c r="A855">
        <v>2021118</v>
      </c>
      <c r="B855">
        <f>VLOOKUP($A855,Data!$C$5:$AG$2561,F$4)</f>
        <v>11.4</v>
      </c>
      <c r="C855">
        <f>VLOOKUP($A855,Data!$C$5:$AG$2561,G$4)</f>
        <v>-0.8</v>
      </c>
    </row>
    <row r="856" spans="1:3" x14ac:dyDescent="0.25">
      <c r="A856">
        <v>2021119</v>
      </c>
      <c r="B856">
        <f>VLOOKUP($A856,Data!$C$5:$AG$2561,F$4)</f>
        <v>15.9</v>
      </c>
      <c r="C856">
        <f>VLOOKUP($A856,Data!$C$5:$AG$2561,G$4)</f>
        <v>1.2</v>
      </c>
    </row>
    <row r="857" spans="1:3" x14ac:dyDescent="0.25">
      <c r="A857">
        <v>2021120</v>
      </c>
      <c r="B857">
        <f>VLOOKUP($A857,Data!$C$5:$AG$2561,F$4)</f>
        <v>13</v>
      </c>
      <c r="C857">
        <f>VLOOKUP($A857,Data!$C$5:$AG$2561,G$4)</f>
        <v>-0.9</v>
      </c>
    </row>
    <row r="858" spans="1:3" x14ac:dyDescent="0.25">
      <c r="A858">
        <v>2021121</v>
      </c>
      <c r="B858">
        <f>VLOOKUP($A858,Data!$C$5:$AG$2561,F$4)</f>
        <v>6.8</v>
      </c>
      <c r="C858">
        <f>VLOOKUP($A858,Data!$C$5:$AG$2561,G$4)</f>
        <v>-2.5</v>
      </c>
    </row>
    <row r="859" spans="1:3" x14ac:dyDescent="0.25">
      <c r="A859">
        <v>2021122</v>
      </c>
      <c r="B859">
        <f>VLOOKUP($A859,Data!$C$5:$AG$2561,F$4)</f>
        <v>10.3</v>
      </c>
      <c r="C859">
        <f>VLOOKUP($A859,Data!$C$5:$AG$2561,G$4)</f>
        <v>-5.4</v>
      </c>
    </row>
    <row r="860" spans="1:3" x14ac:dyDescent="0.25">
      <c r="A860">
        <v>2021123</v>
      </c>
      <c r="B860">
        <f>VLOOKUP($A860,Data!$C$5:$AG$2561,F$4)</f>
        <v>7.3</v>
      </c>
      <c r="C860">
        <f>VLOOKUP($A860,Data!$C$5:$AG$2561,G$4)</f>
        <v>-4.0999999999999996</v>
      </c>
    </row>
    <row r="861" spans="1:3" x14ac:dyDescent="0.25">
      <c r="A861">
        <v>2021124</v>
      </c>
      <c r="B861">
        <f>VLOOKUP($A861,Data!$C$5:$AG$2561,F$4)</f>
        <v>9.6999999999999993</v>
      </c>
      <c r="C861">
        <f>VLOOKUP($A861,Data!$C$5:$AG$2561,G$4)</f>
        <v>-2.4</v>
      </c>
    </row>
    <row r="862" spans="1:3" x14ac:dyDescent="0.25">
      <c r="A862">
        <v>2021125</v>
      </c>
      <c r="B862">
        <f>VLOOKUP($A862,Data!$C$5:$AG$2561,F$4)</f>
        <v>13.6</v>
      </c>
      <c r="C862">
        <f>VLOOKUP($A862,Data!$C$5:$AG$2561,G$4)</f>
        <v>-4.0999999999999996</v>
      </c>
    </row>
    <row r="863" spans="1:3" x14ac:dyDescent="0.25">
      <c r="A863">
        <v>2021126</v>
      </c>
      <c r="B863">
        <f>VLOOKUP($A863,Data!$C$5:$AG$2561,F$4)</f>
        <v>18.3</v>
      </c>
      <c r="C863">
        <f>VLOOKUP($A863,Data!$C$5:$AG$2561,G$4)</f>
        <v>3.5</v>
      </c>
    </row>
    <row r="864" spans="1:3" x14ac:dyDescent="0.25">
      <c r="A864">
        <v>2021127</v>
      </c>
      <c r="B864">
        <f>VLOOKUP($A864,Data!$C$5:$AG$2561,F$4)</f>
        <v>6.3</v>
      </c>
      <c r="C864">
        <f>VLOOKUP($A864,Data!$C$5:$AG$2561,G$4)</f>
        <v>-1.6</v>
      </c>
    </row>
    <row r="865" spans="1:3" x14ac:dyDescent="0.25">
      <c r="A865">
        <v>2021128</v>
      </c>
      <c r="B865">
        <f>VLOOKUP($A865,Data!$C$5:$AG$2561,F$4)</f>
        <v>6.7</v>
      </c>
      <c r="C865">
        <f>VLOOKUP($A865,Data!$C$5:$AG$2561,G$4)</f>
        <v>-3.8</v>
      </c>
    </row>
    <row r="866" spans="1:3" x14ac:dyDescent="0.25">
      <c r="A866">
        <v>2021129</v>
      </c>
      <c r="B866">
        <f>VLOOKUP($A866,Data!$C$5:$AG$2561,F$4)</f>
        <v>9.8000000000000007</v>
      </c>
      <c r="C866">
        <f>VLOOKUP($A866,Data!$C$5:$AG$2561,G$4)</f>
        <v>-5.9</v>
      </c>
    </row>
    <row r="867" spans="1:3" x14ac:dyDescent="0.25">
      <c r="A867">
        <v>2021130</v>
      </c>
      <c r="B867">
        <f>VLOOKUP($A867,Data!$C$5:$AG$2561,F$4)</f>
        <v>12</v>
      </c>
      <c r="C867">
        <f>VLOOKUP($A867,Data!$C$5:$AG$2561,G$4)</f>
        <v>-4.2</v>
      </c>
    </row>
    <row r="868" spans="1:3" x14ac:dyDescent="0.25">
      <c r="A868">
        <v>2021131</v>
      </c>
      <c r="B868">
        <f>VLOOKUP($A868,Data!$C$5:$AG$2561,F$4)</f>
        <v>12.5</v>
      </c>
      <c r="C868">
        <f>VLOOKUP($A868,Data!$C$5:$AG$2561,G$4)</f>
        <v>-3.4</v>
      </c>
    </row>
    <row r="869" spans="1:3" x14ac:dyDescent="0.25">
      <c r="A869">
        <v>2021132</v>
      </c>
      <c r="B869">
        <f>VLOOKUP($A869,Data!$C$5:$AG$2561,F$4)</f>
        <v>9.6</v>
      </c>
      <c r="C869">
        <f>VLOOKUP($A869,Data!$C$5:$AG$2561,G$4)</f>
        <v>-2.1</v>
      </c>
    </row>
    <row r="870" spans="1:3" x14ac:dyDescent="0.25">
      <c r="A870">
        <v>2021133</v>
      </c>
      <c r="B870">
        <f>VLOOKUP($A870,Data!$C$5:$AG$2561,F$4)</f>
        <v>13.8</v>
      </c>
      <c r="C870">
        <f>VLOOKUP($A870,Data!$C$5:$AG$2561,G$4)</f>
        <v>-1.3</v>
      </c>
    </row>
    <row r="871" spans="1:3" x14ac:dyDescent="0.25">
      <c r="A871">
        <v>2021134</v>
      </c>
      <c r="B871">
        <f>VLOOKUP($A871,Data!$C$5:$AG$2561,F$4)</f>
        <v>16.600000000000001</v>
      </c>
      <c r="C871">
        <f>VLOOKUP($A871,Data!$C$5:$AG$2561,G$4)</f>
        <v>-1.9</v>
      </c>
    </row>
    <row r="872" spans="1:3" x14ac:dyDescent="0.25">
      <c r="A872">
        <v>2021135</v>
      </c>
      <c r="B872">
        <f>VLOOKUP($A872,Data!$C$5:$AG$2561,F$4)</f>
        <v>19.399999999999999</v>
      </c>
      <c r="C872">
        <f>VLOOKUP($A872,Data!$C$5:$AG$2561,G$4)</f>
        <v>-1</v>
      </c>
    </row>
    <row r="873" spans="1:3" x14ac:dyDescent="0.25">
      <c r="A873">
        <v>2021136</v>
      </c>
      <c r="B873">
        <f>VLOOKUP($A873,Data!$C$5:$AG$2561,F$4)</f>
        <v>21.4</v>
      </c>
      <c r="C873">
        <f>VLOOKUP($A873,Data!$C$5:$AG$2561,G$4)</f>
        <v>0.3</v>
      </c>
    </row>
    <row r="874" spans="1:3" x14ac:dyDescent="0.25">
      <c r="A874">
        <v>2021137</v>
      </c>
      <c r="B874">
        <f>VLOOKUP($A874,Data!$C$5:$AG$2561,F$4)</f>
        <v>14.2</v>
      </c>
      <c r="C874">
        <f>VLOOKUP($A874,Data!$C$5:$AG$2561,G$4)</f>
        <v>1.1000000000000001</v>
      </c>
    </row>
    <row r="875" spans="1:3" x14ac:dyDescent="0.25">
      <c r="A875">
        <v>2021138</v>
      </c>
      <c r="B875">
        <f>VLOOKUP($A875,Data!$C$5:$AG$2561,F$4)</f>
        <v>4.7</v>
      </c>
      <c r="C875">
        <f>VLOOKUP($A875,Data!$C$5:$AG$2561,G$4)</f>
        <v>-3.1</v>
      </c>
    </row>
    <row r="876" spans="1:3" x14ac:dyDescent="0.25">
      <c r="A876">
        <v>2021139</v>
      </c>
      <c r="B876">
        <f>VLOOKUP($A876,Data!$C$5:$AG$2561,F$4)</f>
        <v>6.9</v>
      </c>
      <c r="C876">
        <f>VLOOKUP($A876,Data!$C$5:$AG$2561,G$4)</f>
        <v>-7.1</v>
      </c>
    </row>
    <row r="877" spans="1:3" x14ac:dyDescent="0.25">
      <c r="A877">
        <v>2021140</v>
      </c>
      <c r="B877">
        <f>VLOOKUP($A877,Data!$C$5:$AG$2561,F$4)</f>
        <v>7.2</v>
      </c>
      <c r="C877">
        <f>VLOOKUP($A877,Data!$C$5:$AG$2561,G$4)</f>
        <v>-1</v>
      </c>
    </row>
    <row r="878" spans="1:3" x14ac:dyDescent="0.25">
      <c r="A878">
        <v>2021141</v>
      </c>
      <c r="B878">
        <f>VLOOKUP($A878,Data!$C$5:$AG$2561,F$4)</f>
        <v>12.4</v>
      </c>
      <c r="C878">
        <f>VLOOKUP($A878,Data!$C$5:$AG$2561,G$4)</f>
        <v>-2.6</v>
      </c>
    </row>
    <row r="879" spans="1:3" x14ac:dyDescent="0.25">
      <c r="A879">
        <v>2021142</v>
      </c>
      <c r="B879">
        <f>VLOOKUP($A879,Data!$C$5:$AG$2561,F$4)</f>
        <v>17.3</v>
      </c>
      <c r="C879">
        <f>VLOOKUP($A879,Data!$C$5:$AG$2561,G$4)</f>
        <v>-3</v>
      </c>
    </row>
    <row r="880" spans="1:3" x14ac:dyDescent="0.25">
      <c r="A880">
        <v>2021143</v>
      </c>
      <c r="B880">
        <f>VLOOKUP($A880,Data!$C$5:$AG$2561,F$4)</f>
        <v>16.7</v>
      </c>
      <c r="C880">
        <f>VLOOKUP($A880,Data!$C$5:$AG$2561,G$4)</f>
        <v>-1.8</v>
      </c>
    </row>
    <row r="881" spans="1:3" x14ac:dyDescent="0.25">
      <c r="A881">
        <v>2021144</v>
      </c>
      <c r="B881">
        <f>VLOOKUP($A881,Data!$C$5:$AG$2561,F$4)</f>
        <v>11.9</v>
      </c>
      <c r="C881">
        <f>VLOOKUP($A881,Data!$C$5:$AG$2561,G$4)</f>
        <v>1.9</v>
      </c>
    </row>
    <row r="882" spans="1:3" x14ac:dyDescent="0.25">
      <c r="A882">
        <v>2021145</v>
      </c>
      <c r="B882">
        <f>VLOOKUP($A882,Data!$C$5:$AG$2561,F$4)</f>
        <v>13.8</v>
      </c>
      <c r="C882">
        <f>VLOOKUP($A882,Data!$C$5:$AG$2561,G$4)</f>
        <v>-0.5</v>
      </c>
    </row>
    <row r="883" spans="1:3" x14ac:dyDescent="0.25">
      <c r="A883">
        <v>2021146</v>
      </c>
      <c r="B883">
        <f>VLOOKUP($A883,Data!$C$5:$AG$2561,F$4)</f>
        <v>16.2</v>
      </c>
      <c r="C883">
        <f>VLOOKUP($A883,Data!$C$5:$AG$2561,G$4)</f>
        <v>0</v>
      </c>
    </row>
    <row r="884" spans="1:3" x14ac:dyDescent="0.25">
      <c r="A884">
        <v>2021147</v>
      </c>
      <c r="B884">
        <f>VLOOKUP($A884,Data!$C$5:$AG$2561,F$4)</f>
        <v>12</v>
      </c>
      <c r="C884">
        <f>VLOOKUP($A884,Data!$C$5:$AG$2561,G$4)</f>
        <v>1.9</v>
      </c>
    </row>
    <row r="885" spans="1:3" x14ac:dyDescent="0.25">
      <c r="A885">
        <v>2021148</v>
      </c>
      <c r="B885">
        <f>VLOOKUP($A885,Data!$C$5:$AG$2561,F$4)</f>
        <v>10.199999999999999</v>
      </c>
      <c r="C885">
        <f>VLOOKUP($A885,Data!$C$5:$AG$2561,G$4)</f>
        <v>-2.4</v>
      </c>
    </row>
    <row r="886" spans="1:3" x14ac:dyDescent="0.25">
      <c r="A886">
        <v>2021149</v>
      </c>
      <c r="B886">
        <f>VLOOKUP($A886,Data!$C$5:$AG$2561,F$4)</f>
        <v>16.600000000000001</v>
      </c>
      <c r="C886">
        <f>VLOOKUP($A886,Data!$C$5:$AG$2561,G$4)</f>
        <v>-3.5</v>
      </c>
    </row>
    <row r="887" spans="1:3" x14ac:dyDescent="0.25">
      <c r="A887">
        <v>2021150</v>
      </c>
      <c r="B887">
        <f>VLOOKUP($A887,Data!$C$5:$AG$2561,F$4)</f>
        <v>18.8</v>
      </c>
      <c r="C887">
        <f>VLOOKUP($A887,Data!$C$5:$AG$2561,G$4)</f>
        <v>-1.6</v>
      </c>
    </row>
    <row r="888" spans="1:3" x14ac:dyDescent="0.25">
      <c r="A888">
        <v>2021151</v>
      </c>
      <c r="B888">
        <f>VLOOKUP($A888,Data!$C$5:$AG$2561,F$4)</f>
        <v>22.2</v>
      </c>
      <c r="C888">
        <f>VLOOKUP($A888,Data!$C$5:$AG$2561,G$4)</f>
        <v>1.3</v>
      </c>
    </row>
    <row r="889" spans="1:3" x14ac:dyDescent="0.25">
      <c r="A889">
        <v>2021152</v>
      </c>
      <c r="B889">
        <f>VLOOKUP($A889,Data!$C$5:$AG$2561,F$4)</f>
        <v>25.3</v>
      </c>
      <c r="C889">
        <f>VLOOKUP($A889,Data!$C$5:$AG$2561,G$4)</f>
        <v>4.9000000000000004</v>
      </c>
    </row>
    <row r="890" spans="1:3" x14ac:dyDescent="0.25">
      <c r="A890">
        <v>2021153</v>
      </c>
      <c r="B890">
        <f>VLOOKUP($A890,Data!$C$5:$AG$2561,F$4)</f>
        <v>28.2</v>
      </c>
      <c r="C890">
        <f>VLOOKUP($A890,Data!$C$5:$AG$2561,G$4)</f>
        <v>5.7</v>
      </c>
    </row>
    <row r="891" spans="1:3" x14ac:dyDescent="0.25">
      <c r="A891">
        <v>2021154</v>
      </c>
      <c r="B891">
        <f>VLOOKUP($A891,Data!$C$5:$AG$2561,F$4)</f>
        <v>23.1</v>
      </c>
      <c r="C891">
        <f>VLOOKUP($A891,Data!$C$5:$AG$2561,G$4)</f>
        <v>5.7</v>
      </c>
    </row>
    <row r="892" spans="1:3" x14ac:dyDescent="0.25">
      <c r="A892">
        <v>2021155</v>
      </c>
      <c r="B892">
        <f>VLOOKUP($A892,Data!$C$5:$AG$2561,F$4)</f>
        <v>18.899999999999999</v>
      </c>
      <c r="C892">
        <f>VLOOKUP($A892,Data!$C$5:$AG$2561,G$4)</f>
        <v>5</v>
      </c>
    </row>
    <row r="893" spans="1:3" x14ac:dyDescent="0.25">
      <c r="A893">
        <v>2021156</v>
      </c>
      <c r="B893">
        <f>VLOOKUP($A893,Data!$C$5:$AG$2561,F$4)</f>
        <v>8.8000000000000007</v>
      </c>
      <c r="C893">
        <f>VLOOKUP($A893,Data!$C$5:$AG$2561,G$4)</f>
        <v>0.8</v>
      </c>
    </row>
    <row r="894" spans="1:3" x14ac:dyDescent="0.25">
      <c r="A894">
        <v>2021157</v>
      </c>
      <c r="B894">
        <f>VLOOKUP($A894,Data!$C$5:$AG$2561,F$4)</f>
        <v>6.2</v>
      </c>
      <c r="C894">
        <f>VLOOKUP($A894,Data!$C$5:$AG$2561,G$4)</f>
        <v>-2.4</v>
      </c>
    </row>
    <row r="895" spans="1:3" x14ac:dyDescent="0.25">
      <c r="A895">
        <v>2021158</v>
      </c>
      <c r="B895">
        <f>VLOOKUP($A895,Data!$C$5:$AG$2561,F$4)</f>
        <v>7.6</v>
      </c>
      <c r="C895">
        <f>VLOOKUP($A895,Data!$C$5:$AG$2561,G$4)</f>
        <v>-2.1</v>
      </c>
    </row>
    <row r="896" spans="1:3" x14ac:dyDescent="0.25">
      <c r="A896">
        <v>2021159</v>
      </c>
      <c r="B896">
        <f>VLOOKUP($A896,Data!$C$5:$AG$2561,F$4)</f>
        <v>12.4</v>
      </c>
      <c r="C896">
        <f>VLOOKUP($A896,Data!$C$5:$AG$2561,G$4)</f>
        <v>-2.9</v>
      </c>
    </row>
    <row r="897" spans="1:3" x14ac:dyDescent="0.25">
      <c r="A897">
        <v>2021160</v>
      </c>
      <c r="B897">
        <f>VLOOKUP($A897,Data!$C$5:$AG$2561,F$4)</f>
        <v>12.1</v>
      </c>
      <c r="C897">
        <f>VLOOKUP($A897,Data!$C$5:$AG$2561,G$4)</f>
        <v>-1.6</v>
      </c>
    </row>
    <row r="898" spans="1:3" x14ac:dyDescent="0.25">
      <c r="A898">
        <v>2021161</v>
      </c>
      <c r="B898">
        <f>VLOOKUP($A898,Data!$C$5:$AG$2561,F$4)</f>
        <v>11.5</v>
      </c>
      <c r="C898">
        <f>VLOOKUP($A898,Data!$C$5:$AG$2561,G$4)</f>
        <v>-2.6</v>
      </c>
    </row>
    <row r="899" spans="1:3" x14ac:dyDescent="0.25">
      <c r="A899">
        <v>2021162</v>
      </c>
      <c r="B899">
        <f>VLOOKUP($A899,Data!$C$5:$AG$2561,F$4)</f>
        <v>8.3000000000000007</v>
      </c>
      <c r="C899">
        <f>VLOOKUP($A899,Data!$C$5:$AG$2561,G$4)</f>
        <v>-2.2999999999999998</v>
      </c>
    </row>
    <row r="900" spans="1:3" x14ac:dyDescent="0.25">
      <c r="A900">
        <v>2021163</v>
      </c>
      <c r="B900">
        <f>VLOOKUP($A900,Data!$C$5:$AG$2561,F$4)</f>
        <v>17</v>
      </c>
      <c r="C900">
        <f>VLOOKUP($A900,Data!$C$5:$AG$2561,G$4)</f>
        <v>-1</v>
      </c>
    </row>
    <row r="901" spans="1:3" x14ac:dyDescent="0.25">
      <c r="A901">
        <v>2021164</v>
      </c>
      <c r="B901">
        <f>VLOOKUP($A901,Data!$C$5:$AG$2561,F$4)</f>
        <v>14</v>
      </c>
      <c r="C901">
        <f>VLOOKUP($A901,Data!$C$5:$AG$2561,G$4)</f>
        <v>8.6</v>
      </c>
    </row>
    <row r="902" spans="1:3" x14ac:dyDescent="0.25">
      <c r="A902">
        <v>2021165</v>
      </c>
      <c r="B902">
        <f>VLOOKUP($A902,Data!$C$5:$AG$2561,F$4)</f>
        <v>16.600000000000001</v>
      </c>
      <c r="C902">
        <f>VLOOKUP($A902,Data!$C$5:$AG$2561,G$4)</f>
        <v>6.6</v>
      </c>
    </row>
    <row r="903" spans="1:3" x14ac:dyDescent="0.25">
      <c r="A903">
        <v>2021166</v>
      </c>
      <c r="B903">
        <f>VLOOKUP($A903,Data!$C$5:$AG$2561,F$4)</f>
        <v>12.1</v>
      </c>
      <c r="C903">
        <f>VLOOKUP($A903,Data!$C$5:$AG$2561,G$4)</f>
        <v>4.9000000000000004</v>
      </c>
    </row>
    <row r="904" spans="1:3" x14ac:dyDescent="0.25">
      <c r="A904">
        <v>2021167</v>
      </c>
      <c r="B904">
        <f>VLOOKUP($A904,Data!$C$5:$AG$2561,F$4)</f>
        <v>16</v>
      </c>
      <c r="C904">
        <f>VLOOKUP($A904,Data!$C$5:$AG$2561,G$4)</f>
        <v>1.2</v>
      </c>
    </row>
    <row r="905" spans="1:3" x14ac:dyDescent="0.25">
      <c r="A905">
        <v>2021168</v>
      </c>
      <c r="B905">
        <f>VLOOKUP($A905,Data!$C$5:$AG$2561,F$4)</f>
        <v>20.100000000000001</v>
      </c>
      <c r="C905">
        <f>VLOOKUP($A905,Data!$C$5:$AG$2561,G$4)</f>
        <v>-1.1000000000000001</v>
      </c>
    </row>
    <row r="906" spans="1:3" x14ac:dyDescent="0.25">
      <c r="A906">
        <v>2021169</v>
      </c>
      <c r="B906">
        <f>VLOOKUP($A906,Data!$C$5:$AG$2561,F$4)</f>
        <v>22.5</v>
      </c>
      <c r="C906">
        <f>VLOOKUP($A906,Data!$C$5:$AG$2561,G$4)</f>
        <v>1.6</v>
      </c>
    </row>
    <row r="907" spans="1:3" x14ac:dyDescent="0.25">
      <c r="A907">
        <v>2021170</v>
      </c>
      <c r="B907">
        <f>VLOOKUP($A907,Data!$C$5:$AG$2561,F$4)</f>
        <v>15.8</v>
      </c>
      <c r="C907">
        <f>VLOOKUP($A907,Data!$C$5:$AG$2561,G$4)</f>
        <v>3</v>
      </c>
    </row>
    <row r="908" spans="1:3" x14ac:dyDescent="0.25">
      <c r="A908">
        <v>2021171</v>
      </c>
      <c r="B908">
        <f>VLOOKUP($A908,Data!$C$5:$AG$2561,F$4)</f>
        <v>22.6</v>
      </c>
      <c r="C908">
        <f>VLOOKUP($A908,Data!$C$5:$AG$2561,G$4)</f>
        <v>5.9</v>
      </c>
    </row>
    <row r="909" spans="1:3" x14ac:dyDescent="0.25">
      <c r="A909">
        <v>2021172</v>
      </c>
      <c r="B909">
        <f>VLOOKUP($A909,Data!$C$5:$AG$2561,F$4)</f>
        <v>25.8</v>
      </c>
      <c r="C909">
        <f>VLOOKUP($A909,Data!$C$5:$AG$2561,G$4)</f>
        <v>5</v>
      </c>
    </row>
    <row r="910" spans="1:3" x14ac:dyDescent="0.25">
      <c r="A910">
        <v>2021173</v>
      </c>
      <c r="B910">
        <f>VLOOKUP($A910,Data!$C$5:$AG$2561,F$4)</f>
        <v>25</v>
      </c>
      <c r="C910">
        <f>VLOOKUP($A910,Data!$C$5:$AG$2561,G$4)</f>
        <v>6.8</v>
      </c>
    </row>
    <row r="911" spans="1:3" x14ac:dyDescent="0.25">
      <c r="A911">
        <v>2021174</v>
      </c>
      <c r="B911">
        <f>VLOOKUP($A911,Data!$C$5:$AG$2561,F$4)</f>
        <v>26.9</v>
      </c>
      <c r="C911">
        <f>VLOOKUP($A911,Data!$C$5:$AG$2561,G$4)</f>
        <v>4.2</v>
      </c>
    </row>
    <row r="912" spans="1:3" x14ac:dyDescent="0.25">
      <c r="A912">
        <v>2021175</v>
      </c>
      <c r="B912">
        <f>VLOOKUP($A912,Data!$C$5:$AG$2561,F$4)</f>
        <v>20.9</v>
      </c>
      <c r="C912">
        <f>VLOOKUP($A912,Data!$C$5:$AG$2561,G$4)</f>
        <v>11.3</v>
      </c>
    </row>
    <row r="913" spans="1:3" x14ac:dyDescent="0.25">
      <c r="A913">
        <v>2021176</v>
      </c>
      <c r="B913">
        <f>VLOOKUP($A913,Data!$C$5:$AG$2561,F$4)</f>
        <v>25.3</v>
      </c>
      <c r="C913">
        <f>VLOOKUP($A913,Data!$C$5:$AG$2561,G$4)</f>
        <v>9.6</v>
      </c>
    </row>
    <row r="914" spans="1:3" x14ac:dyDescent="0.25">
      <c r="A914">
        <v>2021177</v>
      </c>
      <c r="B914">
        <f>VLOOKUP($A914,Data!$C$5:$AG$2561,F$4)</f>
        <v>31.1</v>
      </c>
      <c r="C914">
        <f>VLOOKUP($A914,Data!$C$5:$AG$2561,G$4)</f>
        <v>11.9</v>
      </c>
    </row>
    <row r="915" spans="1:3" x14ac:dyDescent="0.25">
      <c r="A915">
        <v>2021178</v>
      </c>
      <c r="B915">
        <f>VLOOKUP($A915,Data!$C$5:$AG$2561,F$4)</f>
        <v>34.1</v>
      </c>
      <c r="C915">
        <f>VLOOKUP($A915,Data!$C$5:$AG$2561,G$4)</f>
        <v>11.2</v>
      </c>
    </row>
    <row r="916" spans="1:3" x14ac:dyDescent="0.25">
      <c r="A916">
        <v>2021179</v>
      </c>
      <c r="B916">
        <f>VLOOKUP($A916,Data!$C$5:$AG$2561,F$4)</f>
        <v>35.299999999999997</v>
      </c>
      <c r="C916">
        <f>VLOOKUP($A916,Data!$C$5:$AG$2561,G$4)</f>
        <v>12.3</v>
      </c>
    </row>
    <row r="917" spans="1:3" x14ac:dyDescent="0.25">
      <c r="A917">
        <v>2021180</v>
      </c>
      <c r="B917">
        <f>VLOOKUP($A917,Data!$C$5:$AG$2561,F$4)</f>
        <v>37.299999999999997</v>
      </c>
      <c r="C917">
        <f>VLOOKUP($A917,Data!$C$5:$AG$2561,G$4)</f>
        <v>13.2</v>
      </c>
    </row>
    <row r="918" spans="1:3" x14ac:dyDescent="0.25">
      <c r="A918">
        <v>2021181</v>
      </c>
      <c r="B918">
        <f>VLOOKUP($A918,Data!$C$5:$AG$2561,F$4)</f>
        <v>36</v>
      </c>
      <c r="C918">
        <f>VLOOKUP($A918,Data!$C$5:$AG$2561,G$4)</f>
        <v>15.5</v>
      </c>
    </row>
    <row r="919" spans="1:3" x14ac:dyDescent="0.25">
      <c r="A919">
        <v>2021182</v>
      </c>
      <c r="B919">
        <f>VLOOKUP($A919,Data!$C$5:$AG$2561,F$4)</f>
        <v>30.4</v>
      </c>
      <c r="C919">
        <f>VLOOKUP($A919,Data!$C$5:$AG$2561,G$4)</f>
        <v>12.3</v>
      </c>
    </row>
    <row r="920" spans="1:3" x14ac:dyDescent="0.25">
      <c r="A920">
        <v>2021183</v>
      </c>
      <c r="B920">
        <f>VLOOKUP($A920,Data!$C$5:$AG$2561,F$4)</f>
        <v>25.8</v>
      </c>
      <c r="C920">
        <f>VLOOKUP($A920,Data!$C$5:$AG$2561,G$4)</f>
        <v>10.3</v>
      </c>
    </row>
    <row r="921" spans="1:3" x14ac:dyDescent="0.25">
      <c r="A921">
        <v>2021184</v>
      </c>
      <c r="B921">
        <f>VLOOKUP($A921,Data!$C$5:$AG$2561,F$4)</f>
        <v>27.9</v>
      </c>
      <c r="C921">
        <f>VLOOKUP($A921,Data!$C$5:$AG$2561,G$4)</f>
        <v>8.1999999999999993</v>
      </c>
    </row>
    <row r="922" spans="1:3" x14ac:dyDescent="0.25">
      <c r="A922">
        <v>2021185</v>
      </c>
      <c r="B922">
        <f>VLOOKUP($A922,Data!$C$5:$AG$2561,F$4)</f>
        <v>25.1</v>
      </c>
      <c r="C922">
        <f>VLOOKUP($A922,Data!$C$5:$AG$2561,G$4)</f>
        <v>6.6</v>
      </c>
    </row>
    <row r="923" spans="1:3" x14ac:dyDescent="0.25">
      <c r="A923">
        <v>2021186</v>
      </c>
      <c r="B923">
        <f>VLOOKUP($A923,Data!$C$5:$AG$2561,F$4)</f>
        <v>23.4</v>
      </c>
      <c r="C923">
        <f>VLOOKUP($A923,Data!$C$5:$AG$2561,G$4)</f>
        <v>11.6</v>
      </c>
    </row>
    <row r="924" spans="1:3" x14ac:dyDescent="0.25">
      <c r="A924">
        <v>2021187</v>
      </c>
      <c r="B924">
        <f>VLOOKUP($A924,Data!$C$5:$AG$2561,F$4)</f>
        <v>28</v>
      </c>
      <c r="C924">
        <f>VLOOKUP($A924,Data!$C$5:$AG$2561,G$4)</f>
        <v>8.9</v>
      </c>
    </row>
    <row r="925" spans="1:3" x14ac:dyDescent="0.25">
      <c r="A925">
        <v>2021188</v>
      </c>
      <c r="B925">
        <f>VLOOKUP($A925,Data!$C$5:$AG$2561,F$4)</f>
        <v>21.9</v>
      </c>
      <c r="C925">
        <f>VLOOKUP($A925,Data!$C$5:$AG$2561,G$4)</f>
        <v>5.0999999999999996</v>
      </c>
    </row>
    <row r="926" spans="1:3" x14ac:dyDescent="0.25">
      <c r="A926">
        <v>2021189</v>
      </c>
      <c r="B926">
        <f>VLOOKUP($A926,Data!$C$5:$AG$2561,F$4)</f>
        <v>23.1</v>
      </c>
      <c r="C926">
        <f>VLOOKUP($A926,Data!$C$5:$AG$2561,G$4)</f>
        <v>3.4</v>
      </c>
    </row>
    <row r="927" spans="1:3" x14ac:dyDescent="0.25">
      <c r="A927">
        <v>2021190</v>
      </c>
      <c r="B927">
        <f>VLOOKUP($A927,Data!$C$5:$AG$2561,F$4)</f>
        <v>25.6</v>
      </c>
      <c r="C927">
        <f>VLOOKUP($A927,Data!$C$5:$AG$2561,G$4)</f>
        <v>5.6</v>
      </c>
    </row>
    <row r="928" spans="1:3" x14ac:dyDescent="0.25">
      <c r="A928">
        <v>2021191</v>
      </c>
      <c r="B928">
        <f>VLOOKUP($A928,Data!$C$5:$AG$2561,F$4)</f>
        <v>26.1</v>
      </c>
      <c r="C928">
        <f>VLOOKUP($A928,Data!$C$5:$AG$2561,G$4)</f>
        <v>6.8</v>
      </c>
    </row>
    <row r="929" spans="1:3" x14ac:dyDescent="0.25">
      <c r="A929">
        <v>2021192</v>
      </c>
      <c r="B929">
        <f>VLOOKUP($A929,Data!$C$5:$AG$2561,F$4)</f>
        <v>25.5</v>
      </c>
      <c r="C929">
        <f>VLOOKUP($A929,Data!$C$5:$AG$2561,G$4)</f>
        <v>5.4</v>
      </c>
    </row>
    <row r="930" spans="1:3" x14ac:dyDescent="0.25">
      <c r="A930">
        <v>2021193</v>
      </c>
      <c r="B930">
        <f>VLOOKUP($A930,Data!$C$5:$AG$2561,F$4)</f>
        <v>26.4</v>
      </c>
      <c r="C930">
        <f>VLOOKUP($A930,Data!$C$5:$AG$2561,G$4)</f>
        <v>6.7</v>
      </c>
    </row>
    <row r="931" spans="1:3" x14ac:dyDescent="0.25">
      <c r="A931">
        <v>2021194</v>
      </c>
      <c r="B931">
        <f>VLOOKUP($A931,Data!$C$5:$AG$2561,F$4)</f>
        <v>28.4</v>
      </c>
      <c r="C931">
        <f>VLOOKUP($A931,Data!$C$5:$AG$2561,G$4)</f>
        <v>6</v>
      </c>
    </row>
    <row r="932" spans="1:3" x14ac:dyDescent="0.25">
      <c r="A932">
        <v>2021195</v>
      </c>
      <c r="B932">
        <f>VLOOKUP($A932,Data!$C$5:$AG$2561,F$4)</f>
        <v>28.5</v>
      </c>
      <c r="C932">
        <f>VLOOKUP($A932,Data!$C$5:$AG$2561,G$4)</f>
        <v>7.6</v>
      </c>
    </row>
    <row r="933" spans="1:3" x14ac:dyDescent="0.25">
      <c r="A933">
        <v>2021196</v>
      </c>
      <c r="B933">
        <f>VLOOKUP($A933,Data!$C$5:$AG$2561,F$4)</f>
        <v>24.5</v>
      </c>
      <c r="C933">
        <f>VLOOKUP($A933,Data!$C$5:$AG$2561,G$4)</f>
        <v>7.2</v>
      </c>
    </row>
    <row r="934" spans="1:3" x14ac:dyDescent="0.25">
      <c r="A934">
        <v>2021197</v>
      </c>
      <c r="B934">
        <f>VLOOKUP($A934,Data!$C$5:$AG$2561,F$4)</f>
        <v>24.5</v>
      </c>
      <c r="C934">
        <f>VLOOKUP($A934,Data!$C$5:$AG$2561,G$4)</f>
        <v>3.9</v>
      </c>
    </row>
    <row r="935" spans="1:3" x14ac:dyDescent="0.25">
      <c r="A935">
        <v>2021198</v>
      </c>
      <c r="B935">
        <f>VLOOKUP($A935,Data!$C$5:$AG$2561,F$4)</f>
        <v>23.1</v>
      </c>
      <c r="C935">
        <f>VLOOKUP($A935,Data!$C$5:$AG$2561,G$4)</f>
        <v>3.3</v>
      </c>
    </row>
    <row r="936" spans="1:3" x14ac:dyDescent="0.25">
      <c r="A936">
        <v>2021199</v>
      </c>
      <c r="B936">
        <f>VLOOKUP($A936,Data!$C$5:$AG$2561,F$4)</f>
        <v>25.7</v>
      </c>
      <c r="C936">
        <f>VLOOKUP($A936,Data!$C$5:$AG$2561,G$4)</f>
        <v>4.2</v>
      </c>
    </row>
    <row r="937" spans="1:3" x14ac:dyDescent="0.25">
      <c r="A937">
        <v>2021200</v>
      </c>
      <c r="B937">
        <f>VLOOKUP($A937,Data!$C$5:$AG$2561,F$4)</f>
        <v>28</v>
      </c>
      <c r="C937">
        <f>VLOOKUP($A937,Data!$C$5:$AG$2561,G$4)</f>
        <v>5.6</v>
      </c>
    </row>
    <row r="938" spans="1:3" x14ac:dyDescent="0.25">
      <c r="A938">
        <v>2021201</v>
      </c>
      <c r="B938">
        <f>VLOOKUP($A938,Data!$C$5:$AG$2561,F$4)</f>
        <v>24.2</v>
      </c>
      <c r="C938">
        <f>VLOOKUP($A938,Data!$C$5:$AG$2561,G$4)</f>
        <v>6.2</v>
      </c>
    </row>
    <row r="939" spans="1:3" x14ac:dyDescent="0.25">
      <c r="A939">
        <v>2021202</v>
      </c>
      <c r="B939">
        <f>VLOOKUP($A939,Data!$C$5:$AG$2561,F$4)</f>
        <v>19.8</v>
      </c>
      <c r="C939">
        <f>VLOOKUP($A939,Data!$C$5:$AG$2561,G$4)</f>
        <v>2.6</v>
      </c>
    </row>
    <row r="940" spans="1:3" x14ac:dyDescent="0.25">
      <c r="A940">
        <v>2021203</v>
      </c>
      <c r="B940">
        <f>VLOOKUP($A940,Data!$C$5:$AG$2561,F$4)</f>
        <v>19.5</v>
      </c>
      <c r="C940">
        <f>VLOOKUP($A940,Data!$C$5:$AG$2561,G$4)</f>
        <v>-0.3</v>
      </c>
    </row>
    <row r="941" spans="1:3" x14ac:dyDescent="0.25">
      <c r="A941">
        <v>2021204</v>
      </c>
      <c r="B941">
        <f>VLOOKUP($A941,Data!$C$5:$AG$2561,F$4)</f>
        <v>21.7</v>
      </c>
      <c r="C941">
        <f>VLOOKUP($A941,Data!$C$5:$AG$2561,G$4)</f>
        <v>3.9</v>
      </c>
    </row>
    <row r="942" spans="1:3" x14ac:dyDescent="0.25">
      <c r="A942">
        <v>2021205</v>
      </c>
      <c r="B942">
        <f>VLOOKUP($A942,Data!$C$5:$AG$2561,F$4)</f>
        <v>26.4</v>
      </c>
      <c r="C942">
        <f>VLOOKUP($A942,Data!$C$5:$AG$2561,G$4)</f>
        <v>4.2</v>
      </c>
    </row>
    <row r="943" spans="1:3" x14ac:dyDescent="0.25">
      <c r="A943">
        <v>2021206</v>
      </c>
      <c r="B943">
        <f>VLOOKUP($A943,Data!$C$5:$AG$2561,F$4)</f>
        <v>27.2</v>
      </c>
      <c r="C943">
        <f>VLOOKUP($A943,Data!$C$5:$AG$2561,G$4)</f>
        <v>5.4</v>
      </c>
    </row>
    <row r="944" spans="1:3" x14ac:dyDescent="0.25">
      <c r="A944">
        <v>2021207</v>
      </c>
      <c r="B944">
        <f>VLOOKUP($A944,Data!$C$5:$AG$2561,F$4)</f>
        <v>27.2</v>
      </c>
      <c r="C944">
        <f>VLOOKUP($A944,Data!$C$5:$AG$2561,G$4)</f>
        <v>5</v>
      </c>
    </row>
    <row r="945" spans="1:3" x14ac:dyDescent="0.25">
      <c r="A945">
        <v>2021208</v>
      </c>
      <c r="B945">
        <f>VLOOKUP($A945,Data!$C$5:$AG$2561,F$4)</f>
        <v>27.3</v>
      </c>
      <c r="C945">
        <f>VLOOKUP($A945,Data!$C$5:$AG$2561,G$4)</f>
        <v>5.8</v>
      </c>
    </row>
    <row r="946" spans="1:3" x14ac:dyDescent="0.25">
      <c r="A946">
        <v>2021209</v>
      </c>
      <c r="B946">
        <f>VLOOKUP($A946,Data!$C$5:$AG$2561,F$4)</f>
        <v>26.2</v>
      </c>
      <c r="C946">
        <f>VLOOKUP($A946,Data!$C$5:$AG$2561,G$4)</f>
        <v>5.3</v>
      </c>
    </row>
    <row r="947" spans="1:3" x14ac:dyDescent="0.25">
      <c r="A947">
        <v>2021210</v>
      </c>
      <c r="B947">
        <f>VLOOKUP($A947,Data!$C$5:$AG$2561,F$4)</f>
        <v>28.4</v>
      </c>
      <c r="C947">
        <f>VLOOKUP($A947,Data!$C$5:$AG$2561,G$4)</f>
        <v>6.8</v>
      </c>
    </row>
    <row r="948" spans="1:3" x14ac:dyDescent="0.25">
      <c r="A948">
        <v>2021211</v>
      </c>
      <c r="B948">
        <f>VLOOKUP($A948,Data!$C$5:$AG$2561,F$4)</f>
        <v>32.200000000000003</v>
      </c>
      <c r="C948">
        <f>VLOOKUP($A948,Data!$C$5:$AG$2561,G$4)</f>
        <v>8.5</v>
      </c>
    </row>
    <row r="949" spans="1:3" x14ac:dyDescent="0.25">
      <c r="A949">
        <v>2021212</v>
      </c>
      <c r="B949">
        <f>VLOOKUP($A949,Data!$C$5:$AG$2561,F$4)</f>
        <v>33.700000000000003</v>
      </c>
      <c r="C949">
        <f>VLOOKUP($A949,Data!$C$5:$AG$2561,G$4)</f>
        <v>11.8</v>
      </c>
    </row>
    <row r="950" spans="1:3" x14ac:dyDescent="0.25">
      <c r="A950">
        <v>2021213</v>
      </c>
      <c r="B950">
        <f>VLOOKUP($A950,Data!$C$5:$AG$2561,F$4)</f>
        <v>21.5</v>
      </c>
      <c r="C950">
        <f>VLOOKUP($A950,Data!$C$5:$AG$2561,G$4)</f>
        <v>14.1</v>
      </c>
    </row>
    <row r="951" spans="1:3" x14ac:dyDescent="0.25">
      <c r="A951">
        <v>2021214</v>
      </c>
      <c r="B951">
        <f>VLOOKUP($A951,Data!$C$5:$AG$2561,F$4)</f>
        <v>26.7</v>
      </c>
      <c r="C951">
        <f>VLOOKUP($A951,Data!$C$5:$AG$2561,G$4)</f>
        <v>9.3000000000000007</v>
      </c>
    </row>
    <row r="952" spans="1:3" x14ac:dyDescent="0.25">
      <c r="A952">
        <v>2021215</v>
      </c>
      <c r="B952">
        <f>VLOOKUP($A952,Data!$C$5:$AG$2561,F$4)</f>
        <v>28.7</v>
      </c>
      <c r="C952">
        <f>VLOOKUP($A952,Data!$C$5:$AG$2561,G$4)</f>
        <v>6.9</v>
      </c>
    </row>
    <row r="953" spans="1:3" x14ac:dyDescent="0.25">
      <c r="A953">
        <v>2021216</v>
      </c>
      <c r="B953">
        <f>VLOOKUP($A953,Data!$C$5:$AG$2561,F$4)</f>
        <v>28.1</v>
      </c>
      <c r="C953">
        <f>VLOOKUP($A953,Data!$C$5:$AG$2561,G$4)</f>
        <v>10.1</v>
      </c>
    </row>
    <row r="954" spans="1:3" x14ac:dyDescent="0.25">
      <c r="A954">
        <v>2021217</v>
      </c>
      <c r="B954">
        <f>VLOOKUP($A954,Data!$C$5:$AG$2561,F$4)</f>
        <v>28.4</v>
      </c>
      <c r="C954">
        <f>VLOOKUP($A954,Data!$C$5:$AG$2561,G$4)</f>
        <v>7.7</v>
      </c>
    </row>
    <row r="955" spans="1:3" x14ac:dyDescent="0.25">
      <c r="A955">
        <v>2021218</v>
      </c>
      <c r="B955">
        <f>VLOOKUP($A955,Data!$C$5:$AG$2561,F$4)</f>
        <v>22.5</v>
      </c>
      <c r="C955">
        <f>VLOOKUP($A955,Data!$C$5:$AG$2561,G$4)</f>
        <v>10</v>
      </c>
    </row>
    <row r="956" spans="1:3" x14ac:dyDescent="0.25">
      <c r="A956">
        <v>2021219</v>
      </c>
      <c r="B956">
        <f>VLOOKUP($A956,Data!$C$5:$AG$2561,F$4)</f>
        <v>18</v>
      </c>
      <c r="C956">
        <f>VLOOKUP($A956,Data!$C$5:$AG$2561,G$4)</f>
        <v>5.4</v>
      </c>
    </row>
    <row r="957" spans="1:3" x14ac:dyDescent="0.25">
      <c r="A957">
        <v>2021220</v>
      </c>
      <c r="B957">
        <f>VLOOKUP($A957,Data!$C$5:$AG$2561,F$4)</f>
        <v>13.8</v>
      </c>
      <c r="C957">
        <f>VLOOKUP($A957,Data!$C$5:$AG$2561,G$4)</f>
        <v>3.3</v>
      </c>
    </row>
    <row r="958" spans="1:3" x14ac:dyDescent="0.25">
      <c r="A958">
        <v>2021221</v>
      </c>
      <c r="B958">
        <f>VLOOKUP($A958,Data!$C$5:$AG$2561,F$4)</f>
        <v>21.9</v>
      </c>
      <c r="C958">
        <f>VLOOKUP($A958,Data!$C$5:$AG$2561,G$4)</f>
        <v>1.1000000000000001</v>
      </c>
    </row>
    <row r="959" spans="1:3" x14ac:dyDescent="0.25">
      <c r="A959">
        <v>2021222</v>
      </c>
      <c r="B959">
        <f>VLOOKUP($A959,Data!$C$5:$AG$2561,F$4)</f>
        <v>22.7</v>
      </c>
      <c r="C959">
        <f>VLOOKUP($A959,Data!$C$5:$AG$2561,G$4)</f>
        <v>6.8</v>
      </c>
    </row>
    <row r="960" spans="1:3" x14ac:dyDescent="0.25">
      <c r="A960">
        <v>2021223</v>
      </c>
      <c r="B960">
        <f>VLOOKUP($A960,Data!$C$5:$AG$2561,F$4)</f>
        <v>27.1</v>
      </c>
      <c r="C960">
        <f>VLOOKUP($A960,Data!$C$5:$AG$2561,G$4)</f>
        <v>10.6</v>
      </c>
    </row>
    <row r="961" spans="1:3" x14ac:dyDescent="0.25">
      <c r="A961">
        <v>2021224</v>
      </c>
      <c r="B961">
        <f>VLOOKUP($A961,Data!$C$5:$AG$2561,F$4)</f>
        <v>23.8</v>
      </c>
      <c r="C961">
        <f>VLOOKUP($A961,Data!$C$5:$AG$2561,G$4)</f>
        <v>8.8000000000000007</v>
      </c>
    </row>
    <row r="962" spans="1:3" x14ac:dyDescent="0.25">
      <c r="A962">
        <v>2021225</v>
      </c>
      <c r="B962">
        <f>VLOOKUP($A962,Data!$C$5:$AG$2561,F$4)</f>
        <v>28.5</v>
      </c>
      <c r="C962">
        <f>VLOOKUP($A962,Data!$C$5:$AG$2561,G$4)</f>
        <v>6.2</v>
      </c>
    </row>
    <row r="963" spans="1:3" x14ac:dyDescent="0.25">
      <c r="A963">
        <v>2021226</v>
      </c>
      <c r="B963">
        <f>VLOOKUP($A963,Data!$C$5:$AG$2561,F$4)</f>
        <v>28.5</v>
      </c>
      <c r="C963">
        <f>VLOOKUP($A963,Data!$C$5:$AG$2561,G$4)</f>
        <v>7.2</v>
      </c>
    </row>
    <row r="964" spans="1:3" x14ac:dyDescent="0.25">
      <c r="A964">
        <v>2021227</v>
      </c>
      <c r="B964">
        <f>VLOOKUP($A964,Data!$C$5:$AG$2561,F$4)</f>
        <v>27.6</v>
      </c>
      <c r="C964">
        <f>VLOOKUP($A964,Data!$C$5:$AG$2561,G$4)</f>
        <v>15.6</v>
      </c>
    </row>
    <row r="965" spans="1:3" x14ac:dyDescent="0.25">
      <c r="A965">
        <v>2021228</v>
      </c>
      <c r="B965">
        <f>VLOOKUP($A965,Data!$C$5:$AG$2561,F$4)</f>
        <v>17.2</v>
      </c>
      <c r="C965">
        <f>VLOOKUP($A965,Data!$C$5:$AG$2561,G$4)</f>
        <v>7.9</v>
      </c>
    </row>
    <row r="966" spans="1:3" x14ac:dyDescent="0.25">
      <c r="A966">
        <v>2021229</v>
      </c>
      <c r="B966">
        <f>VLOOKUP($A966,Data!$C$5:$AG$2561,F$4)</f>
        <v>9.3000000000000007</v>
      </c>
      <c r="C966">
        <f>VLOOKUP($A966,Data!$C$5:$AG$2561,G$4)</f>
        <v>3.8</v>
      </c>
    </row>
    <row r="967" spans="1:3" x14ac:dyDescent="0.25">
      <c r="A967">
        <v>2021230</v>
      </c>
      <c r="B967">
        <f>VLOOKUP($A967,Data!$C$5:$AG$2561,F$4)</f>
        <v>21.2</v>
      </c>
      <c r="C967">
        <f>VLOOKUP($A967,Data!$C$5:$AG$2561,G$4)</f>
        <v>1.4</v>
      </c>
    </row>
    <row r="968" spans="1:3" x14ac:dyDescent="0.25">
      <c r="A968">
        <v>2021231</v>
      </c>
      <c r="B968">
        <f>VLOOKUP($A968,Data!$C$5:$AG$2561,F$4)</f>
        <v>17.399999999999999</v>
      </c>
      <c r="C968">
        <f>VLOOKUP($A968,Data!$C$5:$AG$2561,G$4)</f>
        <v>5.8</v>
      </c>
    </row>
    <row r="969" spans="1:3" x14ac:dyDescent="0.25">
      <c r="A969">
        <v>2021232</v>
      </c>
      <c r="B969">
        <f>VLOOKUP($A969,Data!$C$5:$AG$2561,F$4)</f>
        <v>17.899999999999999</v>
      </c>
      <c r="C969">
        <f>VLOOKUP($A969,Data!$C$5:$AG$2561,G$4)</f>
        <v>2.6</v>
      </c>
    </row>
    <row r="970" spans="1:3" x14ac:dyDescent="0.25">
      <c r="A970">
        <v>2021233</v>
      </c>
      <c r="B970">
        <f>VLOOKUP($A970,Data!$C$5:$AG$2561,F$4)</f>
        <v>14.7</v>
      </c>
      <c r="C970">
        <f>VLOOKUP($A970,Data!$C$5:$AG$2561,G$4)</f>
        <v>4.9000000000000004</v>
      </c>
    </row>
    <row r="971" spans="1:3" x14ac:dyDescent="0.25">
      <c r="A971">
        <v>2021234</v>
      </c>
      <c r="B971">
        <f>VLOOKUP($A971,Data!$C$5:$AG$2561,F$4)</f>
        <v>13.3</v>
      </c>
      <c r="C971">
        <f>VLOOKUP($A971,Data!$C$5:$AG$2561,G$4)</f>
        <v>1.8</v>
      </c>
    </row>
    <row r="972" spans="1:3" x14ac:dyDescent="0.25">
      <c r="A972">
        <v>2021235</v>
      </c>
      <c r="B972">
        <f>VLOOKUP($A972,Data!$C$5:$AG$2561,F$4)</f>
        <v>11</v>
      </c>
      <c r="C972">
        <f>VLOOKUP($A972,Data!$C$5:$AG$2561,G$4)</f>
        <v>-1.2</v>
      </c>
    </row>
    <row r="973" spans="1:3" x14ac:dyDescent="0.25">
      <c r="A973">
        <v>2021236</v>
      </c>
      <c r="B973">
        <f>VLOOKUP($A973,Data!$C$5:$AG$2561,F$4)</f>
        <v>17.8</v>
      </c>
      <c r="C973">
        <f>VLOOKUP($A973,Data!$C$5:$AG$2561,G$4)</f>
        <v>-2</v>
      </c>
    </row>
    <row r="974" spans="1:3" x14ac:dyDescent="0.25">
      <c r="A974">
        <v>2021237</v>
      </c>
      <c r="B974">
        <f>VLOOKUP($A974,Data!$C$5:$AG$2561,F$4)</f>
        <v>21</v>
      </c>
      <c r="C974">
        <f>VLOOKUP($A974,Data!$C$5:$AG$2561,G$4)</f>
        <v>-0.4</v>
      </c>
    </row>
    <row r="975" spans="1:3" x14ac:dyDescent="0.25">
      <c r="A975">
        <v>2021238</v>
      </c>
      <c r="B975">
        <f>VLOOKUP($A975,Data!$C$5:$AG$2561,F$4)</f>
        <v>15.1</v>
      </c>
      <c r="C975">
        <f>VLOOKUP($A975,Data!$C$5:$AG$2561,G$4)</f>
        <v>2.9</v>
      </c>
    </row>
    <row r="976" spans="1:3" x14ac:dyDescent="0.25">
      <c r="A976">
        <v>2021239</v>
      </c>
      <c r="B976">
        <f>VLOOKUP($A976,Data!$C$5:$AG$2561,F$4)</f>
        <v>14.6</v>
      </c>
      <c r="C976">
        <f>VLOOKUP($A976,Data!$C$5:$AG$2561,G$4)</f>
        <v>1.5</v>
      </c>
    </row>
    <row r="977" spans="1:3" x14ac:dyDescent="0.25">
      <c r="A977">
        <v>2021240</v>
      </c>
      <c r="B977">
        <f>VLOOKUP($A977,Data!$C$5:$AG$2561,F$4)</f>
        <v>21</v>
      </c>
      <c r="C977">
        <f>VLOOKUP($A977,Data!$C$5:$AG$2561,G$4)</f>
        <v>-0.6</v>
      </c>
    </row>
    <row r="978" spans="1:3" x14ac:dyDescent="0.25">
      <c r="A978">
        <v>2021241</v>
      </c>
      <c r="B978">
        <f>VLOOKUP($A978,Data!$C$5:$AG$2561,F$4)</f>
        <v>22.6</v>
      </c>
      <c r="C978">
        <f>VLOOKUP($A978,Data!$C$5:$AG$2561,G$4)</f>
        <v>1.3</v>
      </c>
    </row>
    <row r="979" spans="1:3" x14ac:dyDescent="0.25">
      <c r="A979">
        <v>2021242</v>
      </c>
      <c r="B979">
        <f>VLOOKUP($A979,Data!$C$5:$AG$2561,F$4)</f>
        <v>18.8</v>
      </c>
      <c r="C979">
        <f>VLOOKUP($A979,Data!$C$5:$AG$2561,G$4)</f>
        <v>1.6</v>
      </c>
    </row>
    <row r="980" spans="1:3" x14ac:dyDescent="0.25">
      <c r="A980">
        <v>2021243</v>
      </c>
      <c r="B980">
        <f>VLOOKUP($A980,Data!$C$5:$AG$2561,F$4)</f>
        <v>9.5</v>
      </c>
      <c r="C980">
        <f>VLOOKUP($A980,Data!$C$5:$AG$2561,G$4)</f>
        <v>0.8</v>
      </c>
    </row>
    <row r="981" spans="1:3" x14ac:dyDescent="0.25">
      <c r="A981">
        <v>2021244</v>
      </c>
      <c r="B981">
        <f>VLOOKUP($A981,Data!$C$5:$AG$2561,F$4)</f>
        <v>11.4</v>
      </c>
      <c r="C981">
        <f>VLOOKUP($A981,Data!$C$5:$AG$2561,G$4)</f>
        <v>-1.1000000000000001</v>
      </c>
    </row>
    <row r="982" spans="1:3" x14ac:dyDescent="0.25">
      <c r="A982">
        <v>2021245</v>
      </c>
      <c r="B982">
        <f>VLOOKUP($A982,Data!$C$5:$AG$2561,F$4)</f>
        <v>15.5</v>
      </c>
      <c r="C982">
        <f>VLOOKUP($A982,Data!$C$5:$AG$2561,G$4)</f>
        <v>-2.1</v>
      </c>
    </row>
    <row r="983" spans="1:3" x14ac:dyDescent="0.25">
      <c r="A983">
        <v>2021246</v>
      </c>
      <c r="B983">
        <f>VLOOKUP($A983,Data!$C$5:$AG$2561,F$4)</f>
        <v>20.399999999999999</v>
      </c>
      <c r="C983">
        <f>VLOOKUP($A983,Data!$C$5:$AG$2561,G$4)</f>
        <v>-1.4</v>
      </c>
    </row>
    <row r="984" spans="1:3" x14ac:dyDescent="0.25">
      <c r="A984">
        <v>2021247</v>
      </c>
      <c r="B984">
        <f>VLOOKUP($A984,Data!$C$5:$AG$2561,F$4)</f>
        <v>19</v>
      </c>
      <c r="C984">
        <f>VLOOKUP($A984,Data!$C$5:$AG$2561,G$4)</f>
        <v>1.2</v>
      </c>
    </row>
    <row r="985" spans="1:3" x14ac:dyDescent="0.25">
      <c r="A985">
        <v>2021248</v>
      </c>
      <c r="B985">
        <f>VLOOKUP($A985,Data!$C$5:$AG$2561,F$4)</f>
        <v>14.8</v>
      </c>
      <c r="C985">
        <f>VLOOKUP($A985,Data!$C$5:$AG$2561,G$4)</f>
        <v>4.8</v>
      </c>
    </row>
    <row r="986" spans="1:3" x14ac:dyDescent="0.25">
      <c r="A986">
        <v>2021249</v>
      </c>
      <c r="B986">
        <f>VLOOKUP($A986,Data!$C$5:$AG$2561,F$4)</f>
        <v>19.399999999999999</v>
      </c>
      <c r="C986">
        <f>VLOOKUP($A986,Data!$C$5:$AG$2561,G$4)</f>
        <v>3.6</v>
      </c>
    </row>
    <row r="987" spans="1:3" x14ac:dyDescent="0.25">
      <c r="A987">
        <v>2021250</v>
      </c>
      <c r="B987">
        <f>VLOOKUP($A987,Data!$C$5:$AG$2561,F$4)</f>
        <v>25.6</v>
      </c>
      <c r="C987">
        <f>VLOOKUP($A987,Data!$C$5:$AG$2561,G$4)</f>
        <v>1.7</v>
      </c>
    </row>
    <row r="988" spans="1:3" x14ac:dyDescent="0.25">
      <c r="A988">
        <v>2021251</v>
      </c>
      <c r="B988">
        <f>VLOOKUP($A988,Data!$C$5:$AG$2561,F$4)</f>
        <v>20.100000000000001</v>
      </c>
      <c r="C988">
        <f>VLOOKUP($A988,Data!$C$5:$AG$2561,G$4)</f>
        <v>5.2</v>
      </c>
    </row>
    <row r="989" spans="1:3" x14ac:dyDescent="0.25">
      <c r="A989">
        <v>2021252</v>
      </c>
      <c r="B989">
        <f>VLOOKUP($A989,Data!$C$5:$AG$2561,F$4)</f>
        <v>22.8</v>
      </c>
      <c r="C989">
        <f>VLOOKUP($A989,Data!$C$5:$AG$2561,G$4)</f>
        <v>3.8</v>
      </c>
    </row>
    <row r="990" spans="1:3" x14ac:dyDescent="0.25">
      <c r="A990">
        <v>2021253</v>
      </c>
      <c r="B990">
        <f>VLOOKUP($A990,Data!$C$5:$AG$2561,F$4)</f>
        <v>20.2</v>
      </c>
      <c r="C990">
        <f>VLOOKUP($A990,Data!$C$5:$AG$2561,G$4)</f>
        <v>3.1</v>
      </c>
    </row>
    <row r="991" spans="1:3" x14ac:dyDescent="0.25">
      <c r="A991">
        <v>2021254</v>
      </c>
      <c r="B991">
        <f>VLOOKUP($A991,Data!$C$5:$AG$2561,F$4)</f>
        <v>19.399999999999999</v>
      </c>
      <c r="C991">
        <f>VLOOKUP($A991,Data!$C$5:$AG$2561,G$4)</f>
        <v>4</v>
      </c>
    </row>
    <row r="992" spans="1:3" x14ac:dyDescent="0.25">
      <c r="A992">
        <v>2021255</v>
      </c>
      <c r="B992">
        <f>VLOOKUP($A992,Data!$C$5:$AG$2561,F$4)</f>
        <v>14.8</v>
      </c>
      <c r="C992">
        <f>VLOOKUP($A992,Data!$C$5:$AG$2561,G$4)</f>
        <v>3.2</v>
      </c>
    </row>
    <row r="993" spans="1:3" x14ac:dyDescent="0.25">
      <c r="A993">
        <v>2021256</v>
      </c>
      <c r="B993">
        <f>VLOOKUP($A993,Data!$C$5:$AG$2561,F$4)</f>
        <v>16.5</v>
      </c>
      <c r="C993">
        <f>VLOOKUP($A993,Data!$C$5:$AG$2561,G$4)</f>
        <v>0.3</v>
      </c>
    </row>
    <row r="994" spans="1:3" x14ac:dyDescent="0.25">
      <c r="A994">
        <v>2021257</v>
      </c>
      <c r="B994">
        <f>VLOOKUP($A994,Data!$C$5:$AG$2561,F$4)</f>
        <v>13.8</v>
      </c>
      <c r="C994">
        <f>VLOOKUP($A994,Data!$C$5:$AG$2561,G$4)</f>
        <v>-0.9</v>
      </c>
    </row>
    <row r="995" spans="1:3" x14ac:dyDescent="0.25">
      <c r="A995">
        <v>2021258</v>
      </c>
      <c r="B995">
        <f>VLOOKUP($A995,Data!$C$5:$AG$2561,F$4)</f>
        <v>7.9</v>
      </c>
      <c r="C995">
        <f>VLOOKUP($A995,Data!$C$5:$AG$2561,G$4)</f>
        <v>-3</v>
      </c>
    </row>
    <row r="996" spans="1:3" x14ac:dyDescent="0.25">
      <c r="A996">
        <v>2021259</v>
      </c>
      <c r="B996">
        <f>VLOOKUP($A996,Data!$C$5:$AG$2561,F$4)</f>
        <v>11.5</v>
      </c>
      <c r="C996">
        <f>VLOOKUP($A996,Data!$C$5:$AG$2561,G$4)</f>
        <v>-3.5</v>
      </c>
    </row>
    <row r="997" spans="1:3" x14ac:dyDescent="0.25">
      <c r="A997">
        <v>2021260</v>
      </c>
      <c r="B997">
        <f>VLOOKUP($A997,Data!$C$5:$AG$2561,F$4)</f>
        <v>9.1999999999999993</v>
      </c>
      <c r="C997">
        <f>VLOOKUP($A997,Data!$C$5:$AG$2561,G$4)</f>
        <v>3.6</v>
      </c>
    </row>
    <row r="998" spans="1:3" x14ac:dyDescent="0.25">
      <c r="A998">
        <v>2021261</v>
      </c>
      <c r="B998">
        <f>VLOOKUP($A998,Data!$C$5:$AG$2561,F$4)</f>
        <v>8.4</v>
      </c>
      <c r="C998">
        <f>VLOOKUP($A998,Data!$C$5:$AG$2561,G$4)</f>
        <v>0</v>
      </c>
    </row>
    <row r="999" spans="1:3" x14ac:dyDescent="0.25">
      <c r="A999">
        <v>2021262</v>
      </c>
      <c r="B999">
        <f>VLOOKUP($A999,Data!$C$5:$AG$2561,F$4)</f>
        <v>9.1</v>
      </c>
      <c r="C999">
        <f>VLOOKUP($A999,Data!$C$5:$AG$2561,G$4)</f>
        <v>-0.1</v>
      </c>
    </row>
    <row r="1000" spans="1:3" x14ac:dyDescent="0.25">
      <c r="A1000">
        <v>2021263</v>
      </c>
      <c r="B1000">
        <f>VLOOKUP($A1000,Data!$C$5:$AG$2561,F$4)</f>
        <v>12.2</v>
      </c>
      <c r="C1000">
        <f>VLOOKUP($A1000,Data!$C$5:$AG$2561,G$4)</f>
        <v>-1.2</v>
      </c>
    </row>
    <row r="1001" spans="1:3" x14ac:dyDescent="0.25">
      <c r="A1001">
        <v>2021264</v>
      </c>
      <c r="B1001">
        <f>VLOOKUP($A1001,Data!$C$5:$AG$2561,F$4)</f>
        <v>17.3</v>
      </c>
      <c r="C1001">
        <f>VLOOKUP($A1001,Data!$C$5:$AG$2561,G$4)</f>
        <v>-1.8</v>
      </c>
    </row>
    <row r="1002" spans="1:3" x14ac:dyDescent="0.25">
      <c r="A1002">
        <v>2021265</v>
      </c>
      <c r="B1002">
        <f>VLOOKUP($A1002,Data!$C$5:$AG$2561,F$4)</f>
        <v>14.2</v>
      </c>
      <c r="C1002">
        <f>VLOOKUP($A1002,Data!$C$5:$AG$2561,G$4)</f>
        <v>1.2</v>
      </c>
    </row>
    <row r="1003" spans="1:3" x14ac:dyDescent="0.25">
      <c r="A1003">
        <v>2021266</v>
      </c>
      <c r="B1003">
        <f>VLOOKUP($A1003,Data!$C$5:$AG$2561,F$4)</f>
        <v>16.3</v>
      </c>
      <c r="C1003">
        <f>VLOOKUP($A1003,Data!$C$5:$AG$2561,G$4)</f>
        <v>0.7</v>
      </c>
    </row>
    <row r="1004" spans="1:3" x14ac:dyDescent="0.25">
      <c r="A1004">
        <v>2021267</v>
      </c>
      <c r="B1004">
        <f>VLOOKUP($A1004,Data!$C$5:$AG$2561,F$4)</f>
        <v>21.4</v>
      </c>
      <c r="C1004">
        <f>VLOOKUP($A1004,Data!$C$5:$AG$2561,G$4)</f>
        <v>-0.3</v>
      </c>
    </row>
    <row r="1005" spans="1:3" x14ac:dyDescent="0.25">
      <c r="A1005">
        <v>2021268</v>
      </c>
      <c r="B1005">
        <f>VLOOKUP($A1005,Data!$C$5:$AG$2561,F$4)</f>
        <v>22</v>
      </c>
      <c r="C1005">
        <f>VLOOKUP($A1005,Data!$C$5:$AG$2561,G$4)</f>
        <v>2</v>
      </c>
    </row>
    <row r="1006" spans="1:3" x14ac:dyDescent="0.25">
      <c r="A1006">
        <v>2021269</v>
      </c>
      <c r="B1006">
        <f>VLOOKUP($A1006,Data!$C$5:$AG$2561,F$4)</f>
        <v>17.600000000000001</v>
      </c>
      <c r="C1006">
        <f>VLOOKUP($A1006,Data!$C$5:$AG$2561,G$4)</f>
        <v>3.8</v>
      </c>
    </row>
    <row r="1007" spans="1:3" x14ac:dyDescent="0.25">
      <c r="A1007">
        <v>2021270</v>
      </c>
      <c r="B1007">
        <f>VLOOKUP($A1007,Data!$C$5:$AG$2561,F$4)</f>
        <v>11.6</v>
      </c>
      <c r="C1007">
        <f>VLOOKUP($A1007,Data!$C$5:$AG$2561,G$4)</f>
        <v>2.7</v>
      </c>
    </row>
    <row r="1008" spans="1:3" x14ac:dyDescent="0.25">
      <c r="A1008">
        <v>2021271</v>
      </c>
      <c r="B1008">
        <f>VLOOKUP($A1008,Data!$C$5:$AG$2561,F$4)</f>
        <v>7.9</v>
      </c>
      <c r="C1008">
        <f>VLOOKUP($A1008,Data!$C$5:$AG$2561,G$4)</f>
        <v>-2</v>
      </c>
    </row>
    <row r="1009" spans="1:3" x14ac:dyDescent="0.25">
      <c r="A1009">
        <v>2021272</v>
      </c>
      <c r="B1009">
        <f>VLOOKUP($A1009,Data!$C$5:$AG$2561,F$4)</f>
        <v>8.6</v>
      </c>
      <c r="C1009">
        <f>VLOOKUP($A1009,Data!$C$5:$AG$2561,G$4)</f>
        <v>-3</v>
      </c>
    </row>
    <row r="1010" spans="1:3" x14ac:dyDescent="0.25">
      <c r="A1010">
        <v>2021273</v>
      </c>
      <c r="B1010">
        <f>VLOOKUP($A1010,Data!$C$5:$AG$2561,F$4)</f>
        <v>12.1</v>
      </c>
      <c r="C1010">
        <f>VLOOKUP($A1010,Data!$C$5:$AG$2561,G$4)</f>
        <v>0</v>
      </c>
    </row>
    <row r="1011" spans="1:3" x14ac:dyDescent="0.25">
      <c r="A1011">
        <v>2021274</v>
      </c>
      <c r="B1011">
        <f>VLOOKUP($A1011,Data!$C$5:$AG$2561,F$4)</f>
        <v>11.1</v>
      </c>
      <c r="C1011">
        <f>VLOOKUP($A1011,Data!$C$5:$AG$2561,G$4)</f>
        <v>-2.2999999999999998</v>
      </c>
    </row>
    <row r="1012" spans="1:3" x14ac:dyDescent="0.25">
      <c r="A1012">
        <v>2021275</v>
      </c>
      <c r="B1012">
        <f>VLOOKUP($A1012,Data!$C$5:$AG$2561,F$4)</f>
        <v>9.3000000000000007</v>
      </c>
      <c r="C1012">
        <f>VLOOKUP($A1012,Data!$C$5:$AG$2561,G$4)</f>
        <v>-2.1</v>
      </c>
    </row>
    <row r="1013" spans="1:3" x14ac:dyDescent="0.25">
      <c r="A1013">
        <v>2021276</v>
      </c>
      <c r="B1013">
        <f>VLOOKUP($A1013,Data!$C$5:$AG$2561,F$4)</f>
        <v>13.7</v>
      </c>
      <c r="C1013">
        <f>VLOOKUP($A1013,Data!$C$5:$AG$2561,G$4)</f>
        <v>0.4</v>
      </c>
    </row>
    <row r="1014" spans="1:3" x14ac:dyDescent="0.25">
      <c r="A1014">
        <v>2021277</v>
      </c>
      <c r="B1014">
        <f>VLOOKUP($A1014,Data!$C$5:$AG$2561,F$4)</f>
        <v>15.2</v>
      </c>
      <c r="C1014">
        <f>VLOOKUP($A1014,Data!$C$5:$AG$2561,G$4)</f>
        <v>0.7</v>
      </c>
    </row>
    <row r="1015" spans="1:3" x14ac:dyDescent="0.25">
      <c r="A1015">
        <v>2021278</v>
      </c>
      <c r="B1015">
        <f>VLOOKUP($A1015,Data!$C$5:$AG$2561,F$4)</f>
        <v>12.3</v>
      </c>
      <c r="C1015">
        <f>VLOOKUP($A1015,Data!$C$5:$AG$2561,G$4)</f>
        <v>3.2</v>
      </c>
    </row>
    <row r="1016" spans="1:3" x14ac:dyDescent="0.25">
      <c r="A1016">
        <v>2021279</v>
      </c>
      <c r="B1016">
        <f>VLOOKUP($A1016,Data!$C$5:$AG$2561,F$4)</f>
        <v>8</v>
      </c>
      <c r="C1016">
        <f>VLOOKUP($A1016,Data!$C$5:$AG$2561,G$4)</f>
        <v>-3.1</v>
      </c>
    </row>
    <row r="1017" spans="1:3" x14ac:dyDescent="0.25">
      <c r="A1017">
        <v>2021280</v>
      </c>
      <c r="B1017">
        <f>VLOOKUP($A1017,Data!$C$5:$AG$2561,F$4)</f>
        <v>7</v>
      </c>
      <c r="C1017">
        <f>VLOOKUP($A1017,Data!$C$5:$AG$2561,G$4)</f>
        <v>-5.3</v>
      </c>
    </row>
    <row r="1018" spans="1:3" x14ac:dyDescent="0.25">
      <c r="A1018">
        <v>2021281</v>
      </c>
      <c r="B1018">
        <f>VLOOKUP($A1018,Data!$C$5:$AG$2561,F$4)</f>
        <v>9</v>
      </c>
      <c r="C1018">
        <f>VLOOKUP($A1018,Data!$C$5:$AG$2561,G$4)</f>
        <v>-6.5</v>
      </c>
    </row>
    <row r="1019" spans="1:3" x14ac:dyDescent="0.25">
      <c r="A1019">
        <v>2021282</v>
      </c>
      <c r="B1019">
        <f>VLOOKUP($A1019,Data!$C$5:$AG$2561,F$4)</f>
        <v>8.3000000000000007</v>
      </c>
      <c r="C1019">
        <f>VLOOKUP($A1019,Data!$C$5:$AG$2561,G$4)</f>
        <v>-6</v>
      </c>
    </row>
    <row r="1020" spans="1:3" x14ac:dyDescent="0.25">
      <c r="A1020">
        <v>2021283</v>
      </c>
      <c r="B1020">
        <f>VLOOKUP($A1020,Data!$C$5:$AG$2561,F$4)</f>
        <v>3.7</v>
      </c>
      <c r="C1020">
        <f>VLOOKUP($A1020,Data!$C$5:$AG$2561,G$4)</f>
        <v>-6.7</v>
      </c>
    </row>
    <row r="1021" spans="1:3" x14ac:dyDescent="0.25">
      <c r="A1021">
        <v>2021284</v>
      </c>
      <c r="B1021">
        <f>VLOOKUP($A1021,Data!$C$5:$AG$2561,F$4)</f>
        <v>1.4</v>
      </c>
      <c r="C1021">
        <f>VLOOKUP($A1021,Data!$C$5:$AG$2561,G$4)</f>
        <v>-9.5</v>
      </c>
    </row>
    <row r="1022" spans="1:3" x14ac:dyDescent="0.25">
      <c r="A1022">
        <v>2021285</v>
      </c>
      <c r="B1022">
        <f>VLOOKUP($A1022,Data!$C$5:$AG$2561,F$4)</f>
        <v>2.7</v>
      </c>
      <c r="C1022">
        <f>VLOOKUP($A1022,Data!$C$5:$AG$2561,G$4)</f>
        <v>-12.7</v>
      </c>
    </row>
    <row r="1023" spans="1:3" x14ac:dyDescent="0.25">
      <c r="A1023">
        <v>2021286</v>
      </c>
      <c r="B1023">
        <f>VLOOKUP($A1023,Data!$C$5:$AG$2561,F$4)</f>
        <v>3</v>
      </c>
      <c r="C1023">
        <f>VLOOKUP($A1023,Data!$C$5:$AG$2561,G$4)</f>
        <v>-5.3</v>
      </c>
    </row>
    <row r="1024" spans="1:3" x14ac:dyDescent="0.25">
      <c r="A1024">
        <v>2021287</v>
      </c>
      <c r="B1024">
        <f>VLOOKUP($A1024,Data!$C$5:$AG$2561,F$4)</f>
        <v>4.2</v>
      </c>
      <c r="C1024">
        <f>VLOOKUP($A1024,Data!$C$5:$AG$2561,G$4)</f>
        <v>-4.7</v>
      </c>
    </row>
    <row r="1025" spans="1:3" x14ac:dyDescent="0.25">
      <c r="A1025">
        <v>2021288</v>
      </c>
      <c r="B1025">
        <f>VLOOKUP($A1025,Data!$C$5:$AG$2561,F$4)</f>
        <v>3.8</v>
      </c>
      <c r="C1025">
        <f>VLOOKUP($A1025,Data!$C$5:$AG$2561,G$4)</f>
        <v>-0.1</v>
      </c>
    </row>
    <row r="1026" spans="1:3" x14ac:dyDescent="0.25">
      <c r="A1026">
        <v>2021289</v>
      </c>
      <c r="B1026">
        <f>VLOOKUP($A1026,Data!$C$5:$AG$2561,F$4)</f>
        <v>11.5</v>
      </c>
      <c r="C1026">
        <f>VLOOKUP($A1026,Data!$C$5:$AG$2561,G$4)</f>
        <v>1.3</v>
      </c>
    </row>
    <row r="1027" spans="1:3" x14ac:dyDescent="0.25">
      <c r="A1027">
        <v>2021290</v>
      </c>
      <c r="B1027">
        <f>VLOOKUP($A1027,Data!$C$5:$AG$2561,F$4)</f>
        <v>12.9</v>
      </c>
      <c r="C1027">
        <f>VLOOKUP($A1027,Data!$C$5:$AG$2561,G$4)</f>
        <v>-1.7</v>
      </c>
    </row>
    <row r="1028" spans="1:3" x14ac:dyDescent="0.25">
      <c r="A1028">
        <v>2021291</v>
      </c>
      <c r="B1028">
        <f>VLOOKUP($A1028,Data!$C$5:$AG$2561,F$4)</f>
        <v>12.8</v>
      </c>
      <c r="C1028">
        <f>VLOOKUP($A1028,Data!$C$5:$AG$2561,G$4)</f>
        <v>-2.6</v>
      </c>
    </row>
    <row r="1029" spans="1:3" x14ac:dyDescent="0.25">
      <c r="A1029">
        <v>2021292</v>
      </c>
      <c r="B1029">
        <f>VLOOKUP($A1029,Data!$C$5:$AG$2561,F$4)</f>
        <v>13.2</v>
      </c>
      <c r="C1029">
        <f>VLOOKUP($A1029,Data!$C$5:$AG$2561,G$4)</f>
        <v>-2.5</v>
      </c>
    </row>
    <row r="1030" spans="1:3" x14ac:dyDescent="0.25">
      <c r="A1030">
        <v>2021293</v>
      </c>
      <c r="B1030">
        <f>VLOOKUP($A1030,Data!$C$5:$AG$2561,F$4)</f>
        <v>8</v>
      </c>
      <c r="C1030">
        <f>VLOOKUP($A1030,Data!$C$5:$AG$2561,G$4)</f>
        <v>-0.6</v>
      </c>
    </row>
    <row r="1031" spans="1:3" x14ac:dyDescent="0.25">
      <c r="A1031">
        <v>2021294</v>
      </c>
      <c r="B1031">
        <f>VLOOKUP($A1031,Data!$C$5:$AG$2561,F$4)</f>
        <v>7.7</v>
      </c>
      <c r="C1031">
        <f>VLOOKUP($A1031,Data!$C$5:$AG$2561,G$4)</f>
        <v>-0.7</v>
      </c>
    </row>
    <row r="1032" spans="1:3" x14ac:dyDescent="0.25">
      <c r="A1032">
        <v>2021295</v>
      </c>
      <c r="B1032">
        <f>VLOOKUP($A1032,Data!$C$5:$AG$2561,F$4)</f>
        <v>7.7</v>
      </c>
      <c r="C1032">
        <f>VLOOKUP($A1032,Data!$C$5:$AG$2561,G$4)</f>
        <v>1.4</v>
      </c>
    </row>
    <row r="1033" spans="1:3" x14ac:dyDescent="0.25">
      <c r="A1033">
        <v>2021296</v>
      </c>
      <c r="B1033">
        <f>VLOOKUP($A1033,Data!$C$5:$AG$2561,F$4)</f>
        <v>6.4</v>
      </c>
      <c r="C1033">
        <f>VLOOKUP($A1033,Data!$C$5:$AG$2561,G$4)</f>
        <v>0.5</v>
      </c>
    </row>
    <row r="1034" spans="1:3" x14ac:dyDescent="0.25">
      <c r="A1034">
        <v>2021297</v>
      </c>
      <c r="B1034">
        <f>VLOOKUP($A1034,Data!$C$5:$AG$2561,F$4)</f>
        <v>2.8</v>
      </c>
      <c r="C1034">
        <f>VLOOKUP($A1034,Data!$C$5:$AG$2561,G$4)</f>
        <v>0.3</v>
      </c>
    </row>
    <row r="1035" spans="1:3" x14ac:dyDescent="0.25">
      <c r="A1035">
        <v>2021298</v>
      </c>
      <c r="B1035">
        <f>VLOOKUP($A1035,Data!$C$5:$AG$2561,F$4)</f>
        <v>2.8</v>
      </c>
      <c r="C1035">
        <f>VLOOKUP($A1035,Data!$C$5:$AG$2561,G$4)</f>
        <v>0</v>
      </c>
    </row>
    <row r="1036" spans="1:3" x14ac:dyDescent="0.25">
      <c r="A1036">
        <v>2021299</v>
      </c>
      <c r="B1036">
        <f>VLOOKUP($A1036,Data!$C$5:$AG$2561,F$4)</f>
        <v>4.5</v>
      </c>
      <c r="C1036">
        <f>VLOOKUP($A1036,Data!$C$5:$AG$2561,G$4)</f>
        <v>-1.1000000000000001</v>
      </c>
    </row>
    <row r="1037" spans="1:3" x14ac:dyDescent="0.25">
      <c r="A1037">
        <v>2021300</v>
      </c>
      <c r="B1037">
        <f>VLOOKUP($A1037,Data!$C$5:$AG$2561,F$4)</f>
        <v>4</v>
      </c>
      <c r="C1037">
        <f>VLOOKUP($A1037,Data!$C$5:$AG$2561,G$4)</f>
        <v>-1.5</v>
      </c>
    </row>
    <row r="1038" spans="1:3" x14ac:dyDescent="0.25">
      <c r="A1038">
        <v>2021301</v>
      </c>
      <c r="B1038">
        <f>VLOOKUP($A1038,Data!$C$5:$AG$2561,F$4)</f>
        <v>1.7</v>
      </c>
      <c r="C1038">
        <f>VLOOKUP($A1038,Data!$C$5:$AG$2561,G$4)</f>
        <v>-1.1000000000000001</v>
      </c>
    </row>
    <row r="1039" spans="1:3" x14ac:dyDescent="0.25">
      <c r="A1039">
        <v>2021302</v>
      </c>
      <c r="B1039">
        <f>VLOOKUP($A1039,Data!$C$5:$AG$2561,F$4)</f>
        <v>1</v>
      </c>
      <c r="C1039">
        <f>VLOOKUP($A1039,Data!$C$5:$AG$2561,G$4)</f>
        <v>-9.4</v>
      </c>
    </row>
    <row r="1040" spans="1:3" x14ac:dyDescent="0.25">
      <c r="A1040">
        <v>2021303</v>
      </c>
      <c r="B1040">
        <f>VLOOKUP($A1040,Data!$C$5:$AG$2561,F$4)</f>
        <v>1.8</v>
      </c>
      <c r="C1040">
        <f>VLOOKUP($A1040,Data!$C$5:$AG$2561,G$4)</f>
        <v>-11</v>
      </c>
    </row>
    <row r="1041" spans="1:3" x14ac:dyDescent="0.25">
      <c r="A1041">
        <v>2021304</v>
      </c>
      <c r="B1041">
        <f>VLOOKUP($A1041,Data!$C$5:$AG$2561,F$4)</f>
        <v>4</v>
      </c>
      <c r="C1041">
        <f>VLOOKUP($A1041,Data!$C$5:$AG$2561,G$4)</f>
        <v>-12.7</v>
      </c>
    </row>
    <row r="1042" spans="1:3" x14ac:dyDescent="0.25">
      <c r="A1042">
        <v>2021305</v>
      </c>
      <c r="B1042">
        <f>VLOOKUP($A1042,Data!$C$5:$AG$2561,F$4)</f>
        <v>5.3</v>
      </c>
      <c r="C1042">
        <f>VLOOKUP($A1042,Data!$C$5:$AG$2561,G$4)</f>
        <v>-12.2</v>
      </c>
    </row>
    <row r="1043" spans="1:3" x14ac:dyDescent="0.25">
      <c r="A1043">
        <v>2021306</v>
      </c>
      <c r="B1043">
        <f>VLOOKUP($A1043,Data!$C$5:$AG$2561,F$4)</f>
        <v>0.8</v>
      </c>
      <c r="C1043">
        <f>VLOOKUP($A1043,Data!$C$5:$AG$2561,G$4)</f>
        <v>-2.1</v>
      </c>
    </row>
    <row r="1044" spans="1:3" x14ac:dyDescent="0.25">
      <c r="A1044">
        <v>2021307</v>
      </c>
      <c r="B1044">
        <f>VLOOKUP($A1044,Data!$C$5:$AG$2561,F$4)</f>
        <v>3.4</v>
      </c>
      <c r="C1044">
        <f>VLOOKUP($A1044,Data!$C$5:$AG$2561,G$4)</f>
        <v>-0.4</v>
      </c>
    </row>
    <row r="1045" spans="1:3" x14ac:dyDescent="0.25">
      <c r="A1045">
        <v>2021308</v>
      </c>
      <c r="B1045">
        <f>VLOOKUP($A1045,Data!$C$5:$AG$2561,F$4)</f>
        <v>6</v>
      </c>
      <c r="C1045">
        <f>VLOOKUP($A1045,Data!$C$5:$AG$2561,G$4)</f>
        <v>0</v>
      </c>
    </row>
    <row r="1046" spans="1:3" x14ac:dyDescent="0.25">
      <c r="A1046">
        <v>2021309</v>
      </c>
      <c r="B1046">
        <f>VLOOKUP($A1046,Data!$C$5:$AG$2561,F$4)</f>
        <v>2.2000000000000002</v>
      </c>
      <c r="C1046">
        <f>VLOOKUP($A1046,Data!$C$5:$AG$2561,G$4)</f>
        <v>-5.8</v>
      </c>
    </row>
    <row r="1047" spans="1:3" x14ac:dyDescent="0.25">
      <c r="A1047">
        <v>2021310</v>
      </c>
      <c r="B1047">
        <f>VLOOKUP($A1047,Data!$C$5:$AG$2561,F$4)</f>
        <v>-0.2</v>
      </c>
      <c r="C1047">
        <f>VLOOKUP($A1047,Data!$C$5:$AG$2561,G$4)</f>
        <v>-7.9</v>
      </c>
    </row>
    <row r="1048" spans="1:3" x14ac:dyDescent="0.25">
      <c r="A1048">
        <v>2021311</v>
      </c>
      <c r="B1048">
        <f>VLOOKUP($A1048,Data!$C$5:$AG$2561,F$4)</f>
        <v>-0.9</v>
      </c>
      <c r="C1048">
        <f>VLOOKUP($A1048,Data!$C$5:$AG$2561,G$4)</f>
        <v>-10.6</v>
      </c>
    </row>
    <row r="1049" spans="1:3" x14ac:dyDescent="0.25">
      <c r="A1049">
        <v>2021312</v>
      </c>
      <c r="B1049">
        <f>VLOOKUP($A1049,Data!$C$5:$AG$2561,F$4)</f>
        <v>0.9</v>
      </c>
      <c r="C1049">
        <f>VLOOKUP($A1049,Data!$C$5:$AG$2561,G$4)</f>
        <v>-10.7</v>
      </c>
    </row>
    <row r="1050" spans="1:3" x14ac:dyDescent="0.25">
      <c r="A1050">
        <v>2021313</v>
      </c>
      <c r="B1050">
        <f>VLOOKUP($A1050,Data!$C$5:$AG$2561,F$4)</f>
        <v>0.9</v>
      </c>
      <c r="C1050">
        <f>VLOOKUP($A1050,Data!$C$5:$AG$2561,G$4)</f>
        <v>-6.4</v>
      </c>
    </row>
    <row r="1051" spans="1:3" x14ac:dyDescent="0.25">
      <c r="A1051">
        <v>2021314</v>
      </c>
      <c r="B1051">
        <f>VLOOKUP($A1051,Data!$C$5:$AG$2561,F$4)</f>
        <v>1.4</v>
      </c>
      <c r="C1051">
        <f>VLOOKUP($A1051,Data!$C$5:$AG$2561,G$4)</f>
        <v>-10.4</v>
      </c>
    </row>
    <row r="1052" spans="1:3" x14ac:dyDescent="0.25">
      <c r="A1052">
        <v>2021315</v>
      </c>
      <c r="B1052">
        <f>VLOOKUP($A1052,Data!$C$5:$AG$2561,F$4)</f>
        <v>-0.8</v>
      </c>
      <c r="C1052">
        <f>VLOOKUP($A1052,Data!$C$5:$AG$2561,G$4)</f>
        <v>-4.4000000000000004</v>
      </c>
    </row>
    <row r="1053" spans="1:3" x14ac:dyDescent="0.25">
      <c r="A1053">
        <v>2021316</v>
      </c>
      <c r="B1053">
        <f>VLOOKUP($A1053,Data!$C$5:$AG$2561,F$4)</f>
        <v>5</v>
      </c>
      <c r="C1053">
        <f>VLOOKUP($A1053,Data!$C$5:$AG$2561,G$4)</f>
        <v>-2.1</v>
      </c>
    </row>
    <row r="1054" spans="1:3" x14ac:dyDescent="0.25">
      <c r="A1054">
        <v>2021317</v>
      </c>
      <c r="B1054">
        <f>VLOOKUP($A1054,Data!$C$5:$AG$2561,F$4)</f>
        <v>1.2</v>
      </c>
      <c r="C1054">
        <f>VLOOKUP($A1054,Data!$C$5:$AG$2561,G$4)</f>
        <v>-2.8</v>
      </c>
    </row>
    <row r="1055" spans="1:3" x14ac:dyDescent="0.25">
      <c r="A1055">
        <v>2021318</v>
      </c>
      <c r="B1055">
        <f>VLOOKUP($A1055,Data!$C$5:$AG$2561,F$4)</f>
        <v>4.4000000000000004</v>
      </c>
      <c r="C1055">
        <f>VLOOKUP($A1055,Data!$C$5:$AG$2561,G$4)</f>
        <v>-2.5</v>
      </c>
    </row>
    <row r="1056" spans="1:3" x14ac:dyDescent="0.25">
      <c r="A1056">
        <v>2021319</v>
      </c>
      <c r="B1056">
        <f>VLOOKUP($A1056,Data!$C$5:$AG$2561,F$4)</f>
        <v>5.0999999999999996</v>
      </c>
      <c r="C1056">
        <f>VLOOKUP($A1056,Data!$C$5:$AG$2561,G$4)</f>
        <v>-6.8</v>
      </c>
    </row>
    <row r="1057" spans="1:3" x14ac:dyDescent="0.25">
      <c r="A1057">
        <v>2021320</v>
      </c>
      <c r="B1057">
        <f>VLOOKUP($A1057,Data!$C$5:$AG$2561,F$4)</f>
        <v>-2.6</v>
      </c>
      <c r="C1057">
        <f>VLOOKUP($A1057,Data!$C$5:$AG$2561,G$4)</f>
        <v>-16.7</v>
      </c>
    </row>
    <row r="1058" spans="1:3" x14ac:dyDescent="0.25">
      <c r="A1058">
        <v>2021321</v>
      </c>
      <c r="B1058">
        <f>VLOOKUP($A1058,Data!$C$5:$AG$2561,F$4)</f>
        <v>-4.8</v>
      </c>
      <c r="C1058">
        <f>VLOOKUP($A1058,Data!$C$5:$AG$2561,G$4)</f>
        <v>-18.2</v>
      </c>
    </row>
    <row r="1059" spans="1:3" x14ac:dyDescent="0.25">
      <c r="A1059">
        <v>2021322</v>
      </c>
      <c r="B1059">
        <f>VLOOKUP($A1059,Data!$C$5:$AG$2561,F$4)</f>
        <v>-5.3</v>
      </c>
      <c r="C1059">
        <f>VLOOKUP($A1059,Data!$C$5:$AG$2561,G$4)</f>
        <v>-8.6999999999999993</v>
      </c>
    </row>
    <row r="1060" spans="1:3" x14ac:dyDescent="0.25">
      <c r="A1060">
        <v>2021323</v>
      </c>
      <c r="B1060">
        <f>VLOOKUP($A1060,Data!$C$5:$AG$2561,F$4)</f>
        <v>-1.4</v>
      </c>
      <c r="C1060">
        <f>VLOOKUP($A1060,Data!$C$5:$AG$2561,G$4)</f>
        <v>-14.4</v>
      </c>
    </row>
    <row r="1061" spans="1:3" x14ac:dyDescent="0.25">
      <c r="A1061">
        <v>2021324</v>
      </c>
      <c r="B1061">
        <f>VLOOKUP($A1061,Data!$C$5:$AG$2561,F$4)</f>
        <v>0.4</v>
      </c>
      <c r="C1061">
        <f>VLOOKUP($A1061,Data!$C$5:$AG$2561,G$4)</f>
        <v>-11.6</v>
      </c>
    </row>
    <row r="1062" spans="1:3" x14ac:dyDescent="0.25">
      <c r="A1062">
        <v>2021325</v>
      </c>
      <c r="B1062">
        <f>VLOOKUP($A1062,Data!$C$5:$AG$2561,F$4)</f>
        <v>-3.1</v>
      </c>
      <c r="C1062">
        <f>VLOOKUP($A1062,Data!$C$5:$AG$2561,G$4)</f>
        <v>-5.6</v>
      </c>
    </row>
    <row r="1063" spans="1:3" x14ac:dyDescent="0.25">
      <c r="A1063">
        <v>2021326</v>
      </c>
      <c r="B1063">
        <f>VLOOKUP($A1063,Data!$C$5:$AG$2561,F$4)</f>
        <v>-1.2</v>
      </c>
      <c r="C1063">
        <f>VLOOKUP($A1063,Data!$C$5:$AG$2561,G$4)</f>
        <v>-6.2</v>
      </c>
    </row>
    <row r="1064" spans="1:3" x14ac:dyDescent="0.25">
      <c r="A1064">
        <v>2021327</v>
      </c>
      <c r="B1064">
        <f>VLOOKUP($A1064,Data!$C$5:$AG$2561,F$4)</f>
        <v>-0.7</v>
      </c>
      <c r="C1064">
        <f>VLOOKUP($A1064,Data!$C$5:$AG$2561,G$4)</f>
        <v>-7.8</v>
      </c>
    </row>
    <row r="1065" spans="1:3" x14ac:dyDescent="0.25">
      <c r="A1065">
        <v>2021328</v>
      </c>
      <c r="B1065">
        <f>VLOOKUP($A1065,Data!$C$5:$AG$2561,F$4)</f>
        <v>-1.3</v>
      </c>
      <c r="C1065">
        <f>VLOOKUP($A1065,Data!$C$5:$AG$2561,G$4)</f>
        <v>-10.6</v>
      </c>
    </row>
    <row r="1066" spans="1:3" x14ac:dyDescent="0.25">
      <c r="A1066">
        <v>2021329</v>
      </c>
      <c r="B1066">
        <f>VLOOKUP($A1066,Data!$C$5:$AG$2561,F$4)</f>
        <v>-1.1000000000000001</v>
      </c>
      <c r="C1066">
        <f>VLOOKUP($A1066,Data!$C$5:$AG$2561,G$4)</f>
        <v>-5.9</v>
      </c>
    </row>
    <row r="1067" spans="1:3" x14ac:dyDescent="0.25">
      <c r="A1067">
        <v>2021330</v>
      </c>
      <c r="B1067">
        <f>VLOOKUP($A1067,Data!$C$5:$AG$2561,F$4)</f>
        <v>2.8</v>
      </c>
      <c r="C1067">
        <f>VLOOKUP($A1067,Data!$C$5:$AG$2561,G$4)</f>
        <v>-7.5</v>
      </c>
    </row>
    <row r="1068" spans="1:3" x14ac:dyDescent="0.25">
      <c r="A1068">
        <v>2021331</v>
      </c>
      <c r="B1068">
        <f>VLOOKUP($A1068,Data!$C$5:$AG$2561,F$4)</f>
        <v>0.6</v>
      </c>
      <c r="C1068">
        <f>VLOOKUP($A1068,Data!$C$5:$AG$2561,G$4)</f>
        <v>-7.1</v>
      </c>
    </row>
    <row r="1069" spans="1:3" x14ac:dyDescent="0.25">
      <c r="A1069">
        <v>2021332</v>
      </c>
      <c r="B1069">
        <f>VLOOKUP($A1069,Data!$C$5:$AG$2561,F$4)</f>
        <v>4.0999999999999996</v>
      </c>
      <c r="C1069">
        <f>VLOOKUP($A1069,Data!$C$5:$AG$2561,G$4)</f>
        <v>0.1</v>
      </c>
    </row>
    <row r="1070" spans="1:3" x14ac:dyDescent="0.25">
      <c r="A1070">
        <v>2021333</v>
      </c>
      <c r="B1070">
        <f>VLOOKUP($A1070,Data!$C$5:$AG$2561,F$4)</f>
        <v>4.0999999999999996</v>
      </c>
      <c r="C1070">
        <f>VLOOKUP($A1070,Data!$C$5:$AG$2561,G$4)</f>
        <v>-0.8</v>
      </c>
    </row>
    <row r="1071" spans="1:3" x14ac:dyDescent="0.25">
      <c r="A1071">
        <v>2021334</v>
      </c>
      <c r="B1071">
        <f>VLOOKUP($A1071,Data!$C$5:$AG$2561,F$4)</f>
        <v>4.9000000000000004</v>
      </c>
      <c r="C1071">
        <f>VLOOKUP($A1071,Data!$C$5:$AG$2561,G$4)</f>
        <v>0</v>
      </c>
    </row>
    <row r="1072" spans="1:3" x14ac:dyDescent="0.25">
      <c r="A1072">
        <v>2021335</v>
      </c>
      <c r="B1072">
        <f>VLOOKUP($A1072,Data!$C$5:$AG$2561,F$4)</f>
        <v>9</v>
      </c>
      <c r="C1072">
        <f>VLOOKUP($A1072,Data!$C$5:$AG$2561,G$4)</f>
        <v>2.5</v>
      </c>
    </row>
    <row r="1073" spans="1:3" x14ac:dyDescent="0.25">
      <c r="A1073">
        <v>2021336</v>
      </c>
      <c r="B1073">
        <f>VLOOKUP($A1073,Data!$C$5:$AG$2561,F$4)</f>
        <v>3.8</v>
      </c>
      <c r="C1073">
        <f>VLOOKUP($A1073,Data!$C$5:$AG$2561,G$4)</f>
        <v>-6.4</v>
      </c>
    </row>
    <row r="1074" spans="1:3" x14ac:dyDescent="0.25">
      <c r="A1074">
        <v>2021337</v>
      </c>
      <c r="B1074">
        <f>VLOOKUP($A1074,Data!$C$5:$AG$2561,F$4)</f>
        <v>-3.8</v>
      </c>
      <c r="C1074">
        <f>VLOOKUP($A1074,Data!$C$5:$AG$2561,G$4)</f>
        <v>-9.1</v>
      </c>
    </row>
    <row r="1075" spans="1:3" x14ac:dyDescent="0.25">
      <c r="A1075">
        <v>2021338</v>
      </c>
      <c r="B1075">
        <f>VLOOKUP($A1075,Data!$C$5:$AG$2561,F$4)</f>
        <v>-4.5999999999999996</v>
      </c>
      <c r="C1075">
        <f>VLOOKUP($A1075,Data!$C$5:$AG$2561,G$4)</f>
        <v>-9.1999999999999993</v>
      </c>
    </row>
    <row r="1076" spans="1:3" x14ac:dyDescent="0.25">
      <c r="A1076">
        <v>2021339</v>
      </c>
      <c r="B1076">
        <f>VLOOKUP($A1076,Data!$C$5:$AG$2561,F$4)</f>
        <v>-8.1999999999999993</v>
      </c>
      <c r="C1076">
        <f>VLOOKUP($A1076,Data!$C$5:$AG$2561,G$4)</f>
        <v>-17.5</v>
      </c>
    </row>
    <row r="1077" spans="1:3" x14ac:dyDescent="0.25">
      <c r="A1077">
        <v>2021340</v>
      </c>
      <c r="B1077">
        <f>VLOOKUP($A1077,Data!$C$5:$AG$2561,F$4)</f>
        <v>-5.5</v>
      </c>
      <c r="C1077">
        <f>VLOOKUP($A1077,Data!$C$5:$AG$2561,G$4)</f>
        <v>-12.3</v>
      </c>
    </row>
    <row r="1078" spans="1:3" x14ac:dyDescent="0.25">
      <c r="A1078">
        <v>2021341</v>
      </c>
      <c r="B1078">
        <f>VLOOKUP($A1078,Data!$C$5:$AG$2561,F$4)</f>
        <v>-1</v>
      </c>
      <c r="C1078">
        <f>VLOOKUP($A1078,Data!$C$5:$AG$2561,G$4)</f>
        <v>-8</v>
      </c>
    </row>
    <row r="1079" spans="1:3" x14ac:dyDescent="0.25">
      <c r="A1079">
        <v>2021342</v>
      </c>
      <c r="B1079">
        <f>VLOOKUP($A1079,Data!$C$5:$AG$2561,F$4)</f>
        <v>-4.4000000000000004</v>
      </c>
      <c r="C1079">
        <f>VLOOKUP($A1079,Data!$C$5:$AG$2561,G$4)</f>
        <v>-8.6</v>
      </c>
    </row>
    <row r="1080" spans="1:3" x14ac:dyDescent="0.25">
      <c r="A1080">
        <v>2021343</v>
      </c>
      <c r="B1080">
        <f>VLOOKUP($A1080,Data!$C$5:$AG$2561,F$4)</f>
        <v>-5.7</v>
      </c>
      <c r="C1080">
        <f>VLOOKUP($A1080,Data!$C$5:$AG$2561,G$4)</f>
        <v>-12.3</v>
      </c>
    </row>
    <row r="1081" spans="1:3" x14ac:dyDescent="0.25">
      <c r="A1081">
        <v>2021344</v>
      </c>
      <c r="B1081">
        <f>VLOOKUP($A1081,Data!$C$5:$AG$2561,F$4)</f>
        <v>-4.9000000000000004</v>
      </c>
      <c r="C1081">
        <f>VLOOKUP($A1081,Data!$C$5:$AG$2561,G$4)</f>
        <v>-14.4</v>
      </c>
    </row>
    <row r="1082" spans="1:3" x14ac:dyDescent="0.25">
      <c r="A1082">
        <v>2021345</v>
      </c>
      <c r="B1082">
        <f>VLOOKUP($A1082,Data!$C$5:$AG$2561,F$4)</f>
        <v>-1</v>
      </c>
      <c r="C1082">
        <f>VLOOKUP($A1082,Data!$C$5:$AG$2561,G$4)</f>
        <v>-11.6</v>
      </c>
    </row>
    <row r="1083" spans="1:3" x14ac:dyDescent="0.25">
      <c r="A1083">
        <v>2021346</v>
      </c>
      <c r="B1083">
        <f>VLOOKUP($A1083,Data!$C$5:$AG$2561,F$4)</f>
        <v>-3.5</v>
      </c>
      <c r="C1083">
        <f>VLOOKUP($A1083,Data!$C$5:$AG$2561,G$4)</f>
        <v>-15.2</v>
      </c>
    </row>
    <row r="1084" spans="1:3" x14ac:dyDescent="0.25">
      <c r="A1084">
        <v>2021347</v>
      </c>
      <c r="B1084">
        <f>VLOOKUP($A1084,Data!$C$5:$AG$2561,F$4)</f>
        <v>-3.3</v>
      </c>
      <c r="C1084">
        <f>VLOOKUP($A1084,Data!$C$5:$AG$2561,G$4)</f>
        <v>-6.8</v>
      </c>
    </row>
    <row r="1085" spans="1:3" x14ac:dyDescent="0.25">
      <c r="A1085">
        <v>2021348</v>
      </c>
      <c r="B1085">
        <f>VLOOKUP($A1085,Data!$C$5:$AG$2561,F$4)</f>
        <v>-3.9</v>
      </c>
      <c r="C1085">
        <f>VLOOKUP($A1085,Data!$C$5:$AG$2561,G$4)</f>
        <v>-17.2</v>
      </c>
    </row>
    <row r="1086" spans="1:3" x14ac:dyDescent="0.25">
      <c r="A1086">
        <v>2021349</v>
      </c>
      <c r="B1086">
        <f>VLOOKUP($A1086,Data!$C$5:$AG$2561,F$4)</f>
        <v>-7</v>
      </c>
      <c r="C1086">
        <f>VLOOKUP($A1086,Data!$C$5:$AG$2561,G$4)</f>
        <v>-18.399999999999999</v>
      </c>
    </row>
    <row r="1087" spans="1:3" x14ac:dyDescent="0.25">
      <c r="A1087">
        <v>2021350</v>
      </c>
      <c r="B1087">
        <f>VLOOKUP($A1087,Data!$C$5:$AG$2561,F$4)</f>
        <v>-7.5</v>
      </c>
      <c r="C1087">
        <f>VLOOKUP($A1087,Data!$C$5:$AG$2561,G$4)</f>
        <v>-16.8</v>
      </c>
    </row>
    <row r="1088" spans="1:3" x14ac:dyDescent="0.25">
      <c r="A1088">
        <v>2021351</v>
      </c>
      <c r="B1088">
        <f>VLOOKUP($A1088,Data!$C$5:$AG$2561,F$4)</f>
        <v>-9.1</v>
      </c>
      <c r="C1088">
        <f>VLOOKUP($A1088,Data!$C$5:$AG$2561,G$4)</f>
        <v>-23.5</v>
      </c>
    </row>
    <row r="1089" spans="1:3" x14ac:dyDescent="0.25">
      <c r="A1089">
        <v>2021352</v>
      </c>
      <c r="B1089">
        <f>VLOOKUP($A1089,Data!$C$5:$AG$2561,F$4)</f>
        <v>-8</v>
      </c>
      <c r="C1089">
        <f>VLOOKUP($A1089,Data!$C$5:$AG$2561,G$4)</f>
        <v>-12.9</v>
      </c>
    </row>
    <row r="1090" spans="1:3" x14ac:dyDescent="0.25">
      <c r="A1090">
        <v>2021353</v>
      </c>
      <c r="B1090">
        <f>VLOOKUP($A1090,Data!$C$5:$AG$2561,F$4)</f>
        <v>-6.9</v>
      </c>
      <c r="C1090">
        <f>VLOOKUP($A1090,Data!$C$5:$AG$2561,G$4)</f>
        <v>-23.2</v>
      </c>
    </row>
    <row r="1091" spans="1:3" x14ac:dyDescent="0.25">
      <c r="A1091">
        <v>2021354</v>
      </c>
      <c r="B1091">
        <f>VLOOKUP($A1091,Data!$C$5:$AG$2561,F$4)</f>
        <v>-11.1</v>
      </c>
      <c r="C1091">
        <f>VLOOKUP($A1091,Data!$C$5:$AG$2561,G$4)</f>
        <v>-23.7</v>
      </c>
    </row>
    <row r="1092" spans="1:3" x14ac:dyDescent="0.25">
      <c r="A1092">
        <v>2021355</v>
      </c>
      <c r="B1092">
        <f>VLOOKUP($A1092,Data!$C$5:$AG$2561,F$4)</f>
        <v>-2.1</v>
      </c>
      <c r="C1092">
        <f>VLOOKUP($A1092,Data!$C$5:$AG$2561,G$4)</f>
        <v>-22.6</v>
      </c>
    </row>
    <row r="1093" spans="1:3" x14ac:dyDescent="0.25">
      <c r="A1093">
        <v>2021356</v>
      </c>
      <c r="B1093">
        <f>VLOOKUP($A1093,Data!$C$5:$AG$2561,F$4)</f>
        <v>-3</v>
      </c>
      <c r="C1093">
        <f>VLOOKUP($A1093,Data!$C$5:$AG$2561,G$4)</f>
        <v>-9.9</v>
      </c>
    </row>
    <row r="1094" spans="1:3" x14ac:dyDescent="0.25">
      <c r="A1094">
        <v>2021357</v>
      </c>
      <c r="B1094">
        <f>VLOOKUP($A1094,Data!$C$5:$AG$2561,F$4)</f>
        <v>-3</v>
      </c>
      <c r="C1094">
        <f>VLOOKUP($A1094,Data!$C$5:$AG$2561,G$4)</f>
        <v>-8.4</v>
      </c>
    </row>
    <row r="1095" spans="1:3" x14ac:dyDescent="0.25">
      <c r="A1095">
        <v>2021358</v>
      </c>
      <c r="B1095">
        <f>VLOOKUP($A1095,Data!$C$5:$AG$2561,F$4)</f>
        <v>-6</v>
      </c>
      <c r="C1095">
        <f>VLOOKUP($A1095,Data!$C$5:$AG$2561,G$4)</f>
        <v>-15.8</v>
      </c>
    </row>
    <row r="1096" spans="1:3" x14ac:dyDescent="0.25">
      <c r="A1096">
        <v>2021359</v>
      </c>
      <c r="B1096">
        <f>VLOOKUP($A1096,Data!$C$5:$AG$2561,F$4)</f>
        <v>-9.9</v>
      </c>
      <c r="C1096">
        <f>VLOOKUP($A1096,Data!$C$5:$AG$2561,G$4)</f>
        <v>-22.2</v>
      </c>
    </row>
    <row r="1097" spans="1:3" x14ac:dyDescent="0.25">
      <c r="A1097">
        <v>2021360</v>
      </c>
      <c r="B1097">
        <f>VLOOKUP($A1097,Data!$C$5:$AG$2561,F$4)</f>
        <v>-22.3</v>
      </c>
      <c r="C1097">
        <f>VLOOKUP($A1097,Data!$C$5:$AG$2561,G$4)</f>
        <v>-28.8</v>
      </c>
    </row>
    <row r="1098" spans="1:3" x14ac:dyDescent="0.25">
      <c r="A1098">
        <v>2021361</v>
      </c>
      <c r="B1098">
        <f>VLOOKUP($A1098,Data!$C$5:$AG$2561,F$4)</f>
        <v>-14</v>
      </c>
      <c r="C1098">
        <f>VLOOKUP($A1098,Data!$C$5:$AG$2561,G$4)</f>
        <v>-34.5</v>
      </c>
    </row>
    <row r="1099" spans="1:3" x14ac:dyDescent="0.25">
      <c r="A1099">
        <v>2021362</v>
      </c>
      <c r="B1099">
        <f>VLOOKUP($A1099,Data!$C$5:$AG$2561,F$4)</f>
        <v>-13.2</v>
      </c>
      <c r="C1099">
        <f>VLOOKUP($A1099,Data!$C$5:$AG$2561,G$4)</f>
        <v>-21.5</v>
      </c>
    </row>
    <row r="1100" spans="1:3" x14ac:dyDescent="0.25">
      <c r="A1100">
        <v>2021363</v>
      </c>
      <c r="B1100">
        <f>VLOOKUP($A1100,Data!$C$5:$AG$2561,F$4)</f>
        <v>-17.8</v>
      </c>
      <c r="C1100">
        <f>VLOOKUP($A1100,Data!$C$5:$AG$2561,G$4)</f>
        <v>-25.6</v>
      </c>
    </row>
    <row r="1101" spans="1:3" x14ac:dyDescent="0.25">
      <c r="A1101">
        <v>2021364</v>
      </c>
      <c r="B1101">
        <f>VLOOKUP($A1101,Data!$C$5:$AG$2561,F$4)</f>
        <v>-12.2</v>
      </c>
      <c r="C1101">
        <f>VLOOKUP($A1101,Data!$C$5:$AG$2561,G$4)</f>
        <v>-20.6</v>
      </c>
    </row>
    <row r="1102" spans="1:3" x14ac:dyDescent="0.25">
      <c r="A1102">
        <v>2021365</v>
      </c>
      <c r="B1102">
        <f>VLOOKUP($A1102,Data!$C$5:$AG$2561,F$4)</f>
        <v>-18</v>
      </c>
      <c r="C1102">
        <f>VLOOKUP($A1102,Data!$C$5:$AG$2561,G$4)</f>
        <v>-27.8</v>
      </c>
    </row>
    <row r="1103" spans="1:3" x14ac:dyDescent="0.25">
      <c r="A1103">
        <v>2022001</v>
      </c>
      <c r="B1103">
        <f>VLOOKUP($A1103,Data!$C$5:$AG$2561,F$4)</f>
        <v>-17.5</v>
      </c>
      <c r="C1103">
        <f>VLOOKUP($A1103,Data!$C$5:$AG$2561,G$4)</f>
        <v>-27.7</v>
      </c>
    </row>
    <row r="1104" spans="1:3" x14ac:dyDescent="0.25">
      <c r="A1104">
        <v>2022002</v>
      </c>
      <c r="B1104">
        <f>VLOOKUP($A1104,Data!$C$5:$AG$2561,F$4)</f>
        <v>-9.1</v>
      </c>
      <c r="C1104">
        <f>VLOOKUP($A1104,Data!$C$5:$AG$2561,G$4)</f>
        <v>-22.1</v>
      </c>
    </row>
    <row r="1105" spans="1:3" x14ac:dyDescent="0.25">
      <c r="A1105">
        <v>2022003</v>
      </c>
      <c r="B1105">
        <f>VLOOKUP($A1105,Data!$C$5:$AG$2561,F$4)</f>
        <v>-4.5999999999999996</v>
      </c>
      <c r="C1105">
        <f>VLOOKUP($A1105,Data!$C$5:$AG$2561,G$4)</f>
        <v>-14.3</v>
      </c>
    </row>
    <row r="1106" spans="1:3" x14ac:dyDescent="0.25">
      <c r="A1106">
        <v>2022004</v>
      </c>
      <c r="B1106">
        <f>VLOOKUP($A1106,Data!$C$5:$AG$2561,F$4)</f>
        <v>-5.9</v>
      </c>
      <c r="C1106">
        <f>VLOOKUP($A1106,Data!$C$5:$AG$2561,G$4)</f>
        <v>-17</v>
      </c>
    </row>
    <row r="1107" spans="1:3" x14ac:dyDescent="0.25">
      <c r="A1107">
        <v>2022005</v>
      </c>
      <c r="B1107">
        <f>VLOOKUP($A1107,Data!$C$5:$AG$2561,F$4)</f>
        <v>-10.1</v>
      </c>
      <c r="C1107">
        <f>VLOOKUP($A1107,Data!$C$5:$AG$2561,G$4)</f>
        <v>-15.7</v>
      </c>
    </row>
    <row r="1108" spans="1:3" x14ac:dyDescent="0.25">
      <c r="A1108">
        <v>2022006</v>
      </c>
      <c r="B1108">
        <f>VLOOKUP($A1108,Data!$C$5:$AG$2561,F$4)</f>
        <v>-7.8</v>
      </c>
      <c r="C1108">
        <f>VLOOKUP($A1108,Data!$C$5:$AG$2561,G$4)</f>
        <v>-12</v>
      </c>
    </row>
    <row r="1109" spans="1:3" x14ac:dyDescent="0.25">
      <c r="A1109">
        <v>2022007</v>
      </c>
      <c r="B1109">
        <f>VLOOKUP($A1109,Data!$C$5:$AG$2561,F$4)</f>
        <v>-1.4</v>
      </c>
      <c r="C1109">
        <f>VLOOKUP($A1109,Data!$C$5:$AG$2561,G$4)</f>
        <v>-9.5</v>
      </c>
    </row>
    <row r="1110" spans="1:3" x14ac:dyDescent="0.25">
      <c r="A1110">
        <v>2022008</v>
      </c>
      <c r="B1110">
        <f>VLOOKUP($A1110,Data!$C$5:$AG$2561,F$4)</f>
        <v>-5.7</v>
      </c>
      <c r="C1110">
        <f>VLOOKUP($A1110,Data!$C$5:$AG$2561,G$4)</f>
        <v>-11.2</v>
      </c>
    </row>
    <row r="1111" spans="1:3" x14ac:dyDescent="0.25">
      <c r="A1111">
        <v>2022009</v>
      </c>
      <c r="B1111">
        <f>VLOOKUP($A1111,Data!$C$5:$AG$2561,F$4)</f>
        <v>-4.7</v>
      </c>
      <c r="C1111">
        <f>VLOOKUP($A1111,Data!$C$5:$AG$2561,G$4)</f>
        <v>-9.6999999999999993</v>
      </c>
    </row>
    <row r="1112" spans="1:3" x14ac:dyDescent="0.25">
      <c r="A1112">
        <v>2022010</v>
      </c>
      <c r="B1112">
        <f>VLOOKUP($A1112,Data!$C$5:$AG$2561,F$4)</f>
        <v>-4.0999999999999996</v>
      </c>
      <c r="C1112">
        <f>VLOOKUP($A1112,Data!$C$5:$AG$2561,G$4)</f>
        <v>-8</v>
      </c>
    </row>
    <row r="1113" spans="1:3" x14ac:dyDescent="0.25">
      <c r="A1113">
        <v>2022011</v>
      </c>
      <c r="B1113">
        <f>VLOOKUP($A1113,Data!$C$5:$AG$2561,F$4)</f>
        <v>0.4</v>
      </c>
      <c r="C1113">
        <f>VLOOKUP($A1113,Data!$C$5:$AG$2561,G$4)</f>
        <v>-7.6</v>
      </c>
    </row>
    <row r="1114" spans="1:3" x14ac:dyDescent="0.25">
      <c r="A1114">
        <v>2022012</v>
      </c>
      <c r="B1114">
        <f>VLOOKUP($A1114,Data!$C$5:$AG$2561,F$4)</f>
        <v>1.8</v>
      </c>
      <c r="C1114">
        <f>VLOOKUP($A1114,Data!$C$5:$AG$2561,G$4)</f>
        <v>-2.1</v>
      </c>
    </row>
    <row r="1115" spans="1:3" x14ac:dyDescent="0.25">
      <c r="A1115">
        <v>2022013</v>
      </c>
      <c r="B1115">
        <f>VLOOKUP($A1115,Data!$C$5:$AG$2561,F$4)</f>
        <v>4.4000000000000004</v>
      </c>
      <c r="C1115">
        <f>VLOOKUP($A1115,Data!$C$5:$AG$2561,G$4)</f>
        <v>-1.7</v>
      </c>
    </row>
    <row r="1116" spans="1:3" x14ac:dyDescent="0.25">
      <c r="A1116">
        <v>2022014</v>
      </c>
      <c r="B1116">
        <f>VLOOKUP($A1116,Data!$C$5:$AG$2561,F$4)</f>
        <v>2.2000000000000002</v>
      </c>
      <c r="C1116">
        <f>VLOOKUP($A1116,Data!$C$5:$AG$2561,G$4)</f>
        <v>-3.9</v>
      </c>
    </row>
    <row r="1117" spans="1:3" x14ac:dyDescent="0.25">
      <c r="A1117">
        <v>2022015</v>
      </c>
      <c r="B1117">
        <f>VLOOKUP($A1117,Data!$C$5:$AG$2561,F$4)</f>
        <v>2.8</v>
      </c>
      <c r="C1117">
        <f>VLOOKUP($A1117,Data!$C$5:$AG$2561,G$4)</f>
        <v>-6.9</v>
      </c>
    </row>
    <row r="1118" spans="1:3" x14ac:dyDescent="0.25">
      <c r="A1118">
        <v>2022016</v>
      </c>
      <c r="B1118">
        <f>VLOOKUP($A1118,Data!$C$5:$AG$2561,F$4)</f>
        <v>4.0999999999999996</v>
      </c>
      <c r="C1118">
        <f>VLOOKUP($A1118,Data!$C$5:$AG$2561,G$4)</f>
        <v>-7.3</v>
      </c>
    </row>
    <row r="1119" spans="1:3" x14ac:dyDescent="0.25">
      <c r="A1119">
        <v>2022017</v>
      </c>
      <c r="B1119">
        <f>VLOOKUP($A1119,Data!$C$5:$AG$2561,F$4)</f>
        <v>5.5</v>
      </c>
      <c r="C1119">
        <f>VLOOKUP($A1119,Data!$C$5:$AG$2561,G$4)</f>
        <v>-2.5</v>
      </c>
    </row>
    <row r="1120" spans="1:3" x14ac:dyDescent="0.25">
      <c r="A1120">
        <v>2022018</v>
      </c>
      <c r="B1120">
        <f>VLOOKUP($A1120,Data!$C$5:$AG$2561,F$4)</f>
        <v>0.6</v>
      </c>
      <c r="C1120">
        <f>VLOOKUP($A1120,Data!$C$5:$AG$2561,G$4)</f>
        <v>-4.0999999999999996</v>
      </c>
    </row>
    <row r="1121" spans="1:3" x14ac:dyDescent="0.25">
      <c r="A1121">
        <v>2022019</v>
      </c>
      <c r="B1121">
        <f>VLOOKUP($A1121,Data!$C$5:$AG$2561,F$4)</f>
        <v>1.6</v>
      </c>
      <c r="C1121">
        <f>VLOOKUP($A1121,Data!$C$5:$AG$2561,G$4)</f>
        <v>-4.5</v>
      </c>
    </row>
    <row r="1122" spans="1:3" x14ac:dyDescent="0.25">
      <c r="A1122">
        <v>2022020</v>
      </c>
      <c r="B1122">
        <f>VLOOKUP($A1122,Data!$C$5:$AG$2561,F$4)</f>
        <v>1.7</v>
      </c>
      <c r="C1122">
        <f>VLOOKUP($A1122,Data!$C$5:$AG$2561,G$4)</f>
        <v>-3.6</v>
      </c>
    </row>
    <row r="1123" spans="1:3" x14ac:dyDescent="0.25">
      <c r="A1123">
        <v>2022021</v>
      </c>
      <c r="B1123">
        <f>VLOOKUP($A1123,Data!$C$5:$AG$2561,F$4)</f>
        <v>4.4000000000000004</v>
      </c>
      <c r="C1123">
        <f>VLOOKUP($A1123,Data!$C$5:$AG$2561,G$4)</f>
        <v>-5.3</v>
      </c>
    </row>
    <row r="1124" spans="1:3" x14ac:dyDescent="0.25">
      <c r="A1124">
        <v>2022022</v>
      </c>
      <c r="B1124">
        <f>VLOOKUP($A1124,Data!$C$5:$AG$2561,F$4)</f>
        <v>7.9</v>
      </c>
      <c r="C1124">
        <f>VLOOKUP($A1124,Data!$C$5:$AG$2561,G$4)</f>
        <v>-8.4</v>
      </c>
    </row>
    <row r="1125" spans="1:3" x14ac:dyDescent="0.25">
      <c r="A1125">
        <v>2022023</v>
      </c>
      <c r="B1125">
        <f>VLOOKUP($A1125,Data!$C$5:$AG$2561,F$4)</f>
        <v>7.1</v>
      </c>
      <c r="C1125">
        <f>VLOOKUP($A1125,Data!$C$5:$AG$2561,G$4)</f>
        <v>-9</v>
      </c>
    </row>
    <row r="1126" spans="1:3" x14ac:dyDescent="0.25">
      <c r="A1126">
        <v>2022024</v>
      </c>
      <c r="B1126">
        <f>VLOOKUP($A1126,Data!$C$5:$AG$2561,F$4)</f>
        <v>0.2</v>
      </c>
      <c r="C1126">
        <f>VLOOKUP($A1126,Data!$C$5:$AG$2561,G$4)</f>
        <v>-12</v>
      </c>
    </row>
    <row r="1127" spans="1:3" x14ac:dyDescent="0.25">
      <c r="A1127">
        <v>2022025</v>
      </c>
      <c r="B1127">
        <f>VLOOKUP($A1127,Data!$C$5:$AG$2561,F$4)</f>
        <v>4.5</v>
      </c>
      <c r="C1127">
        <f>VLOOKUP($A1127,Data!$C$5:$AG$2561,G$4)</f>
        <v>-13.5</v>
      </c>
    </row>
    <row r="1128" spans="1:3" x14ac:dyDescent="0.25">
      <c r="A1128">
        <v>2022026</v>
      </c>
      <c r="B1128">
        <f>VLOOKUP($A1128,Data!$C$5:$AG$2561,F$4)</f>
        <v>3.6</v>
      </c>
      <c r="C1128">
        <f>VLOOKUP($A1128,Data!$C$5:$AG$2561,G$4)</f>
        <v>-13</v>
      </c>
    </row>
    <row r="1129" spans="1:3" x14ac:dyDescent="0.25">
      <c r="A1129">
        <v>2022027</v>
      </c>
      <c r="B1129">
        <f>VLOOKUP($A1129,Data!$C$5:$AG$2561,F$4)</f>
        <v>1</v>
      </c>
      <c r="C1129">
        <f>VLOOKUP($A1129,Data!$C$5:$AG$2561,G$4)</f>
        <v>-15.6</v>
      </c>
    </row>
    <row r="1130" spans="1:3" x14ac:dyDescent="0.25">
      <c r="A1130">
        <v>2022028</v>
      </c>
      <c r="B1130">
        <f>VLOOKUP($A1130,Data!$C$5:$AG$2561,F$4)</f>
        <v>-4.2</v>
      </c>
      <c r="C1130">
        <f>VLOOKUP($A1130,Data!$C$5:$AG$2561,G$4)</f>
        <v>-13</v>
      </c>
    </row>
    <row r="1131" spans="1:3" x14ac:dyDescent="0.25">
      <c r="A1131">
        <v>2022029</v>
      </c>
      <c r="B1131">
        <f>VLOOKUP($A1131,Data!$C$5:$AG$2561,F$4)</f>
        <v>-2.8</v>
      </c>
      <c r="C1131">
        <f>VLOOKUP($A1131,Data!$C$5:$AG$2561,G$4)</f>
        <v>-11.6</v>
      </c>
    </row>
    <row r="1132" spans="1:3" x14ac:dyDescent="0.25">
      <c r="A1132">
        <v>2022030</v>
      </c>
      <c r="B1132">
        <f>VLOOKUP($A1132,Data!$C$5:$AG$2561,F$4)</f>
        <v>-3.7</v>
      </c>
      <c r="C1132">
        <f>VLOOKUP($A1132,Data!$C$5:$AG$2561,G$4)</f>
        <v>-6.6</v>
      </c>
    </row>
    <row r="1133" spans="1:3" x14ac:dyDescent="0.25">
      <c r="A1133">
        <v>2022031</v>
      </c>
      <c r="B1133">
        <f>VLOOKUP($A1133,Data!$C$5:$AG$2561,F$4)</f>
        <v>-5.0999999999999996</v>
      </c>
      <c r="C1133">
        <f>VLOOKUP($A1133,Data!$C$5:$AG$2561,G$4)</f>
        <v>-8.6</v>
      </c>
    </row>
    <row r="1134" spans="1:3" x14ac:dyDescent="0.25">
      <c r="A1134">
        <v>2022032</v>
      </c>
      <c r="B1134">
        <f>VLOOKUP($A1134,Data!$C$5:$AG$2561,F$4)</f>
        <v>-6.7</v>
      </c>
      <c r="C1134">
        <f>VLOOKUP($A1134,Data!$C$5:$AG$2561,G$4)</f>
        <v>-20.3</v>
      </c>
    </row>
    <row r="1135" spans="1:3" x14ac:dyDescent="0.25">
      <c r="A1135">
        <v>2022033</v>
      </c>
      <c r="B1135">
        <f>VLOOKUP($A1135,Data!$C$5:$AG$2561,F$4)</f>
        <v>-9.1</v>
      </c>
      <c r="C1135">
        <f>VLOOKUP($A1135,Data!$C$5:$AG$2561,G$4)</f>
        <v>-25.6</v>
      </c>
    </row>
    <row r="1136" spans="1:3" x14ac:dyDescent="0.25">
      <c r="A1136">
        <v>2022034</v>
      </c>
      <c r="B1136">
        <f>VLOOKUP($A1136,Data!$C$5:$AG$2561,F$4)</f>
        <v>-1.2</v>
      </c>
      <c r="C1136">
        <f>VLOOKUP($A1136,Data!$C$5:$AG$2561,G$4)</f>
        <v>-9.1</v>
      </c>
    </row>
    <row r="1137" spans="1:3" x14ac:dyDescent="0.25">
      <c r="A1137">
        <v>2022035</v>
      </c>
      <c r="B1137">
        <f>VLOOKUP($A1137,Data!$C$5:$AG$2561,F$4)</f>
        <v>1</v>
      </c>
      <c r="C1137">
        <f>VLOOKUP($A1137,Data!$C$5:$AG$2561,G$4)</f>
        <v>-9.5</v>
      </c>
    </row>
    <row r="1138" spans="1:3" x14ac:dyDescent="0.25">
      <c r="A1138">
        <v>2022036</v>
      </c>
      <c r="B1138">
        <f>VLOOKUP($A1138,Data!$C$5:$AG$2561,F$4)</f>
        <v>3.9</v>
      </c>
      <c r="C1138">
        <f>VLOOKUP($A1138,Data!$C$5:$AG$2561,G$4)</f>
        <v>-6</v>
      </c>
    </row>
    <row r="1139" spans="1:3" x14ac:dyDescent="0.25">
      <c r="A1139">
        <v>2022037</v>
      </c>
      <c r="B1139">
        <f>VLOOKUP($A1139,Data!$C$5:$AG$2561,F$4)</f>
        <v>9.1</v>
      </c>
      <c r="C1139">
        <f>VLOOKUP($A1139,Data!$C$5:$AG$2561,G$4)</f>
        <v>-5</v>
      </c>
    </row>
    <row r="1140" spans="1:3" x14ac:dyDescent="0.25">
      <c r="A1140">
        <v>2022038</v>
      </c>
      <c r="B1140">
        <f>VLOOKUP($A1140,Data!$C$5:$AG$2561,F$4)</f>
        <v>3.5</v>
      </c>
      <c r="C1140">
        <f>VLOOKUP($A1140,Data!$C$5:$AG$2561,G$4)</f>
        <v>-9.6</v>
      </c>
    </row>
    <row r="1141" spans="1:3" x14ac:dyDescent="0.25">
      <c r="A1141">
        <v>2022039</v>
      </c>
      <c r="B1141">
        <f>VLOOKUP($A1141,Data!$C$5:$AG$2561,F$4)</f>
        <v>2.1</v>
      </c>
      <c r="C1141">
        <f>VLOOKUP($A1141,Data!$C$5:$AG$2561,G$4)</f>
        <v>-7.7</v>
      </c>
    </row>
    <row r="1142" spans="1:3" x14ac:dyDescent="0.25">
      <c r="A1142">
        <v>2022040</v>
      </c>
      <c r="B1142">
        <f>VLOOKUP($A1142,Data!$C$5:$AG$2561,F$4)</f>
        <v>8.5</v>
      </c>
      <c r="C1142">
        <f>VLOOKUP($A1142,Data!$C$5:$AG$2561,G$4)</f>
        <v>0.5</v>
      </c>
    </row>
    <row r="1143" spans="1:3" x14ac:dyDescent="0.25">
      <c r="A1143">
        <v>2022041</v>
      </c>
      <c r="B1143">
        <f>VLOOKUP($A1143,Data!$C$5:$AG$2561,F$4)</f>
        <v>7.1</v>
      </c>
      <c r="C1143">
        <f>VLOOKUP($A1143,Data!$C$5:$AG$2561,G$4)</f>
        <v>0</v>
      </c>
    </row>
    <row r="1144" spans="1:3" x14ac:dyDescent="0.25">
      <c r="A1144">
        <v>2022042</v>
      </c>
      <c r="B1144">
        <f>VLOOKUP($A1144,Data!$C$5:$AG$2561,F$4)</f>
        <v>4.5</v>
      </c>
      <c r="C1144">
        <f>VLOOKUP($A1144,Data!$C$5:$AG$2561,G$4)</f>
        <v>-9.1999999999999993</v>
      </c>
    </row>
    <row r="1145" spans="1:3" x14ac:dyDescent="0.25">
      <c r="A1145">
        <v>2022043</v>
      </c>
      <c r="B1145">
        <f>VLOOKUP($A1145,Data!$C$5:$AG$2561,F$4)</f>
        <v>8.3000000000000007</v>
      </c>
      <c r="C1145">
        <f>VLOOKUP($A1145,Data!$C$5:$AG$2561,G$4)</f>
        <v>-11.3</v>
      </c>
    </row>
    <row r="1146" spans="1:3" x14ac:dyDescent="0.25">
      <c r="A1146">
        <v>2022044</v>
      </c>
      <c r="B1146">
        <f>VLOOKUP($A1146,Data!$C$5:$AG$2561,F$4)</f>
        <v>8.6</v>
      </c>
      <c r="C1146">
        <f>VLOOKUP($A1146,Data!$C$5:$AG$2561,G$4)</f>
        <v>-8.1999999999999993</v>
      </c>
    </row>
    <row r="1147" spans="1:3" x14ac:dyDescent="0.25">
      <c r="A1147">
        <v>2022045</v>
      </c>
      <c r="B1147">
        <f>VLOOKUP($A1147,Data!$C$5:$AG$2561,F$4)</f>
        <v>-0.9</v>
      </c>
      <c r="C1147">
        <f>VLOOKUP($A1147,Data!$C$5:$AG$2561,G$4)</f>
        <v>-3.2</v>
      </c>
    </row>
    <row r="1148" spans="1:3" x14ac:dyDescent="0.25">
      <c r="A1148">
        <v>2022046</v>
      </c>
      <c r="B1148">
        <f>VLOOKUP($A1148,Data!$C$5:$AG$2561,F$4)</f>
        <v>2.7</v>
      </c>
      <c r="C1148">
        <f>VLOOKUP($A1148,Data!$C$5:$AG$2561,G$4)</f>
        <v>-3.9</v>
      </c>
    </row>
    <row r="1149" spans="1:3" x14ac:dyDescent="0.25">
      <c r="A1149">
        <v>2022047</v>
      </c>
      <c r="B1149">
        <f>VLOOKUP($A1149,Data!$C$5:$AG$2561,F$4)</f>
        <v>1</v>
      </c>
      <c r="C1149">
        <f>VLOOKUP($A1149,Data!$C$5:$AG$2561,G$4)</f>
        <v>-6.8</v>
      </c>
    </row>
    <row r="1150" spans="1:3" x14ac:dyDescent="0.25">
      <c r="A1150">
        <v>2022048</v>
      </c>
      <c r="B1150">
        <f>VLOOKUP($A1150,Data!$C$5:$AG$2561,F$4)</f>
        <v>3</v>
      </c>
      <c r="C1150">
        <f>VLOOKUP($A1150,Data!$C$5:$AG$2561,G$4)</f>
        <v>-6.7</v>
      </c>
    </row>
    <row r="1151" spans="1:3" x14ac:dyDescent="0.25">
      <c r="A1151">
        <v>2022049</v>
      </c>
      <c r="B1151">
        <f>VLOOKUP($A1151,Data!$C$5:$AG$2561,F$4)</f>
        <v>5.9</v>
      </c>
      <c r="C1151">
        <f>VLOOKUP($A1151,Data!$C$5:$AG$2561,G$4)</f>
        <v>-3.3</v>
      </c>
    </row>
    <row r="1152" spans="1:3" x14ac:dyDescent="0.25">
      <c r="A1152">
        <v>2022050</v>
      </c>
      <c r="B1152">
        <f>VLOOKUP($A1152,Data!$C$5:$AG$2561,F$4)</f>
        <v>1.2</v>
      </c>
      <c r="C1152">
        <f>VLOOKUP($A1152,Data!$C$5:$AG$2561,G$4)</f>
        <v>-3.6</v>
      </c>
    </row>
    <row r="1153" spans="1:3" x14ac:dyDescent="0.25">
      <c r="A1153">
        <v>2022051</v>
      </c>
      <c r="B1153">
        <f>VLOOKUP($A1153,Data!$C$5:$AG$2561,F$4)</f>
        <v>-2.2000000000000002</v>
      </c>
      <c r="C1153">
        <f>VLOOKUP($A1153,Data!$C$5:$AG$2561,G$4)</f>
        <v>-12.2</v>
      </c>
    </row>
    <row r="1154" spans="1:3" x14ac:dyDescent="0.25">
      <c r="A1154">
        <v>2022052</v>
      </c>
      <c r="B1154">
        <f>VLOOKUP($A1154,Data!$C$5:$AG$2561,F$4)</f>
        <v>-9.1999999999999993</v>
      </c>
      <c r="C1154">
        <f>VLOOKUP($A1154,Data!$C$5:$AG$2561,G$4)</f>
        <v>-17.600000000000001</v>
      </c>
    </row>
    <row r="1155" spans="1:3" x14ac:dyDescent="0.25">
      <c r="A1155">
        <v>2022053</v>
      </c>
      <c r="B1155">
        <f>VLOOKUP($A1155,Data!$C$5:$AG$2561,F$4)</f>
        <v>-14.4</v>
      </c>
      <c r="C1155">
        <f>VLOOKUP($A1155,Data!$C$5:$AG$2561,G$4)</f>
        <v>-24.2</v>
      </c>
    </row>
    <row r="1156" spans="1:3" x14ac:dyDescent="0.25">
      <c r="A1156">
        <v>2022054</v>
      </c>
      <c r="B1156">
        <f>VLOOKUP($A1156,Data!$C$5:$AG$2561,F$4)</f>
        <v>-9.5</v>
      </c>
      <c r="C1156">
        <f>VLOOKUP($A1156,Data!$C$5:$AG$2561,G$4)</f>
        <v>-26.2</v>
      </c>
    </row>
    <row r="1157" spans="1:3" x14ac:dyDescent="0.25">
      <c r="A1157">
        <v>2022055</v>
      </c>
      <c r="B1157">
        <f>VLOOKUP($A1157,Data!$C$5:$AG$2561,F$4)</f>
        <v>-6</v>
      </c>
      <c r="C1157">
        <f>VLOOKUP($A1157,Data!$C$5:$AG$2561,G$4)</f>
        <v>-19.8</v>
      </c>
    </row>
    <row r="1158" spans="1:3" x14ac:dyDescent="0.25">
      <c r="A1158">
        <v>2022056</v>
      </c>
      <c r="B1158">
        <f>VLOOKUP($A1158,Data!$C$5:$AG$2561,F$4)</f>
        <v>-1.2</v>
      </c>
      <c r="C1158">
        <f>VLOOKUP($A1158,Data!$C$5:$AG$2561,G$4)</f>
        <v>-21.5</v>
      </c>
    </row>
    <row r="1159" spans="1:3" x14ac:dyDescent="0.25">
      <c r="A1159">
        <v>2022057</v>
      </c>
      <c r="B1159">
        <f>VLOOKUP($A1159,Data!$C$5:$AG$2561,F$4)</f>
        <v>-3.7</v>
      </c>
      <c r="C1159">
        <f>VLOOKUP($A1159,Data!$C$5:$AG$2561,G$4)</f>
        <v>-13.6</v>
      </c>
    </row>
    <row r="1160" spans="1:3" x14ac:dyDescent="0.25">
      <c r="A1160">
        <v>2022058</v>
      </c>
      <c r="B1160">
        <f>VLOOKUP($A1160,Data!$C$5:$AG$2561,F$4)</f>
        <v>3.9</v>
      </c>
      <c r="C1160">
        <f>VLOOKUP($A1160,Data!$C$5:$AG$2561,G$4)</f>
        <v>-7.3</v>
      </c>
    </row>
    <row r="1161" spans="1:3" x14ac:dyDescent="0.25">
      <c r="A1161">
        <v>2022059</v>
      </c>
      <c r="B1161">
        <f>VLOOKUP($A1161,Data!$C$5:$AG$2561,F$4)</f>
        <v>1.5</v>
      </c>
      <c r="C1161">
        <f>VLOOKUP($A1161,Data!$C$5:$AG$2561,G$4)</f>
        <v>-3.1</v>
      </c>
    </row>
    <row r="1162" spans="1:3" x14ac:dyDescent="0.25">
      <c r="A1162">
        <v>2022060</v>
      </c>
      <c r="B1162">
        <f>VLOOKUP($A1162,Data!$C$5:$AG$2561,F$4)</f>
        <v>6.5</v>
      </c>
      <c r="C1162">
        <f>VLOOKUP($A1162,Data!$C$5:$AG$2561,G$4)</f>
        <v>-2.8</v>
      </c>
    </row>
    <row r="1163" spans="1:3" x14ac:dyDescent="0.25">
      <c r="A1163">
        <v>2022061</v>
      </c>
      <c r="B1163">
        <f>VLOOKUP($A1163,Data!$C$5:$AG$2561,F$4)</f>
        <v>4.2</v>
      </c>
      <c r="C1163">
        <f>VLOOKUP($A1163,Data!$C$5:$AG$2561,G$4)</f>
        <v>-3.7</v>
      </c>
    </row>
    <row r="1164" spans="1:3" x14ac:dyDescent="0.25">
      <c r="A1164">
        <v>2022062</v>
      </c>
      <c r="B1164">
        <f>VLOOKUP($A1164,Data!$C$5:$AG$2561,F$4)</f>
        <v>2.6</v>
      </c>
      <c r="C1164">
        <f>VLOOKUP($A1164,Data!$C$5:$AG$2561,G$4)</f>
        <v>-2.9</v>
      </c>
    </row>
    <row r="1165" spans="1:3" x14ac:dyDescent="0.25">
      <c r="A1165">
        <v>2022063</v>
      </c>
      <c r="B1165">
        <f>VLOOKUP($A1165,Data!$C$5:$AG$2561,F$4)</f>
        <v>2.2000000000000002</v>
      </c>
      <c r="C1165">
        <f>VLOOKUP($A1165,Data!$C$5:$AG$2561,G$4)</f>
        <v>-9.6</v>
      </c>
    </row>
    <row r="1166" spans="1:3" x14ac:dyDescent="0.25">
      <c r="A1166">
        <v>2022064</v>
      </c>
      <c r="B1166">
        <f>VLOOKUP($A1166,Data!$C$5:$AG$2561,F$4)</f>
        <v>1.4</v>
      </c>
      <c r="C1166">
        <f>VLOOKUP($A1166,Data!$C$5:$AG$2561,G$4)</f>
        <v>-13.7</v>
      </c>
    </row>
    <row r="1167" spans="1:3" x14ac:dyDescent="0.25">
      <c r="A1167">
        <v>2022065</v>
      </c>
      <c r="B1167">
        <f>VLOOKUP($A1167,Data!$C$5:$AG$2561,F$4)</f>
        <v>2.7</v>
      </c>
      <c r="C1167">
        <f>VLOOKUP($A1167,Data!$C$5:$AG$2561,G$4)</f>
        <v>-13.9</v>
      </c>
    </row>
    <row r="1168" spans="1:3" x14ac:dyDescent="0.25">
      <c r="A1168">
        <v>2022066</v>
      </c>
      <c r="B1168">
        <f>VLOOKUP($A1168,Data!$C$5:$AG$2561,F$4)</f>
        <v>4.2</v>
      </c>
      <c r="C1168">
        <f>VLOOKUP($A1168,Data!$C$5:$AG$2561,G$4)</f>
        <v>-3.1</v>
      </c>
    </row>
    <row r="1169" spans="1:3" x14ac:dyDescent="0.25">
      <c r="A1169">
        <v>2022067</v>
      </c>
      <c r="B1169">
        <f>VLOOKUP($A1169,Data!$C$5:$AG$2561,F$4)</f>
        <v>-2.1</v>
      </c>
      <c r="C1169">
        <f>VLOOKUP($A1169,Data!$C$5:$AG$2561,G$4)</f>
        <v>-11.2</v>
      </c>
    </row>
    <row r="1170" spans="1:3" x14ac:dyDescent="0.25">
      <c r="A1170">
        <v>2022068</v>
      </c>
      <c r="B1170">
        <f>VLOOKUP($A1170,Data!$C$5:$AG$2561,F$4)</f>
        <v>-5.9</v>
      </c>
      <c r="C1170">
        <f>VLOOKUP($A1170,Data!$C$5:$AG$2561,G$4)</f>
        <v>-21.4</v>
      </c>
    </row>
    <row r="1171" spans="1:3" x14ac:dyDescent="0.25">
      <c r="A1171">
        <v>2022069</v>
      </c>
      <c r="B1171">
        <f>VLOOKUP($A1171,Data!$C$5:$AG$2561,F$4)</f>
        <v>-0.1</v>
      </c>
      <c r="C1171">
        <f>VLOOKUP($A1171,Data!$C$5:$AG$2561,G$4)</f>
        <v>-21.4</v>
      </c>
    </row>
    <row r="1172" spans="1:3" x14ac:dyDescent="0.25">
      <c r="A1172">
        <v>2022070</v>
      </c>
      <c r="B1172">
        <f>VLOOKUP($A1172,Data!$C$5:$AG$2561,F$4)</f>
        <v>-1.1000000000000001</v>
      </c>
      <c r="C1172">
        <f>VLOOKUP($A1172,Data!$C$5:$AG$2561,G$4)</f>
        <v>-12.3</v>
      </c>
    </row>
    <row r="1173" spans="1:3" x14ac:dyDescent="0.25">
      <c r="A1173">
        <v>2022071</v>
      </c>
      <c r="B1173">
        <f>VLOOKUP($A1173,Data!$C$5:$AG$2561,F$4)</f>
        <v>2.7</v>
      </c>
      <c r="C1173">
        <f>VLOOKUP($A1173,Data!$C$5:$AG$2561,G$4)</f>
        <v>-5.8</v>
      </c>
    </row>
    <row r="1174" spans="1:3" x14ac:dyDescent="0.25">
      <c r="A1174">
        <v>2022072</v>
      </c>
      <c r="B1174">
        <f>VLOOKUP($A1174,Data!$C$5:$AG$2561,F$4)</f>
        <v>7.5</v>
      </c>
      <c r="C1174">
        <f>VLOOKUP($A1174,Data!$C$5:$AG$2561,G$4)</f>
        <v>-11.4</v>
      </c>
    </row>
    <row r="1175" spans="1:3" x14ac:dyDescent="0.25">
      <c r="A1175">
        <v>2022073</v>
      </c>
      <c r="B1175">
        <f>VLOOKUP($A1175,Data!$C$5:$AG$2561,F$4)</f>
        <v>5</v>
      </c>
      <c r="C1175">
        <f>VLOOKUP($A1175,Data!$C$5:$AG$2561,G$4)</f>
        <v>-1.5</v>
      </c>
    </row>
    <row r="1176" spans="1:3" x14ac:dyDescent="0.25">
      <c r="A1176">
        <v>2022074</v>
      </c>
      <c r="B1176">
        <f>VLOOKUP($A1176,Data!$C$5:$AG$2561,F$4)</f>
        <v>2.2000000000000002</v>
      </c>
      <c r="C1176">
        <f>VLOOKUP($A1176,Data!$C$5:$AG$2561,G$4)</f>
        <v>-2.8</v>
      </c>
    </row>
    <row r="1177" spans="1:3" x14ac:dyDescent="0.25">
      <c r="A1177">
        <v>2022075</v>
      </c>
      <c r="B1177">
        <f>VLOOKUP($A1177,Data!$C$5:$AG$2561,F$4)</f>
        <v>4.2</v>
      </c>
      <c r="C1177">
        <f>VLOOKUP($A1177,Data!$C$5:$AG$2561,G$4)</f>
        <v>-9.1</v>
      </c>
    </row>
    <row r="1178" spans="1:3" x14ac:dyDescent="0.25">
      <c r="A1178">
        <v>2022076</v>
      </c>
      <c r="B1178">
        <f>VLOOKUP($A1178,Data!$C$5:$AG$2561,F$4)</f>
        <v>1</v>
      </c>
      <c r="C1178">
        <f>VLOOKUP($A1178,Data!$C$5:$AG$2561,G$4)</f>
        <v>-8.5</v>
      </c>
    </row>
    <row r="1179" spans="1:3" x14ac:dyDescent="0.25">
      <c r="A1179">
        <v>2022077</v>
      </c>
      <c r="B1179">
        <f>VLOOKUP($A1179,Data!$C$5:$AG$2561,F$4)</f>
        <v>5</v>
      </c>
      <c r="C1179">
        <f>VLOOKUP($A1179,Data!$C$5:$AG$2561,G$4)</f>
        <v>-6.9</v>
      </c>
    </row>
    <row r="1180" spans="1:3" x14ac:dyDescent="0.25">
      <c r="A1180">
        <v>2022078</v>
      </c>
      <c r="B1180">
        <f>VLOOKUP($A1180,Data!$C$5:$AG$2561,F$4)</f>
        <v>1.6</v>
      </c>
      <c r="C1180">
        <f>VLOOKUP($A1180,Data!$C$5:$AG$2561,G$4)</f>
        <v>-7</v>
      </c>
    </row>
    <row r="1181" spans="1:3" x14ac:dyDescent="0.25">
      <c r="A1181">
        <v>2022079</v>
      </c>
      <c r="B1181">
        <f>VLOOKUP($A1181,Data!$C$5:$AG$2561,F$4)</f>
        <v>0.7</v>
      </c>
      <c r="C1181">
        <f>VLOOKUP($A1181,Data!$C$5:$AG$2561,G$4)</f>
        <v>-9.3000000000000007</v>
      </c>
    </row>
    <row r="1182" spans="1:3" x14ac:dyDescent="0.25">
      <c r="A1182">
        <v>2022080</v>
      </c>
      <c r="B1182">
        <f>VLOOKUP($A1182,Data!$C$5:$AG$2561,F$4)</f>
        <v>3.4</v>
      </c>
      <c r="C1182">
        <f>VLOOKUP($A1182,Data!$C$5:$AG$2561,G$4)</f>
        <v>-4.8</v>
      </c>
    </row>
    <row r="1183" spans="1:3" x14ac:dyDescent="0.25">
      <c r="A1183">
        <v>2022081</v>
      </c>
      <c r="B1183">
        <f>VLOOKUP($A1183,Data!$C$5:$AG$2561,F$4)</f>
        <v>8.5</v>
      </c>
      <c r="C1183">
        <f>VLOOKUP($A1183,Data!$C$5:$AG$2561,G$4)</f>
        <v>-1.2</v>
      </c>
    </row>
    <row r="1184" spans="1:3" x14ac:dyDescent="0.25">
      <c r="A1184">
        <v>2022082</v>
      </c>
      <c r="B1184">
        <f>VLOOKUP($A1184,Data!$C$5:$AG$2561,F$4)</f>
        <v>7.7</v>
      </c>
      <c r="C1184">
        <f>VLOOKUP($A1184,Data!$C$5:$AG$2561,G$4)</f>
        <v>-2.7</v>
      </c>
    </row>
    <row r="1185" spans="1:3" x14ac:dyDescent="0.25">
      <c r="A1185">
        <v>2022083</v>
      </c>
      <c r="B1185">
        <f>VLOOKUP($A1185,Data!$C$5:$AG$2561,F$4)</f>
        <v>4.7</v>
      </c>
      <c r="C1185">
        <f>VLOOKUP($A1185,Data!$C$5:$AG$2561,G$4)</f>
        <v>-8.5</v>
      </c>
    </row>
    <row r="1186" spans="1:3" x14ac:dyDescent="0.25">
      <c r="A1186">
        <v>2022084</v>
      </c>
      <c r="B1186">
        <f>VLOOKUP($A1186,Data!$C$5:$AG$2561,F$4)</f>
        <v>7.9</v>
      </c>
      <c r="C1186">
        <f>VLOOKUP($A1186,Data!$C$5:$AG$2561,G$4)</f>
        <v>-2.8</v>
      </c>
    </row>
    <row r="1187" spans="1:3" x14ac:dyDescent="0.25">
      <c r="A1187">
        <v>2022085</v>
      </c>
      <c r="B1187">
        <f>VLOOKUP($A1187,Data!$C$5:$AG$2561,F$4)</f>
        <v>9.6</v>
      </c>
      <c r="C1187">
        <f>VLOOKUP($A1187,Data!$C$5:$AG$2561,G$4)</f>
        <v>-3.1</v>
      </c>
    </row>
    <row r="1188" spans="1:3" x14ac:dyDescent="0.25">
      <c r="A1188">
        <v>2022086</v>
      </c>
      <c r="B1188">
        <f>VLOOKUP($A1188,Data!$C$5:$AG$2561,F$4)</f>
        <v>11.4</v>
      </c>
      <c r="C1188">
        <f>VLOOKUP($A1188,Data!$C$5:$AG$2561,G$4)</f>
        <v>-1.3</v>
      </c>
    </row>
    <row r="1189" spans="1:3" x14ac:dyDescent="0.25">
      <c r="A1189">
        <v>2022087</v>
      </c>
      <c r="B1189">
        <f>VLOOKUP($A1189,Data!$C$5:$AG$2561,F$4)</f>
        <v>8.3000000000000007</v>
      </c>
      <c r="C1189">
        <f>VLOOKUP($A1189,Data!$C$5:$AG$2561,G$4)</f>
        <v>-2.2000000000000002</v>
      </c>
    </row>
    <row r="1190" spans="1:3" x14ac:dyDescent="0.25">
      <c r="A1190">
        <v>2022088</v>
      </c>
      <c r="B1190">
        <f>VLOOKUP($A1190,Data!$C$5:$AG$2561,F$4)</f>
        <v>12.5</v>
      </c>
      <c r="C1190">
        <f>VLOOKUP($A1190,Data!$C$5:$AG$2561,G$4)</f>
        <v>-6.8</v>
      </c>
    </row>
    <row r="1191" spans="1:3" x14ac:dyDescent="0.25">
      <c r="A1191">
        <v>2022089</v>
      </c>
      <c r="B1191">
        <f>VLOOKUP($A1191,Data!$C$5:$AG$2561,F$4)</f>
        <v>5.0999999999999996</v>
      </c>
      <c r="C1191">
        <f>VLOOKUP($A1191,Data!$C$5:$AG$2561,G$4)</f>
        <v>-3.3</v>
      </c>
    </row>
    <row r="1192" spans="1:3" x14ac:dyDescent="0.25">
      <c r="A1192">
        <v>2022090</v>
      </c>
      <c r="B1192">
        <f>VLOOKUP($A1192,Data!$C$5:$AG$2561,F$4)</f>
        <v>2.9</v>
      </c>
      <c r="C1192">
        <f>VLOOKUP($A1192,Data!$C$5:$AG$2561,G$4)</f>
        <v>-8.6999999999999993</v>
      </c>
    </row>
    <row r="1193" spans="1:3" x14ac:dyDescent="0.25">
      <c r="A1193">
        <v>2022091</v>
      </c>
      <c r="B1193">
        <f>VLOOKUP($A1193,Data!$C$5:$AG$2561,F$4)</f>
        <v>4.9000000000000004</v>
      </c>
      <c r="C1193">
        <f>VLOOKUP($A1193,Data!$C$5:$AG$2561,G$4)</f>
        <v>-11.3</v>
      </c>
    </row>
    <row r="1194" spans="1:3" x14ac:dyDescent="0.25">
      <c r="A1194">
        <v>2022092</v>
      </c>
      <c r="B1194">
        <f>VLOOKUP($A1194,Data!$C$5:$AG$2561,F$4)</f>
        <v>3.1</v>
      </c>
      <c r="C1194">
        <f>VLOOKUP($A1194,Data!$C$5:$AG$2561,G$4)</f>
        <v>-5</v>
      </c>
    </row>
    <row r="1195" spans="1:3" x14ac:dyDescent="0.25">
      <c r="A1195">
        <v>2022093</v>
      </c>
      <c r="B1195">
        <f>VLOOKUP($A1195,Data!$C$5:$AG$2561,F$4)</f>
        <v>6.7</v>
      </c>
      <c r="C1195">
        <f>VLOOKUP($A1195,Data!$C$5:$AG$2561,G$4)</f>
        <v>-4.4000000000000004</v>
      </c>
    </row>
    <row r="1196" spans="1:3" x14ac:dyDescent="0.25">
      <c r="A1196">
        <v>2022094</v>
      </c>
      <c r="B1196">
        <f>VLOOKUP($A1196,Data!$C$5:$AG$2561,F$4)</f>
        <v>1.3</v>
      </c>
      <c r="C1196">
        <f>VLOOKUP($A1196,Data!$C$5:$AG$2561,G$4)</f>
        <v>-4.2</v>
      </c>
    </row>
    <row r="1197" spans="1:3" x14ac:dyDescent="0.25">
      <c r="A1197">
        <v>2022095</v>
      </c>
      <c r="B1197">
        <f>VLOOKUP($A1197,Data!$C$5:$AG$2561,F$4)</f>
        <v>1.8</v>
      </c>
      <c r="C1197">
        <f>VLOOKUP($A1197,Data!$C$5:$AG$2561,G$4)</f>
        <v>-4.9000000000000004</v>
      </c>
    </row>
    <row r="1198" spans="1:3" x14ac:dyDescent="0.25">
      <c r="A1198">
        <v>2022096</v>
      </c>
      <c r="B1198">
        <f>VLOOKUP($A1198,Data!$C$5:$AG$2561,F$4)</f>
        <v>6.5</v>
      </c>
      <c r="C1198">
        <f>VLOOKUP($A1198,Data!$C$5:$AG$2561,G$4)</f>
        <v>-12.7</v>
      </c>
    </row>
    <row r="1199" spans="1:3" x14ac:dyDescent="0.25">
      <c r="A1199">
        <v>2022097</v>
      </c>
      <c r="B1199">
        <f>VLOOKUP($A1199,Data!$C$5:$AG$2561,F$4)</f>
        <v>12.4</v>
      </c>
      <c r="C1199">
        <f>VLOOKUP($A1199,Data!$C$5:$AG$2561,G$4)</f>
        <v>-2.9</v>
      </c>
    </row>
    <row r="1200" spans="1:3" x14ac:dyDescent="0.25">
      <c r="A1200">
        <v>2022098</v>
      </c>
      <c r="B1200">
        <f>VLOOKUP($A1200,Data!$C$5:$AG$2561,F$4)</f>
        <v>6.4</v>
      </c>
      <c r="C1200">
        <f>VLOOKUP($A1200,Data!$C$5:$AG$2561,G$4)</f>
        <v>-4.0999999999999996</v>
      </c>
    </row>
    <row r="1201" spans="1:3" x14ac:dyDescent="0.25">
      <c r="A1201">
        <v>2022099</v>
      </c>
      <c r="B1201">
        <f>VLOOKUP($A1201,Data!$C$5:$AG$2561,F$4)</f>
        <v>-0.2</v>
      </c>
      <c r="C1201">
        <f>VLOOKUP($A1201,Data!$C$5:$AG$2561,G$4)</f>
        <v>-7.4</v>
      </c>
    </row>
    <row r="1202" spans="1:3" x14ac:dyDescent="0.25">
      <c r="A1202">
        <v>2022100</v>
      </c>
      <c r="B1202">
        <f>VLOOKUP($A1202,Data!$C$5:$AG$2561,F$4)</f>
        <v>0.4</v>
      </c>
      <c r="C1202">
        <f>VLOOKUP($A1202,Data!$C$5:$AG$2561,G$4)</f>
        <v>-11.9</v>
      </c>
    </row>
    <row r="1203" spans="1:3" x14ac:dyDescent="0.25">
      <c r="A1203">
        <v>2022101</v>
      </c>
      <c r="B1203">
        <f>VLOOKUP($A1203,Data!$C$5:$AG$2561,F$4)</f>
        <v>0.5</v>
      </c>
      <c r="C1203">
        <f>VLOOKUP($A1203,Data!$C$5:$AG$2561,G$4)</f>
        <v>-14</v>
      </c>
    </row>
    <row r="1204" spans="1:3" x14ac:dyDescent="0.25">
      <c r="A1204">
        <v>2022102</v>
      </c>
      <c r="B1204">
        <f>VLOOKUP($A1204,Data!$C$5:$AG$2561,F$4)</f>
        <v>0.8</v>
      </c>
      <c r="C1204">
        <f>VLOOKUP($A1204,Data!$C$5:$AG$2561,G$4)</f>
        <v>-13.9</v>
      </c>
    </row>
    <row r="1205" spans="1:3" x14ac:dyDescent="0.25">
      <c r="A1205">
        <v>2022103</v>
      </c>
      <c r="B1205">
        <f>VLOOKUP($A1205,Data!$C$5:$AG$2561,F$4)</f>
        <v>-0.1</v>
      </c>
      <c r="C1205">
        <f>VLOOKUP($A1205,Data!$C$5:$AG$2561,G$4)</f>
        <v>-14.5</v>
      </c>
    </row>
    <row r="1206" spans="1:3" x14ac:dyDescent="0.25">
      <c r="A1206">
        <v>2022104</v>
      </c>
      <c r="B1206">
        <f>VLOOKUP($A1206,Data!$C$5:$AG$2561,F$4)</f>
        <v>0.1</v>
      </c>
      <c r="C1206">
        <f>VLOOKUP($A1206,Data!$C$5:$AG$2561,G$4)</f>
        <v>-16.899999999999999</v>
      </c>
    </row>
    <row r="1207" spans="1:3" x14ac:dyDescent="0.25">
      <c r="A1207">
        <v>2022105</v>
      </c>
      <c r="B1207">
        <f>VLOOKUP($A1207,Data!$C$5:$AG$2561,F$4)</f>
        <v>-0.2</v>
      </c>
      <c r="C1207">
        <f>VLOOKUP($A1207,Data!$C$5:$AG$2561,G$4)</f>
        <v>-15.6</v>
      </c>
    </row>
    <row r="1208" spans="1:3" x14ac:dyDescent="0.25">
      <c r="A1208">
        <v>2022106</v>
      </c>
      <c r="B1208">
        <f>VLOOKUP($A1208,Data!$C$5:$AG$2561,F$4)</f>
        <v>2.2000000000000002</v>
      </c>
      <c r="C1208">
        <f>VLOOKUP($A1208,Data!$C$5:$AG$2561,G$4)</f>
        <v>-12.9</v>
      </c>
    </row>
    <row r="1209" spans="1:3" x14ac:dyDescent="0.25">
      <c r="A1209">
        <v>2022107</v>
      </c>
      <c r="B1209">
        <f>VLOOKUP($A1209,Data!$C$5:$AG$2561,F$4)</f>
        <v>6.8</v>
      </c>
      <c r="C1209">
        <f>VLOOKUP($A1209,Data!$C$5:$AG$2561,G$4)</f>
        <v>-14.3</v>
      </c>
    </row>
    <row r="1210" spans="1:3" x14ac:dyDescent="0.25">
      <c r="A1210">
        <v>2022108</v>
      </c>
      <c r="B1210">
        <f>VLOOKUP($A1210,Data!$C$5:$AG$2561,F$4)</f>
        <v>1.7</v>
      </c>
      <c r="C1210">
        <f>VLOOKUP($A1210,Data!$C$5:$AG$2561,G$4)</f>
        <v>-3.9</v>
      </c>
    </row>
    <row r="1211" spans="1:3" x14ac:dyDescent="0.25">
      <c r="A1211">
        <v>2022109</v>
      </c>
      <c r="B1211">
        <f>VLOOKUP($A1211,Data!$C$5:$AG$2561,F$4)</f>
        <v>2.6</v>
      </c>
      <c r="C1211">
        <f>VLOOKUP($A1211,Data!$C$5:$AG$2561,G$4)</f>
        <v>-9.6999999999999993</v>
      </c>
    </row>
    <row r="1212" spans="1:3" x14ac:dyDescent="0.25">
      <c r="A1212">
        <v>2022110</v>
      </c>
      <c r="B1212">
        <f>VLOOKUP($A1212,Data!$C$5:$AG$2561,F$4)</f>
        <v>5.6</v>
      </c>
      <c r="C1212">
        <f>VLOOKUP($A1212,Data!$C$5:$AG$2561,G$4)</f>
        <v>-13.4</v>
      </c>
    </row>
    <row r="1213" spans="1:3" x14ac:dyDescent="0.25">
      <c r="A1213">
        <v>2022111</v>
      </c>
      <c r="B1213">
        <f>VLOOKUP($A1213,Data!$C$5:$AG$2561,F$4)</f>
        <v>4.3</v>
      </c>
      <c r="C1213">
        <f>VLOOKUP($A1213,Data!$C$5:$AG$2561,G$4)</f>
        <v>-4</v>
      </c>
    </row>
    <row r="1214" spans="1:3" x14ac:dyDescent="0.25">
      <c r="A1214">
        <v>2022112</v>
      </c>
      <c r="B1214">
        <f>VLOOKUP($A1214,Data!$C$5:$AG$2561,F$4)</f>
        <v>8.1999999999999993</v>
      </c>
      <c r="C1214">
        <f>VLOOKUP($A1214,Data!$C$5:$AG$2561,G$4)</f>
        <v>-7.6</v>
      </c>
    </row>
    <row r="1215" spans="1:3" x14ac:dyDescent="0.25">
      <c r="A1215">
        <v>2022113</v>
      </c>
      <c r="B1215">
        <f>VLOOKUP($A1215,Data!$C$5:$AG$2561,F$4)</f>
        <v>10.8</v>
      </c>
      <c r="C1215">
        <f>VLOOKUP($A1215,Data!$C$5:$AG$2561,G$4)</f>
        <v>-7.1</v>
      </c>
    </row>
    <row r="1216" spans="1:3" x14ac:dyDescent="0.25">
      <c r="A1216">
        <v>2022114</v>
      </c>
      <c r="B1216">
        <f>VLOOKUP($A1216,Data!$C$5:$AG$2561,F$4)</f>
        <v>12.3</v>
      </c>
      <c r="C1216">
        <f>VLOOKUP($A1216,Data!$C$5:$AG$2561,G$4)</f>
        <v>-5.9</v>
      </c>
    </row>
    <row r="1217" spans="1:3" x14ac:dyDescent="0.25">
      <c r="A1217">
        <v>2022115</v>
      </c>
      <c r="B1217">
        <f>VLOOKUP($A1217,Data!$C$5:$AG$2561,F$4)</f>
        <v>11.3</v>
      </c>
      <c r="C1217">
        <f>VLOOKUP($A1217,Data!$C$5:$AG$2561,G$4)</f>
        <v>-0.5</v>
      </c>
    </row>
    <row r="1218" spans="1:3" x14ac:dyDescent="0.25">
      <c r="A1218">
        <v>2022116</v>
      </c>
      <c r="B1218">
        <f>VLOOKUP($A1218,Data!$C$5:$AG$2561,F$4)</f>
        <v>3.4</v>
      </c>
      <c r="C1218">
        <f>VLOOKUP($A1218,Data!$C$5:$AG$2561,G$4)</f>
        <v>-5.9</v>
      </c>
    </row>
    <row r="1219" spans="1:3" x14ac:dyDescent="0.25">
      <c r="A1219">
        <v>2022117</v>
      </c>
      <c r="B1219">
        <f>VLOOKUP($A1219,Data!$C$5:$AG$2561,F$4)</f>
        <v>5.2</v>
      </c>
      <c r="C1219">
        <f>VLOOKUP($A1219,Data!$C$5:$AG$2561,G$4)</f>
        <v>-8.5</v>
      </c>
    </row>
    <row r="1220" spans="1:3" x14ac:dyDescent="0.25">
      <c r="A1220">
        <v>2022118</v>
      </c>
      <c r="B1220">
        <f>VLOOKUP($A1220,Data!$C$5:$AG$2561,F$4)</f>
        <v>6.9</v>
      </c>
      <c r="C1220">
        <f>VLOOKUP($A1220,Data!$C$5:$AG$2561,G$4)</f>
        <v>-8.6</v>
      </c>
    </row>
    <row r="1221" spans="1:3" x14ac:dyDescent="0.25">
      <c r="A1221">
        <v>2022119</v>
      </c>
      <c r="B1221">
        <f>VLOOKUP($A1221,Data!$C$5:$AG$2561,F$4)</f>
        <v>9.3000000000000007</v>
      </c>
      <c r="C1221">
        <f>VLOOKUP($A1221,Data!$C$5:$AG$2561,G$4)</f>
        <v>-4.9000000000000004</v>
      </c>
    </row>
    <row r="1222" spans="1:3" x14ac:dyDescent="0.25">
      <c r="A1222">
        <v>2022120</v>
      </c>
      <c r="B1222">
        <f>VLOOKUP($A1222,Data!$C$5:$AG$2561,F$4)</f>
        <v>5.6</v>
      </c>
      <c r="C1222">
        <f>VLOOKUP($A1222,Data!$C$5:$AG$2561,G$4)</f>
        <v>-2.2000000000000002</v>
      </c>
    </row>
    <row r="1223" spans="1:3" x14ac:dyDescent="0.25">
      <c r="A1223">
        <v>2022121</v>
      </c>
      <c r="B1223">
        <f>VLOOKUP($A1223,Data!$C$5:$AG$2561,F$4)</f>
        <v>12.3</v>
      </c>
      <c r="C1223">
        <f>VLOOKUP($A1223,Data!$C$5:$AG$2561,G$4)</f>
        <v>-4.4000000000000004</v>
      </c>
    </row>
    <row r="1224" spans="1:3" x14ac:dyDescent="0.25">
      <c r="A1224">
        <v>2022122</v>
      </c>
      <c r="B1224">
        <f>VLOOKUP($A1224,Data!$C$5:$AG$2561,F$4)</f>
        <v>11.8</v>
      </c>
      <c r="C1224">
        <f>VLOOKUP($A1224,Data!$C$5:$AG$2561,G$4)</f>
        <v>-1.2</v>
      </c>
    </row>
    <row r="1225" spans="1:3" x14ac:dyDescent="0.25">
      <c r="A1225">
        <v>2022123</v>
      </c>
      <c r="B1225">
        <f>VLOOKUP($A1225,Data!$C$5:$AG$2561,F$4)</f>
        <v>11.7</v>
      </c>
      <c r="C1225">
        <f>VLOOKUP($A1225,Data!$C$5:$AG$2561,G$4)</f>
        <v>-1.4</v>
      </c>
    </row>
    <row r="1226" spans="1:3" x14ac:dyDescent="0.25">
      <c r="A1226">
        <v>2022124</v>
      </c>
      <c r="B1226">
        <f>VLOOKUP($A1226,Data!$C$5:$AG$2561,F$4)</f>
        <v>10</v>
      </c>
      <c r="C1226">
        <f>VLOOKUP($A1226,Data!$C$5:$AG$2561,G$4)</f>
        <v>1.7</v>
      </c>
    </row>
    <row r="1227" spans="1:3" x14ac:dyDescent="0.25">
      <c r="A1227">
        <v>2022125</v>
      </c>
      <c r="B1227">
        <f>VLOOKUP($A1227,Data!$C$5:$AG$2561,F$4)</f>
        <v>7.3</v>
      </c>
      <c r="C1227">
        <f>VLOOKUP($A1227,Data!$C$5:$AG$2561,G$4)</f>
        <v>0.4</v>
      </c>
    </row>
    <row r="1228" spans="1:3" x14ac:dyDescent="0.25">
      <c r="A1228">
        <v>2022126</v>
      </c>
      <c r="B1228">
        <f>VLOOKUP($A1228,Data!$C$5:$AG$2561,F$4)</f>
        <v>7</v>
      </c>
      <c r="C1228">
        <f>VLOOKUP($A1228,Data!$C$5:$AG$2561,G$4)</f>
        <v>-1.6</v>
      </c>
    </row>
    <row r="1229" spans="1:3" x14ac:dyDescent="0.25">
      <c r="A1229">
        <v>2022127</v>
      </c>
      <c r="B1229">
        <f>VLOOKUP($A1229,Data!$C$5:$AG$2561,F$4)</f>
        <v>5.9</v>
      </c>
      <c r="C1229">
        <f>VLOOKUP($A1229,Data!$C$5:$AG$2561,G$4)</f>
        <v>-3.3</v>
      </c>
    </row>
    <row r="1230" spans="1:3" x14ac:dyDescent="0.25">
      <c r="A1230">
        <v>2022128</v>
      </c>
      <c r="B1230">
        <f>VLOOKUP($A1230,Data!$C$5:$AG$2561,F$4)</f>
        <v>4.4000000000000004</v>
      </c>
      <c r="C1230">
        <f>VLOOKUP($A1230,Data!$C$5:$AG$2561,G$4)</f>
        <v>-6.1</v>
      </c>
    </row>
    <row r="1231" spans="1:3" x14ac:dyDescent="0.25">
      <c r="A1231">
        <v>2022129</v>
      </c>
      <c r="B1231">
        <f>VLOOKUP($A1231,Data!$C$5:$AG$2561,F$4)</f>
        <v>4.0999999999999996</v>
      </c>
      <c r="C1231">
        <f>VLOOKUP($A1231,Data!$C$5:$AG$2561,G$4)</f>
        <v>-5.0999999999999996</v>
      </c>
    </row>
    <row r="1232" spans="1:3" x14ac:dyDescent="0.25">
      <c r="A1232">
        <v>2022130</v>
      </c>
      <c r="B1232">
        <f>VLOOKUP($A1232,Data!$C$5:$AG$2561,F$4)</f>
        <v>6.9</v>
      </c>
      <c r="C1232">
        <f>VLOOKUP($A1232,Data!$C$5:$AG$2561,G$4)</f>
        <v>-2.8</v>
      </c>
    </row>
    <row r="1233" spans="1:3" x14ac:dyDescent="0.25">
      <c r="A1233">
        <v>2022131</v>
      </c>
      <c r="B1233">
        <f>VLOOKUP($A1233,Data!$C$5:$AG$2561,F$4)</f>
        <v>10.3</v>
      </c>
      <c r="C1233">
        <f>VLOOKUP($A1233,Data!$C$5:$AG$2561,G$4)</f>
        <v>-6.6</v>
      </c>
    </row>
    <row r="1234" spans="1:3" x14ac:dyDescent="0.25">
      <c r="A1234">
        <v>2022132</v>
      </c>
      <c r="B1234">
        <f>VLOOKUP($A1234,Data!$C$5:$AG$2561,F$4)</f>
        <v>5.3</v>
      </c>
      <c r="C1234">
        <f>VLOOKUP($A1234,Data!$C$5:$AG$2561,G$4)</f>
        <v>-2.4</v>
      </c>
    </row>
    <row r="1235" spans="1:3" x14ac:dyDescent="0.25">
      <c r="A1235">
        <v>2022133</v>
      </c>
      <c r="B1235">
        <f>VLOOKUP($A1235,Data!$C$5:$AG$2561,F$4)</f>
        <v>4.5</v>
      </c>
      <c r="C1235">
        <f>VLOOKUP($A1235,Data!$C$5:$AG$2561,G$4)</f>
        <v>-4.5999999999999996</v>
      </c>
    </row>
    <row r="1236" spans="1:3" x14ac:dyDescent="0.25">
      <c r="A1236">
        <v>2022134</v>
      </c>
      <c r="B1236">
        <f>VLOOKUP($A1236,Data!$C$5:$AG$2561,F$4)</f>
        <v>5.7</v>
      </c>
      <c r="C1236">
        <f>VLOOKUP($A1236,Data!$C$5:$AG$2561,G$4)</f>
        <v>-2.8</v>
      </c>
    </row>
    <row r="1237" spans="1:3" x14ac:dyDescent="0.25">
      <c r="A1237">
        <v>2022135</v>
      </c>
      <c r="B1237">
        <f>VLOOKUP($A1237,Data!$C$5:$AG$2561,F$4)</f>
        <v>6.5</v>
      </c>
      <c r="C1237">
        <f>VLOOKUP($A1237,Data!$C$5:$AG$2561,G$4)</f>
        <v>-0.3</v>
      </c>
    </row>
    <row r="1238" spans="1:3" x14ac:dyDescent="0.25">
      <c r="A1238">
        <v>2022136</v>
      </c>
      <c r="B1238">
        <f>VLOOKUP($A1238,Data!$C$5:$AG$2561,F$4)</f>
        <v>12.3</v>
      </c>
      <c r="C1238">
        <f>VLOOKUP($A1238,Data!$C$5:$AG$2561,G$4)</f>
        <v>-0.8</v>
      </c>
    </row>
    <row r="1239" spans="1:3" x14ac:dyDescent="0.25">
      <c r="A1239">
        <v>2022137</v>
      </c>
      <c r="B1239">
        <f>VLOOKUP($A1239,Data!$C$5:$AG$2561,F$4)</f>
        <v>7.2</v>
      </c>
      <c r="C1239">
        <f>VLOOKUP($A1239,Data!$C$5:$AG$2561,G$4)</f>
        <v>-2.7</v>
      </c>
    </row>
    <row r="1240" spans="1:3" x14ac:dyDescent="0.25">
      <c r="A1240">
        <v>2022138</v>
      </c>
      <c r="B1240">
        <f>VLOOKUP($A1240,Data!$C$5:$AG$2561,F$4)</f>
        <v>8.3000000000000007</v>
      </c>
      <c r="C1240">
        <f>VLOOKUP($A1240,Data!$C$5:$AG$2561,G$4)</f>
        <v>-0.9</v>
      </c>
    </row>
    <row r="1241" spans="1:3" x14ac:dyDescent="0.25">
      <c r="A1241">
        <v>2022139</v>
      </c>
      <c r="B1241">
        <f>VLOOKUP($A1241,Data!$C$5:$AG$2561,F$4)</f>
        <v>2.7</v>
      </c>
      <c r="C1241">
        <f>VLOOKUP($A1241,Data!$C$5:$AG$2561,G$4)</f>
        <v>-3</v>
      </c>
    </row>
    <row r="1242" spans="1:3" x14ac:dyDescent="0.25">
      <c r="A1242">
        <v>2022140</v>
      </c>
      <c r="B1242">
        <f>VLOOKUP($A1242,Data!$C$5:$AG$2561,F$4)</f>
        <v>8.1</v>
      </c>
      <c r="C1242">
        <f>VLOOKUP($A1242,Data!$C$5:$AG$2561,G$4)</f>
        <v>-0.6</v>
      </c>
    </row>
    <row r="1243" spans="1:3" x14ac:dyDescent="0.25">
      <c r="A1243">
        <v>2022141</v>
      </c>
      <c r="B1243">
        <f>VLOOKUP($A1243,Data!$C$5:$AG$2561,F$4)</f>
        <v>8.1</v>
      </c>
      <c r="C1243">
        <f>VLOOKUP($A1243,Data!$C$5:$AG$2561,G$4)</f>
        <v>-2.1</v>
      </c>
    </row>
    <row r="1244" spans="1:3" x14ac:dyDescent="0.25">
      <c r="A1244">
        <v>2022142</v>
      </c>
      <c r="B1244">
        <f>VLOOKUP($A1244,Data!$C$5:$AG$2561,F$4)</f>
        <v>13.4</v>
      </c>
      <c r="C1244">
        <f>VLOOKUP($A1244,Data!$C$5:$AG$2561,G$4)</f>
        <v>-3.9</v>
      </c>
    </row>
    <row r="1245" spans="1:3" x14ac:dyDescent="0.25">
      <c r="A1245">
        <v>2022143</v>
      </c>
      <c r="B1245">
        <f>VLOOKUP($A1245,Data!$C$5:$AG$2561,F$4)</f>
        <v>9.6999999999999993</v>
      </c>
      <c r="C1245">
        <f>VLOOKUP($A1245,Data!$C$5:$AG$2561,G$4)</f>
        <v>-1.7</v>
      </c>
    </row>
    <row r="1246" spans="1:3" x14ac:dyDescent="0.25">
      <c r="A1246">
        <v>2022144</v>
      </c>
      <c r="B1246">
        <f>VLOOKUP($A1246,Data!$C$5:$AG$2561,F$4)</f>
        <v>12.3</v>
      </c>
      <c r="C1246">
        <f>VLOOKUP($A1246,Data!$C$5:$AG$2561,G$4)</f>
        <v>-0.5</v>
      </c>
    </row>
    <row r="1247" spans="1:3" x14ac:dyDescent="0.25">
      <c r="A1247">
        <v>2022145</v>
      </c>
      <c r="B1247">
        <f>VLOOKUP($A1247,Data!$C$5:$AG$2561,F$4)</f>
        <v>13.7</v>
      </c>
      <c r="C1247">
        <f>VLOOKUP($A1247,Data!$C$5:$AG$2561,G$4)</f>
        <v>-1.3</v>
      </c>
    </row>
    <row r="1248" spans="1:3" x14ac:dyDescent="0.25">
      <c r="A1248">
        <v>2022146</v>
      </c>
      <c r="B1248">
        <f>VLOOKUP($A1248,Data!$C$5:$AG$2561,F$4)</f>
        <v>15.1</v>
      </c>
      <c r="C1248">
        <f>VLOOKUP($A1248,Data!$C$5:$AG$2561,G$4)</f>
        <v>-2.8</v>
      </c>
    </row>
    <row r="1249" spans="1:3" x14ac:dyDescent="0.25">
      <c r="A1249">
        <v>2022147</v>
      </c>
      <c r="B1249">
        <f>VLOOKUP($A1249,Data!$C$5:$AG$2561,F$4)</f>
        <v>10.1</v>
      </c>
      <c r="C1249">
        <f>VLOOKUP($A1249,Data!$C$5:$AG$2561,G$4)</f>
        <v>-2</v>
      </c>
    </row>
    <row r="1250" spans="1:3" x14ac:dyDescent="0.25">
      <c r="A1250">
        <v>2022148</v>
      </c>
      <c r="B1250">
        <f>VLOOKUP($A1250,Data!$C$5:$AG$2561,F$4)</f>
        <v>11.1</v>
      </c>
      <c r="C1250">
        <f>VLOOKUP($A1250,Data!$C$5:$AG$2561,G$4)</f>
        <v>-2.4</v>
      </c>
    </row>
    <row r="1251" spans="1:3" x14ac:dyDescent="0.25">
      <c r="A1251">
        <v>2022149</v>
      </c>
      <c r="B1251">
        <f>VLOOKUP($A1251,Data!$C$5:$AG$2561,F$4)</f>
        <v>13.3</v>
      </c>
      <c r="C1251">
        <f>VLOOKUP($A1251,Data!$C$5:$AG$2561,G$4)</f>
        <v>-0.3</v>
      </c>
    </row>
    <row r="1252" spans="1:3" x14ac:dyDescent="0.25">
      <c r="A1252">
        <v>2022150</v>
      </c>
      <c r="B1252">
        <f>VLOOKUP($A1252,Data!$C$5:$AG$2561,F$4)</f>
        <v>12.2</v>
      </c>
      <c r="C1252">
        <f>VLOOKUP($A1252,Data!$C$5:$AG$2561,G$4)</f>
        <v>2.4</v>
      </c>
    </row>
    <row r="1253" spans="1:3" x14ac:dyDescent="0.25">
      <c r="A1253">
        <v>2022151</v>
      </c>
      <c r="B1253">
        <f>VLOOKUP($A1253,Data!$C$5:$AG$2561,F$4)</f>
        <v>13.1</v>
      </c>
      <c r="C1253">
        <f>VLOOKUP($A1253,Data!$C$5:$AG$2561,G$4)</f>
        <v>0.1</v>
      </c>
    </row>
    <row r="1254" spans="1:3" x14ac:dyDescent="0.25">
      <c r="A1254">
        <v>2022152</v>
      </c>
      <c r="B1254">
        <f>VLOOKUP($A1254,Data!$C$5:$AG$2561,F$4)</f>
        <v>15.2</v>
      </c>
      <c r="C1254">
        <f>VLOOKUP($A1254,Data!$C$5:$AG$2561,G$4)</f>
        <v>-1</v>
      </c>
    </row>
    <row r="1255" spans="1:3" x14ac:dyDescent="0.25">
      <c r="A1255">
        <v>2022153</v>
      </c>
      <c r="B1255">
        <f>VLOOKUP($A1255,Data!$C$5:$AG$2561,F$4)</f>
        <v>13.4</v>
      </c>
      <c r="C1255">
        <f>VLOOKUP($A1255,Data!$C$5:$AG$2561,G$4)</f>
        <v>4.4000000000000004</v>
      </c>
    </row>
    <row r="1256" spans="1:3" x14ac:dyDescent="0.25">
      <c r="A1256">
        <v>2022154</v>
      </c>
      <c r="B1256">
        <f>VLOOKUP($A1256,Data!$C$5:$AG$2561,F$4)</f>
        <v>12.7</v>
      </c>
      <c r="C1256">
        <f>VLOOKUP($A1256,Data!$C$5:$AG$2561,G$4)</f>
        <v>2.7</v>
      </c>
    </row>
    <row r="1257" spans="1:3" x14ac:dyDescent="0.25">
      <c r="A1257">
        <v>2022155</v>
      </c>
      <c r="B1257">
        <f>VLOOKUP($A1257,Data!$C$5:$AG$2561,F$4)</f>
        <v>10</v>
      </c>
      <c r="C1257">
        <f>VLOOKUP($A1257,Data!$C$5:$AG$2561,G$4)</f>
        <v>1.2</v>
      </c>
    </row>
    <row r="1258" spans="1:3" x14ac:dyDescent="0.25">
      <c r="A1258">
        <v>2022156</v>
      </c>
      <c r="B1258">
        <f>VLOOKUP($A1258,Data!$C$5:$AG$2561,F$4)</f>
        <v>12.9</v>
      </c>
      <c r="C1258">
        <f>VLOOKUP($A1258,Data!$C$5:$AG$2561,G$4)</f>
        <v>3.1</v>
      </c>
    </row>
    <row r="1259" spans="1:3" x14ac:dyDescent="0.25">
      <c r="A1259">
        <v>2022157</v>
      </c>
      <c r="B1259">
        <f>VLOOKUP($A1259,Data!$C$5:$AG$2561,F$4)</f>
        <v>12.9</v>
      </c>
      <c r="C1259">
        <f>VLOOKUP($A1259,Data!$C$5:$AG$2561,G$4)</f>
        <v>-0.7</v>
      </c>
    </row>
    <row r="1260" spans="1:3" x14ac:dyDescent="0.25">
      <c r="A1260">
        <v>2022158</v>
      </c>
      <c r="B1260">
        <f>VLOOKUP($A1260,Data!$C$5:$AG$2561,F$4)</f>
        <v>16.8</v>
      </c>
      <c r="C1260">
        <f>VLOOKUP($A1260,Data!$C$5:$AG$2561,G$4)</f>
        <v>-1.5</v>
      </c>
    </row>
    <row r="1261" spans="1:3" x14ac:dyDescent="0.25">
      <c r="A1261">
        <v>2022159</v>
      </c>
      <c r="B1261">
        <f>VLOOKUP($A1261,Data!$C$5:$AG$2561,F$4)</f>
        <v>15.9</v>
      </c>
      <c r="C1261">
        <f>VLOOKUP($A1261,Data!$C$5:$AG$2561,G$4)</f>
        <v>1.5</v>
      </c>
    </row>
    <row r="1262" spans="1:3" x14ac:dyDescent="0.25">
      <c r="A1262">
        <v>2022160</v>
      </c>
      <c r="B1262">
        <f>VLOOKUP($A1262,Data!$C$5:$AG$2561,F$4)</f>
        <v>11.3</v>
      </c>
      <c r="C1262">
        <f>VLOOKUP($A1262,Data!$C$5:$AG$2561,G$4)</f>
        <v>-0.2</v>
      </c>
    </row>
    <row r="1263" spans="1:3" x14ac:dyDescent="0.25">
      <c r="A1263">
        <v>2022161</v>
      </c>
      <c r="B1263">
        <f>VLOOKUP($A1263,Data!$C$5:$AG$2561,F$4)</f>
        <v>17.8</v>
      </c>
      <c r="C1263">
        <f>VLOOKUP($A1263,Data!$C$5:$AG$2561,G$4)</f>
        <v>1.6</v>
      </c>
    </row>
    <row r="1264" spans="1:3" x14ac:dyDescent="0.25">
      <c r="A1264">
        <v>2022162</v>
      </c>
      <c r="B1264">
        <f>VLOOKUP($A1264,Data!$C$5:$AG$2561,F$4)</f>
        <v>15.1</v>
      </c>
      <c r="C1264">
        <f>VLOOKUP($A1264,Data!$C$5:$AG$2561,G$4)</f>
        <v>2.4</v>
      </c>
    </row>
    <row r="1265" spans="1:3" x14ac:dyDescent="0.25">
      <c r="A1265">
        <v>2022163</v>
      </c>
      <c r="B1265">
        <f>VLOOKUP($A1265,Data!$C$5:$AG$2561,F$4)</f>
        <v>15</v>
      </c>
      <c r="C1265">
        <f>VLOOKUP($A1265,Data!$C$5:$AG$2561,G$4)</f>
        <v>-0.6</v>
      </c>
    </row>
    <row r="1266" spans="1:3" x14ac:dyDescent="0.25">
      <c r="A1266">
        <v>2022164</v>
      </c>
      <c r="B1266">
        <f>VLOOKUP($A1266,Data!$C$5:$AG$2561,F$4)</f>
        <v>5.2</v>
      </c>
      <c r="C1266">
        <f>VLOOKUP($A1266,Data!$C$5:$AG$2561,G$4)</f>
        <v>0.6</v>
      </c>
    </row>
    <row r="1267" spans="1:3" x14ac:dyDescent="0.25">
      <c r="A1267">
        <v>2022165</v>
      </c>
      <c r="B1267">
        <f>VLOOKUP($A1267,Data!$C$5:$AG$2561,F$4)</f>
        <v>9.1999999999999993</v>
      </c>
      <c r="C1267">
        <f>VLOOKUP($A1267,Data!$C$5:$AG$2561,G$4)</f>
        <v>0.5</v>
      </c>
    </row>
    <row r="1268" spans="1:3" x14ac:dyDescent="0.25">
      <c r="A1268">
        <v>2022166</v>
      </c>
      <c r="B1268">
        <f>VLOOKUP($A1268,Data!$C$5:$AG$2561,F$4)</f>
        <v>16.7</v>
      </c>
      <c r="C1268">
        <f>VLOOKUP($A1268,Data!$C$5:$AG$2561,G$4)</f>
        <v>-1.2</v>
      </c>
    </row>
    <row r="1269" spans="1:3" x14ac:dyDescent="0.25">
      <c r="A1269">
        <v>2022167</v>
      </c>
      <c r="B1269">
        <f>VLOOKUP($A1269,Data!$C$5:$AG$2561,F$4)</f>
        <v>12.4</v>
      </c>
      <c r="C1269">
        <f>VLOOKUP($A1269,Data!$C$5:$AG$2561,G$4)</f>
        <v>2.7</v>
      </c>
    </row>
    <row r="1270" spans="1:3" x14ac:dyDescent="0.25">
      <c r="A1270">
        <v>2022168</v>
      </c>
      <c r="B1270">
        <f>VLOOKUP($A1270,Data!$C$5:$AG$2561,F$4)</f>
        <v>10.7</v>
      </c>
      <c r="C1270">
        <f>VLOOKUP($A1270,Data!$C$5:$AG$2561,G$4)</f>
        <v>2.6</v>
      </c>
    </row>
    <row r="1271" spans="1:3" x14ac:dyDescent="0.25">
      <c r="A1271">
        <v>2022169</v>
      </c>
      <c r="B1271">
        <f>VLOOKUP($A1271,Data!$C$5:$AG$2561,F$4)</f>
        <v>13.2</v>
      </c>
      <c r="C1271">
        <f>VLOOKUP($A1271,Data!$C$5:$AG$2561,G$4)</f>
        <v>2.9</v>
      </c>
    </row>
    <row r="1272" spans="1:3" x14ac:dyDescent="0.25">
      <c r="A1272">
        <v>2022170</v>
      </c>
      <c r="B1272">
        <f>VLOOKUP($A1272,Data!$C$5:$AG$2561,F$4)</f>
        <v>10.3</v>
      </c>
      <c r="C1272">
        <f>VLOOKUP($A1272,Data!$C$5:$AG$2561,G$4)</f>
        <v>2.4</v>
      </c>
    </row>
    <row r="1273" spans="1:3" x14ac:dyDescent="0.25">
      <c r="A1273">
        <v>2022171</v>
      </c>
      <c r="B1273">
        <f>VLOOKUP($A1273,Data!$C$5:$AG$2561,F$4)</f>
        <v>16.899999999999999</v>
      </c>
      <c r="C1273">
        <f>VLOOKUP($A1273,Data!$C$5:$AG$2561,G$4)</f>
        <v>0.8</v>
      </c>
    </row>
    <row r="1274" spans="1:3" x14ac:dyDescent="0.25">
      <c r="A1274">
        <v>2022172</v>
      </c>
      <c r="B1274">
        <f>VLOOKUP($A1274,Data!$C$5:$AG$2561,F$4)</f>
        <v>17.100000000000001</v>
      </c>
      <c r="C1274">
        <f>VLOOKUP($A1274,Data!$C$5:$AG$2561,G$4)</f>
        <v>1</v>
      </c>
    </row>
    <row r="1275" spans="1:3" x14ac:dyDescent="0.25">
      <c r="A1275">
        <v>2022173</v>
      </c>
      <c r="B1275">
        <f>VLOOKUP($A1275,Data!$C$5:$AG$2561,F$4)</f>
        <v>18.100000000000001</v>
      </c>
      <c r="C1275">
        <f>VLOOKUP($A1275,Data!$C$5:$AG$2561,G$4)</f>
        <v>5.4</v>
      </c>
    </row>
    <row r="1276" spans="1:3" x14ac:dyDescent="0.25">
      <c r="A1276">
        <v>2022174</v>
      </c>
      <c r="B1276">
        <f>VLOOKUP($A1276,Data!$C$5:$AG$2561,F$4)</f>
        <v>12</v>
      </c>
      <c r="C1276">
        <f>VLOOKUP($A1276,Data!$C$5:$AG$2561,G$4)</f>
        <v>1.3</v>
      </c>
    </row>
    <row r="1277" spans="1:3" x14ac:dyDescent="0.25">
      <c r="A1277">
        <v>2022175</v>
      </c>
      <c r="B1277">
        <f>VLOOKUP($A1277,Data!$C$5:$AG$2561,F$4)</f>
        <v>15.2</v>
      </c>
      <c r="C1277">
        <f>VLOOKUP($A1277,Data!$C$5:$AG$2561,G$4)</f>
        <v>2.2000000000000002</v>
      </c>
    </row>
    <row r="1278" spans="1:3" x14ac:dyDescent="0.25">
      <c r="A1278">
        <v>2022176</v>
      </c>
      <c r="B1278">
        <f>VLOOKUP($A1278,Data!$C$5:$AG$2561,F$4)</f>
        <v>20.399999999999999</v>
      </c>
      <c r="C1278">
        <f>VLOOKUP($A1278,Data!$C$5:$AG$2561,G$4)</f>
        <v>0.2</v>
      </c>
    </row>
    <row r="1279" spans="1:3" x14ac:dyDescent="0.25">
      <c r="A1279">
        <v>2022177</v>
      </c>
      <c r="B1279">
        <f>VLOOKUP($A1279,Data!$C$5:$AG$2561,F$4)</f>
        <v>24</v>
      </c>
      <c r="C1279">
        <f>VLOOKUP($A1279,Data!$C$5:$AG$2561,G$4)</f>
        <v>2.9</v>
      </c>
    </row>
    <row r="1280" spans="1:3" x14ac:dyDescent="0.25">
      <c r="A1280">
        <v>2022178</v>
      </c>
      <c r="B1280">
        <f>VLOOKUP($A1280,Data!$C$5:$AG$2561,F$4)</f>
        <v>27.9</v>
      </c>
      <c r="C1280">
        <f>VLOOKUP($A1280,Data!$C$5:$AG$2561,G$4)</f>
        <v>4.8</v>
      </c>
    </row>
    <row r="1281" spans="1:3" x14ac:dyDescent="0.25">
      <c r="A1281">
        <v>2022179</v>
      </c>
      <c r="B1281">
        <f>VLOOKUP($A1281,Data!$C$5:$AG$2561,F$4)</f>
        <v>19.8</v>
      </c>
      <c r="C1281">
        <f>VLOOKUP($A1281,Data!$C$5:$AG$2561,G$4)</f>
        <v>6.1</v>
      </c>
    </row>
    <row r="1282" spans="1:3" x14ac:dyDescent="0.25">
      <c r="A1282">
        <v>2022180</v>
      </c>
      <c r="B1282">
        <f>VLOOKUP($A1282,Data!$C$5:$AG$2561,F$4)</f>
        <v>13.1</v>
      </c>
      <c r="C1282">
        <f>VLOOKUP($A1282,Data!$C$5:$AG$2561,G$4)</f>
        <v>3.9</v>
      </c>
    </row>
    <row r="1283" spans="1:3" x14ac:dyDescent="0.25">
      <c r="A1283">
        <v>2022181</v>
      </c>
      <c r="B1283">
        <f>VLOOKUP($A1283,Data!$C$5:$AG$2561,F$4)</f>
        <v>17</v>
      </c>
      <c r="C1283">
        <f>VLOOKUP($A1283,Data!$C$5:$AG$2561,G$4)</f>
        <v>2.2000000000000002</v>
      </c>
    </row>
    <row r="1284" spans="1:3" x14ac:dyDescent="0.25">
      <c r="A1284">
        <v>2022182</v>
      </c>
      <c r="B1284">
        <f>VLOOKUP($A1284,Data!$C$5:$AG$2561,F$4)</f>
        <v>21</v>
      </c>
      <c r="C1284">
        <f>VLOOKUP($A1284,Data!$C$5:$AG$2561,G$4)</f>
        <v>3.5</v>
      </c>
    </row>
    <row r="1285" spans="1:3" x14ac:dyDescent="0.25">
      <c r="A1285">
        <v>2022183</v>
      </c>
      <c r="B1285">
        <f>VLOOKUP($A1285,Data!$C$5:$AG$2561,F$4)</f>
        <v>22.8</v>
      </c>
      <c r="C1285">
        <f>VLOOKUP($A1285,Data!$C$5:$AG$2561,G$4)</f>
        <v>3.6</v>
      </c>
    </row>
    <row r="1286" spans="1:3" x14ac:dyDescent="0.25">
      <c r="A1286">
        <v>2022184</v>
      </c>
      <c r="B1286">
        <f>VLOOKUP($A1286,Data!$C$5:$AG$2561,F$4)</f>
        <v>16.3</v>
      </c>
      <c r="C1286">
        <f>VLOOKUP($A1286,Data!$C$5:$AG$2561,G$4)</f>
        <v>4.8</v>
      </c>
    </row>
    <row r="1287" spans="1:3" x14ac:dyDescent="0.25">
      <c r="A1287">
        <v>2022185</v>
      </c>
      <c r="B1287">
        <f>VLOOKUP($A1287,Data!$C$5:$AG$2561,F$4)</f>
        <v>11.3</v>
      </c>
      <c r="C1287">
        <f>VLOOKUP($A1287,Data!$C$5:$AG$2561,G$4)</f>
        <v>2.7</v>
      </c>
    </row>
    <row r="1288" spans="1:3" x14ac:dyDescent="0.25">
      <c r="A1288">
        <v>2022186</v>
      </c>
      <c r="B1288">
        <f>VLOOKUP($A1288,Data!$C$5:$AG$2561,F$4)</f>
        <v>17.7</v>
      </c>
      <c r="C1288">
        <f>VLOOKUP($A1288,Data!$C$5:$AG$2561,G$4)</f>
        <v>1.9</v>
      </c>
    </row>
    <row r="1289" spans="1:3" x14ac:dyDescent="0.25">
      <c r="A1289">
        <v>2022187</v>
      </c>
      <c r="B1289">
        <f>VLOOKUP($A1289,Data!$C$5:$AG$2561,F$4)</f>
        <v>17.899999999999999</v>
      </c>
      <c r="C1289">
        <f>VLOOKUP($A1289,Data!$C$5:$AG$2561,G$4)</f>
        <v>6.4</v>
      </c>
    </row>
    <row r="1290" spans="1:3" x14ac:dyDescent="0.25">
      <c r="A1290">
        <v>2022188</v>
      </c>
      <c r="B1290">
        <f>VLOOKUP($A1290,Data!$C$5:$AG$2561,F$4)</f>
        <v>19.399999999999999</v>
      </c>
      <c r="C1290">
        <f>VLOOKUP($A1290,Data!$C$5:$AG$2561,G$4)</f>
        <v>6.5</v>
      </c>
    </row>
    <row r="1291" spans="1:3" x14ac:dyDescent="0.25">
      <c r="A1291">
        <v>2022189</v>
      </c>
      <c r="B1291">
        <f>VLOOKUP($A1291,Data!$C$5:$AG$2561,F$4)</f>
        <v>19</v>
      </c>
      <c r="C1291">
        <f>VLOOKUP($A1291,Data!$C$5:$AG$2561,G$4)</f>
        <v>2.8</v>
      </c>
    </row>
    <row r="1292" spans="1:3" x14ac:dyDescent="0.25">
      <c r="A1292">
        <v>2022190</v>
      </c>
      <c r="B1292">
        <f>VLOOKUP($A1292,Data!$C$5:$AG$2561,F$4)</f>
        <v>18.3</v>
      </c>
      <c r="C1292">
        <f>VLOOKUP($A1292,Data!$C$5:$AG$2561,G$4)</f>
        <v>2.9</v>
      </c>
    </row>
    <row r="1293" spans="1:3" x14ac:dyDescent="0.25">
      <c r="A1293">
        <v>2022191</v>
      </c>
      <c r="B1293">
        <f>VLOOKUP($A1293,Data!$C$5:$AG$2561,F$4)</f>
        <v>18</v>
      </c>
      <c r="C1293">
        <f>VLOOKUP($A1293,Data!$C$5:$AG$2561,G$4)</f>
        <v>5.9</v>
      </c>
    </row>
    <row r="1294" spans="1:3" x14ac:dyDescent="0.25">
      <c r="A1294">
        <v>2022192</v>
      </c>
      <c r="B1294">
        <f>VLOOKUP($A1294,Data!$C$5:$AG$2561,F$4)</f>
        <v>25.9</v>
      </c>
      <c r="C1294">
        <f>VLOOKUP($A1294,Data!$C$5:$AG$2561,G$4)</f>
        <v>2.2999999999999998</v>
      </c>
    </row>
    <row r="1295" spans="1:3" x14ac:dyDescent="0.25">
      <c r="A1295">
        <v>2022193</v>
      </c>
      <c r="B1295">
        <f>VLOOKUP($A1295,Data!$C$5:$AG$2561,F$4)</f>
        <v>27.4</v>
      </c>
      <c r="C1295">
        <f>VLOOKUP($A1295,Data!$C$5:$AG$2561,G$4)</f>
        <v>5.4</v>
      </c>
    </row>
    <row r="1296" spans="1:3" x14ac:dyDescent="0.25">
      <c r="A1296">
        <v>2022194</v>
      </c>
      <c r="B1296">
        <f>VLOOKUP($A1296,Data!$C$5:$AG$2561,F$4)</f>
        <v>21</v>
      </c>
      <c r="C1296">
        <f>VLOOKUP($A1296,Data!$C$5:$AG$2561,G$4)</f>
        <v>4.2</v>
      </c>
    </row>
    <row r="1297" spans="1:3" x14ac:dyDescent="0.25">
      <c r="A1297">
        <v>2022195</v>
      </c>
      <c r="B1297">
        <f>VLOOKUP($A1297,Data!$C$5:$AG$2561,F$4)</f>
        <v>25.5</v>
      </c>
      <c r="C1297">
        <f>VLOOKUP($A1297,Data!$C$5:$AG$2561,G$4)</f>
        <v>1.9</v>
      </c>
    </row>
    <row r="1298" spans="1:3" x14ac:dyDescent="0.25">
      <c r="A1298">
        <v>2022196</v>
      </c>
      <c r="B1298">
        <f>VLOOKUP($A1298,Data!$C$5:$AG$2561,F$4)</f>
        <v>25.7</v>
      </c>
      <c r="C1298">
        <f>VLOOKUP($A1298,Data!$C$5:$AG$2561,G$4)</f>
        <v>3.6</v>
      </c>
    </row>
    <row r="1299" spans="1:3" x14ac:dyDescent="0.25">
      <c r="A1299">
        <v>2022197</v>
      </c>
      <c r="B1299">
        <f>VLOOKUP($A1299,Data!$C$5:$AG$2561,F$4)</f>
        <v>23.6</v>
      </c>
      <c r="C1299">
        <f>VLOOKUP($A1299,Data!$C$5:$AG$2561,G$4)</f>
        <v>5</v>
      </c>
    </row>
    <row r="1300" spans="1:3" x14ac:dyDescent="0.25">
      <c r="A1300">
        <v>2022198</v>
      </c>
      <c r="B1300">
        <f>VLOOKUP($A1300,Data!$C$5:$AG$2561,F$4)</f>
        <v>20.5</v>
      </c>
      <c r="C1300">
        <f>VLOOKUP($A1300,Data!$C$5:$AG$2561,G$4)</f>
        <v>6</v>
      </c>
    </row>
    <row r="1301" spans="1:3" x14ac:dyDescent="0.25">
      <c r="A1301">
        <v>2022199</v>
      </c>
      <c r="B1301">
        <f>VLOOKUP($A1301,Data!$C$5:$AG$2561,F$4)</f>
        <v>19.399999999999999</v>
      </c>
      <c r="C1301">
        <f>VLOOKUP($A1301,Data!$C$5:$AG$2561,G$4)</f>
        <v>5.4</v>
      </c>
    </row>
    <row r="1302" spans="1:3" x14ac:dyDescent="0.25">
      <c r="A1302">
        <v>2022200</v>
      </c>
      <c r="B1302">
        <f>VLOOKUP($A1302,Data!$C$5:$AG$2561,F$4)</f>
        <v>23.8</v>
      </c>
      <c r="C1302">
        <f>VLOOKUP($A1302,Data!$C$5:$AG$2561,G$4)</f>
        <v>3.1</v>
      </c>
    </row>
    <row r="1303" spans="1:3" x14ac:dyDescent="0.25">
      <c r="A1303">
        <v>2022201</v>
      </c>
      <c r="B1303">
        <f>VLOOKUP($A1303,Data!$C$5:$AG$2561,F$4)</f>
        <v>25.8</v>
      </c>
      <c r="C1303">
        <f>VLOOKUP($A1303,Data!$C$5:$AG$2561,G$4)</f>
        <v>3.7</v>
      </c>
    </row>
    <row r="1304" spans="1:3" x14ac:dyDescent="0.25">
      <c r="A1304">
        <v>2022202</v>
      </c>
      <c r="B1304">
        <f>VLOOKUP($A1304,Data!$C$5:$AG$2561,F$4)</f>
        <v>26.9</v>
      </c>
      <c r="C1304">
        <f>VLOOKUP($A1304,Data!$C$5:$AG$2561,G$4)</f>
        <v>4.4000000000000004</v>
      </c>
    </row>
    <row r="1305" spans="1:3" x14ac:dyDescent="0.25">
      <c r="A1305">
        <v>2022203</v>
      </c>
      <c r="B1305">
        <f>VLOOKUP($A1305,Data!$C$5:$AG$2561,F$4)</f>
        <v>24.3</v>
      </c>
      <c r="C1305">
        <f>VLOOKUP($A1305,Data!$C$5:$AG$2561,G$4)</f>
        <v>3.8</v>
      </c>
    </row>
    <row r="1306" spans="1:3" x14ac:dyDescent="0.25">
      <c r="A1306">
        <v>2022204</v>
      </c>
      <c r="B1306">
        <f>VLOOKUP($A1306,Data!$C$5:$AG$2561,F$4)</f>
        <v>23.6</v>
      </c>
      <c r="C1306">
        <f>VLOOKUP($A1306,Data!$C$5:$AG$2561,G$4)</f>
        <v>5</v>
      </c>
    </row>
    <row r="1307" spans="1:3" x14ac:dyDescent="0.25">
      <c r="A1307">
        <v>2022205</v>
      </c>
      <c r="B1307">
        <f>VLOOKUP($A1307,Data!$C$5:$AG$2561,F$4)</f>
        <v>26.2</v>
      </c>
      <c r="C1307">
        <f>VLOOKUP($A1307,Data!$C$5:$AG$2561,G$4)</f>
        <v>5.2</v>
      </c>
    </row>
    <row r="1308" spans="1:3" x14ac:dyDescent="0.25">
      <c r="A1308">
        <v>2022206</v>
      </c>
      <c r="B1308">
        <f>VLOOKUP($A1308,Data!$C$5:$AG$2561,F$4)</f>
        <v>24.8</v>
      </c>
      <c r="C1308">
        <f>VLOOKUP($A1308,Data!$C$5:$AG$2561,G$4)</f>
        <v>8.4</v>
      </c>
    </row>
    <row r="1309" spans="1:3" x14ac:dyDescent="0.25">
      <c r="A1309">
        <v>2022207</v>
      </c>
      <c r="B1309">
        <f>VLOOKUP($A1309,Data!$C$5:$AG$2561,F$4)</f>
        <v>26.5</v>
      </c>
      <c r="C1309">
        <f>VLOOKUP($A1309,Data!$C$5:$AG$2561,G$4)</f>
        <v>6.8</v>
      </c>
    </row>
    <row r="1310" spans="1:3" x14ac:dyDescent="0.25">
      <c r="A1310">
        <v>2022208</v>
      </c>
      <c r="B1310">
        <f>VLOOKUP($A1310,Data!$C$5:$AG$2561,F$4)</f>
        <v>30</v>
      </c>
      <c r="C1310">
        <f>VLOOKUP($A1310,Data!$C$5:$AG$2561,G$4)</f>
        <v>8.6999999999999993</v>
      </c>
    </row>
    <row r="1311" spans="1:3" x14ac:dyDescent="0.25">
      <c r="A1311">
        <v>2022209</v>
      </c>
      <c r="B1311">
        <f>VLOOKUP($A1311,Data!$C$5:$AG$2561,F$4)</f>
        <v>31.2</v>
      </c>
      <c r="C1311">
        <f>VLOOKUP($A1311,Data!$C$5:$AG$2561,G$4)</f>
        <v>10.9</v>
      </c>
    </row>
    <row r="1312" spans="1:3" x14ac:dyDescent="0.25">
      <c r="A1312">
        <v>2022210</v>
      </c>
      <c r="B1312">
        <f>VLOOKUP($A1312,Data!$C$5:$AG$2561,F$4)</f>
        <v>29.9</v>
      </c>
      <c r="C1312">
        <f>VLOOKUP($A1312,Data!$C$5:$AG$2561,G$4)</f>
        <v>8.9</v>
      </c>
    </row>
    <row r="1313" spans="1:3" x14ac:dyDescent="0.25">
      <c r="A1313">
        <v>2022211</v>
      </c>
      <c r="B1313">
        <f>VLOOKUP($A1313,Data!$C$5:$AG$2561,F$4)</f>
        <v>30.3</v>
      </c>
      <c r="C1313">
        <f>VLOOKUP($A1313,Data!$C$5:$AG$2561,G$4)</f>
        <v>7.5</v>
      </c>
    </row>
    <row r="1314" spans="1:3" x14ac:dyDescent="0.25">
      <c r="A1314">
        <v>2022212</v>
      </c>
      <c r="B1314">
        <f>VLOOKUP($A1314,Data!$C$5:$AG$2561,F$4)</f>
        <v>30</v>
      </c>
      <c r="C1314">
        <f>VLOOKUP($A1314,Data!$C$5:$AG$2561,G$4)</f>
        <v>8.8000000000000007</v>
      </c>
    </row>
    <row r="1315" spans="1:3" x14ac:dyDescent="0.25">
      <c r="A1315">
        <v>2022213</v>
      </c>
      <c r="B1315">
        <f>VLOOKUP($A1315,Data!$C$5:$AG$2561,F$4)</f>
        <v>27</v>
      </c>
      <c r="C1315">
        <f>VLOOKUP($A1315,Data!$C$5:$AG$2561,G$4)</f>
        <v>7.3</v>
      </c>
    </row>
    <row r="1316" spans="1:3" x14ac:dyDescent="0.25">
      <c r="A1316">
        <v>2022214</v>
      </c>
      <c r="B1316">
        <f>VLOOKUP($A1316,Data!$C$5:$AG$2561,F$4)</f>
        <v>23.3</v>
      </c>
      <c r="C1316">
        <f>VLOOKUP($A1316,Data!$C$5:$AG$2561,G$4)</f>
        <v>8.5</v>
      </c>
    </row>
    <row r="1317" spans="1:3" x14ac:dyDescent="0.25">
      <c r="A1317">
        <v>2022215</v>
      </c>
      <c r="B1317">
        <f>VLOOKUP($A1317,Data!$C$5:$AG$2561,F$4)</f>
        <v>26</v>
      </c>
      <c r="C1317">
        <f>VLOOKUP($A1317,Data!$C$5:$AG$2561,G$4)</f>
        <v>9.3000000000000007</v>
      </c>
    </row>
    <row r="1318" spans="1:3" x14ac:dyDescent="0.25">
      <c r="A1318">
        <v>2022216</v>
      </c>
      <c r="B1318">
        <f>VLOOKUP($A1318,Data!$C$5:$AG$2561,F$4)</f>
        <v>14.6</v>
      </c>
      <c r="C1318">
        <f>VLOOKUP($A1318,Data!$C$5:$AG$2561,G$4)</f>
        <v>2.6</v>
      </c>
    </row>
    <row r="1319" spans="1:3" x14ac:dyDescent="0.25">
      <c r="A1319">
        <v>2022217</v>
      </c>
      <c r="B1319">
        <f>VLOOKUP($A1319,Data!$C$5:$AG$2561,F$4)</f>
        <v>15.5</v>
      </c>
      <c r="C1319">
        <f>VLOOKUP($A1319,Data!$C$5:$AG$2561,G$4)</f>
        <v>2.2999999999999998</v>
      </c>
    </row>
    <row r="1320" spans="1:3" x14ac:dyDescent="0.25">
      <c r="A1320">
        <v>2022218</v>
      </c>
      <c r="B1320">
        <f>VLOOKUP($A1320,Data!$C$5:$AG$2561,F$4)</f>
        <v>21</v>
      </c>
      <c r="C1320">
        <f>VLOOKUP($A1320,Data!$C$5:$AG$2561,G$4)</f>
        <v>2.7</v>
      </c>
    </row>
    <row r="1321" spans="1:3" x14ac:dyDescent="0.25">
      <c r="A1321">
        <v>2022219</v>
      </c>
      <c r="B1321">
        <f>VLOOKUP($A1321,Data!$C$5:$AG$2561,F$4)</f>
        <v>27.4</v>
      </c>
      <c r="C1321">
        <f>VLOOKUP($A1321,Data!$C$5:$AG$2561,G$4)</f>
        <v>4</v>
      </c>
    </row>
    <row r="1322" spans="1:3" x14ac:dyDescent="0.25">
      <c r="A1322">
        <v>2022220</v>
      </c>
      <c r="B1322">
        <f>VLOOKUP($A1322,Data!$C$5:$AG$2561,F$4)</f>
        <v>29</v>
      </c>
      <c r="C1322">
        <f>VLOOKUP($A1322,Data!$C$5:$AG$2561,G$4)</f>
        <v>4.9000000000000004</v>
      </c>
    </row>
    <row r="1323" spans="1:3" x14ac:dyDescent="0.25">
      <c r="A1323">
        <v>2022221</v>
      </c>
      <c r="B1323">
        <f>VLOOKUP($A1323,Data!$C$5:$AG$2561,F$4)</f>
        <v>26.6</v>
      </c>
      <c r="C1323">
        <f>VLOOKUP($A1323,Data!$C$5:$AG$2561,G$4)</f>
        <v>7.1</v>
      </c>
    </row>
    <row r="1324" spans="1:3" x14ac:dyDescent="0.25">
      <c r="A1324">
        <v>2022222</v>
      </c>
      <c r="B1324">
        <f>VLOOKUP($A1324,Data!$C$5:$AG$2561,F$4)</f>
        <v>28.2</v>
      </c>
      <c r="C1324">
        <f>VLOOKUP($A1324,Data!$C$5:$AG$2561,G$4)</f>
        <v>10.9</v>
      </c>
    </row>
    <row r="1325" spans="1:3" x14ac:dyDescent="0.25">
      <c r="A1325">
        <v>2022223</v>
      </c>
      <c r="B1325">
        <f>VLOOKUP($A1325,Data!$C$5:$AG$2561,F$4)</f>
        <v>28.4</v>
      </c>
      <c r="C1325">
        <f>VLOOKUP($A1325,Data!$C$5:$AG$2561,G$4)</f>
        <v>8.5</v>
      </c>
    </row>
    <row r="1326" spans="1:3" x14ac:dyDescent="0.25">
      <c r="A1326">
        <v>2022224</v>
      </c>
      <c r="B1326">
        <f>VLOOKUP($A1326,Data!$C$5:$AG$2561,F$4)</f>
        <v>29.4</v>
      </c>
      <c r="C1326">
        <f>VLOOKUP($A1326,Data!$C$5:$AG$2561,G$4)</f>
        <v>8.6</v>
      </c>
    </row>
    <row r="1327" spans="1:3" x14ac:dyDescent="0.25">
      <c r="A1327">
        <v>2022225</v>
      </c>
      <c r="B1327">
        <f>VLOOKUP($A1327,Data!$C$5:$AG$2561,F$4)</f>
        <v>20.3</v>
      </c>
      <c r="C1327">
        <f>VLOOKUP($A1327,Data!$C$5:$AG$2561,G$4)</f>
        <v>5</v>
      </c>
    </row>
    <row r="1328" spans="1:3" x14ac:dyDescent="0.25">
      <c r="A1328">
        <v>2022226</v>
      </c>
      <c r="B1328">
        <f>VLOOKUP($A1328,Data!$C$5:$AG$2561,F$4)</f>
        <v>22.2</v>
      </c>
      <c r="C1328">
        <f>VLOOKUP($A1328,Data!$C$5:$AG$2561,G$4)</f>
        <v>1</v>
      </c>
    </row>
    <row r="1329" spans="1:3" x14ac:dyDescent="0.25">
      <c r="A1329">
        <v>2022227</v>
      </c>
      <c r="B1329">
        <f>VLOOKUP($A1329,Data!$C$5:$AG$2561,F$4)</f>
        <v>25.3</v>
      </c>
      <c r="C1329">
        <f>VLOOKUP($A1329,Data!$C$5:$AG$2561,G$4)</f>
        <v>5</v>
      </c>
    </row>
    <row r="1330" spans="1:3" x14ac:dyDescent="0.25">
      <c r="A1330">
        <v>2022228</v>
      </c>
      <c r="B1330">
        <f>VLOOKUP($A1330,Data!$C$5:$AG$2561,F$4)</f>
        <v>26.6</v>
      </c>
      <c r="C1330">
        <f>VLOOKUP($A1330,Data!$C$5:$AG$2561,G$4)</f>
        <v>6.4</v>
      </c>
    </row>
    <row r="1331" spans="1:3" x14ac:dyDescent="0.25">
      <c r="A1331">
        <v>2022229</v>
      </c>
      <c r="B1331">
        <f>VLOOKUP($A1331,Data!$C$5:$AG$2561,F$4)</f>
        <v>28</v>
      </c>
      <c r="C1331">
        <f>VLOOKUP($A1331,Data!$C$5:$AG$2561,G$4)</f>
        <v>7.9</v>
      </c>
    </row>
    <row r="1332" spans="1:3" x14ac:dyDescent="0.25">
      <c r="A1332">
        <v>2022230</v>
      </c>
      <c r="B1332">
        <f>VLOOKUP($A1332,Data!$C$5:$AG$2561,F$4)</f>
        <v>29.9</v>
      </c>
      <c r="C1332">
        <f>VLOOKUP($A1332,Data!$C$5:$AG$2561,G$4)</f>
        <v>8.4</v>
      </c>
    </row>
    <row r="1333" spans="1:3" x14ac:dyDescent="0.25">
      <c r="A1333">
        <v>2022231</v>
      </c>
      <c r="B1333">
        <f>VLOOKUP($A1333,Data!$C$5:$AG$2561,F$4)</f>
        <v>26.1</v>
      </c>
      <c r="C1333">
        <f>VLOOKUP($A1333,Data!$C$5:$AG$2561,G$4)</f>
        <v>10.199999999999999</v>
      </c>
    </row>
    <row r="1334" spans="1:3" x14ac:dyDescent="0.25">
      <c r="A1334">
        <v>2022232</v>
      </c>
      <c r="B1334">
        <f>VLOOKUP($A1334,Data!$C$5:$AG$2561,F$4)</f>
        <v>26.5</v>
      </c>
      <c r="C1334">
        <f>VLOOKUP($A1334,Data!$C$5:$AG$2561,G$4)</f>
        <v>9.4</v>
      </c>
    </row>
    <row r="1335" spans="1:3" x14ac:dyDescent="0.25">
      <c r="A1335">
        <v>2022233</v>
      </c>
      <c r="B1335">
        <f>VLOOKUP($A1335,Data!$C$5:$AG$2561,F$4)</f>
        <v>26.8</v>
      </c>
      <c r="C1335">
        <f>VLOOKUP($A1335,Data!$C$5:$AG$2561,G$4)</f>
        <v>11.6</v>
      </c>
    </row>
    <row r="1336" spans="1:3" x14ac:dyDescent="0.25">
      <c r="A1336">
        <v>2022234</v>
      </c>
      <c r="B1336">
        <f>VLOOKUP($A1336,Data!$C$5:$AG$2561,F$4)</f>
        <v>23.3</v>
      </c>
      <c r="C1336">
        <f>VLOOKUP($A1336,Data!$C$5:$AG$2561,G$4)</f>
        <v>7.5</v>
      </c>
    </row>
    <row r="1337" spans="1:3" x14ac:dyDescent="0.25">
      <c r="A1337">
        <v>2022235</v>
      </c>
      <c r="B1337">
        <f>VLOOKUP($A1337,Data!$C$5:$AG$2561,F$4)</f>
        <v>23.2</v>
      </c>
      <c r="C1337">
        <f>VLOOKUP($A1337,Data!$C$5:$AG$2561,G$4)</f>
        <v>6.6</v>
      </c>
    </row>
    <row r="1338" spans="1:3" x14ac:dyDescent="0.25">
      <c r="A1338">
        <v>2022236</v>
      </c>
      <c r="B1338">
        <f>VLOOKUP($A1338,Data!$C$5:$AG$2561,F$4)</f>
        <v>24.4</v>
      </c>
      <c r="C1338">
        <f>VLOOKUP($A1338,Data!$C$5:$AG$2561,G$4)</f>
        <v>7.7</v>
      </c>
    </row>
    <row r="1339" spans="1:3" x14ac:dyDescent="0.25">
      <c r="A1339">
        <v>2022237</v>
      </c>
      <c r="B1339">
        <f>VLOOKUP($A1339,Data!$C$5:$AG$2561,F$4)</f>
        <v>24.7</v>
      </c>
      <c r="C1339">
        <f>VLOOKUP($A1339,Data!$C$5:$AG$2561,G$4)</f>
        <v>6.5</v>
      </c>
    </row>
    <row r="1340" spans="1:3" x14ac:dyDescent="0.25">
      <c r="A1340">
        <v>2022238</v>
      </c>
      <c r="B1340">
        <f>VLOOKUP($A1340,Data!$C$5:$AG$2561,F$4)</f>
        <v>23.9</v>
      </c>
      <c r="C1340">
        <f>VLOOKUP($A1340,Data!$C$5:$AG$2561,G$4)</f>
        <v>11.3</v>
      </c>
    </row>
    <row r="1341" spans="1:3" x14ac:dyDescent="0.25">
      <c r="A1341">
        <v>2022239</v>
      </c>
      <c r="B1341">
        <f>VLOOKUP($A1341,Data!$C$5:$AG$2561,F$4)</f>
        <v>12.3</v>
      </c>
      <c r="C1341">
        <f>VLOOKUP($A1341,Data!$C$5:$AG$2561,G$4)</f>
        <v>1.6</v>
      </c>
    </row>
    <row r="1342" spans="1:3" x14ac:dyDescent="0.25">
      <c r="A1342">
        <v>2022240</v>
      </c>
      <c r="B1342">
        <f>VLOOKUP($A1342,Data!$C$5:$AG$2561,F$4)</f>
        <v>17.7</v>
      </c>
      <c r="C1342">
        <f>VLOOKUP($A1342,Data!$C$5:$AG$2561,G$4)</f>
        <v>0.7</v>
      </c>
    </row>
    <row r="1343" spans="1:3" x14ac:dyDescent="0.25">
      <c r="A1343">
        <v>2022241</v>
      </c>
      <c r="B1343">
        <f>VLOOKUP($A1343,Data!$C$5:$AG$2561,F$4)</f>
        <v>25.1</v>
      </c>
      <c r="C1343">
        <f>VLOOKUP($A1343,Data!$C$5:$AG$2561,G$4)</f>
        <v>2.6</v>
      </c>
    </row>
    <row r="1344" spans="1:3" x14ac:dyDescent="0.25">
      <c r="A1344">
        <v>2022242</v>
      </c>
      <c r="B1344">
        <f>VLOOKUP($A1344,Data!$C$5:$AG$2561,F$4)</f>
        <v>28.6</v>
      </c>
      <c r="C1344">
        <f>VLOOKUP($A1344,Data!$C$5:$AG$2561,G$4)</f>
        <v>6.3</v>
      </c>
    </row>
    <row r="1345" spans="1:3" x14ac:dyDescent="0.25">
      <c r="A1345">
        <v>2022243</v>
      </c>
      <c r="B1345">
        <f>VLOOKUP($A1345,Data!$C$5:$AG$2561,F$4)</f>
        <v>27.8</v>
      </c>
      <c r="C1345">
        <f>VLOOKUP($A1345,Data!$C$5:$AG$2561,G$4)</f>
        <v>7.2</v>
      </c>
    </row>
    <row r="1346" spans="1:3" x14ac:dyDescent="0.25">
      <c r="A1346">
        <v>2022244</v>
      </c>
      <c r="B1346">
        <f>VLOOKUP($A1346,Data!$C$5:$AG$2561,F$4)</f>
        <v>27</v>
      </c>
      <c r="C1346">
        <f>VLOOKUP($A1346,Data!$C$5:$AG$2561,G$4)</f>
        <v>8.5</v>
      </c>
    </row>
    <row r="1347" spans="1:3" x14ac:dyDescent="0.25">
      <c r="A1347">
        <v>2022245</v>
      </c>
      <c r="B1347">
        <f>VLOOKUP($A1347,Data!$C$5:$AG$2561,F$4)</f>
        <v>30.1</v>
      </c>
      <c r="C1347">
        <f>VLOOKUP($A1347,Data!$C$5:$AG$2561,G$4)</f>
        <v>5.5</v>
      </c>
    </row>
    <row r="1348" spans="1:3" x14ac:dyDescent="0.25">
      <c r="A1348">
        <v>2022246</v>
      </c>
      <c r="B1348">
        <f>VLOOKUP($A1348,Data!$C$5:$AG$2561,F$4)</f>
        <v>26.6</v>
      </c>
      <c r="C1348">
        <f>VLOOKUP($A1348,Data!$C$5:$AG$2561,G$4)</f>
        <v>9.3000000000000007</v>
      </c>
    </row>
    <row r="1349" spans="1:3" x14ac:dyDescent="0.25">
      <c r="A1349">
        <v>2022247</v>
      </c>
      <c r="B1349">
        <f>VLOOKUP($A1349,Data!$C$5:$AG$2561,F$4)</f>
        <v>22.4</v>
      </c>
      <c r="C1349">
        <f>VLOOKUP($A1349,Data!$C$5:$AG$2561,G$4)</f>
        <v>4.8</v>
      </c>
    </row>
    <row r="1350" spans="1:3" x14ac:dyDescent="0.25">
      <c r="A1350">
        <v>2022248</v>
      </c>
      <c r="B1350">
        <f>VLOOKUP($A1350,Data!$C$5:$AG$2561,F$4)</f>
        <v>17.2</v>
      </c>
      <c r="C1350">
        <f>VLOOKUP($A1350,Data!$C$5:$AG$2561,G$4)</f>
        <v>0.9</v>
      </c>
    </row>
    <row r="1351" spans="1:3" x14ac:dyDescent="0.25">
      <c r="A1351">
        <v>2022249</v>
      </c>
      <c r="B1351">
        <f>VLOOKUP($A1351,Data!$C$5:$AG$2561,F$4)</f>
        <v>25</v>
      </c>
      <c r="C1351">
        <f>VLOOKUP($A1351,Data!$C$5:$AG$2561,G$4)</f>
        <v>0.1</v>
      </c>
    </row>
    <row r="1352" spans="1:3" x14ac:dyDescent="0.25">
      <c r="A1352">
        <v>2022250</v>
      </c>
      <c r="B1352">
        <f>VLOOKUP($A1352,Data!$C$5:$AG$2561,F$4)</f>
        <v>20</v>
      </c>
      <c r="C1352">
        <f>VLOOKUP($A1352,Data!$C$5:$AG$2561,G$4)</f>
        <v>3.4</v>
      </c>
    </row>
    <row r="1353" spans="1:3" x14ac:dyDescent="0.25">
      <c r="A1353">
        <v>2022251</v>
      </c>
      <c r="B1353">
        <f>VLOOKUP($A1353,Data!$C$5:$AG$2561,F$4)</f>
        <v>14.2</v>
      </c>
      <c r="C1353">
        <f>VLOOKUP($A1353,Data!$C$5:$AG$2561,G$4)</f>
        <v>2.2000000000000002</v>
      </c>
    </row>
    <row r="1354" spans="1:3" x14ac:dyDescent="0.25">
      <c r="A1354">
        <v>2022252</v>
      </c>
      <c r="B1354">
        <f>VLOOKUP($A1354,Data!$C$5:$AG$2561,F$4)</f>
        <v>17.2</v>
      </c>
      <c r="C1354">
        <f>VLOOKUP($A1354,Data!$C$5:$AG$2561,G$4)</f>
        <v>-0.8</v>
      </c>
    </row>
    <row r="1355" spans="1:3" x14ac:dyDescent="0.25">
      <c r="A1355">
        <v>2022253</v>
      </c>
      <c r="B1355">
        <f>VLOOKUP($A1355,Data!$C$5:$AG$2561,F$4)</f>
        <v>23.7</v>
      </c>
      <c r="C1355">
        <f>VLOOKUP($A1355,Data!$C$5:$AG$2561,G$4)</f>
        <v>-1.2</v>
      </c>
    </row>
    <row r="1356" spans="1:3" x14ac:dyDescent="0.25">
      <c r="A1356">
        <v>2022254</v>
      </c>
      <c r="B1356">
        <f>VLOOKUP($A1356,Data!$C$5:$AG$2561,F$4)</f>
        <v>23.6</v>
      </c>
      <c r="C1356">
        <f>VLOOKUP($A1356,Data!$C$5:$AG$2561,G$4)</f>
        <v>1.4</v>
      </c>
    </row>
    <row r="1357" spans="1:3" x14ac:dyDescent="0.25">
      <c r="A1357">
        <v>2022255</v>
      </c>
      <c r="B1357">
        <f>VLOOKUP($A1357,Data!$C$5:$AG$2561,F$4)</f>
        <v>16.100000000000001</v>
      </c>
      <c r="C1357">
        <f>VLOOKUP($A1357,Data!$C$5:$AG$2561,G$4)</f>
        <v>5.9</v>
      </c>
    </row>
    <row r="1358" spans="1:3" x14ac:dyDescent="0.25">
      <c r="A1358">
        <v>2022256</v>
      </c>
      <c r="B1358">
        <f>VLOOKUP($A1358,Data!$C$5:$AG$2561,F$4)</f>
        <v>18.600000000000001</v>
      </c>
      <c r="C1358">
        <f>VLOOKUP($A1358,Data!$C$5:$AG$2561,G$4)</f>
        <v>6.4</v>
      </c>
    </row>
    <row r="1359" spans="1:3" x14ac:dyDescent="0.25">
      <c r="A1359">
        <v>2022257</v>
      </c>
      <c r="B1359">
        <f>VLOOKUP($A1359,Data!$C$5:$AG$2561,F$4)</f>
        <v>15.8</v>
      </c>
      <c r="C1359">
        <f>VLOOKUP($A1359,Data!$C$5:$AG$2561,G$4)</f>
        <v>3.4</v>
      </c>
    </row>
    <row r="1360" spans="1:3" x14ac:dyDescent="0.25">
      <c r="A1360">
        <v>2022258</v>
      </c>
      <c r="B1360">
        <f>VLOOKUP($A1360,Data!$C$5:$AG$2561,F$4)</f>
        <v>17.100000000000001</v>
      </c>
      <c r="C1360">
        <f>VLOOKUP($A1360,Data!$C$5:$AG$2561,G$4)</f>
        <v>2.8</v>
      </c>
    </row>
    <row r="1361" spans="1:3" x14ac:dyDescent="0.25">
      <c r="A1361">
        <v>2022259</v>
      </c>
      <c r="B1361">
        <f>VLOOKUP($A1361,Data!$C$5:$AG$2561,F$4)</f>
        <v>12.8</v>
      </c>
      <c r="C1361">
        <f>VLOOKUP($A1361,Data!$C$5:$AG$2561,G$4)</f>
        <v>0.8</v>
      </c>
    </row>
    <row r="1362" spans="1:3" x14ac:dyDescent="0.25">
      <c r="A1362">
        <v>2022260</v>
      </c>
      <c r="B1362">
        <f>VLOOKUP($A1362,Data!$C$5:$AG$2561,F$4)</f>
        <v>11</v>
      </c>
      <c r="C1362">
        <f>VLOOKUP($A1362,Data!$C$5:$AG$2561,G$4)</f>
        <v>-1.7</v>
      </c>
    </row>
    <row r="1363" spans="1:3" x14ac:dyDescent="0.25">
      <c r="A1363">
        <v>2022261</v>
      </c>
      <c r="B1363">
        <f>VLOOKUP($A1363,Data!$C$5:$AG$2561,F$4)</f>
        <v>16.399999999999999</v>
      </c>
      <c r="C1363">
        <f>VLOOKUP($A1363,Data!$C$5:$AG$2561,G$4)</f>
        <v>0.1</v>
      </c>
    </row>
    <row r="1364" spans="1:3" x14ac:dyDescent="0.25">
      <c r="A1364">
        <v>2022262</v>
      </c>
      <c r="B1364">
        <f>VLOOKUP($A1364,Data!$C$5:$AG$2561,F$4)</f>
        <v>13.3</v>
      </c>
      <c r="C1364">
        <f>VLOOKUP($A1364,Data!$C$5:$AG$2561,G$4)</f>
        <v>-1.4</v>
      </c>
    </row>
    <row r="1365" spans="1:3" x14ac:dyDescent="0.25">
      <c r="A1365">
        <v>2022263</v>
      </c>
      <c r="B1365">
        <f>VLOOKUP($A1365,Data!$C$5:$AG$2561,F$4)</f>
        <v>13</v>
      </c>
      <c r="C1365">
        <f>VLOOKUP($A1365,Data!$C$5:$AG$2561,G$4)</f>
        <v>-1.2</v>
      </c>
    </row>
    <row r="1366" spans="1:3" x14ac:dyDescent="0.25">
      <c r="A1366">
        <v>2022264</v>
      </c>
      <c r="B1366">
        <f>VLOOKUP($A1366,Data!$C$5:$AG$2561,F$4)</f>
        <v>19.8</v>
      </c>
      <c r="C1366">
        <f>VLOOKUP($A1366,Data!$C$5:$AG$2561,G$4)</f>
        <v>-2.2999999999999998</v>
      </c>
    </row>
    <row r="1367" spans="1:3" x14ac:dyDescent="0.25">
      <c r="A1367">
        <v>2022265</v>
      </c>
      <c r="B1367">
        <f>VLOOKUP($A1367,Data!$C$5:$AG$2561,F$4)</f>
        <v>17.7</v>
      </c>
      <c r="C1367">
        <f>VLOOKUP($A1367,Data!$C$5:$AG$2561,G$4)</f>
        <v>-1.2</v>
      </c>
    </row>
    <row r="1368" spans="1:3" x14ac:dyDescent="0.25">
      <c r="A1368">
        <v>2022266</v>
      </c>
      <c r="B1368">
        <f>VLOOKUP($A1368,Data!$C$5:$AG$2561,F$4)</f>
        <v>13.2</v>
      </c>
      <c r="C1368">
        <f>VLOOKUP($A1368,Data!$C$5:$AG$2561,G$4)</f>
        <v>2.5</v>
      </c>
    </row>
    <row r="1369" spans="1:3" x14ac:dyDescent="0.25">
      <c r="A1369">
        <v>2022267</v>
      </c>
      <c r="B1369">
        <f>VLOOKUP($A1369,Data!$C$5:$AG$2561,F$4)</f>
        <v>17.100000000000001</v>
      </c>
      <c r="C1369">
        <f>VLOOKUP($A1369,Data!$C$5:$AG$2561,G$4)</f>
        <v>-1.6</v>
      </c>
    </row>
    <row r="1370" spans="1:3" x14ac:dyDescent="0.25">
      <c r="A1370">
        <v>2022268</v>
      </c>
      <c r="B1370">
        <f>VLOOKUP($A1370,Data!$C$5:$AG$2561,F$4)</f>
        <v>22.5</v>
      </c>
      <c r="C1370">
        <f>VLOOKUP($A1370,Data!$C$5:$AG$2561,G$4)</f>
        <v>1.3</v>
      </c>
    </row>
    <row r="1371" spans="1:3" x14ac:dyDescent="0.25">
      <c r="A1371">
        <v>2022269</v>
      </c>
      <c r="B1371">
        <f>VLOOKUP($A1371,Data!$C$5:$AG$2561,F$4)</f>
        <v>23</v>
      </c>
      <c r="C1371">
        <f>VLOOKUP($A1371,Data!$C$5:$AG$2561,G$4)</f>
        <v>2.9</v>
      </c>
    </row>
    <row r="1372" spans="1:3" x14ac:dyDescent="0.25">
      <c r="A1372">
        <v>2022270</v>
      </c>
      <c r="B1372">
        <f>VLOOKUP($A1372,Data!$C$5:$AG$2561,F$4)</f>
        <v>25.6</v>
      </c>
      <c r="C1372">
        <f>VLOOKUP($A1372,Data!$C$5:$AG$2561,G$4)</f>
        <v>2.5</v>
      </c>
    </row>
    <row r="1373" spans="1:3" x14ac:dyDescent="0.25">
      <c r="A1373">
        <v>2022271</v>
      </c>
      <c r="B1373">
        <f>VLOOKUP($A1373,Data!$C$5:$AG$2561,F$4)</f>
        <v>22.8</v>
      </c>
      <c r="C1373">
        <f>VLOOKUP($A1373,Data!$C$5:$AG$2561,G$4)</f>
        <v>2.4</v>
      </c>
    </row>
    <row r="1374" spans="1:3" x14ac:dyDescent="0.25">
      <c r="A1374">
        <v>2022272</v>
      </c>
      <c r="B1374">
        <f>VLOOKUP($A1374,Data!$C$5:$AG$2561,F$4)</f>
        <v>11.4</v>
      </c>
      <c r="C1374">
        <f>VLOOKUP($A1374,Data!$C$5:$AG$2561,G$4)</f>
        <v>3.1</v>
      </c>
    </row>
    <row r="1375" spans="1:3" x14ac:dyDescent="0.25">
      <c r="A1375">
        <v>2022273</v>
      </c>
      <c r="B1375">
        <f>VLOOKUP($A1375,Data!$C$5:$AG$2561,F$4)</f>
        <v>16.899999999999999</v>
      </c>
      <c r="C1375">
        <f>VLOOKUP($A1375,Data!$C$5:$AG$2561,G$4)</f>
        <v>2.2999999999999998</v>
      </c>
    </row>
    <row r="1376" spans="1:3" x14ac:dyDescent="0.25">
      <c r="A1376">
        <v>2022274</v>
      </c>
      <c r="B1376">
        <f>VLOOKUP($A1376,Data!$C$5:$AG$2561,F$4)</f>
        <v>20.9</v>
      </c>
      <c r="C1376">
        <f>VLOOKUP($A1376,Data!$C$5:$AG$2561,G$4)</f>
        <v>2.6</v>
      </c>
    </row>
    <row r="1377" spans="1:3" x14ac:dyDescent="0.25">
      <c r="A1377">
        <v>2022275</v>
      </c>
      <c r="B1377">
        <f>VLOOKUP($A1377,Data!$C$5:$AG$2561,F$4)</f>
        <v>20.8</v>
      </c>
      <c r="C1377">
        <f>VLOOKUP($A1377,Data!$C$5:$AG$2561,G$4)</f>
        <v>2.1</v>
      </c>
    </row>
    <row r="1378" spans="1:3" x14ac:dyDescent="0.25">
      <c r="A1378">
        <v>2022276</v>
      </c>
      <c r="B1378">
        <f>VLOOKUP($A1378,Data!$C$5:$AG$2561,F$4)</f>
        <v>22.7</v>
      </c>
      <c r="C1378">
        <f>VLOOKUP($A1378,Data!$C$5:$AG$2561,G$4)</f>
        <v>2.7</v>
      </c>
    </row>
    <row r="1379" spans="1:3" x14ac:dyDescent="0.25">
      <c r="A1379">
        <v>2022277</v>
      </c>
      <c r="B1379">
        <f>VLOOKUP($A1379,Data!$C$5:$AG$2561,F$4)</f>
        <v>21.3</v>
      </c>
      <c r="C1379">
        <f>VLOOKUP($A1379,Data!$C$5:$AG$2561,G$4)</f>
        <v>2</v>
      </c>
    </row>
    <row r="1380" spans="1:3" x14ac:dyDescent="0.25">
      <c r="A1380">
        <v>2022278</v>
      </c>
      <c r="B1380">
        <f>VLOOKUP($A1380,Data!$C$5:$AG$2561,F$4)</f>
        <v>20.399999999999999</v>
      </c>
      <c r="C1380">
        <f>VLOOKUP($A1380,Data!$C$5:$AG$2561,G$4)</f>
        <v>2.1</v>
      </c>
    </row>
    <row r="1381" spans="1:3" x14ac:dyDescent="0.25">
      <c r="A1381">
        <v>2022279</v>
      </c>
      <c r="B1381">
        <f>VLOOKUP($A1381,Data!$C$5:$AG$2561,F$4)</f>
        <v>19.3</v>
      </c>
      <c r="C1381">
        <f>VLOOKUP($A1381,Data!$C$5:$AG$2561,G$4)</f>
        <v>1.4</v>
      </c>
    </row>
    <row r="1382" spans="1:3" x14ac:dyDescent="0.25">
      <c r="A1382">
        <v>2022280</v>
      </c>
      <c r="B1382">
        <f>VLOOKUP($A1382,Data!$C$5:$AG$2561,F$4)</f>
        <v>20.3</v>
      </c>
      <c r="C1382">
        <f>VLOOKUP($A1382,Data!$C$5:$AG$2561,G$4)</f>
        <v>2.4</v>
      </c>
    </row>
    <row r="1383" spans="1:3" x14ac:dyDescent="0.25">
      <c r="A1383">
        <v>2022281</v>
      </c>
      <c r="B1383">
        <f>VLOOKUP($A1383,Data!$C$5:$AG$2561,F$4)</f>
        <v>19.899999999999999</v>
      </c>
      <c r="C1383">
        <f>VLOOKUP($A1383,Data!$C$5:$AG$2561,G$4)</f>
        <v>1.9</v>
      </c>
    </row>
    <row r="1384" spans="1:3" x14ac:dyDescent="0.25">
      <c r="A1384">
        <v>2022282</v>
      </c>
      <c r="B1384">
        <f>VLOOKUP($A1384,Data!$C$5:$AG$2561,F$4)</f>
        <v>18.5</v>
      </c>
      <c r="C1384">
        <f>VLOOKUP($A1384,Data!$C$5:$AG$2561,G$4)</f>
        <v>-0.5</v>
      </c>
    </row>
    <row r="1385" spans="1:3" x14ac:dyDescent="0.25">
      <c r="A1385">
        <v>2022283</v>
      </c>
      <c r="B1385">
        <f>VLOOKUP($A1385,Data!$C$5:$AG$2561,F$4)</f>
        <v>15.6</v>
      </c>
      <c r="C1385">
        <f>VLOOKUP($A1385,Data!$C$5:$AG$2561,G$4)</f>
        <v>-0.1</v>
      </c>
    </row>
    <row r="1386" spans="1:3" x14ac:dyDescent="0.25">
      <c r="A1386">
        <v>2022284</v>
      </c>
      <c r="B1386">
        <f>VLOOKUP($A1386,Data!$C$5:$AG$2561,F$4)</f>
        <v>14.4</v>
      </c>
      <c r="C1386">
        <f>VLOOKUP($A1386,Data!$C$5:$AG$2561,G$4)</f>
        <v>0.3</v>
      </c>
    </row>
    <row r="1387" spans="1:3" x14ac:dyDescent="0.25">
      <c r="A1387">
        <v>2022285</v>
      </c>
      <c r="B1387">
        <f>VLOOKUP($A1387,Data!$C$5:$AG$2561,F$4)</f>
        <v>15.4</v>
      </c>
      <c r="C1387">
        <f>VLOOKUP($A1387,Data!$C$5:$AG$2561,G$4)</f>
        <v>-0.9</v>
      </c>
    </row>
    <row r="1388" spans="1:3" x14ac:dyDescent="0.25">
      <c r="A1388">
        <v>2022286</v>
      </c>
      <c r="B1388">
        <f>VLOOKUP($A1388,Data!$C$5:$AG$2561,F$4)</f>
        <v>20.8</v>
      </c>
      <c r="C1388">
        <f>VLOOKUP($A1388,Data!$C$5:$AG$2561,G$4)</f>
        <v>-1.6</v>
      </c>
    </row>
    <row r="1389" spans="1:3" x14ac:dyDescent="0.25">
      <c r="A1389">
        <v>2022287</v>
      </c>
      <c r="B1389">
        <f>VLOOKUP($A1389,Data!$C$5:$AG$2561,F$4)</f>
        <v>17.8</v>
      </c>
      <c r="C1389">
        <f>VLOOKUP($A1389,Data!$C$5:$AG$2561,G$4)</f>
        <v>-0.1</v>
      </c>
    </row>
    <row r="1390" spans="1:3" x14ac:dyDescent="0.25">
      <c r="A1390">
        <v>2022288</v>
      </c>
      <c r="B1390">
        <f>VLOOKUP($A1390,Data!$C$5:$AG$2561,F$4)</f>
        <v>18.5</v>
      </c>
      <c r="C1390">
        <f>VLOOKUP($A1390,Data!$C$5:$AG$2561,G$4)</f>
        <v>-1.1000000000000001</v>
      </c>
    </row>
    <row r="1391" spans="1:3" x14ac:dyDescent="0.25">
      <c r="A1391">
        <v>2022289</v>
      </c>
      <c r="B1391">
        <f>VLOOKUP($A1391,Data!$C$5:$AG$2561,F$4)</f>
        <v>19.3</v>
      </c>
      <c r="C1391">
        <f>VLOOKUP($A1391,Data!$C$5:$AG$2561,G$4)</f>
        <v>-1</v>
      </c>
    </row>
    <row r="1392" spans="1:3" x14ac:dyDescent="0.25">
      <c r="A1392">
        <v>2022290</v>
      </c>
      <c r="B1392">
        <f>VLOOKUP($A1392,Data!$C$5:$AG$2561,F$4)</f>
        <v>19</v>
      </c>
      <c r="C1392">
        <f>VLOOKUP($A1392,Data!$C$5:$AG$2561,G$4)</f>
        <v>-2.6</v>
      </c>
    </row>
    <row r="1393" spans="1:3" x14ac:dyDescent="0.25">
      <c r="A1393">
        <v>2022291</v>
      </c>
      <c r="B1393">
        <f>VLOOKUP($A1393,Data!$C$5:$AG$2561,F$4)</f>
        <v>21.9</v>
      </c>
      <c r="C1393">
        <f>VLOOKUP($A1393,Data!$C$5:$AG$2561,G$4)</f>
        <v>-1.7</v>
      </c>
    </row>
    <row r="1394" spans="1:3" x14ac:dyDescent="0.25">
      <c r="A1394">
        <v>2022292</v>
      </c>
      <c r="B1394">
        <f>VLOOKUP($A1394,Data!$C$5:$AG$2561,F$4)</f>
        <v>20.5</v>
      </c>
      <c r="C1394">
        <f>VLOOKUP($A1394,Data!$C$5:$AG$2561,G$4)</f>
        <v>-1</v>
      </c>
    </row>
    <row r="1395" spans="1:3" x14ac:dyDescent="0.25">
      <c r="A1395">
        <v>2022293</v>
      </c>
      <c r="B1395">
        <f>VLOOKUP($A1395,Data!$C$5:$AG$2561,F$4)</f>
        <v>11.9</v>
      </c>
      <c r="C1395">
        <f>VLOOKUP($A1395,Data!$C$5:$AG$2561,G$4)</f>
        <v>3.4</v>
      </c>
    </row>
    <row r="1396" spans="1:3" x14ac:dyDescent="0.25">
      <c r="A1396">
        <v>2022294</v>
      </c>
      <c r="B1396">
        <f>VLOOKUP($A1396,Data!$C$5:$AG$2561,F$4)</f>
        <v>4.8</v>
      </c>
      <c r="C1396">
        <f>VLOOKUP($A1396,Data!$C$5:$AG$2561,G$4)</f>
        <v>-2.4</v>
      </c>
    </row>
    <row r="1397" spans="1:3" x14ac:dyDescent="0.25">
      <c r="A1397">
        <v>2022295</v>
      </c>
      <c r="B1397">
        <f>VLOOKUP($A1397,Data!$C$5:$AG$2561,F$4)</f>
        <v>0.7</v>
      </c>
      <c r="C1397">
        <f>VLOOKUP($A1397,Data!$C$5:$AG$2561,G$4)</f>
        <v>-3.9</v>
      </c>
    </row>
    <row r="1398" spans="1:3" x14ac:dyDescent="0.25">
      <c r="A1398">
        <v>2022296</v>
      </c>
      <c r="B1398">
        <f>VLOOKUP($A1398,Data!$C$5:$AG$2561,F$4)</f>
        <v>4.8</v>
      </c>
      <c r="C1398">
        <f>VLOOKUP($A1398,Data!$C$5:$AG$2561,G$4)</f>
        <v>-2.7</v>
      </c>
    </row>
    <row r="1399" spans="1:3" x14ac:dyDescent="0.25">
      <c r="A1399">
        <v>2022297</v>
      </c>
      <c r="B1399">
        <f>VLOOKUP($A1399,Data!$C$5:$AG$2561,F$4)</f>
        <v>0.9</v>
      </c>
      <c r="C1399">
        <f>VLOOKUP($A1399,Data!$C$5:$AG$2561,G$4)</f>
        <v>-2.2999999999999998</v>
      </c>
    </row>
    <row r="1400" spans="1:3" x14ac:dyDescent="0.25">
      <c r="A1400">
        <v>2022298</v>
      </c>
      <c r="B1400">
        <f>VLOOKUP($A1400,Data!$C$5:$AG$2561,F$4)</f>
        <v>3</v>
      </c>
      <c r="C1400">
        <f>VLOOKUP($A1400,Data!$C$5:$AG$2561,G$4)</f>
        <v>-2.7</v>
      </c>
    </row>
    <row r="1401" spans="1:3" x14ac:dyDescent="0.25">
      <c r="A1401">
        <v>2022299</v>
      </c>
      <c r="B1401">
        <f>VLOOKUP($A1401,Data!$C$5:$AG$2561,F$4)</f>
        <v>1.5</v>
      </c>
      <c r="C1401">
        <f>VLOOKUP($A1401,Data!$C$5:$AG$2561,G$4)</f>
        <v>-2.4</v>
      </c>
    </row>
    <row r="1402" spans="1:3" x14ac:dyDescent="0.25">
      <c r="A1402">
        <v>2022300</v>
      </c>
      <c r="B1402">
        <f>VLOOKUP($A1402,Data!$C$5:$AG$2561,F$4)</f>
        <v>5.3</v>
      </c>
      <c r="C1402">
        <f>VLOOKUP($A1402,Data!$C$5:$AG$2561,G$4)</f>
        <v>-3.9</v>
      </c>
    </row>
    <row r="1403" spans="1:3" x14ac:dyDescent="0.25">
      <c r="A1403">
        <v>2022301</v>
      </c>
      <c r="B1403">
        <f>VLOOKUP($A1403,Data!$C$5:$AG$2561,F$4)</f>
        <v>5.7</v>
      </c>
      <c r="C1403">
        <f>VLOOKUP($A1403,Data!$C$5:$AG$2561,G$4)</f>
        <v>-2.5</v>
      </c>
    </row>
    <row r="1404" spans="1:3" x14ac:dyDescent="0.25">
      <c r="A1404">
        <v>2022302</v>
      </c>
      <c r="B1404">
        <f>VLOOKUP($A1404,Data!$C$5:$AG$2561,F$4)</f>
        <v>5.3</v>
      </c>
      <c r="C1404">
        <f>VLOOKUP($A1404,Data!$C$5:$AG$2561,G$4)</f>
        <v>-3.4</v>
      </c>
    </row>
    <row r="1405" spans="1:3" x14ac:dyDescent="0.25">
      <c r="A1405">
        <v>2022303</v>
      </c>
      <c r="B1405">
        <f>VLOOKUP($A1405,Data!$C$5:$AG$2561,F$4)</f>
        <v>3.4</v>
      </c>
      <c r="C1405">
        <f>VLOOKUP($A1405,Data!$C$5:$AG$2561,G$4)</f>
        <v>-1</v>
      </c>
    </row>
    <row r="1406" spans="1:3" x14ac:dyDescent="0.25">
      <c r="A1406">
        <v>2022304</v>
      </c>
      <c r="B1406">
        <f>VLOOKUP($A1406,Data!$C$5:$AG$2561,F$4)</f>
        <v>3.8</v>
      </c>
      <c r="C1406">
        <f>VLOOKUP($A1406,Data!$C$5:$AG$2561,G$4)</f>
        <v>-2.1</v>
      </c>
    </row>
    <row r="1407" spans="1:3" x14ac:dyDescent="0.25">
      <c r="A1407">
        <v>2022305</v>
      </c>
      <c r="B1407">
        <f>VLOOKUP($A1407,Data!$C$5:$AG$2561,F$4)</f>
        <v>0</v>
      </c>
      <c r="C1407">
        <f>VLOOKUP($A1407,Data!$C$5:$AG$2561,G$4)</f>
        <v>-4.5</v>
      </c>
    </row>
    <row r="1408" spans="1:3" x14ac:dyDescent="0.25">
      <c r="A1408">
        <v>2022306</v>
      </c>
      <c r="B1408">
        <f>VLOOKUP($A1408,Data!$C$5:$AG$2561,F$4)</f>
        <v>-4</v>
      </c>
      <c r="C1408">
        <f>VLOOKUP($A1408,Data!$C$5:$AG$2561,G$4)</f>
        <v>-14.6</v>
      </c>
    </row>
    <row r="1409" spans="1:3" x14ac:dyDescent="0.25">
      <c r="A1409">
        <v>2022307</v>
      </c>
      <c r="B1409">
        <f>VLOOKUP($A1409,Data!$C$5:$AG$2561,F$4)</f>
        <v>-2.5</v>
      </c>
      <c r="C1409">
        <f>VLOOKUP($A1409,Data!$C$5:$AG$2561,G$4)</f>
        <v>-16.600000000000001</v>
      </c>
    </row>
    <row r="1410" spans="1:3" x14ac:dyDescent="0.25">
      <c r="A1410">
        <v>2022308</v>
      </c>
      <c r="B1410">
        <f>VLOOKUP($A1410,Data!$C$5:$AG$2561,F$4)</f>
        <v>0.4</v>
      </c>
      <c r="C1410">
        <f>VLOOKUP($A1410,Data!$C$5:$AG$2561,G$4)</f>
        <v>-6</v>
      </c>
    </row>
    <row r="1411" spans="1:3" x14ac:dyDescent="0.25">
      <c r="A1411">
        <v>2022309</v>
      </c>
      <c r="B1411">
        <f>VLOOKUP($A1411,Data!$C$5:$AG$2561,F$4)</f>
        <v>-0.6</v>
      </c>
      <c r="C1411">
        <f>VLOOKUP($A1411,Data!$C$5:$AG$2561,G$4)</f>
        <v>-13.4</v>
      </c>
    </row>
    <row r="1412" spans="1:3" x14ac:dyDescent="0.25">
      <c r="A1412">
        <v>2022310</v>
      </c>
      <c r="B1412">
        <f>VLOOKUP($A1412,Data!$C$5:$AG$2561,F$4)</f>
        <v>-5.4</v>
      </c>
      <c r="C1412">
        <f>VLOOKUP($A1412,Data!$C$5:$AG$2561,G$4)</f>
        <v>-15.8</v>
      </c>
    </row>
    <row r="1413" spans="1:3" x14ac:dyDescent="0.25">
      <c r="A1413">
        <v>2022311</v>
      </c>
      <c r="B1413">
        <f>VLOOKUP($A1413,Data!$C$5:$AG$2561,F$4)</f>
        <v>-5.7</v>
      </c>
      <c r="C1413">
        <f>VLOOKUP($A1413,Data!$C$5:$AG$2561,G$4)</f>
        <v>-13.5</v>
      </c>
    </row>
    <row r="1414" spans="1:3" x14ac:dyDescent="0.25">
      <c r="A1414">
        <v>2022312</v>
      </c>
      <c r="B1414">
        <f>VLOOKUP($A1414,Data!$C$5:$AG$2561,F$4)</f>
        <v>-5.6</v>
      </c>
      <c r="C1414">
        <f>VLOOKUP($A1414,Data!$C$5:$AG$2561,G$4)</f>
        <v>-16.8</v>
      </c>
    </row>
    <row r="1415" spans="1:3" x14ac:dyDescent="0.25">
      <c r="A1415">
        <v>2022313</v>
      </c>
      <c r="B1415">
        <f>VLOOKUP($A1415,Data!$C$5:$AG$2561,F$4)</f>
        <v>-4.2</v>
      </c>
      <c r="C1415">
        <f>VLOOKUP($A1415,Data!$C$5:$AG$2561,G$4)</f>
        <v>-18.8</v>
      </c>
    </row>
    <row r="1416" spans="1:3" x14ac:dyDescent="0.25">
      <c r="A1416">
        <v>2022314</v>
      </c>
      <c r="B1416">
        <f>VLOOKUP($A1416,Data!$C$5:$AG$2561,F$4)</f>
        <v>-2.8</v>
      </c>
      <c r="C1416">
        <f>VLOOKUP($A1416,Data!$C$5:$AG$2561,G$4)</f>
        <v>-19</v>
      </c>
    </row>
    <row r="1417" spans="1:3" x14ac:dyDescent="0.25">
      <c r="A1417">
        <v>2022315</v>
      </c>
      <c r="B1417">
        <f>VLOOKUP($A1417,Data!$C$5:$AG$2561,F$4)</f>
        <v>-7.9</v>
      </c>
      <c r="C1417">
        <f>VLOOKUP($A1417,Data!$C$5:$AG$2561,G$4)</f>
        <v>-16.399999999999999</v>
      </c>
    </row>
    <row r="1418" spans="1:3" x14ac:dyDescent="0.25">
      <c r="A1418">
        <v>2022316</v>
      </c>
      <c r="B1418">
        <f>VLOOKUP($A1418,Data!$C$5:$AG$2561,F$4)</f>
        <v>-0.3</v>
      </c>
      <c r="C1418">
        <f>VLOOKUP($A1418,Data!$C$5:$AG$2561,G$4)</f>
        <v>-15.2</v>
      </c>
    </row>
    <row r="1419" spans="1:3" x14ac:dyDescent="0.25">
      <c r="A1419">
        <v>2022317</v>
      </c>
      <c r="B1419">
        <f>VLOOKUP($A1419,Data!$C$5:$AG$2561,F$4)</f>
        <v>-1.7</v>
      </c>
      <c r="C1419">
        <f>VLOOKUP($A1419,Data!$C$5:$AG$2561,G$4)</f>
        <v>-6.9</v>
      </c>
    </row>
    <row r="1420" spans="1:3" x14ac:dyDescent="0.25">
      <c r="A1420">
        <v>2022318</v>
      </c>
      <c r="B1420">
        <f>VLOOKUP($A1420,Data!$C$5:$AG$2561,F$4)</f>
        <v>3.2</v>
      </c>
      <c r="C1420">
        <f>VLOOKUP($A1420,Data!$C$5:$AG$2561,G$4)</f>
        <v>-11</v>
      </c>
    </row>
    <row r="1421" spans="1:3" x14ac:dyDescent="0.25">
      <c r="A1421">
        <v>2022319</v>
      </c>
      <c r="B1421">
        <f>VLOOKUP($A1421,Data!$C$5:$AG$2561,F$4)</f>
        <v>5.9</v>
      </c>
      <c r="C1421">
        <f>VLOOKUP($A1421,Data!$C$5:$AG$2561,G$4)</f>
        <v>-13.2</v>
      </c>
    </row>
    <row r="1422" spans="1:3" x14ac:dyDescent="0.25">
      <c r="A1422">
        <v>2022320</v>
      </c>
      <c r="B1422">
        <f>VLOOKUP($A1422,Data!$C$5:$AG$2561,F$4)</f>
        <v>4.8</v>
      </c>
      <c r="C1422">
        <f>VLOOKUP($A1422,Data!$C$5:$AG$2561,G$4)</f>
        <v>-10.6</v>
      </c>
    </row>
    <row r="1423" spans="1:3" x14ac:dyDescent="0.25">
      <c r="A1423">
        <v>2022321</v>
      </c>
      <c r="B1423">
        <f>VLOOKUP($A1423,Data!$C$5:$AG$2561,F$4)</f>
        <v>-2.9</v>
      </c>
      <c r="C1423">
        <f>VLOOKUP($A1423,Data!$C$5:$AG$2561,G$4)</f>
        <v>-16.3</v>
      </c>
    </row>
    <row r="1424" spans="1:3" x14ac:dyDescent="0.25">
      <c r="A1424">
        <v>2022322</v>
      </c>
      <c r="B1424">
        <f>VLOOKUP($A1424,Data!$C$5:$AG$2561,F$4)</f>
        <v>0.2</v>
      </c>
      <c r="C1424">
        <f>VLOOKUP($A1424,Data!$C$5:$AG$2561,G$4)</f>
        <v>-18.3</v>
      </c>
    </row>
    <row r="1425" spans="1:3" x14ac:dyDescent="0.25">
      <c r="A1425">
        <v>2022323</v>
      </c>
      <c r="B1425">
        <f>VLOOKUP($A1425,Data!$C$5:$AG$2561,F$4)</f>
        <v>-3.1</v>
      </c>
      <c r="C1425">
        <f>VLOOKUP($A1425,Data!$C$5:$AG$2561,G$4)</f>
        <v>-16.899999999999999</v>
      </c>
    </row>
    <row r="1426" spans="1:3" x14ac:dyDescent="0.25">
      <c r="A1426">
        <v>2022324</v>
      </c>
      <c r="B1426">
        <f>VLOOKUP($A1426,Data!$C$5:$AG$2561,F$4)</f>
        <v>-2.2000000000000002</v>
      </c>
      <c r="C1426">
        <f>VLOOKUP($A1426,Data!$C$5:$AG$2561,G$4)</f>
        <v>-14.9</v>
      </c>
    </row>
    <row r="1427" spans="1:3" x14ac:dyDescent="0.25">
      <c r="A1427">
        <v>2022325</v>
      </c>
      <c r="B1427">
        <f>VLOOKUP($A1427,Data!$C$5:$AG$2561,F$4)</f>
        <v>-0.5</v>
      </c>
      <c r="C1427">
        <f>VLOOKUP($A1427,Data!$C$5:$AG$2561,G$4)</f>
        <v>-5.9</v>
      </c>
    </row>
    <row r="1428" spans="1:3" x14ac:dyDescent="0.25">
      <c r="A1428">
        <v>2022326</v>
      </c>
      <c r="B1428">
        <f>VLOOKUP($A1428,Data!$C$5:$AG$2561,F$4)</f>
        <v>-2</v>
      </c>
      <c r="C1428">
        <f>VLOOKUP($A1428,Data!$C$5:$AG$2561,G$4)</f>
        <v>-6.4</v>
      </c>
    </row>
    <row r="1429" spans="1:3" x14ac:dyDescent="0.25">
      <c r="A1429">
        <v>2022327</v>
      </c>
      <c r="B1429">
        <f>VLOOKUP($A1429,Data!$C$5:$AG$2561,F$4)</f>
        <v>2</v>
      </c>
      <c r="C1429">
        <f>VLOOKUP($A1429,Data!$C$5:$AG$2561,G$4)</f>
        <v>-3.8</v>
      </c>
    </row>
    <row r="1430" spans="1:3" x14ac:dyDescent="0.25">
      <c r="A1430">
        <v>2022328</v>
      </c>
      <c r="B1430">
        <f>VLOOKUP($A1430,Data!$C$5:$AG$2561,F$4)</f>
        <v>-1.7</v>
      </c>
      <c r="C1430">
        <f>VLOOKUP($A1430,Data!$C$5:$AG$2561,G$4)</f>
        <v>-5.4</v>
      </c>
    </row>
    <row r="1431" spans="1:3" x14ac:dyDescent="0.25">
      <c r="A1431">
        <v>2022329</v>
      </c>
      <c r="B1431">
        <f>VLOOKUP($A1431,Data!$C$5:$AG$2561,F$4)</f>
        <v>0.6</v>
      </c>
      <c r="C1431">
        <f>VLOOKUP($A1431,Data!$C$5:$AG$2561,G$4)</f>
        <v>-9</v>
      </c>
    </row>
    <row r="1432" spans="1:3" x14ac:dyDescent="0.25">
      <c r="A1432">
        <v>2022330</v>
      </c>
      <c r="B1432">
        <f>VLOOKUP($A1432,Data!$C$5:$AG$2561,F$4)</f>
        <v>-1.1000000000000001</v>
      </c>
      <c r="C1432">
        <f>VLOOKUP($A1432,Data!$C$5:$AG$2561,G$4)</f>
        <v>-9.4</v>
      </c>
    </row>
    <row r="1433" spans="1:3" x14ac:dyDescent="0.25">
      <c r="A1433">
        <v>2022331</v>
      </c>
      <c r="B1433">
        <f>VLOOKUP($A1433,Data!$C$5:$AG$2561,F$4)</f>
        <v>-3.8</v>
      </c>
      <c r="C1433">
        <f>VLOOKUP($A1433,Data!$C$5:$AG$2561,G$4)</f>
        <v>-11.3</v>
      </c>
    </row>
    <row r="1434" spans="1:3" x14ac:dyDescent="0.25">
      <c r="A1434">
        <v>2022332</v>
      </c>
      <c r="B1434">
        <f>VLOOKUP($A1434,Data!$C$5:$AG$2561,F$4)</f>
        <v>-9</v>
      </c>
      <c r="C1434">
        <f>VLOOKUP($A1434,Data!$C$5:$AG$2561,G$4)</f>
        <v>-18</v>
      </c>
    </row>
    <row r="1435" spans="1:3" x14ac:dyDescent="0.25">
      <c r="A1435">
        <v>2022333</v>
      </c>
      <c r="B1435">
        <f>VLOOKUP($A1435,Data!$C$5:$AG$2561,F$4)</f>
        <v>-10.5</v>
      </c>
      <c r="C1435">
        <f>VLOOKUP($A1435,Data!$C$5:$AG$2561,G$4)</f>
        <v>-24.1</v>
      </c>
    </row>
    <row r="1436" spans="1:3" x14ac:dyDescent="0.25">
      <c r="A1436">
        <v>2022334</v>
      </c>
      <c r="B1436">
        <f>VLOOKUP($A1436,Data!$C$5:$AG$2561,F$4)</f>
        <v>-4.0999999999999996</v>
      </c>
      <c r="C1436">
        <f>VLOOKUP($A1436,Data!$C$5:$AG$2561,G$4)</f>
        <v>-11.9</v>
      </c>
    </row>
    <row r="1437" spans="1:3" x14ac:dyDescent="0.25">
      <c r="A1437">
        <v>2022335</v>
      </c>
      <c r="B1437">
        <f>VLOOKUP($A1437,Data!$C$5:$AG$2561,F$4)</f>
        <v>-10.6</v>
      </c>
      <c r="C1437">
        <f>VLOOKUP($A1437,Data!$C$5:$AG$2561,G$4)</f>
        <v>-27.1</v>
      </c>
    </row>
    <row r="1438" spans="1:3" x14ac:dyDescent="0.25">
      <c r="A1438">
        <v>2022336</v>
      </c>
      <c r="B1438">
        <f>VLOOKUP($A1438,Data!$C$5:$AG$2561,F$4)</f>
        <v>-9.8000000000000007</v>
      </c>
      <c r="C1438">
        <f>VLOOKUP($A1438,Data!$C$5:$AG$2561,G$4)</f>
        <v>-26.4</v>
      </c>
    </row>
    <row r="1439" spans="1:3" x14ac:dyDescent="0.25">
      <c r="A1439">
        <v>2022337</v>
      </c>
      <c r="B1439">
        <f>VLOOKUP($A1439,Data!$C$5:$AG$2561,F$4)</f>
        <v>-7.3</v>
      </c>
      <c r="C1439">
        <f>VLOOKUP($A1439,Data!$C$5:$AG$2561,G$4)</f>
        <v>-19</v>
      </c>
    </row>
    <row r="1440" spans="1:3" x14ac:dyDescent="0.25">
      <c r="A1440">
        <v>2022338</v>
      </c>
      <c r="B1440">
        <f>VLOOKUP($A1440,Data!$C$5:$AG$2561,F$4)</f>
        <v>-3.8</v>
      </c>
      <c r="C1440">
        <f>VLOOKUP($A1440,Data!$C$5:$AG$2561,G$4)</f>
        <v>-20</v>
      </c>
    </row>
    <row r="1441" spans="1:3" x14ac:dyDescent="0.25">
      <c r="A1441">
        <v>2022339</v>
      </c>
      <c r="B1441">
        <f>VLOOKUP($A1441,Data!$C$5:$AG$2561,F$4)</f>
        <v>-6.5</v>
      </c>
      <c r="C1441">
        <f>VLOOKUP($A1441,Data!$C$5:$AG$2561,G$4)</f>
        <v>-15.2</v>
      </c>
    </row>
    <row r="1442" spans="1:3" x14ac:dyDescent="0.25">
      <c r="A1442">
        <v>2022340</v>
      </c>
      <c r="B1442">
        <f>VLOOKUP($A1442,Data!$C$5:$AG$2561,F$4)</f>
        <v>-4.7</v>
      </c>
      <c r="C1442">
        <f>VLOOKUP($A1442,Data!$C$5:$AG$2561,G$4)</f>
        <v>-13</v>
      </c>
    </row>
    <row r="1443" spans="1:3" x14ac:dyDescent="0.25">
      <c r="A1443">
        <v>2022341</v>
      </c>
      <c r="B1443">
        <f>VLOOKUP($A1443,Data!$C$5:$AG$2561,F$4)</f>
        <v>-3.3</v>
      </c>
      <c r="C1443">
        <f>VLOOKUP($A1443,Data!$C$5:$AG$2561,G$4)</f>
        <v>-15.8</v>
      </c>
    </row>
    <row r="1444" spans="1:3" x14ac:dyDescent="0.25">
      <c r="A1444">
        <v>2022342</v>
      </c>
      <c r="B1444">
        <f>VLOOKUP($A1444,Data!$C$5:$AG$2561,F$4)</f>
        <v>-4.5999999999999996</v>
      </c>
      <c r="C1444">
        <f>VLOOKUP($A1444,Data!$C$5:$AG$2561,G$4)</f>
        <v>-10.8</v>
      </c>
    </row>
    <row r="1445" spans="1:3" x14ac:dyDescent="0.25">
      <c r="A1445">
        <v>2022343</v>
      </c>
      <c r="B1445">
        <f>VLOOKUP($A1445,Data!$C$5:$AG$2561,F$4)</f>
        <v>-7.1</v>
      </c>
      <c r="C1445">
        <f>VLOOKUP($A1445,Data!$C$5:$AG$2561,G$4)</f>
        <v>-17.100000000000001</v>
      </c>
    </row>
    <row r="1446" spans="1:3" x14ac:dyDescent="0.25">
      <c r="A1446">
        <v>2022344</v>
      </c>
      <c r="B1446">
        <f>VLOOKUP($A1446,Data!$C$5:$AG$2561,F$4)</f>
        <v>-3.5</v>
      </c>
      <c r="C1446">
        <f>VLOOKUP($A1446,Data!$C$5:$AG$2561,G$4)</f>
        <v>-7.5</v>
      </c>
    </row>
    <row r="1447" spans="1:3" x14ac:dyDescent="0.25">
      <c r="A1447">
        <v>2022345</v>
      </c>
      <c r="B1447">
        <f>VLOOKUP($A1447,Data!$C$5:$AG$2561,F$4)</f>
        <v>0.2</v>
      </c>
      <c r="C1447">
        <f>VLOOKUP($A1447,Data!$C$5:$AG$2561,G$4)</f>
        <v>-6</v>
      </c>
    </row>
    <row r="1448" spans="1:3" x14ac:dyDescent="0.25">
      <c r="A1448">
        <v>2022346</v>
      </c>
      <c r="B1448">
        <f>VLOOKUP($A1448,Data!$C$5:$AG$2561,F$4)</f>
        <v>-3.7</v>
      </c>
      <c r="C1448">
        <f>VLOOKUP($A1448,Data!$C$5:$AG$2561,G$4)</f>
        <v>-13.9</v>
      </c>
    </row>
    <row r="1449" spans="1:3" x14ac:dyDescent="0.25">
      <c r="A1449">
        <v>2022347</v>
      </c>
      <c r="B1449">
        <f>VLOOKUP($A1449,Data!$C$5:$AG$2561,F$4)</f>
        <v>-2.4</v>
      </c>
      <c r="C1449">
        <f>VLOOKUP($A1449,Data!$C$5:$AG$2561,G$4)</f>
        <v>-10.3</v>
      </c>
    </row>
    <row r="1450" spans="1:3" x14ac:dyDescent="0.25">
      <c r="A1450">
        <v>2022348</v>
      </c>
      <c r="B1450">
        <f>VLOOKUP($A1450,Data!$C$5:$AG$2561,F$4)</f>
        <v>-4.5</v>
      </c>
      <c r="C1450">
        <f>VLOOKUP($A1450,Data!$C$5:$AG$2561,G$4)</f>
        <v>-11.4</v>
      </c>
    </row>
    <row r="1451" spans="1:3" x14ac:dyDescent="0.25">
      <c r="A1451">
        <v>2022349</v>
      </c>
      <c r="B1451">
        <f>VLOOKUP($A1451,Data!$C$5:$AG$2561,F$4)</f>
        <v>-4</v>
      </c>
      <c r="C1451">
        <f>VLOOKUP($A1451,Data!$C$5:$AG$2561,G$4)</f>
        <v>-11.7</v>
      </c>
    </row>
    <row r="1452" spans="1:3" x14ac:dyDescent="0.25">
      <c r="A1452">
        <v>2022350</v>
      </c>
      <c r="B1452">
        <f>VLOOKUP($A1452,Data!$C$5:$AG$2561,F$4)</f>
        <v>2.9</v>
      </c>
      <c r="C1452">
        <f>VLOOKUP($A1452,Data!$C$5:$AG$2561,G$4)</f>
        <v>-12.7</v>
      </c>
    </row>
    <row r="1453" spans="1:3" x14ac:dyDescent="0.25">
      <c r="A1453">
        <v>2022351</v>
      </c>
      <c r="B1453">
        <f>VLOOKUP($A1453,Data!$C$5:$AG$2561,F$4)</f>
        <v>-4.9000000000000004</v>
      </c>
      <c r="C1453">
        <f>VLOOKUP($A1453,Data!$C$5:$AG$2561,G$4)</f>
        <v>-16</v>
      </c>
    </row>
    <row r="1454" spans="1:3" x14ac:dyDescent="0.25">
      <c r="A1454">
        <v>2022352</v>
      </c>
      <c r="B1454">
        <f>VLOOKUP($A1454,Data!$C$5:$AG$2561,F$4)</f>
        <v>-12.9</v>
      </c>
      <c r="C1454">
        <f>VLOOKUP($A1454,Data!$C$5:$AG$2561,G$4)</f>
        <v>-27.1</v>
      </c>
    </row>
    <row r="1455" spans="1:3" x14ac:dyDescent="0.25">
      <c r="A1455">
        <v>2022353</v>
      </c>
      <c r="B1455">
        <f>VLOOKUP($A1455,Data!$C$5:$AG$2561,F$4)</f>
        <v>-18.3</v>
      </c>
      <c r="C1455">
        <f>VLOOKUP($A1455,Data!$C$5:$AG$2561,G$4)</f>
        <v>-27.2</v>
      </c>
    </row>
    <row r="1456" spans="1:3" x14ac:dyDescent="0.25">
      <c r="A1456">
        <v>2022354</v>
      </c>
      <c r="B1456">
        <f>VLOOKUP($A1456,Data!$C$5:$AG$2561,F$4)</f>
        <v>-15.1</v>
      </c>
      <c r="C1456">
        <f>VLOOKUP($A1456,Data!$C$5:$AG$2561,G$4)</f>
        <v>-26.9</v>
      </c>
    </row>
    <row r="1457" spans="1:3" x14ac:dyDescent="0.25">
      <c r="A1457">
        <v>2022355</v>
      </c>
      <c r="B1457">
        <f>VLOOKUP($A1457,Data!$C$5:$AG$2561,F$4)</f>
        <v>-26.1</v>
      </c>
      <c r="C1457">
        <f>VLOOKUP($A1457,Data!$C$5:$AG$2561,G$4)</f>
        <v>-33.9</v>
      </c>
    </row>
    <row r="1458" spans="1:3" x14ac:dyDescent="0.25">
      <c r="A1458">
        <v>2022356</v>
      </c>
      <c r="B1458">
        <f>VLOOKUP($A1458,Data!$C$5:$AG$2561,F$4)</f>
        <v>-20.2</v>
      </c>
      <c r="C1458">
        <f>VLOOKUP($A1458,Data!$C$5:$AG$2561,G$4)</f>
        <v>-35.6</v>
      </c>
    </row>
    <row r="1459" spans="1:3" x14ac:dyDescent="0.25">
      <c r="A1459">
        <v>2022357</v>
      </c>
      <c r="B1459">
        <f>VLOOKUP($A1459,Data!$C$5:$AG$2561,F$4)</f>
        <v>-12.9</v>
      </c>
      <c r="C1459">
        <f>VLOOKUP($A1459,Data!$C$5:$AG$2561,G$4)</f>
        <v>-21.4</v>
      </c>
    </row>
    <row r="1460" spans="1:3" x14ac:dyDescent="0.25">
      <c r="A1460">
        <v>2022358</v>
      </c>
      <c r="B1460">
        <f>VLOOKUP($A1460,Data!$C$5:$AG$2561,F$4)</f>
        <v>-2.4</v>
      </c>
      <c r="C1460">
        <f>VLOOKUP($A1460,Data!$C$5:$AG$2561,G$4)</f>
        <v>-13.4</v>
      </c>
    </row>
    <row r="1461" spans="1:3" x14ac:dyDescent="0.25">
      <c r="A1461">
        <v>2022359</v>
      </c>
      <c r="B1461">
        <f>VLOOKUP($A1461,Data!$C$5:$AG$2561,F$4)</f>
        <v>0.9</v>
      </c>
      <c r="C1461">
        <f>VLOOKUP($A1461,Data!$C$5:$AG$2561,G$4)</f>
        <v>-4.5999999999999996</v>
      </c>
    </row>
    <row r="1462" spans="1:3" x14ac:dyDescent="0.25">
      <c r="A1462">
        <v>2022360</v>
      </c>
      <c r="B1462">
        <f>VLOOKUP($A1462,Data!$C$5:$AG$2561,F$4)</f>
        <v>2.4</v>
      </c>
      <c r="C1462">
        <f>VLOOKUP($A1462,Data!$C$5:$AG$2561,G$4)</f>
        <v>-1.2</v>
      </c>
    </row>
    <row r="1463" spans="1:3" x14ac:dyDescent="0.25">
      <c r="A1463">
        <v>2022361</v>
      </c>
      <c r="B1463">
        <f>VLOOKUP($A1463,Data!$C$5:$AG$2561,F$4)</f>
        <v>1</v>
      </c>
      <c r="C1463">
        <f>VLOOKUP($A1463,Data!$C$5:$AG$2561,G$4)</f>
        <v>-1</v>
      </c>
    </row>
    <row r="1464" spans="1:3" x14ac:dyDescent="0.25">
      <c r="A1464">
        <v>2022362</v>
      </c>
      <c r="B1464">
        <f>VLOOKUP($A1464,Data!$C$5:$AG$2561,F$4)</f>
        <v>-0.6</v>
      </c>
      <c r="C1464">
        <f>VLOOKUP($A1464,Data!$C$5:$AG$2561,G$4)</f>
        <v>-12.1</v>
      </c>
    </row>
    <row r="1465" spans="1:3" x14ac:dyDescent="0.25">
      <c r="A1465">
        <v>2022363</v>
      </c>
      <c r="B1465">
        <f>VLOOKUP($A1465,Data!$C$5:$AG$2561,F$4)</f>
        <v>-4.3</v>
      </c>
      <c r="C1465">
        <f>VLOOKUP($A1465,Data!$C$5:$AG$2561,G$4)</f>
        <v>-16.5</v>
      </c>
    </row>
    <row r="1466" spans="1:3" x14ac:dyDescent="0.25">
      <c r="A1466">
        <v>2022364</v>
      </c>
      <c r="B1466">
        <f>VLOOKUP($A1466,Data!$C$5:$AG$2561,F$4)</f>
        <v>-2.1</v>
      </c>
      <c r="C1466">
        <f>VLOOKUP($A1466,Data!$C$5:$AG$2561,G$4)</f>
        <v>-6.1</v>
      </c>
    </row>
    <row r="1467" spans="1:3" x14ac:dyDescent="0.25">
      <c r="A1467">
        <v>2022365</v>
      </c>
      <c r="B1467">
        <f>VLOOKUP($A1467,Data!$C$5:$AG$2561,F$4)</f>
        <v>-0.8</v>
      </c>
      <c r="C1467">
        <f>VLOOKUP($A1467,Data!$C$5:$AG$2561,G$4)</f>
        <v>-5.9</v>
      </c>
    </row>
    <row r="1468" spans="1:3" x14ac:dyDescent="0.25">
      <c r="A1468">
        <v>2023001</v>
      </c>
      <c r="B1468">
        <f>VLOOKUP($A1468,Data!$C$5:$AG$2561,F$4)</f>
        <v>-0.9</v>
      </c>
      <c r="C1468">
        <f>VLOOKUP($A1468,Data!$C$5:$AG$2561,G$4)</f>
        <v>-13.7</v>
      </c>
    </row>
    <row r="1469" spans="1:3" x14ac:dyDescent="0.25">
      <c r="A1469">
        <v>2023002</v>
      </c>
      <c r="B1469">
        <f>VLOOKUP($A1469,Data!$C$5:$AG$2561,F$4)</f>
        <v>-5.9</v>
      </c>
      <c r="C1469">
        <f>VLOOKUP($A1469,Data!$C$5:$AG$2561,G$4)</f>
        <v>-14.2</v>
      </c>
    </row>
    <row r="1470" spans="1:3" x14ac:dyDescent="0.25">
      <c r="A1470">
        <v>2023003</v>
      </c>
      <c r="B1470">
        <f>VLOOKUP($A1470,Data!$C$5:$AG$2561,F$4)</f>
        <v>-6.6</v>
      </c>
      <c r="C1470">
        <f>VLOOKUP($A1470,Data!$C$5:$AG$2561,G$4)</f>
        <v>-9.6999999999999993</v>
      </c>
    </row>
    <row r="1471" spans="1:3" x14ac:dyDescent="0.25">
      <c r="A1471">
        <v>2023004</v>
      </c>
      <c r="B1471">
        <f>VLOOKUP($A1471,Data!$C$5:$AG$2561,F$4)</f>
        <v>-4.8</v>
      </c>
      <c r="C1471">
        <f>VLOOKUP($A1471,Data!$C$5:$AG$2561,G$4)</f>
        <v>-8.8000000000000007</v>
      </c>
    </row>
    <row r="1472" spans="1:3" x14ac:dyDescent="0.25">
      <c r="A1472">
        <v>2023005</v>
      </c>
      <c r="B1472">
        <f>VLOOKUP($A1472,Data!$C$5:$AG$2561,F$4)</f>
        <v>0.3</v>
      </c>
      <c r="C1472">
        <f>VLOOKUP($A1472,Data!$C$5:$AG$2561,G$4)</f>
        <v>-5</v>
      </c>
    </row>
    <row r="1473" spans="1:3" x14ac:dyDescent="0.25">
      <c r="A1473">
        <v>2023006</v>
      </c>
      <c r="B1473">
        <f>VLOOKUP($A1473,Data!$C$5:$AG$2561,F$4)</f>
        <v>-0.1</v>
      </c>
      <c r="C1473">
        <f>VLOOKUP($A1473,Data!$C$5:$AG$2561,G$4)</f>
        <v>-5.3</v>
      </c>
    </row>
    <row r="1474" spans="1:3" x14ac:dyDescent="0.25">
      <c r="A1474">
        <v>2023007</v>
      </c>
      <c r="B1474">
        <f>VLOOKUP($A1474,Data!$C$5:$AG$2561,F$4)</f>
        <v>1.2</v>
      </c>
      <c r="C1474">
        <f>VLOOKUP($A1474,Data!$C$5:$AG$2561,G$4)</f>
        <v>-3</v>
      </c>
    </row>
    <row r="1475" spans="1:3" x14ac:dyDescent="0.25">
      <c r="A1475">
        <v>2023008</v>
      </c>
      <c r="B1475">
        <f>VLOOKUP($A1475,Data!$C$5:$AG$2561,F$4)</f>
        <v>0.2</v>
      </c>
      <c r="C1475">
        <f>VLOOKUP($A1475,Data!$C$5:$AG$2561,G$4)</f>
        <v>-4.8</v>
      </c>
    </row>
    <row r="1476" spans="1:3" x14ac:dyDescent="0.25">
      <c r="A1476">
        <v>2023009</v>
      </c>
      <c r="B1476">
        <f>VLOOKUP($A1476,Data!$C$5:$AG$2561,F$4)</f>
        <v>-2.2000000000000002</v>
      </c>
      <c r="C1476">
        <f>VLOOKUP($A1476,Data!$C$5:$AG$2561,G$4)</f>
        <v>-8.4</v>
      </c>
    </row>
    <row r="1477" spans="1:3" x14ac:dyDescent="0.25">
      <c r="A1477">
        <v>2023010</v>
      </c>
      <c r="B1477">
        <f>VLOOKUP($A1477,Data!$C$5:$AG$2561,F$4)</f>
        <v>-0.5</v>
      </c>
      <c r="C1477">
        <f>VLOOKUP($A1477,Data!$C$5:$AG$2561,G$4)</f>
        <v>-8.6</v>
      </c>
    </row>
    <row r="1478" spans="1:3" x14ac:dyDescent="0.25">
      <c r="A1478">
        <v>2023011</v>
      </c>
      <c r="B1478">
        <f>VLOOKUP($A1478,Data!$C$5:$AG$2561,F$4)</f>
        <v>0.9</v>
      </c>
      <c r="C1478">
        <f>VLOOKUP($A1478,Data!$C$5:$AG$2561,G$4)</f>
        <v>-11.5</v>
      </c>
    </row>
    <row r="1479" spans="1:3" x14ac:dyDescent="0.25">
      <c r="A1479">
        <v>2023012</v>
      </c>
      <c r="B1479">
        <f>VLOOKUP($A1479,Data!$C$5:$AG$2561,F$4)</f>
        <v>-0.1</v>
      </c>
      <c r="C1479">
        <f>VLOOKUP($A1479,Data!$C$5:$AG$2561,G$4)</f>
        <v>-2.8</v>
      </c>
    </row>
    <row r="1480" spans="1:3" x14ac:dyDescent="0.25">
      <c r="A1480">
        <v>2023013</v>
      </c>
      <c r="B1480">
        <f>VLOOKUP($A1480,Data!$C$5:$AG$2561,F$4)</f>
        <v>2.7</v>
      </c>
      <c r="C1480">
        <f>VLOOKUP($A1480,Data!$C$5:$AG$2561,G$4)</f>
        <v>-0.5</v>
      </c>
    </row>
    <row r="1481" spans="1:3" x14ac:dyDescent="0.25">
      <c r="A1481">
        <v>2023014</v>
      </c>
      <c r="B1481">
        <f>VLOOKUP($A1481,Data!$C$5:$AG$2561,F$4)</f>
        <v>1.6</v>
      </c>
      <c r="C1481">
        <f>VLOOKUP($A1481,Data!$C$5:$AG$2561,G$4)</f>
        <v>-0.8</v>
      </c>
    </row>
    <row r="1482" spans="1:3" x14ac:dyDescent="0.25">
      <c r="A1482">
        <v>2023015</v>
      </c>
      <c r="B1482">
        <f>VLOOKUP($A1482,Data!$C$5:$AG$2561,F$4)</f>
        <v>2.9</v>
      </c>
      <c r="C1482">
        <f>VLOOKUP($A1482,Data!$C$5:$AG$2561,G$4)</f>
        <v>-1.9</v>
      </c>
    </row>
    <row r="1483" spans="1:3" x14ac:dyDescent="0.25">
      <c r="A1483">
        <v>2023016</v>
      </c>
      <c r="B1483">
        <f>VLOOKUP($A1483,Data!$C$5:$AG$2561,F$4)</f>
        <v>1.2</v>
      </c>
      <c r="C1483">
        <f>VLOOKUP($A1483,Data!$C$5:$AG$2561,G$4)</f>
        <v>-8.5</v>
      </c>
    </row>
    <row r="1484" spans="1:3" x14ac:dyDescent="0.25">
      <c r="A1484">
        <v>2023017</v>
      </c>
      <c r="B1484">
        <f>VLOOKUP($A1484,Data!$C$5:$AG$2561,F$4)</f>
        <v>-1.3</v>
      </c>
      <c r="C1484">
        <f>VLOOKUP($A1484,Data!$C$5:$AG$2561,G$4)</f>
        <v>-12.5</v>
      </c>
    </row>
    <row r="1485" spans="1:3" x14ac:dyDescent="0.25">
      <c r="A1485">
        <v>2023018</v>
      </c>
      <c r="B1485">
        <f>VLOOKUP($A1485,Data!$C$5:$AG$2561,F$4)</f>
        <v>-1.5</v>
      </c>
      <c r="C1485">
        <f>VLOOKUP($A1485,Data!$C$5:$AG$2561,G$4)</f>
        <v>-5.5</v>
      </c>
    </row>
    <row r="1486" spans="1:3" x14ac:dyDescent="0.25">
      <c r="A1486">
        <v>2023019</v>
      </c>
      <c r="B1486">
        <f>VLOOKUP($A1486,Data!$C$5:$AG$2561,F$4)</f>
        <v>-2.4</v>
      </c>
      <c r="C1486">
        <f>VLOOKUP($A1486,Data!$C$5:$AG$2561,G$4)</f>
        <v>-13.2</v>
      </c>
    </row>
    <row r="1487" spans="1:3" x14ac:dyDescent="0.25">
      <c r="A1487">
        <v>2023020</v>
      </c>
      <c r="B1487">
        <f>VLOOKUP($A1487,Data!$C$5:$AG$2561,F$4)</f>
        <v>-0.8</v>
      </c>
      <c r="C1487">
        <f>VLOOKUP($A1487,Data!$C$5:$AG$2561,G$4)</f>
        <v>-14</v>
      </c>
    </row>
    <row r="1488" spans="1:3" x14ac:dyDescent="0.25">
      <c r="A1488">
        <v>2023021</v>
      </c>
      <c r="B1488">
        <f>VLOOKUP($A1488,Data!$C$5:$AG$2561,F$4)</f>
        <v>-4.9000000000000004</v>
      </c>
      <c r="C1488">
        <f>VLOOKUP($A1488,Data!$C$5:$AG$2561,G$4)</f>
        <v>-11.9</v>
      </c>
    </row>
    <row r="1489" spans="1:3" x14ac:dyDescent="0.25">
      <c r="A1489">
        <v>2023022</v>
      </c>
      <c r="B1489">
        <f>VLOOKUP($A1489,Data!$C$5:$AG$2561,F$4)</f>
        <v>-4.8</v>
      </c>
      <c r="C1489">
        <f>VLOOKUP($A1489,Data!$C$5:$AG$2561,G$4)</f>
        <v>-14.7</v>
      </c>
    </row>
    <row r="1490" spans="1:3" x14ac:dyDescent="0.25">
      <c r="A1490">
        <v>2023023</v>
      </c>
      <c r="B1490">
        <f>VLOOKUP($A1490,Data!$C$5:$AG$2561,F$4)</f>
        <v>-0.7</v>
      </c>
      <c r="C1490">
        <f>VLOOKUP($A1490,Data!$C$5:$AG$2561,G$4)</f>
        <v>-10.199999999999999</v>
      </c>
    </row>
    <row r="1491" spans="1:3" x14ac:dyDescent="0.25">
      <c r="A1491">
        <v>2023024</v>
      </c>
      <c r="B1491">
        <f>VLOOKUP($A1491,Data!$C$5:$AG$2561,F$4)</f>
        <v>-0.6</v>
      </c>
      <c r="C1491">
        <f>VLOOKUP($A1491,Data!$C$5:$AG$2561,G$4)</f>
        <v>-9.6999999999999993</v>
      </c>
    </row>
    <row r="1492" spans="1:3" x14ac:dyDescent="0.25">
      <c r="A1492">
        <v>2023025</v>
      </c>
      <c r="B1492">
        <f>VLOOKUP($A1492,Data!$C$5:$AG$2561,F$4)</f>
        <v>3.6</v>
      </c>
      <c r="C1492">
        <f>VLOOKUP($A1492,Data!$C$5:$AG$2561,G$4)</f>
        <v>-1.2</v>
      </c>
    </row>
    <row r="1493" spans="1:3" x14ac:dyDescent="0.25">
      <c r="A1493">
        <v>2023026</v>
      </c>
      <c r="B1493">
        <f>VLOOKUP($A1493,Data!$C$5:$AG$2561,F$4)</f>
        <v>4.2</v>
      </c>
      <c r="C1493">
        <f>VLOOKUP($A1493,Data!$C$5:$AG$2561,G$4)</f>
        <v>-1.3</v>
      </c>
    </row>
    <row r="1494" spans="1:3" x14ac:dyDescent="0.25">
      <c r="A1494">
        <v>2023027</v>
      </c>
      <c r="B1494">
        <f>VLOOKUP($A1494,Data!$C$5:$AG$2561,F$4)</f>
        <v>-1.2</v>
      </c>
      <c r="C1494">
        <f>VLOOKUP($A1494,Data!$C$5:$AG$2561,G$4)</f>
        <v>-5.5</v>
      </c>
    </row>
    <row r="1495" spans="1:3" x14ac:dyDescent="0.25">
      <c r="A1495">
        <v>2023028</v>
      </c>
      <c r="B1495">
        <f>VLOOKUP($A1495,Data!$C$5:$AG$2561,F$4)</f>
        <v>-5.3</v>
      </c>
      <c r="C1495">
        <f>VLOOKUP($A1495,Data!$C$5:$AG$2561,G$4)</f>
        <v>-15.6</v>
      </c>
    </row>
    <row r="1496" spans="1:3" x14ac:dyDescent="0.25">
      <c r="A1496">
        <v>2023029</v>
      </c>
      <c r="B1496">
        <f>VLOOKUP($A1496,Data!$C$5:$AG$2561,F$4)</f>
        <v>-10.5</v>
      </c>
      <c r="C1496">
        <f>VLOOKUP($A1496,Data!$C$5:$AG$2561,G$4)</f>
        <v>-21</v>
      </c>
    </row>
    <row r="1497" spans="1:3" x14ac:dyDescent="0.25">
      <c r="A1497">
        <v>2023030</v>
      </c>
      <c r="B1497">
        <f>VLOOKUP($A1497,Data!$C$5:$AG$2561,F$4)</f>
        <v>-6.8</v>
      </c>
      <c r="C1497">
        <f>VLOOKUP($A1497,Data!$C$5:$AG$2561,G$4)</f>
        <v>-23.1</v>
      </c>
    </row>
    <row r="1498" spans="1:3" x14ac:dyDescent="0.25">
      <c r="A1498">
        <v>2023031</v>
      </c>
      <c r="B1498">
        <f>VLOOKUP($A1498,Data!$C$5:$AG$2561,F$4)</f>
        <v>-6.5</v>
      </c>
      <c r="C1498">
        <f>VLOOKUP($A1498,Data!$C$5:$AG$2561,G$4)</f>
        <v>-14.1</v>
      </c>
    </row>
    <row r="1499" spans="1:3" x14ac:dyDescent="0.25">
      <c r="A1499">
        <v>2023032</v>
      </c>
      <c r="B1499">
        <f>VLOOKUP($A1499,Data!$C$5:$AG$2561,F$4)</f>
        <v>-2.1</v>
      </c>
      <c r="C1499">
        <f>VLOOKUP($A1499,Data!$C$5:$AG$2561,G$4)</f>
        <v>-12.4</v>
      </c>
    </row>
    <row r="1500" spans="1:3" x14ac:dyDescent="0.25">
      <c r="A1500">
        <v>2023033</v>
      </c>
      <c r="B1500">
        <f>VLOOKUP($A1500,Data!$C$5:$AG$2561,F$4)</f>
        <v>-3.6</v>
      </c>
      <c r="C1500">
        <f>VLOOKUP($A1500,Data!$C$5:$AG$2561,G$4)</f>
        <v>-8.3000000000000007</v>
      </c>
    </row>
    <row r="1501" spans="1:3" x14ac:dyDescent="0.25">
      <c r="A1501">
        <v>2023034</v>
      </c>
      <c r="B1501">
        <f>VLOOKUP($A1501,Data!$C$5:$AG$2561,F$4)</f>
        <v>-0.5</v>
      </c>
      <c r="C1501">
        <f>VLOOKUP($A1501,Data!$C$5:$AG$2561,G$4)</f>
        <v>-8.5</v>
      </c>
    </row>
    <row r="1502" spans="1:3" x14ac:dyDescent="0.25">
      <c r="A1502">
        <v>2023035</v>
      </c>
      <c r="B1502">
        <f>VLOOKUP($A1502,Data!$C$5:$AG$2561,F$4)</f>
        <v>-0.8</v>
      </c>
      <c r="C1502">
        <f>VLOOKUP($A1502,Data!$C$5:$AG$2561,G$4)</f>
        <v>-7.8</v>
      </c>
    </row>
    <row r="1503" spans="1:3" x14ac:dyDescent="0.25">
      <c r="A1503">
        <v>2023036</v>
      </c>
      <c r="B1503">
        <f>VLOOKUP($A1503,Data!$C$5:$AG$2561,F$4)</f>
        <v>-0.1</v>
      </c>
      <c r="C1503">
        <f>VLOOKUP($A1503,Data!$C$5:$AG$2561,G$4)</f>
        <v>-2.8</v>
      </c>
    </row>
    <row r="1504" spans="1:3" x14ac:dyDescent="0.25">
      <c r="A1504">
        <v>2023037</v>
      </c>
      <c r="B1504">
        <f>VLOOKUP($A1504,Data!$C$5:$AG$2561,F$4)</f>
        <v>1.8</v>
      </c>
      <c r="C1504">
        <f>VLOOKUP($A1504,Data!$C$5:$AG$2561,G$4)</f>
        <v>-5.3</v>
      </c>
    </row>
    <row r="1505" spans="1:3" x14ac:dyDescent="0.25">
      <c r="A1505">
        <v>2023038</v>
      </c>
      <c r="B1505">
        <f>VLOOKUP($A1505,Data!$C$5:$AG$2561,F$4)</f>
        <v>-0.6</v>
      </c>
      <c r="C1505">
        <f>VLOOKUP($A1505,Data!$C$5:$AG$2561,G$4)</f>
        <v>-5</v>
      </c>
    </row>
    <row r="1506" spans="1:3" x14ac:dyDescent="0.25">
      <c r="A1506">
        <v>2023039</v>
      </c>
      <c r="B1506">
        <f>VLOOKUP($A1506,Data!$C$5:$AG$2561,F$4)</f>
        <v>-0.4</v>
      </c>
      <c r="C1506">
        <f>VLOOKUP($A1506,Data!$C$5:$AG$2561,G$4)</f>
        <v>-13.1</v>
      </c>
    </row>
    <row r="1507" spans="1:3" x14ac:dyDescent="0.25">
      <c r="A1507">
        <v>2023040</v>
      </c>
      <c r="B1507">
        <f>VLOOKUP($A1507,Data!$C$5:$AG$2561,F$4)</f>
        <v>-3.5</v>
      </c>
      <c r="C1507">
        <f>VLOOKUP($A1507,Data!$C$5:$AG$2561,G$4)</f>
        <v>-8.1999999999999993</v>
      </c>
    </row>
    <row r="1508" spans="1:3" x14ac:dyDescent="0.25">
      <c r="A1508">
        <v>2023041</v>
      </c>
      <c r="B1508">
        <f>VLOOKUP($A1508,Data!$C$5:$AG$2561,F$4)</f>
        <v>2.8</v>
      </c>
      <c r="C1508">
        <f>VLOOKUP($A1508,Data!$C$5:$AG$2561,G$4)</f>
        <v>-12.5</v>
      </c>
    </row>
    <row r="1509" spans="1:3" x14ac:dyDescent="0.25">
      <c r="A1509">
        <v>2023042</v>
      </c>
      <c r="B1509">
        <f>VLOOKUP($A1509,Data!$C$5:$AG$2561,F$4)</f>
        <v>2.5</v>
      </c>
      <c r="C1509">
        <f>VLOOKUP($A1509,Data!$C$5:$AG$2561,G$4)</f>
        <v>-14.8</v>
      </c>
    </row>
    <row r="1510" spans="1:3" x14ac:dyDescent="0.25">
      <c r="A1510">
        <v>2023043</v>
      </c>
      <c r="B1510">
        <f>VLOOKUP($A1510,Data!$C$5:$AG$2561,F$4)</f>
        <v>3</v>
      </c>
      <c r="C1510">
        <f>VLOOKUP($A1510,Data!$C$5:$AG$2561,G$4)</f>
        <v>-10.9</v>
      </c>
    </row>
    <row r="1511" spans="1:3" x14ac:dyDescent="0.25">
      <c r="A1511">
        <v>2023044</v>
      </c>
      <c r="B1511">
        <f>VLOOKUP($A1511,Data!$C$5:$AG$2561,F$4)</f>
        <v>-1.8</v>
      </c>
      <c r="C1511">
        <f>VLOOKUP($A1511,Data!$C$5:$AG$2561,G$4)</f>
        <v>-7.2</v>
      </c>
    </row>
    <row r="1512" spans="1:3" x14ac:dyDescent="0.25">
      <c r="A1512">
        <v>2023045</v>
      </c>
      <c r="B1512">
        <f>VLOOKUP($A1512,Data!$C$5:$AG$2561,F$4)</f>
        <v>-5.3</v>
      </c>
      <c r="C1512">
        <f>VLOOKUP($A1512,Data!$C$5:$AG$2561,G$4)</f>
        <v>-15.6</v>
      </c>
    </row>
    <row r="1513" spans="1:3" x14ac:dyDescent="0.25">
      <c r="A1513">
        <v>2023046</v>
      </c>
      <c r="B1513">
        <f>VLOOKUP($A1513,Data!$C$5:$AG$2561,F$4)</f>
        <v>-1.2</v>
      </c>
      <c r="C1513">
        <f>VLOOKUP($A1513,Data!$C$5:$AG$2561,G$4)</f>
        <v>-18.8</v>
      </c>
    </row>
    <row r="1514" spans="1:3" x14ac:dyDescent="0.25">
      <c r="A1514">
        <v>2023047</v>
      </c>
      <c r="B1514">
        <f>VLOOKUP($A1514,Data!$C$5:$AG$2561,F$4)</f>
        <v>-0.8</v>
      </c>
      <c r="C1514">
        <f>VLOOKUP($A1514,Data!$C$5:$AG$2561,G$4)</f>
        <v>-12.4</v>
      </c>
    </row>
    <row r="1515" spans="1:3" x14ac:dyDescent="0.25">
      <c r="A1515">
        <v>2023048</v>
      </c>
      <c r="B1515">
        <f>VLOOKUP($A1515,Data!$C$5:$AG$2561,F$4)</f>
        <v>-1</v>
      </c>
      <c r="C1515">
        <f>VLOOKUP($A1515,Data!$C$5:$AG$2561,G$4)</f>
        <v>-6.8</v>
      </c>
    </row>
    <row r="1516" spans="1:3" x14ac:dyDescent="0.25">
      <c r="A1516">
        <v>2023049</v>
      </c>
      <c r="B1516">
        <f>VLOOKUP($A1516,Data!$C$5:$AG$2561,F$4)</f>
        <v>1.7</v>
      </c>
      <c r="C1516">
        <f>VLOOKUP($A1516,Data!$C$5:$AG$2561,G$4)</f>
        <v>-11</v>
      </c>
    </row>
    <row r="1517" spans="1:3" x14ac:dyDescent="0.25">
      <c r="A1517">
        <v>2023050</v>
      </c>
      <c r="B1517">
        <f>VLOOKUP($A1517,Data!$C$5:$AG$2561,F$4)</f>
        <v>-0.9</v>
      </c>
      <c r="C1517">
        <f>VLOOKUP($A1517,Data!$C$5:$AG$2561,G$4)</f>
        <v>-9.1999999999999993</v>
      </c>
    </row>
    <row r="1518" spans="1:3" x14ac:dyDescent="0.25">
      <c r="A1518">
        <v>2023051</v>
      </c>
      <c r="B1518">
        <f>VLOOKUP($A1518,Data!$C$5:$AG$2561,F$4)</f>
        <v>0.2</v>
      </c>
      <c r="C1518">
        <f>VLOOKUP($A1518,Data!$C$5:$AG$2561,G$4)</f>
        <v>-2.4</v>
      </c>
    </row>
    <row r="1519" spans="1:3" x14ac:dyDescent="0.25">
      <c r="A1519">
        <v>2023052</v>
      </c>
      <c r="B1519">
        <f>VLOOKUP($A1519,Data!$C$5:$AG$2561,F$4)</f>
        <v>-2.2999999999999998</v>
      </c>
      <c r="C1519">
        <f>VLOOKUP($A1519,Data!$C$5:$AG$2561,G$4)</f>
        <v>-14.3</v>
      </c>
    </row>
    <row r="1520" spans="1:3" x14ac:dyDescent="0.25">
      <c r="A1520">
        <v>2023053</v>
      </c>
      <c r="B1520">
        <f>VLOOKUP($A1520,Data!$C$5:$AG$2561,F$4)</f>
        <v>-10</v>
      </c>
      <c r="C1520">
        <f>VLOOKUP($A1520,Data!$C$5:$AG$2561,G$4)</f>
        <v>-18.899999999999999</v>
      </c>
    </row>
    <row r="1521" spans="1:3" x14ac:dyDescent="0.25">
      <c r="A1521">
        <v>2023054</v>
      </c>
      <c r="B1521">
        <f>VLOOKUP($A1521,Data!$C$5:$AG$2561,F$4)</f>
        <v>-12.9</v>
      </c>
      <c r="C1521">
        <f>VLOOKUP($A1521,Data!$C$5:$AG$2561,G$4)</f>
        <v>-20.7</v>
      </c>
    </row>
    <row r="1522" spans="1:3" x14ac:dyDescent="0.25">
      <c r="A1522">
        <v>2023055</v>
      </c>
      <c r="B1522">
        <f>VLOOKUP($A1522,Data!$C$5:$AG$2561,F$4)</f>
        <v>-7.6</v>
      </c>
      <c r="C1522">
        <f>VLOOKUP($A1522,Data!$C$5:$AG$2561,G$4)</f>
        <v>-28.4</v>
      </c>
    </row>
    <row r="1523" spans="1:3" x14ac:dyDescent="0.25">
      <c r="A1523">
        <v>2023056</v>
      </c>
      <c r="B1523">
        <f>VLOOKUP($A1523,Data!$C$5:$AG$2561,F$4)</f>
        <v>-10.199999999999999</v>
      </c>
      <c r="C1523">
        <f>VLOOKUP($A1523,Data!$C$5:$AG$2561,G$4)</f>
        <v>-18.2</v>
      </c>
    </row>
    <row r="1524" spans="1:3" x14ac:dyDescent="0.25">
      <c r="A1524">
        <v>2023057</v>
      </c>
      <c r="B1524">
        <f>VLOOKUP($A1524,Data!$C$5:$AG$2561,F$4)</f>
        <v>-2</v>
      </c>
      <c r="C1524">
        <f>VLOOKUP($A1524,Data!$C$5:$AG$2561,G$4)</f>
        <v>-16.399999999999999</v>
      </c>
    </row>
    <row r="1525" spans="1:3" x14ac:dyDescent="0.25">
      <c r="A1525">
        <v>2023058</v>
      </c>
      <c r="B1525">
        <f>VLOOKUP($A1525,Data!$C$5:$AG$2561,F$4)</f>
        <v>-5.0999999999999996</v>
      </c>
      <c r="C1525">
        <f>VLOOKUP($A1525,Data!$C$5:$AG$2561,G$4)</f>
        <v>-20.399999999999999</v>
      </c>
    </row>
    <row r="1526" spans="1:3" x14ac:dyDescent="0.25">
      <c r="A1526">
        <v>2023059</v>
      </c>
      <c r="B1526">
        <f>VLOOKUP($A1526,Data!$C$5:$AG$2561,F$4)</f>
        <v>-5</v>
      </c>
      <c r="C1526">
        <f>VLOOKUP($A1526,Data!$C$5:$AG$2561,G$4)</f>
        <v>-10</v>
      </c>
    </row>
    <row r="1527" spans="1:3" x14ac:dyDescent="0.25">
      <c r="A1527">
        <v>2023060</v>
      </c>
      <c r="B1527">
        <f>VLOOKUP($A1527,Data!$C$5:$AG$2561,F$4)</f>
        <v>-5.0999999999999996</v>
      </c>
      <c r="C1527">
        <f>VLOOKUP($A1527,Data!$C$5:$AG$2561,G$4)</f>
        <v>-9.3000000000000007</v>
      </c>
    </row>
    <row r="1528" spans="1:3" x14ac:dyDescent="0.25">
      <c r="A1528">
        <v>2023061</v>
      </c>
      <c r="B1528">
        <f>VLOOKUP($A1528,Data!$C$5:$AG$2561,F$4)</f>
        <v>-1.5</v>
      </c>
      <c r="C1528">
        <f>VLOOKUP($A1528,Data!$C$5:$AG$2561,G$4)</f>
        <v>-8.1999999999999993</v>
      </c>
    </row>
    <row r="1529" spans="1:3" x14ac:dyDescent="0.25">
      <c r="A1529">
        <v>2023062</v>
      </c>
      <c r="B1529">
        <f>VLOOKUP($A1529,Data!$C$5:$AG$2561,F$4)</f>
        <v>-3.4</v>
      </c>
      <c r="C1529">
        <f>VLOOKUP($A1529,Data!$C$5:$AG$2561,G$4)</f>
        <v>-13.2</v>
      </c>
    </row>
    <row r="1530" spans="1:3" x14ac:dyDescent="0.25">
      <c r="A1530">
        <v>2023063</v>
      </c>
      <c r="B1530">
        <f>VLOOKUP($A1530,Data!$C$5:$AG$2561,F$4)</f>
        <v>-2.2000000000000002</v>
      </c>
      <c r="C1530">
        <f>VLOOKUP($A1530,Data!$C$5:$AG$2561,G$4)</f>
        <v>-13.2</v>
      </c>
    </row>
    <row r="1531" spans="1:3" x14ac:dyDescent="0.25">
      <c r="A1531">
        <v>2023064</v>
      </c>
      <c r="B1531">
        <f>VLOOKUP($A1531,Data!$C$5:$AG$2561,F$4)</f>
        <v>-2</v>
      </c>
      <c r="C1531">
        <f>VLOOKUP($A1531,Data!$C$5:$AG$2561,G$4)</f>
        <v>-14.6</v>
      </c>
    </row>
    <row r="1532" spans="1:3" x14ac:dyDescent="0.25">
      <c r="A1532">
        <v>2023065</v>
      </c>
      <c r="B1532">
        <f>VLOOKUP($A1532,Data!$C$5:$AG$2561,F$4)</f>
        <v>0.4</v>
      </c>
      <c r="C1532">
        <f>VLOOKUP($A1532,Data!$C$5:$AG$2561,G$4)</f>
        <v>-16.2</v>
      </c>
    </row>
    <row r="1533" spans="1:3" x14ac:dyDescent="0.25">
      <c r="A1533">
        <v>2023066</v>
      </c>
      <c r="B1533">
        <f>VLOOKUP($A1533,Data!$C$5:$AG$2561,F$4)</f>
        <v>1.2</v>
      </c>
      <c r="C1533">
        <f>VLOOKUP($A1533,Data!$C$5:$AG$2561,G$4)</f>
        <v>-11.8</v>
      </c>
    </row>
    <row r="1534" spans="1:3" x14ac:dyDescent="0.25">
      <c r="A1534">
        <v>2023067</v>
      </c>
      <c r="B1534">
        <f>VLOOKUP($A1534,Data!$C$5:$AG$2561,F$4)</f>
        <v>1.1000000000000001</v>
      </c>
      <c r="C1534">
        <f>VLOOKUP($A1534,Data!$C$5:$AG$2561,G$4)</f>
        <v>-13.2</v>
      </c>
    </row>
    <row r="1535" spans="1:3" x14ac:dyDescent="0.25">
      <c r="A1535">
        <v>2023068</v>
      </c>
      <c r="B1535">
        <f>VLOOKUP($A1535,Data!$C$5:$AG$2561,F$4)</f>
        <v>-2.2999999999999998</v>
      </c>
      <c r="C1535">
        <f>VLOOKUP($A1535,Data!$C$5:$AG$2561,G$4)</f>
        <v>-14</v>
      </c>
    </row>
    <row r="1536" spans="1:3" x14ac:dyDescent="0.25">
      <c r="A1536">
        <v>2023069</v>
      </c>
      <c r="B1536">
        <f>VLOOKUP($A1536,Data!$C$5:$AG$2561,F$4)</f>
        <v>-2.6</v>
      </c>
      <c r="C1536">
        <f>VLOOKUP($A1536,Data!$C$5:$AG$2561,G$4)</f>
        <v>-11.1</v>
      </c>
    </row>
    <row r="1537" spans="1:3" x14ac:dyDescent="0.25">
      <c r="A1537">
        <v>2023070</v>
      </c>
      <c r="B1537">
        <f>VLOOKUP($A1537,Data!$C$5:$AG$2561,F$4)</f>
        <v>1.8</v>
      </c>
      <c r="C1537">
        <f>VLOOKUP($A1537,Data!$C$5:$AG$2561,G$4)</f>
        <v>-12.6</v>
      </c>
    </row>
    <row r="1538" spans="1:3" x14ac:dyDescent="0.25">
      <c r="A1538">
        <v>2023071</v>
      </c>
      <c r="B1538">
        <f>VLOOKUP($A1538,Data!$C$5:$AG$2561,F$4)</f>
        <v>0.1</v>
      </c>
      <c r="C1538">
        <f>VLOOKUP($A1538,Data!$C$5:$AG$2561,G$4)</f>
        <v>-11.4</v>
      </c>
    </row>
    <row r="1539" spans="1:3" x14ac:dyDescent="0.25">
      <c r="A1539">
        <v>2023072</v>
      </c>
      <c r="B1539">
        <f>VLOOKUP($A1539,Data!$C$5:$AG$2561,F$4)</f>
        <v>0.8</v>
      </c>
      <c r="C1539">
        <f>VLOOKUP($A1539,Data!$C$5:$AG$2561,G$4)</f>
        <v>-8.4</v>
      </c>
    </row>
    <row r="1540" spans="1:3" x14ac:dyDescent="0.25">
      <c r="A1540">
        <v>2023073</v>
      </c>
      <c r="B1540">
        <f>VLOOKUP($A1540,Data!$C$5:$AG$2561,F$4)</f>
        <v>0</v>
      </c>
      <c r="C1540">
        <f>VLOOKUP($A1540,Data!$C$5:$AG$2561,G$4)</f>
        <v>-15.8</v>
      </c>
    </row>
    <row r="1541" spans="1:3" x14ac:dyDescent="0.25">
      <c r="A1541">
        <v>2023074</v>
      </c>
      <c r="B1541">
        <f>VLOOKUP($A1541,Data!$C$5:$AG$2561,F$4)</f>
        <v>-0.7</v>
      </c>
      <c r="C1541">
        <f>VLOOKUP($A1541,Data!$C$5:$AG$2561,G$4)</f>
        <v>-16.399999999999999</v>
      </c>
    </row>
    <row r="1542" spans="1:3" x14ac:dyDescent="0.25">
      <c r="A1542">
        <v>2023075</v>
      </c>
      <c r="B1542">
        <f>VLOOKUP($A1542,Data!$C$5:$AG$2561,F$4)</f>
        <v>3.9</v>
      </c>
      <c r="C1542">
        <f>VLOOKUP($A1542,Data!$C$5:$AG$2561,G$4)</f>
        <v>-16.7</v>
      </c>
    </row>
    <row r="1543" spans="1:3" x14ac:dyDescent="0.25">
      <c r="A1543">
        <v>2023076</v>
      </c>
      <c r="B1543">
        <f>VLOOKUP($A1543,Data!$C$5:$AG$2561,F$4)</f>
        <v>5.7</v>
      </c>
      <c r="C1543">
        <f>VLOOKUP($A1543,Data!$C$5:$AG$2561,G$4)</f>
        <v>-11</v>
      </c>
    </row>
    <row r="1544" spans="1:3" x14ac:dyDescent="0.25">
      <c r="A1544">
        <v>2023077</v>
      </c>
      <c r="B1544">
        <f>VLOOKUP($A1544,Data!$C$5:$AG$2561,F$4)</f>
        <v>7.3</v>
      </c>
      <c r="C1544">
        <f>VLOOKUP($A1544,Data!$C$5:$AG$2561,G$4)</f>
        <v>-8.1</v>
      </c>
    </row>
    <row r="1545" spans="1:3" x14ac:dyDescent="0.25">
      <c r="A1545">
        <v>2023078</v>
      </c>
      <c r="B1545">
        <f>VLOOKUP($A1545,Data!$C$5:$AG$2561,F$4)</f>
        <v>8.3000000000000007</v>
      </c>
      <c r="C1545">
        <f>VLOOKUP($A1545,Data!$C$5:$AG$2561,G$4)</f>
        <v>-10.8</v>
      </c>
    </row>
    <row r="1546" spans="1:3" x14ac:dyDescent="0.25">
      <c r="A1546">
        <v>2023079</v>
      </c>
      <c r="B1546">
        <f>VLOOKUP($A1546,Data!$C$5:$AG$2561,F$4)</f>
        <v>5.8</v>
      </c>
      <c r="C1546">
        <f>VLOOKUP($A1546,Data!$C$5:$AG$2561,G$4)</f>
        <v>-7.9</v>
      </c>
    </row>
    <row r="1547" spans="1:3" x14ac:dyDescent="0.25">
      <c r="A1547">
        <v>2023080</v>
      </c>
      <c r="B1547">
        <f>VLOOKUP($A1547,Data!$C$5:$AG$2561,F$4)</f>
        <v>8.6</v>
      </c>
      <c r="C1547">
        <f>VLOOKUP($A1547,Data!$C$5:$AG$2561,G$4)</f>
        <v>-10.9</v>
      </c>
    </row>
    <row r="1548" spans="1:3" x14ac:dyDescent="0.25">
      <c r="A1548">
        <v>2023081</v>
      </c>
      <c r="B1548">
        <f>VLOOKUP($A1548,Data!$C$5:$AG$2561,F$4)</f>
        <v>9.1999999999999993</v>
      </c>
      <c r="C1548">
        <f>VLOOKUP($A1548,Data!$C$5:$AG$2561,G$4)</f>
        <v>-11.5</v>
      </c>
    </row>
    <row r="1549" spans="1:3" x14ac:dyDescent="0.25">
      <c r="A1549">
        <v>2023082</v>
      </c>
      <c r="B1549">
        <f>VLOOKUP($A1549,Data!$C$5:$AG$2561,F$4)</f>
        <v>4.8</v>
      </c>
      <c r="C1549">
        <f>VLOOKUP($A1549,Data!$C$5:$AG$2561,G$4)</f>
        <v>-10.6</v>
      </c>
    </row>
    <row r="1550" spans="1:3" x14ac:dyDescent="0.25">
      <c r="A1550">
        <v>2023083</v>
      </c>
      <c r="B1550">
        <f>VLOOKUP($A1550,Data!$C$5:$AG$2561,F$4)</f>
        <v>0</v>
      </c>
      <c r="C1550">
        <f>VLOOKUP($A1550,Data!$C$5:$AG$2561,G$4)</f>
        <v>-12.9</v>
      </c>
    </row>
    <row r="1551" spans="1:3" x14ac:dyDescent="0.25">
      <c r="A1551">
        <v>2023084</v>
      </c>
      <c r="B1551">
        <f>VLOOKUP($A1551,Data!$C$5:$AG$2561,F$4)</f>
        <v>0.5</v>
      </c>
      <c r="C1551">
        <f>VLOOKUP($A1551,Data!$C$5:$AG$2561,G$4)</f>
        <v>-14.6</v>
      </c>
    </row>
    <row r="1552" spans="1:3" x14ac:dyDescent="0.25">
      <c r="A1552">
        <v>2023085</v>
      </c>
      <c r="B1552">
        <f>VLOOKUP($A1552,Data!$C$5:$AG$2561,F$4)</f>
        <v>1.3</v>
      </c>
      <c r="C1552">
        <f>VLOOKUP($A1552,Data!$C$5:$AG$2561,G$4)</f>
        <v>-11.7</v>
      </c>
    </row>
    <row r="1553" spans="1:3" x14ac:dyDescent="0.25">
      <c r="A1553">
        <v>2023086</v>
      </c>
      <c r="B1553">
        <f>VLOOKUP($A1553,Data!$C$5:$AG$2561,F$4)</f>
        <v>1.6</v>
      </c>
      <c r="C1553">
        <f>VLOOKUP($A1553,Data!$C$5:$AG$2561,G$4)</f>
        <v>-11.7</v>
      </c>
    </row>
    <row r="1554" spans="1:3" x14ac:dyDescent="0.25">
      <c r="A1554">
        <v>2023087</v>
      </c>
      <c r="B1554">
        <f>VLOOKUP($A1554,Data!$C$5:$AG$2561,F$4)</f>
        <v>6.1</v>
      </c>
      <c r="C1554">
        <f>VLOOKUP($A1554,Data!$C$5:$AG$2561,G$4)</f>
        <v>-14.9</v>
      </c>
    </row>
    <row r="1555" spans="1:3" x14ac:dyDescent="0.25">
      <c r="A1555">
        <v>2023088</v>
      </c>
      <c r="B1555">
        <f>VLOOKUP($A1555,Data!$C$5:$AG$2561,F$4)</f>
        <v>7.7</v>
      </c>
      <c r="C1555">
        <f>VLOOKUP($A1555,Data!$C$5:$AG$2561,G$4)</f>
        <v>-13.9</v>
      </c>
    </row>
    <row r="1556" spans="1:3" x14ac:dyDescent="0.25">
      <c r="A1556">
        <v>2023089</v>
      </c>
      <c r="B1556">
        <f>VLOOKUP($A1556,Data!$C$5:$AG$2561,F$4)</f>
        <v>7.4</v>
      </c>
      <c r="C1556">
        <f>VLOOKUP($A1556,Data!$C$5:$AG$2561,G$4)</f>
        <v>-10.4</v>
      </c>
    </row>
    <row r="1557" spans="1:3" x14ac:dyDescent="0.25">
      <c r="A1557">
        <v>2023090</v>
      </c>
      <c r="B1557">
        <f>VLOOKUP($A1557,Data!$C$5:$AG$2561,F$4)</f>
        <v>2.2000000000000002</v>
      </c>
      <c r="C1557">
        <f>VLOOKUP($A1557,Data!$C$5:$AG$2561,G$4)</f>
        <v>-9.1</v>
      </c>
    </row>
    <row r="1558" spans="1:3" x14ac:dyDescent="0.25">
      <c r="A1558">
        <v>2023091</v>
      </c>
      <c r="B1558">
        <f>VLOOKUP($A1558,Data!$C$5:$AG$2561,F$4)</f>
        <v>1.2</v>
      </c>
      <c r="C1558">
        <f>VLOOKUP($A1558,Data!$C$5:$AG$2561,G$4)</f>
        <v>-7.2</v>
      </c>
    </row>
    <row r="1559" spans="1:3" x14ac:dyDescent="0.25">
      <c r="A1559">
        <v>2023092</v>
      </c>
      <c r="B1559">
        <f>VLOOKUP($A1559,Data!$C$5:$AG$2561,F$4)</f>
        <v>2.2000000000000002</v>
      </c>
      <c r="C1559">
        <f>VLOOKUP($A1559,Data!$C$5:$AG$2561,G$4)</f>
        <v>-16</v>
      </c>
    </row>
    <row r="1560" spans="1:3" x14ac:dyDescent="0.25">
      <c r="A1560">
        <v>2023093</v>
      </c>
      <c r="B1560">
        <f>VLOOKUP($A1560,Data!$C$5:$AG$2561,F$4)</f>
        <v>2.6</v>
      </c>
      <c r="C1560">
        <f>VLOOKUP($A1560,Data!$C$5:$AG$2561,G$4)</f>
        <v>-16.3</v>
      </c>
    </row>
    <row r="1561" spans="1:3" x14ac:dyDescent="0.25">
      <c r="A1561">
        <v>2023094</v>
      </c>
      <c r="B1561">
        <f>VLOOKUP($A1561,Data!$C$5:$AG$2561,F$4)</f>
        <v>2.8</v>
      </c>
      <c r="C1561">
        <f>VLOOKUP($A1561,Data!$C$5:$AG$2561,G$4)</f>
        <v>-15.2</v>
      </c>
    </row>
    <row r="1562" spans="1:3" x14ac:dyDescent="0.25">
      <c r="A1562">
        <v>2023095</v>
      </c>
      <c r="B1562">
        <f>VLOOKUP($A1562,Data!$C$5:$AG$2561,F$4)</f>
        <v>5.8</v>
      </c>
      <c r="C1562">
        <f>VLOOKUP($A1562,Data!$C$5:$AG$2561,G$4)</f>
        <v>-16.100000000000001</v>
      </c>
    </row>
    <row r="1563" spans="1:3" x14ac:dyDescent="0.25">
      <c r="A1563">
        <v>2023096</v>
      </c>
      <c r="B1563">
        <f>VLOOKUP($A1563,Data!$C$5:$AG$2561,F$4)</f>
        <v>4.3</v>
      </c>
      <c r="C1563">
        <f>VLOOKUP($A1563,Data!$C$5:$AG$2561,G$4)</f>
        <v>-8.1</v>
      </c>
    </row>
    <row r="1564" spans="1:3" x14ac:dyDescent="0.25">
      <c r="A1564">
        <v>2023097</v>
      </c>
      <c r="B1564">
        <f>VLOOKUP($A1564,Data!$C$5:$AG$2561,F$4)</f>
        <v>2.8</v>
      </c>
      <c r="C1564">
        <f>VLOOKUP($A1564,Data!$C$5:$AG$2561,G$4)</f>
        <v>-0.8</v>
      </c>
    </row>
    <row r="1565" spans="1:3" x14ac:dyDescent="0.25">
      <c r="A1565">
        <v>2023098</v>
      </c>
      <c r="B1565">
        <f>VLOOKUP($A1565,Data!$C$5:$AG$2561,F$4)</f>
        <v>2.8</v>
      </c>
      <c r="C1565">
        <f>VLOOKUP($A1565,Data!$C$5:$AG$2561,G$4)</f>
        <v>-3.3</v>
      </c>
    </row>
    <row r="1566" spans="1:3" x14ac:dyDescent="0.25">
      <c r="A1566">
        <v>2023099</v>
      </c>
      <c r="B1566">
        <f>VLOOKUP($A1566,Data!$C$5:$AG$2561,F$4)</f>
        <v>6.5</v>
      </c>
      <c r="C1566">
        <f>VLOOKUP($A1566,Data!$C$5:$AG$2561,G$4)</f>
        <v>-1.2</v>
      </c>
    </row>
    <row r="1567" spans="1:3" x14ac:dyDescent="0.25">
      <c r="A1567">
        <v>2023100</v>
      </c>
      <c r="B1567">
        <f>VLOOKUP($A1567,Data!$C$5:$AG$2561,F$4)</f>
        <v>3</v>
      </c>
      <c r="C1567">
        <f>VLOOKUP($A1567,Data!$C$5:$AG$2561,G$4)</f>
        <v>-0.7</v>
      </c>
    </row>
    <row r="1568" spans="1:3" x14ac:dyDescent="0.25">
      <c r="A1568">
        <v>2023101</v>
      </c>
      <c r="B1568">
        <f>VLOOKUP($A1568,Data!$C$5:$AG$2561,F$4)</f>
        <v>2</v>
      </c>
      <c r="C1568">
        <f>VLOOKUP($A1568,Data!$C$5:$AG$2561,G$4)</f>
        <v>-8.9</v>
      </c>
    </row>
    <row r="1569" spans="1:3" x14ac:dyDescent="0.25">
      <c r="A1569">
        <v>2023102</v>
      </c>
      <c r="B1569">
        <f>VLOOKUP($A1569,Data!$C$5:$AG$2561,F$4)</f>
        <v>1.5</v>
      </c>
      <c r="C1569">
        <f>VLOOKUP($A1569,Data!$C$5:$AG$2561,G$4)</f>
        <v>-12.2</v>
      </c>
    </row>
    <row r="1570" spans="1:3" x14ac:dyDescent="0.25">
      <c r="A1570">
        <v>2023103</v>
      </c>
      <c r="B1570">
        <f>VLOOKUP($A1570,Data!$C$5:$AG$2561,F$4)</f>
        <v>4.0999999999999996</v>
      </c>
      <c r="C1570">
        <f>VLOOKUP($A1570,Data!$C$5:$AG$2561,G$4)</f>
        <v>-12.2</v>
      </c>
    </row>
    <row r="1571" spans="1:3" x14ac:dyDescent="0.25">
      <c r="A1571">
        <v>2023104</v>
      </c>
      <c r="B1571">
        <f>VLOOKUP($A1571,Data!$C$5:$AG$2561,F$4)</f>
        <v>6.6</v>
      </c>
      <c r="C1571">
        <f>VLOOKUP($A1571,Data!$C$5:$AG$2561,G$4)</f>
        <v>-9.8000000000000007</v>
      </c>
    </row>
    <row r="1572" spans="1:3" x14ac:dyDescent="0.25">
      <c r="A1572">
        <v>2023105</v>
      </c>
      <c r="B1572">
        <f>VLOOKUP($A1572,Data!$C$5:$AG$2561,F$4)</f>
        <v>7.1</v>
      </c>
      <c r="C1572">
        <f>VLOOKUP($A1572,Data!$C$5:$AG$2561,G$4)</f>
        <v>-6.5</v>
      </c>
    </row>
    <row r="1573" spans="1:3" x14ac:dyDescent="0.25">
      <c r="A1573">
        <v>2023106</v>
      </c>
      <c r="B1573">
        <f>VLOOKUP($A1573,Data!$C$5:$AG$2561,F$4)</f>
        <v>6.6</v>
      </c>
      <c r="C1573">
        <f>VLOOKUP($A1573,Data!$C$5:$AG$2561,G$4)</f>
        <v>-3.7</v>
      </c>
    </row>
    <row r="1574" spans="1:3" x14ac:dyDescent="0.25">
      <c r="A1574">
        <v>2023107</v>
      </c>
      <c r="B1574">
        <f>VLOOKUP($A1574,Data!$C$5:$AG$2561,F$4)</f>
        <v>5.3</v>
      </c>
      <c r="C1574">
        <f>VLOOKUP($A1574,Data!$C$5:$AG$2561,G$4)</f>
        <v>-9.8000000000000007</v>
      </c>
    </row>
    <row r="1575" spans="1:3" x14ac:dyDescent="0.25">
      <c r="A1575">
        <v>2023108</v>
      </c>
      <c r="B1575">
        <f>VLOOKUP($A1575,Data!$C$5:$AG$2561,F$4)</f>
        <v>3.3</v>
      </c>
      <c r="C1575">
        <f>VLOOKUP($A1575,Data!$C$5:$AG$2561,G$4)</f>
        <v>-9.5</v>
      </c>
    </row>
    <row r="1576" spans="1:3" x14ac:dyDescent="0.25">
      <c r="A1576">
        <v>2023109</v>
      </c>
      <c r="B1576">
        <f>VLOOKUP($A1576,Data!$C$5:$AG$2561,F$4)</f>
        <v>5.0999999999999996</v>
      </c>
      <c r="C1576">
        <f>VLOOKUP($A1576,Data!$C$5:$AG$2561,G$4)</f>
        <v>-12.8</v>
      </c>
    </row>
    <row r="1577" spans="1:3" x14ac:dyDescent="0.25">
      <c r="A1577">
        <v>2023110</v>
      </c>
      <c r="B1577">
        <f>VLOOKUP($A1577,Data!$C$5:$AG$2561,F$4)</f>
        <v>5</v>
      </c>
      <c r="C1577">
        <f>VLOOKUP($A1577,Data!$C$5:$AG$2561,G$4)</f>
        <v>-12</v>
      </c>
    </row>
    <row r="1578" spans="1:3" x14ac:dyDescent="0.25">
      <c r="A1578">
        <v>2023111</v>
      </c>
      <c r="B1578">
        <f>VLOOKUP($A1578,Data!$C$5:$AG$2561,F$4)</f>
        <v>2.9</v>
      </c>
      <c r="C1578">
        <f>VLOOKUP($A1578,Data!$C$5:$AG$2561,G$4)</f>
        <v>-5.5</v>
      </c>
    </row>
    <row r="1579" spans="1:3" x14ac:dyDescent="0.25">
      <c r="A1579">
        <v>2023112</v>
      </c>
      <c r="B1579">
        <f>VLOOKUP($A1579,Data!$C$5:$AG$2561,F$4)</f>
        <v>7.2</v>
      </c>
      <c r="C1579">
        <f>VLOOKUP($A1579,Data!$C$5:$AG$2561,G$4)</f>
        <v>-6</v>
      </c>
    </row>
    <row r="1580" spans="1:3" x14ac:dyDescent="0.25">
      <c r="A1580">
        <v>2023113</v>
      </c>
      <c r="B1580">
        <f>VLOOKUP($A1580,Data!$C$5:$AG$2561,F$4)</f>
        <v>3.5</v>
      </c>
      <c r="C1580">
        <f>VLOOKUP($A1580,Data!$C$5:$AG$2561,G$4)</f>
        <v>-0.3</v>
      </c>
    </row>
    <row r="1581" spans="1:3" x14ac:dyDescent="0.25">
      <c r="A1581">
        <v>2023114</v>
      </c>
      <c r="B1581">
        <f>VLOOKUP($A1581,Data!$C$5:$AG$2561,F$4)</f>
        <v>8.1</v>
      </c>
      <c r="C1581">
        <f>VLOOKUP($A1581,Data!$C$5:$AG$2561,G$4)</f>
        <v>-3.4</v>
      </c>
    </row>
    <row r="1582" spans="1:3" x14ac:dyDescent="0.25">
      <c r="A1582">
        <v>2023115</v>
      </c>
      <c r="B1582">
        <f>VLOOKUP($A1582,Data!$C$5:$AG$2561,F$4)</f>
        <v>10.6</v>
      </c>
      <c r="C1582">
        <f>VLOOKUP($A1582,Data!$C$5:$AG$2561,G$4)</f>
        <v>-6.2</v>
      </c>
    </row>
    <row r="1583" spans="1:3" x14ac:dyDescent="0.25">
      <c r="A1583">
        <v>2023116</v>
      </c>
      <c r="B1583">
        <f>VLOOKUP($A1583,Data!$C$5:$AG$2561,F$4)</f>
        <v>11.6</v>
      </c>
      <c r="C1583">
        <f>VLOOKUP($A1583,Data!$C$5:$AG$2561,G$4)</f>
        <v>-3.2</v>
      </c>
    </row>
    <row r="1584" spans="1:3" x14ac:dyDescent="0.25">
      <c r="A1584">
        <v>2023117</v>
      </c>
      <c r="B1584">
        <f>VLOOKUP($A1584,Data!$C$5:$AG$2561,F$4)</f>
        <v>13.5</v>
      </c>
      <c r="C1584">
        <f>VLOOKUP($A1584,Data!$C$5:$AG$2561,G$4)</f>
        <v>-1.8</v>
      </c>
    </row>
    <row r="1585" spans="1:3" x14ac:dyDescent="0.25">
      <c r="A1585">
        <v>2023118</v>
      </c>
      <c r="B1585">
        <f>VLOOKUP($A1585,Data!$C$5:$AG$2561,F$4)</f>
        <v>20.100000000000001</v>
      </c>
      <c r="C1585">
        <f>VLOOKUP($A1585,Data!$C$5:$AG$2561,G$4)</f>
        <v>-1.9</v>
      </c>
    </row>
    <row r="1586" spans="1:3" x14ac:dyDescent="0.25">
      <c r="A1586">
        <v>2023119</v>
      </c>
      <c r="B1586">
        <f>VLOOKUP($A1586,Data!$C$5:$AG$2561,F$4)</f>
        <v>21.8</v>
      </c>
      <c r="C1586">
        <f>VLOOKUP($A1586,Data!$C$5:$AG$2561,G$4)</f>
        <v>-2</v>
      </c>
    </row>
    <row r="1587" spans="1:3" x14ac:dyDescent="0.25">
      <c r="A1587">
        <v>2023120</v>
      </c>
      <c r="B1587">
        <f>VLOOKUP($A1587,Data!$C$5:$AG$2561,F$4)</f>
        <v>21.4</v>
      </c>
      <c r="C1587">
        <f>VLOOKUP($A1587,Data!$C$5:$AG$2561,G$4)</f>
        <v>-0.6</v>
      </c>
    </row>
    <row r="1588" spans="1:3" x14ac:dyDescent="0.25">
      <c r="A1588">
        <v>2023121</v>
      </c>
      <c r="B1588">
        <f>VLOOKUP($A1588,Data!$C$5:$AG$2561,F$4)</f>
        <v>15.3</v>
      </c>
      <c r="C1588">
        <f>VLOOKUP($A1588,Data!$C$5:$AG$2561,G$4)</f>
        <v>1</v>
      </c>
    </row>
    <row r="1589" spans="1:3" x14ac:dyDescent="0.25">
      <c r="A1589">
        <v>2023122</v>
      </c>
      <c r="B1589">
        <f>VLOOKUP($A1589,Data!$C$5:$AG$2561,F$4)</f>
        <v>19.5</v>
      </c>
      <c r="C1589">
        <f>VLOOKUP($A1589,Data!$C$5:$AG$2561,G$4)</f>
        <v>2</v>
      </c>
    </row>
    <row r="1590" spans="1:3" x14ac:dyDescent="0.25">
      <c r="A1590">
        <v>2023123</v>
      </c>
      <c r="B1590">
        <f>VLOOKUP($A1590,Data!$C$5:$AG$2561,F$4)</f>
        <v>21.5</v>
      </c>
      <c r="C1590">
        <f>VLOOKUP($A1590,Data!$C$5:$AG$2561,G$4)</f>
        <v>1.5</v>
      </c>
    </row>
    <row r="1591" spans="1:3" x14ac:dyDescent="0.25">
      <c r="A1591">
        <v>2023124</v>
      </c>
      <c r="B1591">
        <f>VLOOKUP($A1591,Data!$C$5:$AG$2561,F$4)</f>
        <v>22.5</v>
      </c>
      <c r="C1591">
        <f>VLOOKUP($A1591,Data!$C$5:$AG$2561,G$4)</f>
        <v>0.3</v>
      </c>
    </row>
    <row r="1592" spans="1:3" x14ac:dyDescent="0.25">
      <c r="A1592">
        <v>2023125</v>
      </c>
      <c r="B1592">
        <f>VLOOKUP($A1592,Data!$C$5:$AG$2561,F$4)</f>
        <v>11.2</v>
      </c>
      <c r="C1592">
        <f>VLOOKUP($A1592,Data!$C$5:$AG$2561,G$4)</f>
        <v>3.1</v>
      </c>
    </row>
    <row r="1593" spans="1:3" x14ac:dyDescent="0.25">
      <c r="A1593">
        <v>2023126</v>
      </c>
      <c r="B1593">
        <f>VLOOKUP($A1593,Data!$C$5:$AG$2561,F$4)</f>
        <v>6.2</v>
      </c>
      <c r="C1593">
        <f>VLOOKUP($A1593,Data!$C$5:$AG$2561,G$4)</f>
        <v>-0.4</v>
      </c>
    </row>
    <row r="1594" spans="1:3" x14ac:dyDescent="0.25">
      <c r="A1594">
        <v>2023127</v>
      </c>
      <c r="B1594">
        <f>VLOOKUP($A1594,Data!$C$5:$AG$2561,F$4)</f>
        <v>8.1</v>
      </c>
      <c r="C1594">
        <f>VLOOKUP($A1594,Data!$C$5:$AG$2561,G$4)</f>
        <v>-0.3</v>
      </c>
    </row>
    <row r="1595" spans="1:3" x14ac:dyDescent="0.25">
      <c r="A1595">
        <v>2023128</v>
      </c>
      <c r="B1595">
        <f>VLOOKUP($A1595,Data!$C$5:$AG$2561,F$4)</f>
        <v>11.5</v>
      </c>
      <c r="C1595">
        <f>VLOOKUP($A1595,Data!$C$5:$AG$2561,G$4)</f>
        <v>-1.2</v>
      </c>
    </row>
    <row r="1596" spans="1:3" x14ac:dyDescent="0.25">
      <c r="A1596">
        <v>2023129</v>
      </c>
      <c r="B1596">
        <f>VLOOKUP($A1596,Data!$C$5:$AG$2561,F$4)</f>
        <v>11.1</v>
      </c>
      <c r="C1596">
        <f>VLOOKUP($A1596,Data!$C$5:$AG$2561,G$4)</f>
        <v>-2.5</v>
      </c>
    </row>
    <row r="1597" spans="1:3" x14ac:dyDescent="0.25">
      <c r="A1597">
        <v>2023130</v>
      </c>
      <c r="B1597">
        <f>VLOOKUP($A1597,Data!$C$5:$AG$2561,F$4)</f>
        <v>13.4</v>
      </c>
      <c r="C1597">
        <f>VLOOKUP($A1597,Data!$C$5:$AG$2561,G$4)</f>
        <v>-1.5</v>
      </c>
    </row>
    <row r="1598" spans="1:3" x14ac:dyDescent="0.25">
      <c r="A1598">
        <v>2023131</v>
      </c>
      <c r="B1598">
        <f>VLOOKUP($A1598,Data!$C$5:$AG$2561,F$4)</f>
        <v>16.7</v>
      </c>
      <c r="C1598">
        <f>VLOOKUP($A1598,Data!$C$5:$AG$2561,G$4)</f>
        <v>-2.1</v>
      </c>
    </row>
    <row r="1599" spans="1:3" x14ac:dyDescent="0.25">
      <c r="A1599">
        <v>2023132</v>
      </c>
      <c r="B1599">
        <f>VLOOKUP($A1599,Data!$C$5:$AG$2561,F$4)</f>
        <v>20</v>
      </c>
      <c r="C1599">
        <f>VLOOKUP($A1599,Data!$C$5:$AG$2561,G$4)</f>
        <v>-1.4</v>
      </c>
    </row>
    <row r="1600" spans="1:3" x14ac:dyDescent="0.25">
      <c r="A1600">
        <v>2023133</v>
      </c>
      <c r="B1600">
        <f>VLOOKUP($A1600,Data!$C$5:$AG$2561,F$4)</f>
        <v>22.7</v>
      </c>
      <c r="C1600">
        <f>VLOOKUP($A1600,Data!$C$5:$AG$2561,G$4)</f>
        <v>-0.6</v>
      </c>
    </row>
    <row r="1601" spans="1:3" x14ac:dyDescent="0.25">
      <c r="A1601">
        <v>2023134</v>
      </c>
      <c r="B1601">
        <f>VLOOKUP($A1601,Data!$C$5:$AG$2561,F$4)</f>
        <v>22.9</v>
      </c>
      <c r="C1601">
        <f>VLOOKUP($A1601,Data!$C$5:$AG$2561,G$4)</f>
        <v>-0.1</v>
      </c>
    </row>
    <row r="1602" spans="1:3" x14ac:dyDescent="0.25">
      <c r="A1602">
        <v>2023135</v>
      </c>
      <c r="B1602">
        <f>VLOOKUP($A1602,Data!$C$5:$AG$2561,F$4)</f>
        <v>24.2</v>
      </c>
      <c r="C1602">
        <f>VLOOKUP($A1602,Data!$C$5:$AG$2561,G$4)</f>
        <v>1.8</v>
      </c>
    </row>
    <row r="1603" spans="1:3" x14ac:dyDescent="0.25">
      <c r="A1603">
        <v>2023136</v>
      </c>
      <c r="B1603">
        <f>VLOOKUP($A1603,Data!$C$5:$AG$2561,F$4)</f>
        <v>21.7</v>
      </c>
      <c r="C1603">
        <f>VLOOKUP($A1603,Data!$C$5:$AG$2561,G$4)</f>
        <v>2.2999999999999998</v>
      </c>
    </row>
    <row r="1604" spans="1:3" x14ac:dyDescent="0.25">
      <c r="A1604">
        <v>2023137</v>
      </c>
      <c r="B1604">
        <f>VLOOKUP($A1604,Data!$C$5:$AG$2561,F$4)</f>
        <v>21</v>
      </c>
      <c r="C1604">
        <f>VLOOKUP($A1604,Data!$C$5:$AG$2561,G$4)</f>
        <v>1.9</v>
      </c>
    </row>
    <row r="1605" spans="1:3" x14ac:dyDescent="0.25">
      <c r="A1605">
        <v>2023138</v>
      </c>
      <c r="B1605">
        <f>VLOOKUP($A1605,Data!$C$5:$AG$2561,F$4)</f>
        <v>23.3</v>
      </c>
      <c r="C1605">
        <f>VLOOKUP($A1605,Data!$C$5:$AG$2561,G$4)</f>
        <v>2.7</v>
      </c>
    </row>
    <row r="1606" spans="1:3" x14ac:dyDescent="0.25">
      <c r="A1606">
        <v>2023139</v>
      </c>
      <c r="B1606">
        <f>VLOOKUP($A1606,Data!$C$5:$AG$2561,F$4)</f>
        <v>24.3</v>
      </c>
      <c r="C1606">
        <f>VLOOKUP($A1606,Data!$C$5:$AG$2561,G$4)</f>
        <v>3.9</v>
      </c>
    </row>
    <row r="1607" spans="1:3" x14ac:dyDescent="0.25">
      <c r="A1607">
        <v>2023140</v>
      </c>
      <c r="B1607">
        <f>VLOOKUP($A1607,Data!$C$5:$AG$2561,F$4)</f>
        <v>25</v>
      </c>
      <c r="C1607">
        <f>VLOOKUP($A1607,Data!$C$5:$AG$2561,G$4)</f>
        <v>5.2</v>
      </c>
    </row>
    <row r="1608" spans="1:3" x14ac:dyDescent="0.25">
      <c r="A1608">
        <v>2023141</v>
      </c>
      <c r="B1608">
        <f>VLOOKUP($A1608,Data!$C$5:$AG$2561,F$4)</f>
        <v>16.100000000000001</v>
      </c>
      <c r="C1608">
        <f>VLOOKUP($A1608,Data!$C$5:$AG$2561,G$4)</f>
        <v>4.3</v>
      </c>
    </row>
    <row r="1609" spans="1:3" x14ac:dyDescent="0.25">
      <c r="A1609">
        <v>2023142</v>
      </c>
      <c r="B1609">
        <f>VLOOKUP($A1609,Data!$C$5:$AG$2561,F$4)</f>
        <v>5</v>
      </c>
      <c r="C1609">
        <f>VLOOKUP($A1609,Data!$C$5:$AG$2561,G$4)</f>
        <v>1</v>
      </c>
    </row>
    <row r="1610" spans="1:3" x14ac:dyDescent="0.25">
      <c r="A1610">
        <v>2023143</v>
      </c>
      <c r="B1610">
        <f>VLOOKUP($A1610,Data!$C$5:$AG$2561,F$4)</f>
        <v>10.7</v>
      </c>
      <c r="C1610">
        <f>VLOOKUP($A1610,Data!$C$5:$AG$2561,G$4)</f>
        <v>2.2999999999999998</v>
      </c>
    </row>
    <row r="1611" spans="1:3" x14ac:dyDescent="0.25">
      <c r="A1611">
        <v>2023144</v>
      </c>
      <c r="B1611">
        <f>VLOOKUP($A1611,Data!$C$5:$AG$2561,F$4)</f>
        <v>12.4</v>
      </c>
      <c r="C1611">
        <f>VLOOKUP($A1611,Data!$C$5:$AG$2561,G$4)</f>
        <v>2.2000000000000002</v>
      </c>
    </row>
    <row r="1612" spans="1:3" x14ac:dyDescent="0.25">
      <c r="A1612">
        <v>2023145</v>
      </c>
      <c r="B1612">
        <f>VLOOKUP($A1612,Data!$C$5:$AG$2561,F$4)</f>
        <v>14.8</v>
      </c>
      <c r="C1612">
        <f>VLOOKUP($A1612,Data!$C$5:$AG$2561,G$4)</f>
        <v>1.5</v>
      </c>
    </row>
    <row r="1613" spans="1:3" x14ac:dyDescent="0.25">
      <c r="A1613">
        <v>2023146</v>
      </c>
      <c r="B1613">
        <f>VLOOKUP($A1613,Data!$C$5:$AG$2561,F$4)</f>
        <v>19</v>
      </c>
      <c r="C1613">
        <f>VLOOKUP($A1613,Data!$C$5:$AG$2561,G$4)</f>
        <v>0.2</v>
      </c>
    </row>
    <row r="1614" spans="1:3" x14ac:dyDescent="0.25">
      <c r="A1614">
        <v>2023147</v>
      </c>
      <c r="B1614">
        <f>VLOOKUP($A1614,Data!$C$5:$AG$2561,F$4)</f>
        <v>18.3</v>
      </c>
      <c r="C1614">
        <f>VLOOKUP($A1614,Data!$C$5:$AG$2561,G$4)</f>
        <v>2.9</v>
      </c>
    </row>
    <row r="1615" spans="1:3" x14ac:dyDescent="0.25">
      <c r="A1615">
        <v>2023148</v>
      </c>
      <c r="B1615">
        <f>VLOOKUP($A1615,Data!$C$5:$AG$2561,F$4)</f>
        <v>19.399999999999999</v>
      </c>
      <c r="C1615">
        <f>VLOOKUP($A1615,Data!$C$5:$AG$2561,G$4)</f>
        <v>0.9</v>
      </c>
    </row>
    <row r="1616" spans="1:3" x14ac:dyDescent="0.25">
      <c r="A1616">
        <v>2023149</v>
      </c>
      <c r="B1616">
        <f>VLOOKUP($A1616,Data!$C$5:$AG$2561,F$4)</f>
        <v>19.899999999999999</v>
      </c>
      <c r="C1616">
        <f>VLOOKUP($A1616,Data!$C$5:$AG$2561,G$4)</f>
        <v>0.7</v>
      </c>
    </row>
    <row r="1617" spans="1:3" x14ac:dyDescent="0.25">
      <c r="A1617">
        <v>2023150</v>
      </c>
      <c r="B1617">
        <f>VLOOKUP($A1617,Data!$C$5:$AG$2561,F$4)</f>
        <v>19.600000000000001</v>
      </c>
      <c r="C1617">
        <f>VLOOKUP($A1617,Data!$C$5:$AG$2561,G$4)</f>
        <v>0.1</v>
      </c>
    </row>
    <row r="1618" spans="1:3" x14ac:dyDescent="0.25">
      <c r="A1618">
        <v>2023151</v>
      </c>
      <c r="B1618">
        <f>VLOOKUP($A1618,Data!$C$5:$AG$2561,F$4)</f>
        <v>17.2</v>
      </c>
      <c r="C1618">
        <f>VLOOKUP($A1618,Data!$C$5:$AG$2561,G$4)</f>
        <v>-1.7</v>
      </c>
    </row>
    <row r="1619" spans="1:3" x14ac:dyDescent="0.25">
      <c r="A1619">
        <v>2023152</v>
      </c>
      <c r="B1619">
        <f>VLOOKUP($A1619,Data!$C$5:$AG$2561,F$4)</f>
        <v>18.2</v>
      </c>
      <c r="C1619">
        <f>VLOOKUP($A1619,Data!$C$5:$AG$2561,G$4)</f>
        <v>1</v>
      </c>
    </row>
    <row r="1620" spans="1:3" x14ac:dyDescent="0.25">
      <c r="A1620">
        <v>2023153</v>
      </c>
      <c r="B1620">
        <f>VLOOKUP($A1620,Data!$C$5:$AG$2561,F$4)</f>
        <v>21.3</v>
      </c>
      <c r="C1620">
        <f>VLOOKUP($A1620,Data!$C$5:$AG$2561,G$4)</f>
        <v>-0.5</v>
      </c>
    </row>
    <row r="1621" spans="1:3" x14ac:dyDescent="0.25">
      <c r="A1621">
        <v>2023154</v>
      </c>
      <c r="B1621">
        <f>VLOOKUP($A1621,Data!$C$5:$AG$2561,F$4)</f>
        <v>22.6</v>
      </c>
      <c r="C1621">
        <f>VLOOKUP($A1621,Data!$C$5:$AG$2561,G$4)</f>
        <v>-0.3</v>
      </c>
    </row>
    <row r="1622" spans="1:3" x14ac:dyDescent="0.25">
      <c r="A1622">
        <v>2023155</v>
      </c>
      <c r="B1622">
        <f>VLOOKUP($A1622,Data!$C$5:$AG$2561,F$4)</f>
        <v>21</v>
      </c>
      <c r="C1622">
        <f>VLOOKUP($A1622,Data!$C$5:$AG$2561,G$4)</f>
        <v>2</v>
      </c>
    </row>
    <row r="1623" spans="1:3" x14ac:dyDescent="0.25">
      <c r="A1623">
        <v>2023156</v>
      </c>
      <c r="B1623">
        <f>VLOOKUP($A1623,Data!$C$5:$AG$2561,F$4)</f>
        <v>16.399999999999999</v>
      </c>
      <c r="C1623">
        <f>VLOOKUP($A1623,Data!$C$5:$AG$2561,G$4)</f>
        <v>-0.5</v>
      </c>
    </row>
    <row r="1624" spans="1:3" x14ac:dyDescent="0.25">
      <c r="A1624">
        <v>2023157</v>
      </c>
      <c r="B1624">
        <f>VLOOKUP($A1624,Data!$C$5:$AG$2561,F$4)</f>
        <v>21.4</v>
      </c>
      <c r="C1624">
        <f>VLOOKUP($A1624,Data!$C$5:$AG$2561,G$4)</f>
        <v>2.8</v>
      </c>
    </row>
    <row r="1625" spans="1:3" x14ac:dyDescent="0.25">
      <c r="A1625">
        <v>2023158</v>
      </c>
      <c r="B1625">
        <f>VLOOKUP($A1625,Data!$C$5:$AG$2561,F$4)</f>
        <v>25.4</v>
      </c>
      <c r="C1625">
        <f>VLOOKUP($A1625,Data!$C$5:$AG$2561,G$4)</f>
        <v>0.5</v>
      </c>
    </row>
    <row r="1626" spans="1:3" x14ac:dyDescent="0.25">
      <c r="A1626">
        <v>2023159</v>
      </c>
      <c r="B1626">
        <f>VLOOKUP($A1626,Data!$C$5:$AG$2561,F$4)</f>
        <v>27.2</v>
      </c>
      <c r="C1626">
        <f>VLOOKUP($A1626,Data!$C$5:$AG$2561,G$4)</f>
        <v>4.0999999999999996</v>
      </c>
    </row>
    <row r="1627" spans="1:3" x14ac:dyDescent="0.25">
      <c r="A1627">
        <v>2023160</v>
      </c>
      <c r="B1627">
        <f>VLOOKUP($A1627,Data!$C$5:$AG$2561,F$4)</f>
        <v>17.8</v>
      </c>
      <c r="C1627">
        <f>VLOOKUP($A1627,Data!$C$5:$AG$2561,G$4)</f>
        <v>9</v>
      </c>
    </row>
    <row r="1628" spans="1:3" x14ac:dyDescent="0.25">
      <c r="A1628">
        <v>2023161</v>
      </c>
      <c r="B1628">
        <f>VLOOKUP($A1628,Data!$C$5:$AG$2561,F$4)</f>
        <v>16.100000000000001</v>
      </c>
      <c r="C1628">
        <f>VLOOKUP($A1628,Data!$C$5:$AG$2561,G$4)</f>
        <v>9.6</v>
      </c>
    </row>
    <row r="1629" spans="1:3" x14ac:dyDescent="0.25">
      <c r="A1629">
        <v>2023162</v>
      </c>
      <c r="B1629">
        <f>VLOOKUP($A1629,Data!$C$5:$AG$2561,F$4)</f>
        <v>18.399999999999999</v>
      </c>
      <c r="C1629">
        <f>VLOOKUP($A1629,Data!$C$5:$AG$2561,G$4)</f>
        <v>9.3000000000000007</v>
      </c>
    </row>
    <row r="1630" spans="1:3" x14ac:dyDescent="0.25">
      <c r="A1630">
        <v>2023163</v>
      </c>
      <c r="B1630">
        <f>VLOOKUP($A1630,Data!$C$5:$AG$2561,F$4)</f>
        <v>24.7</v>
      </c>
      <c r="C1630">
        <f>VLOOKUP($A1630,Data!$C$5:$AG$2561,G$4)</f>
        <v>8.5</v>
      </c>
    </row>
    <row r="1631" spans="1:3" x14ac:dyDescent="0.25">
      <c r="A1631">
        <v>2023164</v>
      </c>
      <c r="B1631">
        <f>VLOOKUP($A1631,Data!$C$5:$AG$2561,F$4)</f>
        <v>21.2</v>
      </c>
      <c r="C1631">
        <f>VLOOKUP($A1631,Data!$C$5:$AG$2561,G$4)</f>
        <v>4.8</v>
      </c>
    </row>
    <row r="1632" spans="1:3" x14ac:dyDescent="0.25">
      <c r="A1632">
        <v>2023165</v>
      </c>
      <c r="B1632">
        <f>VLOOKUP($A1632,Data!$C$5:$AG$2561,F$4)</f>
        <v>7</v>
      </c>
      <c r="C1632">
        <f>VLOOKUP($A1632,Data!$C$5:$AG$2561,G$4)</f>
        <v>4</v>
      </c>
    </row>
    <row r="1633" spans="1:3" x14ac:dyDescent="0.25">
      <c r="A1633">
        <v>2023166</v>
      </c>
      <c r="B1633">
        <f>VLOOKUP($A1633,Data!$C$5:$AG$2561,F$4)</f>
        <v>17.2</v>
      </c>
      <c r="C1633">
        <f>VLOOKUP($A1633,Data!$C$5:$AG$2561,G$4)</f>
        <v>1.5</v>
      </c>
    </row>
    <row r="1634" spans="1:3" x14ac:dyDescent="0.25">
      <c r="A1634">
        <v>2023167</v>
      </c>
      <c r="B1634">
        <f>VLOOKUP($A1634,Data!$C$5:$AG$2561,F$4)</f>
        <v>14.9</v>
      </c>
      <c r="C1634">
        <f>VLOOKUP($A1634,Data!$C$5:$AG$2561,G$4)</f>
        <v>1.9</v>
      </c>
    </row>
    <row r="1635" spans="1:3" x14ac:dyDescent="0.25">
      <c r="A1635">
        <v>2023168</v>
      </c>
      <c r="B1635">
        <f>VLOOKUP($A1635,Data!$C$5:$AG$2561,F$4)</f>
        <v>16.3</v>
      </c>
      <c r="C1635">
        <f>VLOOKUP($A1635,Data!$C$5:$AG$2561,G$4)</f>
        <v>1</v>
      </c>
    </row>
    <row r="1636" spans="1:3" x14ac:dyDescent="0.25">
      <c r="A1636">
        <v>2023169</v>
      </c>
      <c r="B1636">
        <f>VLOOKUP($A1636,Data!$C$5:$AG$2561,F$4)</f>
        <v>8.6999999999999993</v>
      </c>
      <c r="C1636">
        <f>VLOOKUP($A1636,Data!$C$5:$AG$2561,G$4)</f>
        <v>1.1000000000000001</v>
      </c>
    </row>
    <row r="1637" spans="1:3" x14ac:dyDescent="0.25">
      <c r="A1637">
        <v>2023170</v>
      </c>
      <c r="B1637">
        <f>VLOOKUP($A1637,Data!$C$5:$AG$2561,F$4)</f>
        <v>5.4</v>
      </c>
      <c r="C1637">
        <f>VLOOKUP($A1637,Data!$C$5:$AG$2561,G$4)</f>
        <v>0.3</v>
      </c>
    </row>
    <row r="1638" spans="1:3" x14ac:dyDescent="0.25">
      <c r="A1638">
        <v>2023171</v>
      </c>
      <c r="B1638">
        <f>VLOOKUP($A1638,Data!$C$5:$AG$2561,F$4)</f>
        <v>7.6</v>
      </c>
      <c r="C1638">
        <f>VLOOKUP($A1638,Data!$C$5:$AG$2561,G$4)</f>
        <v>-0.4</v>
      </c>
    </row>
    <row r="1639" spans="1:3" x14ac:dyDescent="0.25">
      <c r="A1639">
        <v>2023172</v>
      </c>
      <c r="B1639">
        <f>VLOOKUP($A1639,Data!$C$5:$AG$2561,F$4)</f>
        <v>11.3</v>
      </c>
      <c r="C1639">
        <f>VLOOKUP($A1639,Data!$C$5:$AG$2561,G$4)</f>
        <v>-1.2</v>
      </c>
    </row>
    <row r="1640" spans="1:3" x14ac:dyDescent="0.25">
      <c r="A1640">
        <v>2023173</v>
      </c>
      <c r="B1640">
        <f>VLOOKUP($A1640,Data!$C$5:$AG$2561,F$4)</f>
        <v>15.3</v>
      </c>
      <c r="C1640">
        <f>VLOOKUP($A1640,Data!$C$5:$AG$2561,G$4)</f>
        <v>1.6</v>
      </c>
    </row>
    <row r="1641" spans="1:3" x14ac:dyDescent="0.25">
      <c r="A1641">
        <v>2023174</v>
      </c>
      <c r="B1641">
        <f>VLOOKUP($A1641,Data!$C$5:$AG$2561,F$4)</f>
        <v>18.3</v>
      </c>
      <c r="C1641">
        <f>VLOOKUP($A1641,Data!$C$5:$AG$2561,G$4)</f>
        <v>0.1</v>
      </c>
    </row>
    <row r="1642" spans="1:3" x14ac:dyDescent="0.25">
      <c r="A1642">
        <v>2023175</v>
      </c>
      <c r="B1642">
        <f>VLOOKUP($A1642,Data!$C$5:$AG$2561,F$4)</f>
        <v>16.2</v>
      </c>
      <c r="C1642">
        <f>VLOOKUP($A1642,Data!$C$5:$AG$2561,G$4)</f>
        <v>3.1</v>
      </c>
    </row>
    <row r="1643" spans="1:3" x14ac:dyDescent="0.25">
      <c r="A1643">
        <v>2023176</v>
      </c>
      <c r="B1643">
        <f>VLOOKUP($A1643,Data!$C$5:$AG$2561,F$4)</f>
        <v>18.3</v>
      </c>
      <c r="C1643">
        <f>VLOOKUP($A1643,Data!$C$5:$AG$2561,G$4)</f>
        <v>5.0999999999999996</v>
      </c>
    </row>
    <row r="1644" spans="1:3" x14ac:dyDescent="0.25">
      <c r="A1644">
        <v>2023177</v>
      </c>
      <c r="B1644">
        <f>VLOOKUP($A1644,Data!$C$5:$AG$2561,F$4)</f>
        <v>22.1</v>
      </c>
      <c r="C1644">
        <f>VLOOKUP($A1644,Data!$C$5:$AG$2561,G$4)</f>
        <v>3.6</v>
      </c>
    </row>
    <row r="1645" spans="1:3" x14ac:dyDescent="0.25">
      <c r="A1645">
        <v>2023178</v>
      </c>
      <c r="B1645">
        <f>VLOOKUP($A1645,Data!$C$5:$AG$2561,F$4)</f>
        <v>23</v>
      </c>
      <c r="C1645">
        <f>VLOOKUP($A1645,Data!$C$5:$AG$2561,G$4)</f>
        <v>5.3</v>
      </c>
    </row>
    <row r="1646" spans="1:3" x14ac:dyDescent="0.25">
      <c r="A1646">
        <v>2023179</v>
      </c>
      <c r="B1646">
        <f>VLOOKUP($A1646,Data!$C$5:$AG$2561,F$4)</f>
        <v>23.5</v>
      </c>
      <c r="C1646">
        <f>VLOOKUP($A1646,Data!$C$5:$AG$2561,G$4)</f>
        <v>4.9000000000000004</v>
      </c>
    </row>
    <row r="1647" spans="1:3" x14ac:dyDescent="0.25">
      <c r="A1647">
        <v>2023180</v>
      </c>
      <c r="B1647">
        <f>VLOOKUP($A1647,Data!$C$5:$AG$2561,F$4)</f>
        <v>23.7</v>
      </c>
      <c r="C1647">
        <f>VLOOKUP($A1647,Data!$C$5:$AG$2561,G$4)</f>
        <v>7.8</v>
      </c>
    </row>
    <row r="1648" spans="1:3" x14ac:dyDescent="0.25">
      <c r="A1648">
        <v>2023181</v>
      </c>
      <c r="B1648">
        <f>VLOOKUP($A1648,Data!$C$5:$AG$2561,F$4)</f>
        <v>25.6</v>
      </c>
      <c r="C1648">
        <f>VLOOKUP($A1648,Data!$C$5:$AG$2561,G$4)</f>
        <v>5.7</v>
      </c>
    </row>
    <row r="1649" spans="1:3" x14ac:dyDescent="0.25">
      <c r="A1649">
        <v>2023182</v>
      </c>
      <c r="B1649">
        <f>VLOOKUP($A1649,Data!$C$5:$AG$2561,F$4)</f>
        <v>19.8</v>
      </c>
      <c r="C1649">
        <f>VLOOKUP($A1649,Data!$C$5:$AG$2561,G$4)</f>
        <v>4.9000000000000004</v>
      </c>
    </row>
    <row r="1650" spans="1:3" x14ac:dyDescent="0.25">
      <c r="A1650">
        <v>2023183</v>
      </c>
      <c r="B1650">
        <f>VLOOKUP($A1650,Data!$C$5:$AG$2561,F$4)</f>
        <v>17.8</v>
      </c>
      <c r="C1650">
        <f>VLOOKUP($A1650,Data!$C$5:$AG$2561,G$4)</f>
        <v>1.9</v>
      </c>
    </row>
    <row r="1651" spans="1:3" x14ac:dyDescent="0.25">
      <c r="A1651">
        <v>2023184</v>
      </c>
      <c r="B1651">
        <f>VLOOKUP($A1651,Data!$C$5:$AG$2561,F$4)</f>
        <v>18.3</v>
      </c>
      <c r="C1651">
        <f>VLOOKUP($A1651,Data!$C$5:$AG$2561,G$4)</f>
        <v>-0.5</v>
      </c>
    </row>
    <row r="1652" spans="1:3" x14ac:dyDescent="0.25">
      <c r="A1652">
        <v>2023185</v>
      </c>
      <c r="B1652">
        <f>VLOOKUP($A1652,Data!$C$5:$AG$2561,F$4)</f>
        <v>21.7</v>
      </c>
      <c r="C1652">
        <f>VLOOKUP($A1652,Data!$C$5:$AG$2561,G$4)</f>
        <v>2.7</v>
      </c>
    </row>
    <row r="1653" spans="1:3" x14ac:dyDescent="0.25">
      <c r="A1653">
        <v>2023186</v>
      </c>
      <c r="B1653">
        <f>VLOOKUP($A1653,Data!$C$5:$AG$2561,F$4)</f>
        <v>22.8</v>
      </c>
      <c r="C1653">
        <f>VLOOKUP($A1653,Data!$C$5:$AG$2561,G$4)</f>
        <v>3.1</v>
      </c>
    </row>
    <row r="1654" spans="1:3" x14ac:dyDescent="0.25">
      <c r="A1654">
        <v>2023187</v>
      </c>
      <c r="B1654">
        <f>VLOOKUP($A1654,Data!$C$5:$AG$2561,F$4)</f>
        <v>25.1</v>
      </c>
      <c r="C1654">
        <f>VLOOKUP($A1654,Data!$C$5:$AG$2561,G$4)</f>
        <v>4.8</v>
      </c>
    </row>
    <row r="1655" spans="1:3" x14ac:dyDescent="0.25">
      <c r="A1655">
        <v>2023188</v>
      </c>
      <c r="B1655">
        <f>VLOOKUP($A1655,Data!$C$5:$AG$2561,F$4)</f>
        <v>25.9</v>
      </c>
      <c r="C1655">
        <f>VLOOKUP($A1655,Data!$C$5:$AG$2561,G$4)</f>
        <v>5.8</v>
      </c>
    </row>
    <row r="1656" spans="1:3" x14ac:dyDescent="0.25">
      <c r="A1656">
        <v>2023189</v>
      </c>
      <c r="B1656">
        <f>VLOOKUP($A1656,Data!$C$5:$AG$2561,F$4)</f>
        <v>26</v>
      </c>
      <c r="C1656">
        <f>VLOOKUP($A1656,Data!$C$5:$AG$2561,G$4)</f>
        <v>5.4</v>
      </c>
    </row>
    <row r="1657" spans="1:3" x14ac:dyDescent="0.25">
      <c r="A1657">
        <v>2023190</v>
      </c>
      <c r="B1657">
        <f>VLOOKUP($A1657,Data!$C$5:$AG$2561,F$4)</f>
        <v>28.4</v>
      </c>
      <c r="C1657">
        <f>VLOOKUP($A1657,Data!$C$5:$AG$2561,G$4)</f>
        <v>6.3</v>
      </c>
    </row>
    <row r="1658" spans="1:3" x14ac:dyDescent="0.25">
      <c r="A1658">
        <v>2023191</v>
      </c>
      <c r="B1658">
        <f>VLOOKUP($A1658,Data!$C$5:$AG$2561,F$4)</f>
        <v>22.1</v>
      </c>
      <c r="C1658">
        <f>VLOOKUP($A1658,Data!$C$5:$AG$2561,G$4)</f>
        <v>4.4000000000000004</v>
      </c>
    </row>
    <row r="1659" spans="1:3" x14ac:dyDescent="0.25">
      <c r="A1659">
        <v>2023192</v>
      </c>
      <c r="B1659">
        <f>VLOOKUP($A1659,Data!$C$5:$AG$2561,F$4)</f>
        <v>21.1</v>
      </c>
      <c r="C1659">
        <f>VLOOKUP($A1659,Data!$C$5:$AG$2561,G$4)</f>
        <v>8.1999999999999993</v>
      </c>
    </row>
    <row r="1660" spans="1:3" x14ac:dyDescent="0.25">
      <c r="A1660">
        <v>2023193</v>
      </c>
      <c r="B1660">
        <f>VLOOKUP($A1660,Data!$C$5:$AG$2561,F$4)</f>
        <v>20.8</v>
      </c>
      <c r="C1660">
        <f>VLOOKUP($A1660,Data!$C$5:$AG$2561,G$4)</f>
        <v>5.9</v>
      </c>
    </row>
    <row r="1661" spans="1:3" x14ac:dyDescent="0.25">
      <c r="A1661">
        <v>2023194</v>
      </c>
      <c r="B1661">
        <f>VLOOKUP($A1661,Data!$C$5:$AG$2561,F$4)</f>
        <v>21.2</v>
      </c>
      <c r="C1661">
        <f>VLOOKUP($A1661,Data!$C$5:$AG$2561,G$4)</f>
        <v>3</v>
      </c>
    </row>
    <row r="1662" spans="1:3" x14ac:dyDescent="0.25">
      <c r="A1662">
        <v>2023195</v>
      </c>
      <c r="B1662">
        <f>VLOOKUP($A1662,Data!$C$5:$AG$2561,F$4)</f>
        <v>25.3</v>
      </c>
      <c r="C1662">
        <f>VLOOKUP($A1662,Data!$C$5:$AG$2561,G$4)</f>
        <v>6</v>
      </c>
    </row>
    <row r="1663" spans="1:3" x14ac:dyDescent="0.25">
      <c r="A1663">
        <v>2023196</v>
      </c>
      <c r="B1663">
        <f>VLOOKUP($A1663,Data!$C$5:$AG$2561,F$4)</f>
        <v>25.9</v>
      </c>
      <c r="C1663">
        <f>VLOOKUP($A1663,Data!$C$5:$AG$2561,G$4)</f>
        <v>7.5</v>
      </c>
    </row>
    <row r="1664" spans="1:3" x14ac:dyDescent="0.25">
      <c r="A1664">
        <v>2023197</v>
      </c>
      <c r="B1664">
        <f>VLOOKUP($A1664,Data!$C$5:$AG$2561,F$4)</f>
        <v>27.1</v>
      </c>
      <c r="C1664">
        <f>VLOOKUP($A1664,Data!$C$5:$AG$2561,G$4)</f>
        <v>5.7</v>
      </c>
    </row>
    <row r="1665" spans="1:3" x14ac:dyDescent="0.25">
      <c r="A1665">
        <v>2023198</v>
      </c>
      <c r="B1665">
        <f>VLOOKUP($A1665,Data!$C$5:$AG$2561,F$4)</f>
        <v>18.600000000000001</v>
      </c>
      <c r="C1665">
        <f>VLOOKUP($A1665,Data!$C$5:$AG$2561,G$4)</f>
        <v>2.2999999999999998</v>
      </c>
    </row>
    <row r="1666" spans="1:3" x14ac:dyDescent="0.25">
      <c r="A1666">
        <v>2023199</v>
      </c>
      <c r="B1666">
        <f>VLOOKUP($A1666,Data!$C$5:$AG$2561,F$4)</f>
        <v>20.6</v>
      </c>
      <c r="C1666">
        <f>VLOOKUP($A1666,Data!$C$5:$AG$2561,G$4)</f>
        <v>1.1000000000000001</v>
      </c>
    </row>
    <row r="1667" spans="1:3" x14ac:dyDescent="0.25">
      <c r="A1667">
        <v>2023200</v>
      </c>
      <c r="B1667">
        <f>VLOOKUP($A1667,Data!$C$5:$AG$2561,F$4)</f>
        <v>24.6</v>
      </c>
      <c r="C1667">
        <f>VLOOKUP($A1667,Data!$C$5:$AG$2561,G$4)</f>
        <v>3.7</v>
      </c>
    </row>
    <row r="1668" spans="1:3" x14ac:dyDescent="0.25">
      <c r="A1668">
        <v>2023201</v>
      </c>
      <c r="B1668">
        <f>VLOOKUP($A1668,Data!$C$5:$AG$2561,F$4)</f>
        <v>28.8</v>
      </c>
      <c r="C1668">
        <f>VLOOKUP($A1668,Data!$C$5:$AG$2561,G$4)</f>
        <v>7</v>
      </c>
    </row>
    <row r="1669" spans="1:3" x14ac:dyDescent="0.25">
      <c r="A1669">
        <v>2023202</v>
      </c>
      <c r="B1669">
        <f>VLOOKUP($A1669,Data!$C$5:$AG$2561,F$4)</f>
        <v>28.7</v>
      </c>
      <c r="C1669">
        <f>VLOOKUP($A1669,Data!$C$5:$AG$2561,G$4)</f>
        <v>8.3000000000000007</v>
      </c>
    </row>
    <row r="1670" spans="1:3" x14ac:dyDescent="0.25">
      <c r="A1670">
        <v>2023203</v>
      </c>
      <c r="B1670">
        <f>VLOOKUP($A1670,Data!$C$5:$AG$2561,F$4)</f>
        <v>26.2</v>
      </c>
      <c r="C1670">
        <f>VLOOKUP($A1670,Data!$C$5:$AG$2561,G$4)</f>
        <v>4.4000000000000004</v>
      </c>
    </row>
    <row r="1671" spans="1:3" x14ac:dyDescent="0.25">
      <c r="A1671">
        <v>2023204</v>
      </c>
      <c r="B1671">
        <f>VLOOKUP($A1671,Data!$C$5:$AG$2561,F$4)</f>
        <v>26.7</v>
      </c>
      <c r="C1671">
        <f>VLOOKUP($A1671,Data!$C$5:$AG$2561,G$4)</f>
        <v>5.3</v>
      </c>
    </row>
    <row r="1672" spans="1:3" x14ac:dyDescent="0.25">
      <c r="A1672">
        <v>2023205</v>
      </c>
      <c r="B1672">
        <f>VLOOKUP($A1672,Data!$C$5:$AG$2561,F$4)</f>
        <v>22</v>
      </c>
      <c r="C1672">
        <f>VLOOKUP($A1672,Data!$C$5:$AG$2561,G$4)</f>
        <v>6.3</v>
      </c>
    </row>
    <row r="1673" spans="1:3" x14ac:dyDescent="0.25">
      <c r="A1673">
        <v>2023206</v>
      </c>
      <c r="B1673">
        <f>VLOOKUP($A1673,Data!$C$5:$AG$2561,F$4)</f>
        <v>14.5</v>
      </c>
      <c r="C1673">
        <f>VLOOKUP($A1673,Data!$C$5:$AG$2561,G$4)</f>
        <v>2.4</v>
      </c>
    </row>
    <row r="1674" spans="1:3" x14ac:dyDescent="0.25">
      <c r="A1674">
        <v>2023207</v>
      </c>
      <c r="B1674">
        <f>VLOOKUP($A1674,Data!$C$5:$AG$2561,F$4)</f>
        <v>17.7</v>
      </c>
      <c r="C1674">
        <f>VLOOKUP($A1674,Data!$C$5:$AG$2561,G$4)</f>
        <v>-0.9</v>
      </c>
    </row>
    <row r="1675" spans="1:3" x14ac:dyDescent="0.25">
      <c r="A1675">
        <v>2023208</v>
      </c>
      <c r="B1675">
        <f>VLOOKUP($A1675,Data!$C$5:$AG$2561,F$4)</f>
        <v>20.9</v>
      </c>
      <c r="C1675">
        <f>VLOOKUP($A1675,Data!$C$5:$AG$2561,G$4)</f>
        <v>0.9</v>
      </c>
    </row>
    <row r="1676" spans="1:3" x14ac:dyDescent="0.25">
      <c r="A1676">
        <v>2023209</v>
      </c>
      <c r="B1676">
        <f>VLOOKUP($A1676,Data!$C$5:$AG$2561,F$4)</f>
        <v>24.7</v>
      </c>
      <c r="C1676">
        <f>VLOOKUP($A1676,Data!$C$5:$AG$2561,G$4)</f>
        <v>7.5</v>
      </c>
    </row>
    <row r="1677" spans="1:3" x14ac:dyDescent="0.25">
      <c r="A1677">
        <v>2023210</v>
      </c>
      <c r="B1677">
        <f>VLOOKUP($A1677,Data!$C$5:$AG$2561,F$4)</f>
        <v>25.8</v>
      </c>
      <c r="C1677">
        <f>VLOOKUP($A1677,Data!$C$5:$AG$2561,G$4)</f>
        <v>5.7</v>
      </c>
    </row>
    <row r="1678" spans="1:3" x14ac:dyDescent="0.25">
      <c r="A1678">
        <v>2023211</v>
      </c>
      <c r="B1678">
        <f>VLOOKUP($A1678,Data!$C$5:$AG$2561,F$4)</f>
        <v>23.1</v>
      </c>
      <c r="C1678">
        <f>VLOOKUP($A1678,Data!$C$5:$AG$2561,G$4)</f>
        <v>4.0999999999999996</v>
      </c>
    </row>
    <row r="1679" spans="1:3" x14ac:dyDescent="0.25">
      <c r="A1679">
        <v>2023212</v>
      </c>
      <c r="B1679">
        <f>VLOOKUP($A1679,Data!$C$5:$AG$2561,F$4)</f>
        <v>23.3</v>
      </c>
      <c r="C1679">
        <f>VLOOKUP($A1679,Data!$C$5:$AG$2561,G$4)</f>
        <v>0.6</v>
      </c>
    </row>
    <row r="1680" spans="1:3" x14ac:dyDescent="0.25">
      <c r="A1680">
        <v>2023213</v>
      </c>
      <c r="B1680">
        <f>VLOOKUP($A1680,Data!$C$5:$AG$2561,F$4)</f>
        <v>24.7</v>
      </c>
      <c r="C1680">
        <f>VLOOKUP($A1680,Data!$C$5:$AG$2561,G$4)</f>
        <v>1.1000000000000001</v>
      </c>
    </row>
    <row r="1681" spans="1:3" x14ac:dyDescent="0.25">
      <c r="A1681">
        <v>2023214</v>
      </c>
      <c r="B1681">
        <f>VLOOKUP($A1681,Data!$C$5:$AG$2561,F$4)</f>
        <v>25.7</v>
      </c>
      <c r="C1681">
        <f>VLOOKUP($A1681,Data!$C$5:$AG$2561,G$4)</f>
        <v>3.3</v>
      </c>
    </row>
    <row r="1682" spans="1:3" x14ac:dyDescent="0.25">
      <c r="A1682">
        <v>2023215</v>
      </c>
      <c r="B1682">
        <f>VLOOKUP($A1682,Data!$C$5:$AG$2561,F$4)</f>
        <v>24.5</v>
      </c>
      <c r="C1682">
        <f>VLOOKUP($A1682,Data!$C$5:$AG$2561,G$4)</f>
        <v>3.3</v>
      </c>
    </row>
    <row r="1683" spans="1:3" x14ac:dyDescent="0.25">
      <c r="A1683">
        <v>2023216</v>
      </c>
      <c r="B1683">
        <f>VLOOKUP($A1683,Data!$C$5:$AG$2561,F$4)</f>
        <v>24.9</v>
      </c>
      <c r="C1683">
        <f>VLOOKUP($A1683,Data!$C$5:$AG$2561,G$4)</f>
        <v>4.5</v>
      </c>
    </row>
    <row r="1684" spans="1:3" x14ac:dyDescent="0.25">
      <c r="A1684">
        <v>2023217</v>
      </c>
      <c r="B1684">
        <f>VLOOKUP($A1684,Data!$C$5:$AG$2561,F$4)</f>
        <v>26</v>
      </c>
      <c r="C1684">
        <f>VLOOKUP($A1684,Data!$C$5:$AG$2561,G$4)</f>
        <v>4.9000000000000004</v>
      </c>
    </row>
    <row r="1685" spans="1:3" x14ac:dyDescent="0.25">
      <c r="A1685">
        <v>2023218</v>
      </c>
      <c r="B1685">
        <f>VLOOKUP($A1685,Data!$C$5:$AG$2561,F$4)</f>
        <v>25.8</v>
      </c>
      <c r="C1685">
        <f>VLOOKUP($A1685,Data!$C$5:$AG$2561,G$4)</f>
        <v>7.4</v>
      </c>
    </row>
    <row r="1686" spans="1:3" x14ac:dyDescent="0.25">
      <c r="A1686">
        <v>2023219</v>
      </c>
      <c r="B1686">
        <f>VLOOKUP($A1686,Data!$C$5:$AG$2561,F$4)</f>
        <v>22</v>
      </c>
      <c r="C1686">
        <f>VLOOKUP($A1686,Data!$C$5:$AG$2561,G$4)</f>
        <v>7.6</v>
      </c>
    </row>
    <row r="1687" spans="1:3" x14ac:dyDescent="0.25">
      <c r="A1687">
        <v>2023220</v>
      </c>
      <c r="B1687">
        <f>VLOOKUP($A1687,Data!$C$5:$AG$2561,F$4)</f>
        <v>20.5</v>
      </c>
      <c r="C1687">
        <f>VLOOKUP($A1687,Data!$C$5:$AG$2561,G$4)</f>
        <v>6.5</v>
      </c>
    </row>
    <row r="1688" spans="1:3" x14ac:dyDescent="0.25">
      <c r="A1688">
        <v>2023221</v>
      </c>
      <c r="B1688">
        <f>VLOOKUP($A1688,Data!$C$5:$AG$2561,F$4)</f>
        <v>19.100000000000001</v>
      </c>
      <c r="C1688">
        <f>VLOOKUP($A1688,Data!$C$5:$AG$2561,G$4)</f>
        <v>8.9</v>
      </c>
    </row>
    <row r="1689" spans="1:3" x14ac:dyDescent="0.25">
      <c r="A1689">
        <v>2023222</v>
      </c>
      <c r="B1689">
        <f>VLOOKUP($A1689,Data!$C$5:$AG$2561,F$4)</f>
        <v>19</v>
      </c>
      <c r="C1689">
        <f>VLOOKUP($A1689,Data!$C$5:$AG$2561,G$4)</f>
        <v>3.3</v>
      </c>
    </row>
    <row r="1690" spans="1:3" x14ac:dyDescent="0.25">
      <c r="A1690">
        <v>2023223</v>
      </c>
      <c r="B1690">
        <f>VLOOKUP($A1690,Data!$C$5:$AG$2561,F$4)</f>
        <v>21.5</v>
      </c>
      <c r="C1690">
        <f>VLOOKUP($A1690,Data!$C$5:$AG$2561,G$4)</f>
        <v>2.2999999999999998</v>
      </c>
    </row>
    <row r="1691" spans="1:3" x14ac:dyDescent="0.25">
      <c r="A1691">
        <v>2023224</v>
      </c>
      <c r="B1691">
        <f>VLOOKUP($A1691,Data!$C$5:$AG$2561,F$4)</f>
        <v>21.4</v>
      </c>
      <c r="C1691">
        <f>VLOOKUP($A1691,Data!$C$5:$AG$2561,G$4)</f>
        <v>5.8</v>
      </c>
    </row>
    <row r="1692" spans="1:3" x14ac:dyDescent="0.25">
      <c r="A1692">
        <v>2023225</v>
      </c>
      <c r="B1692">
        <f>VLOOKUP($A1692,Data!$C$5:$AG$2561,F$4)</f>
        <v>27.3</v>
      </c>
      <c r="C1692">
        <f>VLOOKUP($A1692,Data!$C$5:$AG$2561,G$4)</f>
        <v>7.1</v>
      </c>
    </row>
    <row r="1693" spans="1:3" x14ac:dyDescent="0.25">
      <c r="A1693">
        <v>2023226</v>
      </c>
      <c r="B1693">
        <f>VLOOKUP($A1693,Data!$C$5:$AG$2561,F$4)</f>
        <v>30.6</v>
      </c>
      <c r="C1693">
        <f>VLOOKUP($A1693,Data!$C$5:$AG$2561,G$4)</f>
        <v>8</v>
      </c>
    </row>
    <row r="1694" spans="1:3" x14ac:dyDescent="0.25">
      <c r="A1694">
        <v>2023227</v>
      </c>
      <c r="B1694">
        <f>VLOOKUP($A1694,Data!$C$5:$AG$2561,F$4)</f>
        <v>32.4</v>
      </c>
      <c r="C1694">
        <f>VLOOKUP($A1694,Data!$C$5:$AG$2561,G$4)</f>
        <v>9.6999999999999993</v>
      </c>
    </row>
    <row r="1695" spans="1:3" x14ac:dyDescent="0.25">
      <c r="A1695">
        <v>2023228</v>
      </c>
      <c r="B1695">
        <f>VLOOKUP($A1695,Data!$C$5:$AG$2561,F$4)</f>
        <v>27.3</v>
      </c>
      <c r="C1695">
        <f>VLOOKUP($A1695,Data!$C$5:$AG$2561,G$4)</f>
        <v>10.6</v>
      </c>
    </row>
    <row r="1696" spans="1:3" x14ac:dyDescent="0.25">
      <c r="A1696">
        <v>2023229</v>
      </c>
      <c r="B1696">
        <f>VLOOKUP($A1696,Data!$C$5:$AG$2561,F$4)</f>
        <v>29</v>
      </c>
      <c r="C1696">
        <f>VLOOKUP($A1696,Data!$C$5:$AG$2561,G$4)</f>
        <v>8.5</v>
      </c>
    </row>
    <row r="1697" spans="1:3" x14ac:dyDescent="0.25">
      <c r="A1697">
        <v>2023230</v>
      </c>
      <c r="B1697">
        <f>VLOOKUP($A1697,Data!$C$5:$AG$2561,F$4)</f>
        <v>18.600000000000001</v>
      </c>
      <c r="C1697">
        <f>VLOOKUP($A1697,Data!$C$5:$AG$2561,G$4)</f>
        <v>3.5</v>
      </c>
    </row>
    <row r="1698" spans="1:3" x14ac:dyDescent="0.25">
      <c r="A1698">
        <v>2023231</v>
      </c>
      <c r="B1698">
        <f>VLOOKUP($A1698,Data!$C$5:$AG$2561,F$4)</f>
        <v>16.5</v>
      </c>
      <c r="C1698">
        <f>VLOOKUP($A1698,Data!$C$5:$AG$2561,G$4)</f>
        <v>-0.9</v>
      </c>
    </row>
    <row r="1699" spans="1:3" x14ac:dyDescent="0.25">
      <c r="A1699">
        <v>2023232</v>
      </c>
      <c r="B1699">
        <f>VLOOKUP($A1699,Data!$C$5:$AG$2561,F$4)</f>
        <v>20.3</v>
      </c>
      <c r="C1699">
        <f>VLOOKUP($A1699,Data!$C$5:$AG$2561,G$4)</f>
        <v>1.8</v>
      </c>
    </row>
    <row r="1700" spans="1:3" x14ac:dyDescent="0.25">
      <c r="A1700">
        <v>2023233</v>
      </c>
      <c r="B1700">
        <f>VLOOKUP($A1700,Data!$C$5:$AG$2561,F$4)</f>
        <v>23.6</v>
      </c>
      <c r="C1700">
        <f>VLOOKUP($A1700,Data!$C$5:$AG$2561,G$4)</f>
        <v>2.9</v>
      </c>
    </row>
    <row r="1701" spans="1:3" x14ac:dyDescent="0.25">
      <c r="A1701">
        <v>2023234</v>
      </c>
      <c r="B1701">
        <f>VLOOKUP($A1701,Data!$C$5:$AG$2561,F$4)</f>
        <v>17.399999999999999</v>
      </c>
      <c r="C1701">
        <f>VLOOKUP($A1701,Data!$C$5:$AG$2561,G$4)</f>
        <v>7.5</v>
      </c>
    </row>
    <row r="1702" spans="1:3" x14ac:dyDescent="0.25">
      <c r="A1702">
        <v>2023235</v>
      </c>
      <c r="B1702">
        <f>VLOOKUP($A1702,Data!$C$5:$AG$2561,F$4)</f>
        <v>13.4</v>
      </c>
      <c r="C1702">
        <f>VLOOKUP($A1702,Data!$C$5:$AG$2561,G$4)</f>
        <v>2.2000000000000002</v>
      </c>
    </row>
    <row r="1703" spans="1:3" x14ac:dyDescent="0.25">
      <c r="A1703">
        <v>2023236</v>
      </c>
      <c r="B1703">
        <f>VLOOKUP($A1703,Data!$C$5:$AG$2561,F$4)</f>
        <v>16.7</v>
      </c>
      <c r="C1703">
        <f>VLOOKUP($A1703,Data!$C$5:$AG$2561,G$4)</f>
        <v>3.4</v>
      </c>
    </row>
    <row r="1704" spans="1:3" x14ac:dyDescent="0.25">
      <c r="A1704">
        <v>2023237</v>
      </c>
      <c r="B1704">
        <f>VLOOKUP($A1704,Data!$C$5:$AG$2561,F$4)</f>
        <v>21.2</v>
      </c>
      <c r="C1704">
        <f>VLOOKUP($A1704,Data!$C$5:$AG$2561,G$4)</f>
        <v>2.4</v>
      </c>
    </row>
    <row r="1705" spans="1:3" x14ac:dyDescent="0.25">
      <c r="A1705">
        <v>2023238</v>
      </c>
      <c r="B1705">
        <f>VLOOKUP($A1705,Data!$C$5:$AG$2561,F$4)</f>
        <v>25</v>
      </c>
      <c r="C1705">
        <f>VLOOKUP($A1705,Data!$C$5:$AG$2561,G$4)</f>
        <v>3.6</v>
      </c>
    </row>
    <row r="1706" spans="1:3" x14ac:dyDescent="0.25">
      <c r="A1706">
        <v>2023239</v>
      </c>
      <c r="B1706">
        <f>VLOOKUP($A1706,Data!$C$5:$AG$2561,F$4)</f>
        <v>27.8</v>
      </c>
      <c r="C1706">
        <f>VLOOKUP($A1706,Data!$C$5:$AG$2561,G$4)</f>
        <v>5</v>
      </c>
    </row>
    <row r="1707" spans="1:3" x14ac:dyDescent="0.25">
      <c r="A1707">
        <v>2023240</v>
      </c>
      <c r="B1707">
        <f>VLOOKUP($A1707,Data!$C$5:$AG$2561,F$4)</f>
        <v>28.2</v>
      </c>
      <c r="C1707">
        <f>VLOOKUP($A1707,Data!$C$5:$AG$2561,G$4)</f>
        <v>6.5</v>
      </c>
    </row>
    <row r="1708" spans="1:3" x14ac:dyDescent="0.25">
      <c r="A1708">
        <v>2023241</v>
      </c>
      <c r="B1708">
        <f>VLOOKUP($A1708,Data!$C$5:$AG$2561,F$4)</f>
        <v>19.2</v>
      </c>
      <c r="C1708">
        <f>VLOOKUP($A1708,Data!$C$5:$AG$2561,G$4)</f>
        <v>7.4</v>
      </c>
    </row>
    <row r="1709" spans="1:3" x14ac:dyDescent="0.25">
      <c r="A1709">
        <v>2023242</v>
      </c>
      <c r="B1709">
        <f>VLOOKUP($A1709,Data!$C$5:$AG$2561,F$4)</f>
        <v>11.3</v>
      </c>
      <c r="C1709">
        <f>VLOOKUP($A1709,Data!$C$5:$AG$2561,G$4)</f>
        <v>5.4</v>
      </c>
    </row>
    <row r="1710" spans="1:3" x14ac:dyDescent="0.25">
      <c r="A1710">
        <v>2023243</v>
      </c>
      <c r="B1710">
        <f>VLOOKUP($A1710,Data!$C$5:$AG$2561,F$4)</f>
        <v>11.7</v>
      </c>
      <c r="C1710">
        <f>VLOOKUP($A1710,Data!$C$5:$AG$2561,G$4)</f>
        <v>5.4</v>
      </c>
    </row>
    <row r="1711" spans="1:3" x14ac:dyDescent="0.25">
      <c r="A1711">
        <v>2023244</v>
      </c>
      <c r="B1711">
        <f>VLOOKUP($A1711,Data!$C$5:$AG$2561,F$4)</f>
        <v>17.899999999999999</v>
      </c>
      <c r="C1711">
        <f>VLOOKUP($A1711,Data!$C$5:$AG$2561,G$4)</f>
        <v>4.5</v>
      </c>
    </row>
    <row r="1712" spans="1:3" x14ac:dyDescent="0.25">
      <c r="A1712">
        <v>2023245</v>
      </c>
      <c r="B1712">
        <f>VLOOKUP($A1712,Data!$C$5:$AG$2561,F$4)</f>
        <v>24.7</v>
      </c>
      <c r="C1712">
        <f>VLOOKUP($A1712,Data!$C$5:$AG$2561,G$4)</f>
        <v>2.8</v>
      </c>
    </row>
    <row r="1713" spans="1:3" x14ac:dyDescent="0.25">
      <c r="A1713">
        <v>2023246</v>
      </c>
      <c r="B1713">
        <f>VLOOKUP($A1713,Data!$C$5:$AG$2561,F$4)</f>
        <v>18.5</v>
      </c>
      <c r="C1713">
        <f>VLOOKUP($A1713,Data!$C$5:$AG$2561,G$4)</f>
        <v>6.3</v>
      </c>
    </row>
    <row r="1714" spans="1:3" x14ac:dyDescent="0.25">
      <c r="A1714">
        <v>2023247</v>
      </c>
      <c r="B1714">
        <f>VLOOKUP($A1714,Data!$C$5:$AG$2561,F$4)</f>
        <v>17.600000000000001</v>
      </c>
      <c r="C1714">
        <f>VLOOKUP($A1714,Data!$C$5:$AG$2561,G$4)</f>
        <v>3.2</v>
      </c>
    </row>
    <row r="1715" spans="1:3" x14ac:dyDescent="0.25">
      <c r="A1715">
        <v>2023248</v>
      </c>
      <c r="B1715">
        <f>VLOOKUP($A1715,Data!$C$5:$AG$2561,F$4)</f>
        <v>16.899999999999999</v>
      </c>
      <c r="C1715">
        <f>VLOOKUP($A1715,Data!$C$5:$AG$2561,G$4)</f>
        <v>3.2</v>
      </c>
    </row>
    <row r="1716" spans="1:3" x14ac:dyDescent="0.25">
      <c r="A1716">
        <v>2023249</v>
      </c>
      <c r="B1716">
        <f>VLOOKUP($A1716,Data!$C$5:$AG$2561,F$4)</f>
        <v>17.3</v>
      </c>
      <c r="C1716">
        <f>VLOOKUP($A1716,Data!$C$5:$AG$2561,G$4)</f>
        <v>3.3</v>
      </c>
    </row>
    <row r="1717" spans="1:3" x14ac:dyDescent="0.25">
      <c r="A1717">
        <v>2023250</v>
      </c>
      <c r="B1717">
        <f>VLOOKUP($A1717,Data!$C$5:$AG$2561,F$4)</f>
        <v>18.2</v>
      </c>
      <c r="C1717">
        <f>VLOOKUP($A1717,Data!$C$5:$AG$2561,G$4)</f>
        <v>1</v>
      </c>
    </row>
    <row r="1718" spans="1:3" x14ac:dyDescent="0.25">
      <c r="A1718">
        <v>2023251</v>
      </c>
      <c r="B1718">
        <f>VLOOKUP($A1718,Data!$C$5:$AG$2561,F$4)</f>
        <v>21</v>
      </c>
      <c r="C1718">
        <f>VLOOKUP($A1718,Data!$C$5:$AG$2561,G$4)</f>
        <v>1.7</v>
      </c>
    </row>
    <row r="1719" spans="1:3" x14ac:dyDescent="0.25">
      <c r="A1719">
        <v>2023252</v>
      </c>
      <c r="B1719">
        <f>VLOOKUP($A1719,Data!$C$5:$AG$2561,F$4)</f>
        <v>22.2</v>
      </c>
      <c r="C1719">
        <f>VLOOKUP($A1719,Data!$C$5:$AG$2561,G$4)</f>
        <v>1</v>
      </c>
    </row>
    <row r="1720" spans="1:3" x14ac:dyDescent="0.25">
      <c r="A1720">
        <v>2023253</v>
      </c>
      <c r="B1720">
        <f>VLOOKUP($A1720,Data!$C$5:$AG$2561,F$4)</f>
        <v>24.1</v>
      </c>
      <c r="C1720">
        <f>VLOOKUP($A1720,Data!$C$5:$AG$2561,G$4)</f>
        <v>2.4</v>
      </c>
    </row>
    <row r="1721" spans="1:3" x14ac:dyDescent="0.25">
      <c r="A1721">
        <v>2023254</v>
      </c>
      <c r="B1721">
        <f>VLOOKUP($A1721,Data!$C$5:$AG$2561,F$4)</f>
        <v>20.2</v>
      </c>
      <c r="C1721">
        <f>VLOOKUP($A1721,Data!$C$5:$AG$2561,G$4)</f>
        <v>6.7</v>
      </c>
    </row>
    <row r="1722" spans="1:3" x14ac:dyDescent="0.25">
      <c r="A1722">
        <v>2023255</v>
      </c>
      <c r="B1722">
        <f>VLOOKUP($A1722,Data!$C$5:$AG$2561,F$4)</f>
        <v>17.899999999999999</v>
      </c>
      <c r="C1722">
        <f>VLOOKUP($A1722,Data!$C$5:$AG$2561,G$4)</f>
        <v>2.7</v>
      </c>
    </row>
    <row r="1723" spans="1:3" x14ac:dyDescent="0.25">
      <c r="A1723">
        <v>2023256</v>
      </c>
      <c r="B1723">
        <f>VLOOKUP($A1723,Data!$C$5:$AG$2561,F$4)</f>
        <v>17.5</v>
      </c>
      <c r="C1723">
        <f>VLOOKUP($A1723,Data!$C$5:$AG$2561,G$4)</f>
        <v>1.3</v>
      </c>
    </row>
    <row r="1724" spans="1:3" x14ac:dyDescent="0.25">
      <c r="A1724">
        <v>2023257</v>
      </c>
      <c r="B1724">
        <f>VLOOKUP($A1724,Data!$C$5:$AG$2561,F$4)</f>
        <v>21.9</v>
      </c>
      <c r="C1724">
        <f>VLOOKUP($A1724,Data!$C$5:$AG$2561,G$4)</f>
        <v>-0.2</v>
      </c>
    </row>
    <row r="1725" spans="1:3" x14ac:dyDescent="0.25">
      <c r="A1725">
        <v>2023258</v>
      </c>
      <c r="B1725">
        <f>VLOOKUP($A1725,Data!$C$5:$AG$2561,F$4)</f>
        <v>25.1</v>
      </c>
      <c r="C1725">
        <f>VLOOKUP($A1725,Data!$C$5:$AG$2561,G$4)</f>
        <v>0.4</v>
      </c>
    </row>
    <row r="1726" spans="1:3" x14ac:dyDescent="0.25">
      <c r="A1726">
        <v>2023259</v>
      </c>
      <c r="B1726">
        <f>VLOOKUP($A1726,Data!$C$5:$AG$2561,F$4)</f>
        <v>24.7</v>
      </c>
      <c r="C1726">
        <f>VLOOKUP($A1726,Data!$C$5:$AG$2561,G$4)</f>
        <v>0.7</v>
      </c>
    </row>
    <row r="1727" spans="1:3" x14ac:dyDescent="0.25">
      <c r="A1727">
        <v>2023260</v>
      </c>
      <c r="B1727">
        <f>VLOOKUP($A1727,Data!$C$5:$AG$2561,F$4)</f>
        <v>18.600000000000001</v>
      </c>
      <c r="C1727">
        <f>VLOOKUP($A1727,Data!$C$5:$AG$2561,G$4)</f>
        <v>5.2</v>
      </c>
    </row>
    <row r="1728" spans="1:3" x14ac:dyDescent="0.25">
      <c r="A1728">
        <v>2023261</v>
      </c>
      <c r="B1728">
        <f>VLOOKUP($A1728,Data!$C$5:$AG$2561,F$4)</f>
        <v>12</v>
      </c>
      <c r="C1728">
        <f>VLOOKUP($A1728,Data!$C$5:$AG$2561,G$4)</f>
        <v>-3</v>
      </c>
    </row>
    <row r="1729" spans="1:3" x14ac:dyDescent="0.25">
      <c r="A1729">
        <v>2023262</v>
      </c>
      <c r="B1729">
        <f>VLOOKUP($A1729,Data!$C$5:$AG$2561,F$4)</f>
        <v>8.5</v>
      </c>
      <c r="C1729">
        <f>VLOOKUP($A1729,Data!$C$5:$AG$2561,G$4)</f>
        <v>-3.4</v>
      </c>
    </row>
    <row r="1730" spans="1:3" x14ac:dyDescent="0.25">
      <c r="A1730">
        <v>2023263</v>
      </c>
      <c r="B1730">
        <f>VLOOKUP($A1730,Data!$C$5:$AG$2561,F$4)</f>
        <v>7.1</v>
      </c>
      <c r="C1730">
        <f>VLOOKUP($A1730,Data!$C$5:$AG$2561,G$4)</f>
        <v>0.4</v>
      </c>
    </row>
    <row r="1731" spans="1:3" x14ac:dyDescent="0.25">
      <c r="A1731">
        <v>2023264</v>
      </c>
      <c r="B1731">
        <f>VLOOKUP($A1731,Data!$C$5:$AG$2561,F$4)</f>
        <v>12.8</v>
      </c>
      <c r="C1731">
        <f>VLOOKUP($A1731,Data!$C$5:$AG$2561,G$4)</f>
        <v>-0.6</v>
      </c>
    </row>
    <row r="1732" spans="1:3" x14ac:dyDescent="0.25">
      <c r="A1732">
        <v>2023265</v>
      </c>
      <c r="B1732">
        <f>VLOOKUP($A1732,Data!$C$5:$AG$2561,F$4)</f>
        <v>18.600000000000001</v>
      </c>
      <c r="C1732">
        <f>VLOOKUP($A1732,Data!$C$5:$AG$2561,G$4)</f>
        <v>-1.2</v>
      </c>
    </row>
    <row r="1733" spans="1:3" x14ac:dyDescent="0.25">
      <c r="A1733">
        <v>2023266</v>
      </c>
      <c r="B1733">
        <f>VLOOKUP($A1733,Data!$C$5:$AG$2561,F$4)</f>
        <v>11.2</v>
      </c>
      <c r="C1733">
        <f>VLOOKUP($A1733,Data!$C$5:$AG$2561,G$4)</f>
        <v>4.9000000000000004</v>
      </c>
    </row>
    <row r="1734" spans="1:3" x14ac:dyDescent="0.25">
      <c r="A1734">
        <v>2023267</v>
      </c>
      <c r="B1734">
        <f>VLOOKUP($A1734,Data!$C$5:$AG$2561,F$4)</f>
        <v>11</v>
      </c>
      <c r="C1734">
        <f>VLOOKUP($A1734,Data!$C$5:$AG$2561,G$4)</f>
        <v>1.8</v>
      </c>
    </row>
    <row r="1735" spans="1:3" x14ac:dyDescent="0.25">
      <c r="A1735">
        <v>2023268</v>
      </c>
      <c r="B1735">
        <f>VLOOKUP($A1735,Data!$C$5:$AG$2561,F$4)</f>
        <v>11.1</v>
      </c>
      <c r="C1735">
        <f>VLOOKUP($A1735,Data!$C$5:$AG$2561,G$4)</f>
        <v>5.7</v>
      </c>
    </row>
    <row r="1736" spans="1:3" x14ac:dyDescent="0.25">
      <c r="A1736">
        <v>2023269</v>
      </c>
      <c r="B1736">
        <f>VLOOKUP($A1736,Data!$C$5:$AG$2561,F$4)</f>
        <v>9.6</v>
      </c>
      <c r="C1736">
        <f>VLOOKUP($A1736,Data!$C$5:$AG$2561,G$4)</f>
        <v>0.3</v>
      </c>
    </row>
    <row r="1737" spans="1:3" x14ac:dyDescent="0.25">
      <c r="A1737">
        <v>2023270</v>
      </c>
      <c r="B1737">
        <f>VLOOKUP($A1737,Data!$C$5:$AG$2561,F$4)</f>
        <v>5.3</v>
      </c>
      <c r="C1737">
        <f>VLOOKUP($A1737,Data!$C$5:$AG$2561,G$4)</f>
        <v>0.3</v>
      </c>
    </row>
    <row r="1738" spans="1:3" x14ac:dyDescent="0.25">
      <c r="A1738">
        <v>2023271</v>
      </c>
      <c r="B1738">
        <f>VLOOKUP($A1738,Data!$C$5:$AG$2561,F$4)</f>
        <v>7.6</v>
      </c>
      <c r="C1738">
        <f>VLOOKUP($A1738,Data!$C$5:$AG$2561,G$4)</f>
        <v>-0.1</v>
      </c>
    </row>
    <row r="1739" spans="1:3" x14ac:dyDescent="0.25">
      <c r="A1739">
        <v>2023272</v>
      </c>
      <c r="B1739">
        <f>VLOOKUP($A1739,Data!$C$5:$AG$2561,F$4)</f>
        <v>3.9</v>
      </c>
      <c r="C1739">
        <f>VLOOKUP($A1739,Data!$C$5:$AG$2561,G$4)</f>
        <v>-2.2999999999999998</v>
      </c>
    </row>
    <row r="1740" spans="1:3" x14ac:dyDescent="0.25">
      <c r="A1740">
        <v>2023273</v>
      </c>
      <c r="B1740">
        <f>VLOOKUP($A1740,Data!$C$5:$AG$2561,F$4)</f>
        <v>7.7</v>
      </c>
      <c r="C1740">
        <f>VLOOKUP($A1740,Data!$C$5:$AG$2561,G$4)</f>
        <v>0.6</v>
      </c>
    </row>
    <row r="1741" spans="1:3" x14ac:dyDescent="0.25">
      <c r="A1741">
        <v>2023274</v>
      </c>
      <c r="B1741">
        <f>VLOOKUP($A1741,Data!$C$5:$AG$2561,F$4)</f>
        <v>12.2</v>
      </c>
      <c r="C1741">
        <f>VLOOKUP($A1741,Data!$C$5:$AG$2561,G$4)</f>
        <v>-0.4</v>
      </c>
    </row>
    <row r="1742" spans="1:3" x14ac:dyDescent="0.25">
      <c r="A1742">
        <v>2023275</v>
      </c>
      <c r="B1742">
        <f>VLOOKUP($A1742,Data!$C$5:$AG$2561,F$4)</f>
        <v>11</v>
      </c>
      <c r="C1742">
        <f>VLOOKUP($A1742,Data!$C$5:$AG$2561,G$4)</f>
        <v>-1.2</v>
      </c>
    </row>
    <row r="1743" spans="1:3" x14ac:dyDescent="0.25">
      <c r="A1743">
        <v>2023276</v>
      </c>
      <c r="B1743">
        <f>VLOOKUP($A1743,Data!$C$5:$AG$2561,F$4)</f>
        <v>12.8</v>
      </c>
      <c r="C1743">
        <f>VLOOKUP($A1743,Data!$C$5:$AG$2561,G$4)</f>
        <v>1.8</v>
      </c>
    </row>
    <row r="1744" spans="1:3" x14ac:dyDescent="0.25">
      <c r="A1744">
        <v>2023277</v>
      </c>
      <c r="B1744">
        <f>VLOOKUP($A1744,Data!$C$5:$AG$2561,F$4)</f>
        <v>13.8</v>
      </c>
      <c r="C1744">
        <f>VLOOKUP($A1744,Data!$C$5:$AG$2561,G$4)</f>
        <v>4.9000000000000004</v>
      </c>
    </row>
    <row r="1745" spans="1:3" x14ac:dyDescent="0.25">
      <c r="A1745">
        <v>2023278</v>
      </c>
      <c r="B1745">
        <f>VLOOKUP($A1745,Data!$C$5:$AG$2561,F$4)</f>
        <v>12.2</v>
      </c>
      <c r="C1745">
        <f>VLOOKUP($A1745,Data!$C$5:$AG$2561,G$4)</f>
        <v>0.7</v>
      </c>
    </row>
    <row r="1746" spans="1:3" x14ac:dyDescent="0.25">
      <c r="A1746">
        <v>2023279</v>
      </c>
      <c r="B1746">
        <f>VLOOKUP($A1746,Data!$C$5:$AG$2561,F$4)</f>
        <v>19</v>
      </c>
      <c r="C1746">
        <f>VLOOKUP($A1746,Data!$C$5:$AG$2561,G$4)</f>
        <v>-0.9</v>
      </c>
    </row>
    <row r="1747" spans="1:3" x14ac:dyDescent="0.25">
      <c r="A1747">
        <v>2023280</v>
      </c>
      <c r="B1747">
        <f>VLOOKUP($A1747,Data!$C$5:$AG$2561,F$4)</f>
        <v>20.3</v>
      </c>
      <c r="C1747">
        <f>VLOOKUP($A1747,Data!$C$5:$AG$2561,G$4)</f>
        <v>0.4</v>
      </c>
    </row>
    <row r="1748" spans="1:3" x14ac:dyDescent="0.25">
      <c r="A1748">
        <v>2023281</v>
      </c>
      <c r="B1748">
        <f>VLOOKUP($A1748,Data!$C$5:$AG$2561,F$4)</f>
        <v>20.3</v>
      </c>
      <c r="C1748">
        <f>VLOOKUP($A1748,Data!$C$5:$AG$2561,G$4)</f>
        <v>1.9</v>
      </c>
    </row>
    <row r="1749" spans="1:3" x14ac:dyDescent="0.25">
      <c r="A1749">
        <v>2023282</v>
      </c>
      <c r="B1749">
        <f>VLOOKUP($A1749,Data!$C$5:$AG$2561,F$4)</f>
        <v>16.8</v>
      </c>
      <c r="C1749">
        <f>VLOOKUP($A1749,Data!$C$5:$AG$2561,G$4)</f>
        <v>3.2</v>
      </c>
    </row>
    <row r="1750" spans="1:3" x14ac:dyDescent="0.25">
      <c r="A1750">
        <v>2023283</v>
      </c>
      <c r="B1750">
        <f>VLOOKUP($A1750,Data!$C$5:$AG$2561,F$4)</f>
        <v>8.1999999999999993</v>
      </c>
      <c r="C1750">
        <f>VLOOKUP($A1750,Data!$C$5:$AG$2561,G$4)</f>
        <v>3.4</v>
      </c>
    </row>
    <row r="1751" spans="1:3" x14ac:dyDescent="0.25">
      <c r="A1751">
        <v>2023284</v>
      </c>
      <c r="B1751">
        <f>VLOOKUP($A1751,Data!$C$5:$AG$2561,F$4)</f>
        <v>7.7</v>
      </c>
      <c r="C1751">
        <f>VLOOKUP($A1751,Data!$C$5:$AG$2561,G$4)</f>
        <v>-2.2000000000000002</v>
      </c>
    </row>
    <row r="1752" spans="1:3" x14ac:dyDescent="0.25">
      <c r="A1752">
        <v>2023285</v>
      </c>
      <c r="B1752">
        <f>VLOOKUP($A1752,Data!$C$5:$AG$2561,F$4)</f>
        <v>12.3</v>
      </c>
      <c r="C1752">
        <f>VLOOKUP($A1752,Data!$C$5:$AG$2561,G$4)</f>
        <v>-3.1</v>
      </c>
    </row>
    <row r="1753" spans="1:3" x14ac:dyDescent="0.25">
      <c r="A1753">
        <v>2023286</v>
      </c>
      <c r="B1753">
        <f>VLOOKUP($A1753,Data!$C$5:$AG$2561,F$4)</f>
        <v>10.6</v>
      </c>
      <c r="C1753">
        <f>VLOOKUP($A1753,Data!$C$5:$AG$2561,G$4)</f>
        <v>0.3</v>
      </c>
    </row>
    <row r="1754" spans="1:3" x14ac:dyDescent="0.25">
      <c r="A1754">
        <v>2023287</v>
      </c>
      <c r="B1754">
        <f>VLOOKUP($A1754,Data!$C$5:$AG$2561,F$4)</f>
        <v>11.1</v>
      </c>
      <c r="C1754">
        <f>VLOOKUP($A1754,Data!$C$5:$AG$2561,G$4)</f>
        <v>2.8</v>
      </c>
    </row>
    <row r="1755" spans="1:3" x14ac:dyDescent="0.25">
      <c r="A1755">
        <v>2023288</v>
      </c>
      <c r="B1755">
        <f>VLOOKUP($A1755,Data!$C$5:$AG$2561,F$4)</f>
        <v>10</v>
      </c>
      <c r="C1755">
        <f>VLOOKUP($A1755,Data!$C$5:$AG$2561,G$4)</f>
        <v>0</v>
      </c>
    </row>
    <row r="1756" spans="1:3" x14ac:dyDescent="0.25">
      <c r="A1756">
        <v>2023289</v>
      </c>
      <c r="B1756">
        <f>VLOOKUP($A1756,Data!$C$5:$AG$2561,F$4)</f>
        <v>11.7</v>
      </c>
      <c r="C1756">
        <f>VLOOKUP($A1756,Data!$C$5:$AG$2561,G$4)</f>
        <v>0.6</v>
      </c>
    </row>
    <row r="1757" spans="1:3" x14ac:dyDescent="0.25">
      <c r="A1757">
        <v>2023290</v>
      </c>
      <c r="B1757">
        <f>VLOOKUP($A1757,Data!$C$5:$AG$2561,F$4)</f>
        <v>8.6</v>
      </c>
      <c r="C1757">
        <f>VLOOKUP($A1757,Data!$C$5:$AG$2561,G$4)</f>
        <v>0.5</v>
      </c>
    </row>
    <row r="1758" spans="1:3" x14ac:dyDescent="0.25">
      <c r="A1758">
        <v>2023291</v>
      </c>
      <c r="B1758">
        <f>VLOOKUP($A1758,Data!$C$5:$AG$2561,F$4)</f>
        <v>8.5</v>
      </c>
      <c r="C1758">
        <f>VLOOKUP($A1758,Data!$C$5:$AG$2561,G$4)</f>
        <v>2.4</v>
      </c>
    </row>
    <row r="1759" spans="1:3" x14ac:dyDescent="0.25">
      <c r="A1759">
        <v>2023292</v>
      </c>
      <c r="B1759">
        <f>VLOOKUP($A1759,Data!$C$5:$AG$2561,F$4)</f>
        <v>15.8</v>
      </c>
      <c r="C1759">
        <f>VLOOKUP($A1759,Data!$C$5:$AG$2561,G$4)</f>
        <v>-0.6</v>
      </c>
    </row>
    <row r="1760" spans="1:3" x14ac:dyDescent="0.25">
      <c r="A1760">
        <v>2023293</v>
      </c>
      <c r="B1760">
        <f>VLOOKUP($A1760,Data!$C$5:$AG$2561,F$4)</f>
        <v>9.3000000000000007</v>
      </c>
      <c r="C1760">
        <f>VLOOKUP($A1760,Data!$C$5:$AG$2561,G$4)</f>
        <v>-1.4</v>
      </c>
    </row>
    <row r="1761" spans="1:3" x14ac:dyDescent="0.25">
      <c r="A1761">
        <v>2023294</v>
      </c>
      <c r="B1761">
        <f>VLOOKUP($A1761,Data!$C$5:$AG$2561,F$4)</f>
        <v>11.2</v>
      </c>
      <c r="C1761">
        <f>VLOOKUP($A1761,Data!$C$5:$AG$2561,G$4)</f>
        <v>-1.1000000000000001</v>
      </c>
    </row>
    <row r="1762" spans="1:3" x14ac:dyDescent="0.25">
      <c r="A1762">
        <v>2023295</v>
      </c>
      <c r="B1762">
        <f>VLOOKUP($A1762,Data!$C$5:$AG$2561,F$4)</f>
        <v>9.3000000000000007</v>
      </c>
      <c r="C1762">
        <f>VLOOKUP($A1762,Data!$C$5:$AG$2561,G$4)</f>
        <v>-3.4</v>
      </c>
    </row>
    <row r="1763" spans="1:3" x14ac:dyDescent="0.25">
      <c r="A1763">
        <v>2023296</v>
      </c>
      <c r="B1763">
        <f>VLOOKUP($A1763,Data!$C$5:$AG$2561,F$4)</f>
        <v>5.4</v>
      </c>
      <c r="C1763">
        <f>VLOOKUP($A1763,Data!$C$5:$AG$2561,G$4)</f>
        <v>-3.5</v>
      </c>
    </row>
    <row r="1764" spans="1:3" x14ac:dyDescent="0.25">
      <c r="A1764">
        <v>2023297</v>
      </c>
      <c r="B1764">
        <f>VLOOKUP($A1764,Data!$C$5:$AG$2561,F$4)</f>
        <v>0.6</v>
      </c>
      <c r="C1764">
        <f>VLOOKUP($A1764,Data!$C$5:$AG$2561,G$4)</f>
        <v>-4</v>
      </c>
    </row>
    <row r="1765" spans="1:3" x14ac:dyDescent="0.25">
      <c r="A1765">
        <v>2023298</v>
      </c>
      <c r="B1765">
        <f>VLOOKUP($A1765,Data!$C$5:$AG$2561,F$4)</f>
        <v>-3.6</v>
      </c>
      <c r="C1765">
        <f>VLOOKUP($A1765,Data!$C$5:$AG$2561,G$4)</f>
        <v>-8.4</v>
      </c>
    </row>
    <row r="1766" spans="1:3" x14ac:dyDescent="0.25">
      <c r="A1766">
        <v>2023299</v>
      </c>
      <c r="B1766">
        <f>VLOOKUP($A1766,Data!$C$5:$AG$2561,F$4)</f>
        <v>-3.8</v>
      </c>
      <c r="C1766">
        <f>VLOOKUP($A1766,Data!$C$5:$AG$2561,G$4)</f>
        <v>-11.9</v>
      </c>
    </row>
    <row r="1767" spans="1:3" x14ac:dyDescent="0.25">
      <c r="A1767">
        <v>2023300</v>
      </c>
      <c r="B1767">
        <f>VLOOKUP($A1767,Data!$C$5:$AG$2561,F$4)</f>
        <v>-4.4000000000000004</v>
      </c>
      <c r="C1767">
        <f>VLOOKUP($A1767,Data!$C$5:$AG$2561,G$4)</f>
        <v>-17</v>
      </c>
    </row>
    <row r="1768" spans="1:3" x14ac:dyDescent="0.25">
      <c r="A1768">
        <v>2023301</v>
      </c>
      <c r="B1768">
        <f>VLOOKUP($A1768,Data!$C$5:$AG$2561,F$4)</f>
        <v>0.9</v>
      </c>
      <c r="C1768">
        <f>VLOOKUP($A1768,Data!$C$5:$AG$2561,G$4)</f>
        <v>-17.7</v>
      </c>
    </row>
    <row r="1769" spans="1:3" x14ac:dyDescent="0.25">
      <c r="A1769">
        <v>2023302</v>
      </c>
      <c r="B1769">
        <f>VLOOKUP($A1769,Data!$C$5:$AG$2561,F$4)</f>
        <v>3.6</v>
      </c>
      <c r="C1769">
        <f>VLOOKUP($A1769,Data!$C$5:$AG$2561,G$4)</f>
        <v>-14.7</v>
      </c>
    </row>
    <row r="1770" spans="1:3" x14ac:dyDescent="0.25">
      <c r="A1770">
        <v>2023303</v>
      </c>
      <c r="B1770">
        <f>VLOOKUP($A1770,Data!$C$5:$AG$2561,F$4)</f>
        <v>9.1</v>
      </c>
      <c r="C1770">
        <f>VLOOKUP($A1770,Data!$C$5:$AG$2561,G$4)</f>
        <v>-10.9</v>
      </c>
    </row>
    <row r="1771" spans="1:3" x14ac:dyDescent="0.25">
      <c r="A1771">
        <v>2023304</v>
      </c>
      <c r="B1771">
        <f>VLOOKUP($A1771,Data!$C$5:$AG$2561,F$4)</f>
        <v>3.6</v>
      </c>
      <c r="C1771">
        <f>VLOOKUP($A1771,Data!$C$5:$AG$2561,G$4)</f>
        <v>-10.5</v>
      </c>
    </row>
    <row r="1772" spans="1:3" x14ac:dyDescent="0.25">
      <c r="A1772">
        <v>2023305</v>
      </c>
      <c r="B1772">
        <f>VLOOKUP($A1772,Data!$C$5:$AG$2561,F$4)</f>
        <v>6.5</v>
      </c>
      <c r="C1772">
        <f>VLOOKUP($A1772,Data!$C$5:$AG$2561,G$4)</f>
        <v>-9.1</v>
      </c>
    </row>
    <row r="1773" spans="1:3" x14ac:dyDescent="0.25">
      <c r="A1773">
        <v>2023306</v>
      </c>
      <c r="B1773">
        <f>VLOOKUP($A1773,Data!$C$5:$AG$2561,F$4)</f>
        <v>1.9</v>
      </c>
      <c r="C1773">
        <f>VLOOKUP($A1773,Data!$C$5:$AG$2561,G$4)</f>
        <v>-1.7</v>
      </c>
    </row>
    <row r="1774" spans="1:3" x14ac:dyDescent="0.25">
      <c r="A1774">
        <v>2023307</v>
      </c>
      <c r="B1774">
        <f>VLOOKUP($A1774,Data!$C$5:$AG$2561,F$4)</f>
        <v>5.7</v>
      </c>
      <c r="C1774">
        <f>VLOOKUP($A1774,Data!$C$5:$AG$2561,G$4)</f>
        <v>-0.9</v>
      </c>
    </row>
    <row r="1775" spans="1:3" x14ac:dyDescent="0.25">
      <c r="A1775">
        <v>2023308</v>
      </c>
      <c r="B1775">
        <f>VLOOKUP($A1775,Data!$C$5:$AG$2561,F$4)</f>
        <v>3.8</v>
      </c>
      <c r="C1775">
        <f>VLOOKUP($A1775,Data!$C$5:$AG$2561,G$4)</f>
        <v>-0.6</v>
      </c>
    </row>
    <row r="1776" spans="1:3" x14ac:dyDescent="0.25">
      <c r="A1776">
        <v>2023309</v>
      </c>
      <c r="B1776">
        <f>VLOOKUP($A1776,Data!$C$5:$AG$2561,F$4)</f>
        <v>2.2000000000000002</v>
      </c>
      <c r="C1776">
        <f>VLOOKUP($A1776,Data!$C$5:$AG$2561,G$4)</f>
        <v>-1.6</v>
      </c>
    </row>
    <row r="1777" spans="1:3" x14ac:dyDescent="0.25">
      <c r="A1777">
        <v>2023310</v>
      </c>
      <c r="B1777">
        <f>VLOOKUP($A1777,Data!$C$5:$AG$2561,F$4)</f>
        <v>2.2999999999999998</v>
      </c>
      <c r="C1777">
        <f>VLOOKUP($A1777,Data!$C$5:$AG$2561,G$4)</f>
        <v>-0.5</v>
      </c>
    </row>
    <row r="1778" spans="1:3" x14ac:dyDescent="0.25">
      <c r="A1778">
        <v>2023311</v>
      </c>
      <c r="B1778">
        <f>VLOOKUP($A1778,Data!$C$5:$AG$2561,F$4)</f>
        <v>1.4</v>
      </c>
      <c r="C1778">
        <f>VLOOKUP($A1778,Data!$C$5:$AG$2561,G$4)</f>
        <v>-5.5</v>
      </c>
    </row>
    <row r="1779" spans="1:3" x14ac:dyDescent="0.25">
      <c r="A1779">
        <v>2023312</v>
      </c>
      <c r="B1779">
        <f>VLOOKUP($A1779,Data!$C$5:$AG$2561,F$4)</f>
        <v>3.3</v>
      </c>
      <c r="C1779">
        <f>VLOOKUP($A1779,Data!$C$5:$AG$2561,G$4)</f>
        <v>-7.2</v>
      </c>
    </row>
    <row r="1780" spans="1:3" x14ac:dyDescent="0.25">
      <c r="A1780">
        <v>2023313</v>
      </c>
      <c r="B1780">
        <f>VLOOKUP($A1780,Data!$C$5:$AG$2561,F$4)</f>
        <v>-0.8</v>
      </c>
      <c r="C1780">
        <f>VLOOKUP($A1780,Data!$C$5:$AG$2561,G$4)</f>
        <v>-8.5</v>
      </c>
    </row>
    <row r="1781" spans="1:3" x14ac:dyDescent="0.25">
      <c r="A1781">
        <v>2023314</v>
      </c>
      <c r="B1781">
        <f>VLOOKUP($A1781,Data!$C$5:$AG$2561,F$4)</f>
        <v>2</v>
      </c>
      <c r="C1781">
        <f>VLOOKUP($A1781,Data!$C$5:$AG$2561,G$4)</f>
        <v>-3.8</v>
      </c>
    </row>
    <row r="1782" spans="1:3" x14ac:dyDescent="0.25">
      <c r="A1782">
        <v>2023315</v>
      </c>
      <c r="B1782">
        <f>VLOOKUP($A1782,Data!$C$5:$AG$2561,F$4)</f>
        <v>0.6</v>
      </c>
      <c r="C1782">
        <f>VLOOKUP($A1782,Data!$C$5:$AG$2561,G$4)</f>
        <v>-3.3</v>
      </c>
    </row>
    <row r="1783" spans="1:3" x14ac:dyDescent="0.25">
      <c r="A1783">
        <v>2023316</v>
      </c>
      <c r="B1783">
        <f>VLOOKUP($A1783,Data!$C$5:$AG$2561,F$4)</f>
        <v>0.1</v>
      </c>
      <c r="C1783">
        <f>VLOOKUP($A1783,Data!$C$5:$AG$2561,G$4)</f>
        <v>-8.4</v>
      </c>
    </row>
    <row r="1784" spans="1:3" x14ac:dyDescent="0.25">
      <c r="A1784">
        <v>2023317</v>
      </c>
      <c r="B1784">
        <f>VLOOKUP($A1784,Data!$C$5:$AG$2561,F$4)</f>
        <v>1.7</v>
      </c>
      <c r="C1784">
        <f>VLOOKUP($A1784,Data!$C$5:$AG$2561,G$4)</f>
        <v>-8.5</v>
      </c>
    </row>
    <row r="1785" spans="1:3" x14ac:dyDescent="0.25">
      <c r="A1785">
        <v>2023318</v>
      </c>
      <c r="B1785">
        <f>VLOOKUP($A1785,Data!$C$5:$AG$2561,F$4)</f>
        <v>1.6</v>
      </c>
      <c r="C1785">
        <f>VLOOKUP($A1785,Data!$C$5:$AG$2561,G$4)</f>
        <v>-14.2</v>
      </c>
    </row>
    <row r="1786" spans="1:3" x14ac:dyDescent="0.25">
      <c r="A1786">
        <v>2023319</v>
      </c>
      <c r="B1786">
        <f>VLOOKUP($A1786,Data!$C$5:$AG$2561,F$4)</f>
        <v>-0.4</v>
      </c>
      <c r="C1786">
        <f>VLOOKUP($A1786,Data!$C$5:$AG$2561,G$4)</f>
        <v>-8.1</v>
      </c>
    </row>
    <row r="1787" spans="1:3" x14ac:dyDescent="0.25">
      <c r="A1787">
        <v>2023320</v>
      </c>
      <c r="B1787">
        <f>VLOOKUP($A1787,Data!$C$5:$AG$2561,F$4)</f>
        <v>0.6</v>
      </c>
      <c r="C1787">
        <f>VLOOKUP($A1787,Data!$C$5:$AG$2561,G$4)</f>
        <v>-14.4</v>
      </c>
    </row>
    <row r="1788" spans="1:3" x14ac:dyDescent="0.25">
      <c r="A1788">
        <v>2023321</v>
      </c>
      <c r="B1788">
        <f>VLOOKUP($A1788,Data!$C$5:$AG$2561,F$4)</f>
        <v>1.3</v>
      </c>
      <c r="C1788">
        <f>VLOOKUP($A1788,Data!$C$5:$AG$2561,G$4)</f>
        <v>-10.5</v>
      </c>
    </row>
    <row r="1789" spans="1:3" x14ac:dyDescent="0.25">
      <c r="A1789">
        <v>2023322</v>
      </c>
      <c r="B1789">
        <f>VLOOKUP($A1789,Data!$C$5:$AG$2561,F$4)</f>
        <v>2.9</v>
      </c>
      <c r="C1789">
        <f>VLOOKUP($A1789,Data!$C$5:$AG$2561,G$4)</f>
        <v>-6.2</v>
      </c>
    </row>
    <row r="1790" spans="1:3" x14ac:dyDescent="0.25">
      <c r="A1790">
        <v>2023323</v>
      </c>
      <c r="B1790">
        <f>VLOOKUP($A1790,Data!$C$5:$AG$2561,F$4)</f>
        <v>1.2</v>
      </c>
      <c r="C1790">
        <f>VLOOKUP($A1790,Data!$C$5:$AG$2561,G$4)</f>
        <v>-7.6</v>
      </c>
    </row>
    <row r="1791" spans="1:3" x14ac:dyDescent="0.25">
      <c r="A1791">
        <v>2023324</v>
      </c>
      <c r="B1791">
        <f>VLOOKUP($A1791,Data!$C$5:$AG$2561,F$4)</f>
        <v>-0.8</v>
      </c>
      <c r="C1791">
        <f>VLOOKUP($A1791,Data!$C$5:$AG$2561,G$4)</f>
        <v>-11.8</v>
      </c>
    </row>
    <row r="1792" spans="1:3" x14ac:dyDescent="0.25">
      <c r="A1792">
        <v>2023325</v>
      </c>
      <c r="B1792">
        <f>VLOOKUP($A1792,Data!$C$5:$AG$2561,F$4)</f>
        <v>-0.6</v>
      </c>
      <c r="C1792">
        <f>VLOOKUP($A1792,Data!$C$5:$AG$2561,G$4)</f>
        <v>-5.7</v>
      </c>
    </row>
    <row r="1793" spans="1:3" x14ac:dyDescent="0.25">
      <c r="A1793">
        <v>2023326</v>
      </c>
      <c r="B1793">
        <f>VLOOKUP($A1793,Data!$C$5:$AG$2561,F$4)</f>
        <v>1.7</v>
      </c>
      <c r="C1793">
        <f>VLOOKUP($A1793,Data!$C$5:$AG$2561,G$4)</f>
        <v>-8</v>
      </c>
    </row>
    <row r="1794" spans="1:3" x14ac:dyDescent="0.25">
      <c r="A1794">
        <v>2023327</v>
      </c>
      <c r="B1794">
        <f>VLOOKUP($A1794,Data!$C$5:$AG$2561,F$4)</f>
        <v>-2.8</v>
      </c>
      <c r="C1794">
        <f>VLOOKUP($A1794,Data!$C$5:$AG$2561,G$4)</f>
        <v>-9.6</v>
      </c>
    </row>
    <row r="1795" spans="1:3" x14ac:dyDescent="0.25">
      <c r="A1795">
        <v>2023328</v>
      </c>
      <c r="B1795">
        <f>VLOOKUP($A1795,Data!$C$5:$AG$2561,F$4)</f>
        <v>-3.4</v>
      </c>
      <c r="C1795">
        <f>VLOOKUP($A1795,Data!$C$5:$AG$2561,G$4)</f>
        <v>-11.8</v>
      </c>
    </row>
    <row r="1796" spans="1:3" x14ac:dyDescent="0.25">
      <c r="A1796">
        <v>2023329</v>
      </c>
      <c r="B1796">
        <f>VLOOKUP($A1796,Data!$C$5:$AG$2561,F$4)</f>
        <v>-0.9</v>
      </c>
      <c r="C1796">
        <f>VLOOKUP($A1796,Data!$C$5:$AG$2561,G$4)</f>
        <v>-3.8</v>
      </c>
    </row>
    <row r="1797" spans="1:3" x14ac:dyDescent="0.25">
      <c r="A1797">
        <v>2023330</v>
      </c>
      <c r="B1797">
        <f>VLOOKUP($A1797,Data!$C$5:$AG$2561,F$4)</f>
        <v>2</v>
      </c>
      <c r="C1797">
        <f>VLOOKUP($A1797,Data!$C$5:$AG$2561,G$4)</f>
        <v>-4.8</v>
      </c>
    </row>
    <row r="1798" spans="1:3" x14ac:dyDescent="0.25">
      <c r="A1798">
        <v>2023331</v>
      </c>
      <c r="B1798">
        <f>VLOOKUP($A1798,Data!$C$5:$AG$2561,F$4)</f>
        <v>-4.3</v>
      </c>
      <c r="C1798">
        <f>VLOOKUP($A1798,Data!$C$5:$AG$2561,G$4)</f>
        <v>-12.4</v>
      </c>
    </row>
    <row r="1799" spans="1:3" x14ac:dyDescent="0.25">
      <c r="A1799">
        <v>2023332</v>
      </c>
      <c r="B1799">
        <f>VLOOKUP($A1799,Data!$C$5:$AG$2561,F$4)</f>
        <v>-6.4</v>
      </c>
      <c r="C1799">
        <f>VLOOKUP($A1799,Data!$C$5:$AG$2561,G$4)</f>
        <v>-15</v>
      </c>
    </row>
    <row r="1800" spans="1:3" x14ac:dyDescent="0.25">
      <c r="A1800">
        <v>2023333</v>
      </c>
      <c r="B1800">
        <f>VLOOKUP($A1800,Data!$C$5:$AG$2561,F$4)</f>
        <v>-4.3</v>
      </c>
      <c r="C1800">
        <f>VLOOKUP($A1800,Data!$C$5:$AG$2561,G$4)</f>
        <v>-16.5</v>
      </c>
    </row>
    <row r="1801" spans="1:3" x14ac:dyDescent="0.25">
      <c r="A1801">
        <v>2023334</v>
      </c>
      <c r="B1801">
        <f>VLOOKUP($A1801,Data!$C$5:$AG$2561,F$4)</f>
        <v>-8.9</v>
      </c>
      <c r="C1801">
        <f>VLOOKUP($A1801,Data!$C$5:$AG$2561,G$4)</f>
        <v>-15.8</v>
      </c>
    </row>
    <row r="1802" spans="1:3" x14ac:dyDescent="0.25">
      <c r="A1802">
        <v>2023335</v>
      </c>
      <c r="B1802">
        <f>VLOOKUP($A1802,Data!$C$5:$AG$2561,F$4)</f>
        <v>-6.6</v>
      </c>
      <c r="C1802">
        <f>VLOOKUP($A1802,Data!$C$5:$AG$2561,G$4)</f>
        <v>-11.1</v>
      </c>
    </row>
    <row r="1803" spans="1:3" x14ac:dyDescent="0.25">
      <c r="A1803">
        <v>2023336</v>
      </c>
      <c r="B1803">
        <f>VLOOKUP($A1803,Data!$C$5:$AG$2561,F$4)</f>
        <v>-3</v>
      </c>
      <c r="C1803">
        <f>VLOOKUP($A1803,Data!$C$5:$AG$2561,G$4)</f>
        <v>-9.3000000000000007</v>
      </c>
    </row>
    <row r="1804" spans="1:3" x14ac:dyDescent="0.25">
      <c r="A1804">
        <v>2023337</v>
      </c>
      <c r="B1804">
        <f>VLOOKUP($A1804,Data!$C$5:$AG$2561,F$4)</f>
        <v>-2.2000000000000002</v>
      </c>
      <c r="C1804">
        <f>VLOOKUP($A1804,Data!$C$5:$AG$2561,G$4)</f>
        <v>-11</v>
      </c>
    </row>
    <row r="1805" spans="1:3" x14ac:dyDescent="0.25">
      <c r="A1805">
        <v>2023338</v>
      </c>
      <c r="B1805">
        <f>VLOOKUP($A1805,Data!$C$5:$AG$2561,F$4)</f>
        <v>-0.2</v>
      </c>
      <c r="C1805">
        <f>VLOOKUP($A1805,Data!$C$5:$AG$2561,G$4)</f>
        <v>-5.8</v>
      </c>
    </row>
    <row r="1806" spans="1:3" x14ac:dyDescent="0.25">
      <c r="A1806">
        <v>2023339</v>
      </c>
      <c r="B1806">
        <f>VLOOKUP($A1806,Data!$C$5:$AG$2561,F$4)</f>
        <v>4.4000000000000004</v>
      </c>
      <c r="C1806">
        <f>VLOOKUP($A1806,Data!$C$5:$AG$2561,G$4)</f>
        <v>-0.3</v>
      </c>
    </row>
    <row r="1807" spans="1:3" x14ac:dyDescent="0.25">
      <c r="A1807">
        <v>2023340</v>
      </c>
      <c r="B1807">
        <f>VLOOKUP($A1807,Data!$C$5:$AG$2561,F$4)</f>
        <v>1.9</v>
      </c>
      <c r="C1807">
        <f>VLOOKUP($A1807,Data!$C$5:$AG$2561,G$4)</f>
        <v>-1.1000000000000001</v>
      </c>
    </row>
    <row r="1808" spans="1:3" x14ac:dyDescent="0.25">
      <c r="A1808">
        <v>2023341</v>
      </c>
      <c r="B1808">
        <f>VLOOKUP($A1808,Data!$C$5:$AG$2561,F$4)</f>
        <v>-0.8</v>
      </c>
      <c r="C1808">
        <f>VLOOKUP($A1808,Data!$C$5:$AG$2561,G$4)</f>
        <v>-5.0999999999999996</v>
      </c>
    </row>
    <row r="1809" spans="1:3" x14ac:dyDescent="0.25">
      <c r="A1809">
        <v>2023342</v>
      </c>
      <c r="B1809">
        <f>VLOOKUP($A1809,Data!$C$5:$AG$2561,F$4)</f>
        <v>-3.9</v>
      </c>
      <c r="C1809">
        <f>VLOOKUP($A1809,Data!$C$5:$AG$2561,G$4)</f>
        <v>-14.9</v>
      </c>
    </row>
    <row r="1810" spans="1:3" x14ac:dyDescent="0.25">
      <c r="A1810">
        <v>2023343</v>
      </c>
      <c r="B1810">
        <f>VLOOKUP($A1810,Data!$C$5:$AG$2561,F$4)</f>
        <v>-4.9000000000000004</v>
      </c>
      <c r="C1810">
        <f>VLOOKUP($A1810,Data!$C$5:$AG$2561,G$4)</f>
        <v>-15.6</v>
      </c>
    </row>
    <row r="1811" spans="1:3" x14ac:dyDescent="0.25">
      <c r="A1811">
        <v>2023344</v>
      </c>
      <c r="B1811">
        <f>VLOOKUP($A1811,Data!$C$5:$AG$2561,F$4)</f>
        <v>0.1</v>
      </c>
      <c r="C1811">
        <f>VLOOKUP($A1811,Data!$C$5:$AG$2561,G$4)</f>
        <v>-6.1</v>
      </c>
    </row>
    <row r="1812" spans="1:3" x14ac:dyDescent="0.25">
      <c r="A1812">
        <v>2023345</v>
      </c>
      <c r="B1812">
        <f>VLOOKUP($A1812,Data!$C$5:$AG$2561,F$4)</f>
        <v>-0.1</v>
      </c>
      <c r="C1812">
        <f>VLOOKUP($A1812,Data!$C$5:$AG$2561,G$4)</f>
        <v>-14.5</v>
      </c>
    </row>
    <row r="1813" spans="1:3" x14ac:dyDescent="0.25">
      <c r="A1813">
        <v>2023346</v>
      </c>
      <c r="B1813">
        <f>VLOOKUP($A1813,Data!$C$5:$AG$2561,F$4)</f>
        <v>-0.3</v>
      </c>
      <c r="C1813">
        <f>VLOOKUP($A1813,Data!$C$5:$AG$2561,G$4)</f>
        <v>-14.8</v>
      </c>
    </row>
    <row r="1814" spans="1:3" x14ac:dyDescent="0.25">
      <c r="A1814">
        <v>2023347</v>
      </c>
      <c r="B1814">
        <f>VLOOKUP($A1814,Data!$C$5:$AG$2561,F$4)</f>
        <v>-5.3</v>
      </c>
      <c r="C1814">
        <f>VLOOKUP($A1814,Data!$C$5:$AG$2561,G$4)</f>
        <v>-7.3</v>
      </c>
    </row>
    <row r="1815" spans="1:3" x14ac:dyDescent="0.25">
      <c r="A1815">
        <v>2023348</v>
      </c>
      <c r="B1815">
        <f>VLOOKUP($A1815,Data!$C$5:$AG$2561,F$4)</f>
        <v>-2.4</v>
      </c>
      <c r="C1815">
        <f>VLOOKUP($A1815,Data!$C$5:$AG$2561,G$4)</f>
        <v>-6.5</v>
      </c>
    </row>
    <row r="1816" spans="1:3" x14ac:dyDescent="0.25">
      <c r="A1816">
        <v>2023349</v>
      </c>
      <c r="B1816">
        <f>VLOOKUP($A1816,Data!$C$5:$AG$2561,F$4)</f>
        <v>-1.7</v>
      </c>
      <c r="C1816">
        <f>VLOOKUP($A1816,Data!$C$5:$AG$2561,G$4)</f>
        <v>-4.5</v>
      </c>
    </row>
    <row r="1817" spans="1:3" x14ac:dyDescent="0.25">
      <c r="A1817">
        <v>2023350</v>
      </c>
      <c r="B1817">
        <f>VLOOKUP($A1817,Data!$C$5:$AG$2561,F$4)</f>
        <v>-0.4</v>
      </c>
      <c r="C1817">
        <f>VLOOKUP($A1817,Data!$C$5:$AG$2561,G$4)</f>
        <v>-4.3</v>
      </c>
    </row>
    <row r="1818" spans="1:3" x14ac:dyDescent="0.25">
      <c r="A1818">
        <v>2023351</v>
      </c>
      <c r="B1818">
        <f>VLOOKUP($A1818,Data!$C$5:$AG$2561,F$4)</f>
        <v>0.6</v>
      </c>
      <c r="C1818">
        <f>VLOOKUP($A1818,Data!$C$5:$AG$2561,G$4)</f>
        <v>-2.8</v>
      </c>
    </row>
    <row r="1819" spans="1:3" x14ac:dyDescent="0.25">
      <c r="A1819">
        <v>2023352</v>
      </c>
      <c r="B1819">
        <f>VLOOKUP($A1819,Data!$C$5:$AG$2561,F$4)</f>
        <v>-0.4</v>
      </c>
      <c r="C1819">
        <f>VLOOKUP($A1819,Data!$C$5:$AG$2561,G$4)</f>
        <v>-3.4</v>
      </c>
    </row>
    <row r="1820" spans="1:3" x14ac:dyDescent="0.25">
      <c r="A1820">
        <v>2023353</v>
      </c>
      <c r="B1820">
        <f>VLOOKUP($A1820,Data!$C$5:$AG$2561,F$4)</f>
        <v>0.8</v>
      </c>
      <c r="C1820">
        <f>VLOOKUP($A1820,Data!$C$5:$AG$2561,G$4)</f>
        <v>-2.8</v>
      </c>
    </row>
    <row r="1821" spans="1:3" x14ac:dyDescent="0.25">
      <c r="A1821">
        <v>2023354</v>
      </c>
      <c r="B1821">
        <f>VLOOKUP($A1821,Data!$C$5:$AG$2561,F$4)</f>
        <v>1</v>
      </c>
      <c r="C1821">
        <f>VLOOKUP($A1821,Data!$C$5:$AG$2561,G$4)</f>
        <v>-7.7</v>
      </c>
    </row>
    <row r="1822" spans="1:3" x14ac:dyDescent="0.25">
      <c r="A1822">
        <v>2023355</v>
      </c>
      <c r="B1822">
        <f>VLOOKUP($A1822,Data!$C$5:$AG$2561,F$4)</f>
        <v>1.3</v>
      </c>
      <c r="C1822">
        <f>VLOOKUP($A1822,Data!$C$5:$AG$2561,G$4)</f>
        <v>-3.3</v>
      </c>
    </row>
    <row r="1823" spans="1:3" x14ac:dyDescent="0.25">
      <c r="A1823">
        <v>2023356</v>
      </c>
      <c r="B1823">
        <f>VLOOKUP($A1823,Data!$C$5:$AG$2561,F$4)</f>
        <v>0.6</v>
      </c>
      <c r="C1823">
        <f>VLOOKUP($A1823,Data!$C$5:$AG$2561,G$4)</f>
        <v>-5.8</v>
      </c>
    </row>
    <row r="1824" spans="1:3" x14ac:dyDescent="0.25">
      <c r="A1824">
        <v>2023357</v>
      </c>
      <c r="B1824">
        <f>VLOOKUP($A1824,Data!$C$5:$AG$2561,F$4)</f>
        <v>-2.4</v>
      </c>
      <c r="C1824">
        <f>VLOOKUP($A1824,Data!$C$5:$AG$2561,G$4)</f>
        <v>-16</v>
      </c>
    </row>
    <row r="1825" spans="1:3" x14ac:dyDescent="0.25">
      <c r="A1825">
        <v>2023358</v>
      </c>
      <c r="B1825">
        <f>VLOOKUP($A1825,Data!$C$5:$AG$2561,F$4)</f>
        <v>-7.8</v>
      </c>
      <c r="C1825">
        <f>VLOOKUP($A1825,Data!$C$5:$AG$2561,G$4)</f>
        <v>-15.8</v>
      </c>
    </row>
    <row r="1826" spans="1:3" x14ac:dyDescent="0.25">
      <c r="A1826">
        <v>2023359</v>
      </c>
      <c r="B1826">
        <f>VLOOKUP($A1826,Data!$C$5:$AG$2561,F$4)</f>
        <v>-4.8</v>
      </c>
      <c r="C1826">
        <f>VLOOKUP($A1826,Data!$C$5:$AG$2561,G$4)</f>
        <v>-11</v>
      </c>
    </row>
    <row r="1827" spans="1:3" x14ac:dyDescent="0.25">
      <c r="A1827">
        <v>2023360</v>
      </c>
      <c r="B1827">
        <f>VLOOKUP($A1827,Data!$C$5:$AG$2561,F$4)</f>
        <v>-3.1</v>
      </c>
      <c r="C1827">
        <f>VLOOKUP($A1827,Data!$C$5:$AG$2561,G$4)</f>
        <v>-5.6</v>
      </c>
    </row>
    <row r="1828" spans="1:3" x14ac:dyDescent="0.25">
      <c r="A1828">
        <v>2023361</v>
      </c>
      <c r="B1828">
        <f>VLOOKUP($A1828,Data!$C$5:$AG$2561,F$4)</f>
        <v>1.3</v>
      </c>
      <c r="C1828">
        <f>VLOOKUP($A1828,Data!$C$5:$AG$2561,G$4)</f>
        <v>-4.3</v>
      </c>
    </row>
    <row r="1829" spans="1:3" x14ac:dyDescent="0.25">
      <c r="A1829">
        <v>2023362</v>
      </c>
      <c r="B1829">
        <f>VLOOKUP($A1829,Data!$C$5:$AG$2561,F$4)</f>
        <v>1.1000000000000001</v>
      </c>
      <c r="C1829">
        <f>VLOOKUP($A1829,Data!$C$5:$AG$2561,G$4)</f>
        <v>-2.1</v>
      </c>
    </row>
    <row r="1830" spans="1:3" x14ac:dyDescent="0.25">
      <c r="A1830">
        <v>2023363</v>
      </c>
      <c r="B1830">
        <f>VLOOKUP($A1830,Data!$C$5:$AG$2561,F$4)</f>
        <v>2.8</v>
      </c>
      <c r="C1830">
        <f>VLOOKUP($A1830,Data!$C$5:$AG$2561,G$4)</f>
        <v>-1.6</v>
      </c>
    </row>
    <row r="1831" spans="1:3" x14ac:dyDescent="0.25">
      <c r="A1831">
        <v>2023364</v>
      </c>
      <c r="B1831">
        <f>VLOOKUP($A1831,Data!$C$5:$AG$2561,F$4)</f>
        <v>3.6</v>
      </c>
      <c r="C1831">
        <f>VLOOKUP($A1831,Data!$C$5:$AG$2561,G$4)</f>
        <v>0</v>
      </c>
    </row>
    <row r="1832" spans="1:3" x14ac:dyDescent="0.25">
      <c r="A1832">
        <v>2023365</v>
      </c>
      <c r="B1832">
        <f>VLOOKUP($A1832,Data!$C$5:$AG$2561,F$4)</f>
        <v>0.3</v>
      </c>
      <c r="C1832">
        <f>VLOOKUP($A1832,Data!$C$5:$AG$2561,G$4)</f>
        <v>-4.0999999999999996</v>
      </c>
    </row>
    <row r="1833" spans="1:3" x14ac:dyDescent="0.25">
      <c r="A1833">
        <v>2024001</v>
      </c>
      <c r="B1833">
        <f>VLOOKUP($A1833,Data!$C$5:$AG$2561,F$4)</f>
        <v>-1.4</v>
      </c>
      <c r="C1833">
        <f>VLOOKUP($A1833,Data!$C$5:$AG$2561,G$4)</f>
        <v>-7.5</v>
      </c>
    </row>
    <row r="1834" spans="1:3" x14ac:dyDescent="0.25">
      <c r="A1834">
        <v>2024002</v>
      </c>
      <c r="B1834">
        <f>VLOOKUP($A1834,Data!$C$5:$AG$2561,F$4)</f>
        <v>-2.1</v>
      </c>
      <c r="C1834">
        <f>VLOOKUP($A1834,Data!$C$5:$AG$2561,G$4)</f>
        <v>-6.2</v>
      </c>
    </row>
    <row r="1835" spans="1:3" x14ac:dyDescent="0.25">
      <c r="A1835">
        <v>2024003</v>
      </c>
      <c r="B1835">
        <f>VLOOKUP($A1835,Data!$C$5:$AG$2561,F$4)</f>
        <v>1</v>
      </c>
      <c r="C1835">
        <f>VLOOKUP($A1835,Data!$C$5:$AG$2561,G$4)</f>
        <v>-4.3</v>
      </c>
    </row>
    <row r="1836" spans="1:3" x14ac:dyDescent="0.25">
      <c r="A1836">
        <v>2024004</v>
      </c>
      <c r="B1836">
        <f>VLOOKUP($A1836,Data!$C$5:$AG$2561,F$4)</f>
        <v>-2</v>
      </c>
      <c r="C1836">
        <f>VLOOKUP($A1836,Data!$C$5:$AG$2561,G$4)</f>
        <v>-6.3</v>
      </c>
    </row>
    <row r="1837" spans="1:3" x14ac:dyDescent="0.25">
      <c r="A1837">
        <v>2024005</v>
      </c>
      <c r="B1837">
        <f>VLOOKUP($A1837,Data!$C$5:$AG$2561,F$4)</f>
        <v>-3</v>
      </c>
      <c r="C1837">
        <f>VLOOKUP($A1837,Data!$C$5:$AG$2561,G$4)</f>
        <v>-9.1999999999999993</v>
      </c>
    </row>
    <row r="1838" spans="1:3" x14ac:dyDescent="0.25">
      <c r="A1838">
        <v>2024006</v>
      </c>
      <c r="B1838">
        <f>VLOOKUP($A1838,Data!$C$5:$AG$2561,F$4)</f>
        <v>-3</v>
      </c>
      <c r="C1838">
        <f>VLOOKUP($A1838,Data!$C$5:$AG$2561,G$4)</f>
        <v>-7.9</v>
      </c>
    </row>
    <row r="1839" spans="1:3" x14ac:dyDescent="0.25">
      <c r="A1839">
        <v>2024007</v>
      </c>
      <c r="B1839">
        <f>VLOOKUP($A1839,Data!$C$5:$AG$2561,F$4)</f>
        <v>-7.8</v>
      </c>
      <c r="C1839">
        <f>VLOOKUP($A1839,Data!$C$5:$AG$2561,G$4)</f>
        <v>-11.5</v>
      </c>
    </row>
    <row r="1840" spans="1:3" x14ac:dyDescent="0.25">
      <c r="A1840">
        <v>2024008</v>
      </c>
      <c r="B1840">
        <f>VLOOKUP($A1840,Data!$C$5:$AG$2561,F$4)</f>
        <v>-7.6</v>
      </c>
      <c r="C1840">
        <f>VLOOKUP($A1840,Data!$C$5:$AG$2561,G$4)</f>
        <v>-15.3</v>
      </c>
    </row>
    <row r="1841" spans="1:3" x14ac:dyDescent="0.25">
      <c r="A1841">
        <v>2024009</v>
      </c>
      <c r="B1841">
        <f>VLOOKUP($A1841,Data!$C$5:$AG$2561,F$4)</f>
        <v>-3.8</v>
      </c>
      <c r="C1841">
        <f>VLOOKUP($A1841,Data!$C$5:$AG$2561,G$4)</f>
        <v>-11.8</v>
      </c>
    </row>
    <row r="1842" spans="1:3" x14ac:dyDescent="0.25">
      <c r="A1842">
        <v>2024010</v>
      </c>
      <c r="B1842">
        <f>VLOOKUP($A1842,Data!$C$5:$AG$2561,F$4)</f>
        <v>-5</v>
      </c>
      <c r="C1842">
        <f>VLOOKUP($A1842,Data!$C$5:$AG$2561,G$4)</f>
        <v>-13.5</v>
      </c>
    </row>
    <row r="1843" spans="1:3" x14ac:dyDescent="0.25">
      <c r="A1843">
        <v>2024011</v>
      </c>
      <c r="B1843">
        <f>VLOOKUP($A1843,Data!$C$5:$AG$2561,F$4)</f>
        <v>-12.9</v>
      </c>
      <c r="C1843">
        <f>VLOOKUP($A1843,Data!$C$5:$AG$2561,G$4)</f>
        <v>-31.2</v>
      </c>
    </row>
    <row r="1844" spans="1:3" x14ac:dyDescent="0.25">
      <c r="A1844">
        <v>2024012</v>
      </c>
      <c r="B1844">
        <f>VLOOKUP($A1844,Data!$C$5:$AG$2561,F$4)</f>
        <v>-28.8</v>
      </c>
      <c r="C1844">
        <f>VLOOKUP($A1844,Data!$C$5:$AG$2561,G$4)</f>
        <v>-38.4</v>
      </c>
    </row>
    <row r="1845" spans="1:3" x14ac:dyDescent="0.25">
      <c r="A1845">
        <v>2024013</v>
      </c>
      <c r="B1845">
        <f>VLOOKUP($A1845,Data!$C$5:$AG$2561,F$4)</f>
        <v>-22.3</v>
      </c>
      <c r="C1845">
        <f>VLOOKUP($A1845,Data!$C$5:$AG$2561,G$4)</f>
        <v>-38</v>
      </c>
    </row>
    <row r="1846" spans="1:3" x14ac:dyDescent="0.25">
      <c r="A1846">
        <v>2024014</v>
      </c>
      <c r="B1846">
        <f>VLOOKUP($A1846,Data!$C$5:$AG$2561,F$4)</f>
        <v>-13.8</v>
      </c>
      <c r="C1846">
        <f>VLOOKUP($A1846,Data!$C$5:$AG$2561,G$4)</f>
        <v>-28.1</v>
      </c>
    </row>
    <row r="1847" spans="1:3" x14ac:dyDescent="0.25">
      <c r="A1847">
        <v>2024015</v>
      </c>
      <c r="B1847">
        <f>VLOOKUP($A1847,Data!$C$5:$AG$2561,F$4)</f>
        <v>-11.5</v>
      </c>
      <c r="C1847">
        <f>VLOOKUP($A1847,Data!$C$5:$AG$2561,G$4)</f>
        <v>-26</v>
      </c>
    </row>
    <row r="1848" spans="1:3" x14ac:dyDescent="0.25">
      <c r="A1848">
        <v>2024016</v>
      </c>
      <c r="B1848">
        <f>VLOOKUP($A1848,Data!$C$5:$AG$2561,F$4)</f>
        <v>-13.7</v>
      </c>
      <c r="C1848">
        <f>VLOOKUP($A1848,Data!$C$5:$AG$2561,G$4)</f>
        <v>-18.600000000000001</v>
      </c>
    </row>
    <row r="1849" spans="1:3" x14ac:dyDescent="0.25">
      <c r="A1849">
        <v>2024017</v>
      </c>
      <c r="B1849">
        <f>VLOOKUP($A1849,Data!$C$5:$AG$2561,F$4)</f>
        <v>-12.4</v>
      </c>
      <c r="C1849">
        <f>VLOOKUP($A1849,Data!$C$5:$AG$2561,G$4)</f>
        <v>-18</v>
      </c>
    </row>
    <row r="1850" spans="1:3" x14ac:dyDescent="0.25">
      <c r="A1850">
        <v>2024018</v>
      </c>
      <c r="B1850">
        <f>VLOOKUP($A1850,Data!$C$5:$AG$2561,F$4)</f>
        <v>-10</v>
      </c>
      <c r="C1850">
        <f>VLOOKUP($A1850,Data!$C$5:$AG$2561,G$4)</f>
        <v>-23.4</v>
      </c>
    </row>
    <row r="1851" spans="1:3" x14ac:dyDescent="0.25">
      <c r="A1851">
        <v>2024019</v>
      </c>
      <c r="B1851">
        <f>VLOOKUP($A1851,Data!$C$5:$AG$2561,F$4)</f>
        <v>-5.3</v>
      </c>
      <c r="C1851">
        <f>VLOOKUP($A1851,Data!$C$5:$AG$2561,G$4)</f>
        <v>-11.1</v>
      </c>
    </row>
    <row r="1852" spans="1:3" x14ac:dyDescent="0.25">
      <c r="A1852">
        <v>2024020</v>
      </c>
      <c r="B1852">
        <f>VLOOKUP($A1852,Data!$C$5:$AG$2561,F$4)</f>
        <v>0.2</v>
      </c>
      <c r="C1852">
        <f>VLOOKUP($A1852,Data!$C$5:$AG$2561,G$4)</f>
        <v>-5.9</v>
      </c>
    </row>
    <row r="1853" spans="1:3" x14ac:dyDescent="0.25">
      <c r="A1853">
        <v>2024021</v>
      </c>
      <c r="B1853">
        <f>VLOOKUP($A1853,Data!$C$5:$AG$2561,F$4)</f>
        <v>0</v>
      </c>
      <c r="C1853">
        <f>VLOOKUP($A1853,Data!$C$5:$AG$2561,G$4)</f>
        <v>-2</v>
      </c>
    </row>
    <row r="1854" spans="1:3" x14ac:dyDescent="0.25">
      <c r="A1854">
        <v>2024022</v>
      </c>
      <c r="B1854">
        <f>VLOOKUP($A1854,Data!$C$5:$AG$2561,F$4)</f>
        <v>1.5</v>
      </c>
      <c r="C1854">
        <f>VLOOKUP($A1854,Data!$C$5:$AG$2561,G$4)</f>
        <v>-1.9</v>
      </c>
    </row>
    <row r="1855" spans="1:3" x14ac:dyDescent="0.25">
      <c r="A1855">
        <v>2024023</v>
      </c>
      <c r="B1855">
        <f>VLOOKUP($A1855,Data!$C$5:$AG$2561,F$4)</f>
        <v>3.3</v>
      </c>
      <c r="C1855">
        <f>VLOOKUP($A1855,Data!$C$5:$AG$2561,G$4)</f>
        <v>-4.3</v>
      </c>
    </row>
    <row r="1856" spans="1:3" x14ac:dyDescent="0.25">
      <c r="A1856">
        <v>2024024</v>
      </c>
      <c r="B1856">
        <f>VLOOKUP($A1856,Data!$C$5:$AG$2561,F$4)</f>
        <v>-0.3</v>
      </c>
      <c r="C1856">
        <f>VLOOKUP($A1856,Data!$C$5:$AG$2561,G$4)</f>
        <v>-5.7</v>
      </c>
    </row>
    <row r="1857" spans="1:3" x14ac:dyDescent="0.25">
      <c r="A1857">
        <v>2024025</v>
      </c>
      <c r="B1857">
        <f>VLOOKUP($A1857,Data!$C$5:$AG$2561,F$4)</f>
        <v>0</v>
      </c>
      <c r="C1857">
        <f>VLOOKUP($A1857,Data!$C$5:$AG$2561,G$4)</f>
        <v>-11.3</v>
      </c>
    </row>
    <row r="1858" spans="1:3" x14ac:dyDescent="0.25">
      <c r="A1858">
        <v>2024026</v>
      </c>
      <c r="B1858">
        <f>VLOOKUP($A1858,Data!$C$5:$AG$2561,F$4)</f>
        <v>1.5</v>
      </c>
      <c r="C1858">
        <f>VLOOKUP($A1858,Data!$C$5:$AG$2561,G$4)</f>
        <v>-8</v>
      </c>
    </row>
    <row r="1859" spans="1:3" x14ac:dyDescent="0.25">
      <c r="A1859">
        <v>2024027</v>
      </c>
      <c r="B1859">
        <f>VLOOKUP($A1859,Data!$C$5:$AG$2561,F$4)</f>
        <v>0.8</v>
      </c>
      <c r="C1859">
        <f>VLOOKUP($A1859,Data!$C$5:$AG$2561,G$4)</f>
        <v>-1.9</v>
      </c>
    </row>
    <row r="1860" spans="1:3" x14ac:dyDescent="0.25">
      <c r="A1860">
        <v>2024028</v>
      </c>
      <c r="B1860">
        <f>VLOOKUP($A1860,Data!$C$5:$AG$2561,F$4)</f>
        <v>5.4</v>
      </c>
      <c r="C1860">
        <f>VLOOKUP($A1860,Data!$C$5:$AG$2561,G$4)</f>
        <v>0.5</v>
      </c>
    </row>
    <row r="1861" spans="1:3" x14ac:dyDescent="0.25">
      <c r="A1861">
        <v>2024029</v>
      </c>
      <c r="B1861">
        <f>VLOOKUP($A1861,Data!$C$5:$AG$2561,F$4)</f>
        <v>8</v>
      </c>
      <c r="C1861">
        <f>VLOOKUP($A1861,Data!$C$5:$AG$2561,G$4)</f>
        <v>2</v>
      </c>
    </row>
    <row r="1862" spans="1:3" x14ac:dyDescent="0.25">
      <c r="A1862">
        <v>2024030</v>
      </c>
      <c r="B1862">
        <f>VLOOKUP($A1862,Data!$C$5:$AG$2561,F$4)</f>
        <v>5.4</v>
      </c>
      <c r="C1862">
        <f>VLOOKUP($A1862,Data!$C$5:$AG$2561,G$4)</f>
        <v>-0.6</v>
      </c>
    </row>
    <row r="1863" spans="1:3" x14ac:dyDescent="0.25">
      <c r="A1863">
        <v>2024031</v>
      </c>
      <c r="B1863">
        <f>VLOOKUP($A1863,Data!$C$5:$AG$2561,F$4)</f>
        <v>5.0999999999999996</v>
      </c>
      <c r="C1863">
        <f>VLOOKUP($A1863,Data!$C$5:$AG$2561,G$4)</f>
        <v>2.2000000000000002</v>
      </c>
    </row>
    <row r="1864" spans="1:3" x14ac:dyDescent="0.25">
      <c r="A1864">
        <v>2024032</v>
      </c>
      <c r="B1864">
        <f>VLOOKUP($A1864,Data!$C$5:$AG$2561,F$4)</f>
        <v>4.5</v>
      </c>
      <c r="C1864">
        <f>VLOOKUP($A1864,Data!$C$5:$AG$2561,G$4)</f>
        <v>1.5</v>
      </c>
    </row>
    <row r="1865" spans="1:3" x14ac:dyDescent="0.25">
      <c r="A1865">
        <v>2024033</v>
      </c>
      <c r="B1865">
        <f>VLOOKUP($A1865,Data!$C$5:$AG$2561,F$4)</f>
        <v>5.7</v>
      </c>
      <c r="C1865">
        <f>VLOOKUP($A1865,Data!$C$5:$AG$2561,G$4)</f>
        <v>-2.6</v>
      </c>
    </row>
    <row r="1866" spans="1:3" x14ac:dyDescent="0.25">
      <c r="A1866">
        <v>2024034</v>
      </c>
      <c r="B1866">
        <f>VLOOKUP($A1866,Data!$C$5:$AG$2561,F$4)</f>
        <v>0</v>
      </c>
      <c r="C1866">
        <f>VLOOKUP($A1866,Data!$C$5:$AG$2561,G$4)</f>
        <v>-5.5</v>
      </c>
    </row>
    <row r="1867" spans="1:3" x14ac:dyDescent="0.25">
      <c r="A1867">
        <v>2024035</v>
      </c>
      <c r="B1867">
        <f>VLOOKUP($A1867,Data!$C$5:$AG$2561,F$4)</f>
        <v>0.4</v>
      </c>
      <c r="C1867">
        <f>VLOOKUP($A1867,Data!$C$5:$AG$2561,G$4)</f>
        <v>-4.9000000000000004</v>
      </c>
    </row>
    <row r="1868" spans="1:3" x14ac:dyDescent="0.25">
      <c r="A1868">
        <v>2024036</v>
      </c>
      <c r="B1868">
        <f>VLOOKUP($A1868,Data!$C$5:$AG$2561,F$4)</f>
        <v>-0.5</v>
      </c>
      <c r="C1868">
        <f>VLOOKUP($A1868,Data!$C$5:$AG$2561,G$4)</f>
        <v>-3.6</v>
      </c>
    </row>
    <row r="1869" spans="1:3" x14ac:dyDescent="0.25">
      <c r="A1869">
        <v>2024037</v>
      </c>
      <c r="B1869">
        <f>VLOOKUP($A1869,Data!$C$5:$AG$2561,F$4)</f>
        <v>1.1000000000000001</v>
      </c>
      <c r="C1869">
        <f>VLOOKUP($A1869,Data!$C$5:$AG$2561,G$4)</f>
        <v>-1.9</v>
      </c>
    </row>
    <row r="1870" spans="1:3" x14ac:dyDescent="0.25">
      <c r="A1870">
        <v>2024038</v>
      </c>
      <c r="B1870">
        <f>VLOOKUP($A1870,Data!$C$5:$AG$2561,F$4)</f>
        <v>0</v>
      </c>
      <c r="C1870">
        <f>VLOOKUP($A1870,Data!$C$5:$AG$2561,G$4)</f>
        <v>-4</v>
      </c>
    </row>
    <row r="1871" spans="1:3" x14ac:dyDescent="0.25">
      <c r="A1871">
        <v>2024039</v>
      </c>
      <c r="B1871">
        <f>VLOOKUP($A1871,Data!$C$5:$AG$2561,F$4)</f>
        <v>-2.4</v>
      </c>
      <c r="C1871">
        <f>VLOOKUP($A1871,Data!$C$5:$AG$2561,G$4)</f>
        <v>-7</v>
      </c>
    </row>
    <row r="1872" spans="1:3" x14ac:dyDescent="0.25">
      <c r="A1872">
        <v>2024040</v>
      </c>
      <c r="B1872">
        <f>VLOOKUP($A1872,Data!$C$5:$AG$2561,F$4)</f>
        <v>-4.5</v>
      </c>
      <c r="C1872">
        <f>VLOOKUP($A1872,Data!$C$5:$AG$2561,G$4)</f>
        <v>-16.399999999999999</v>
      </c>
    </row>
    <row r="1873" spans="1:3" x14ac:dyDescent="0.25">
      <c r="A1873">
        <v>2024041</v>
      </c>
      <c r="B1873">
        <f>VLOOKUP($A1873,Data!$C$5:$AG$2561,F$4)</f>
        <v>-1.1000000000000001</v>
      </c>
      <c r="C1873">
        <f>VLOOKUP($A1873,Data!$C$5:$AG$2561,G$4)</f>
        <v>-16.3</v>
      </c>
    </row>
    <row r="1874" spans="1:3" x14ac:dyDescent="0.25">
      <c r="A1874">
        <v>2024042</v>
      </c>
      <c r="B1874">
        <f>VLOOKUP($A1874,Data!$C$5:$AG$2561,F$4)</f>
        <v>-2.2000000000000002</v>
      </c>
      <c r="C1874">
        <f>VLOOKUP($A1874,Data!$C$5:$AG$2561,G$4)</f>
        <v>-5.9</v>
      </c>
    </row>
    <row r="1875" spans="1:3" x14ac:dyDescent="0.25">
      <c r="A1875">
        <v>2024043</v>
      </c>
      <c r="B1875">
        <f>VLOOKUP($A1875,Data!$C$5:$AG$2561,F$4)</f>
        <v>-0.8</v>
      </c>
      <c r="C1875">
        <f>VLOOKUP($A1875,Data!$C$5:$AG$2561,G$4)</f>
        <v>-13.4</v>
      </c>
    </row>
    <row r="1876" spans="1:3" x14ac:dyDescent="0.25">
      <c r="A1876">
        <v>2024044</v>
      </c>
      <c r="B1876">
        <f>VLOOKUP($A1876,Data!$C$5:$AG$2561,F$4)</f>
        <v>-3.9</v>
      </c>
      <c r="C1876">
        <f>VLOOKUP($A1876,Data!$C$5:$AG$2561,G$4)</f>
        <v>-14.7</v>
      </c>
    </row>
    <row r="1877" spans="1:3" x14ac:dyDescent="0.25">
      <c r="A1877">
        <v>2024045</v>
      </c>
      <c r="B1877">
        <f>VLOOKUP($A1877,Data!$C$5:$AG$2561,F$4)</f>
        <v>-3.1</v>
      </c>
      <c r="C1877">
        <f>VLOOKUP($A1877,Data!$C$5:$AG$2561,G$4)</f>
        <v>-18</v>
      </c>
    </row>
    <row r="1878" spans="1:3" x14ac:dyDescent="0.25">
      <c r="A1878">
        <v>2024046</v>
      </c>
      <c r="B1878">
        <f>VLOOKUP($A1878,Data!$C$5:$AG$2561,F$4)</f>
        <v>-4.5999999999999996</v>
      </c>
      <c r="C1878">
        <f>VLOOKUP($A1878,Data!$C$5:$AG$2561,G$4)</f>
        <v>-18.2</v>
      </c>
    </row>
    <row r="1879" spans="1:3" x14ac:dyDescent="0.25">
      <c r="A1879">
        <v>2024047</v>
      </c>
      <c r="B1879">
        <f>VLOOKUP($A1879,Data!$C$5:$AG$2561,F$4)</f>
        <v>-1.6</v>
      </c>
      <c r="C1879">
        <f>VLOOKUP($A1879,Data!$C$5:$AG$2561,G$4)</f>
        <v>-21.7</v>
      </c>
    </row>
    <row r="1880" spans="1:3" x14ac:dyDescent="0.25">
      <c r="A1880">
        <v>2024048</v>
      </c>
      <c r="B1880">
        <f>VLOOKUP($A1880,Data!$C$5:$AG$2561,F$4)</f>
        <v>1.8</v>
      </c>
      <c r="C1880">
        <f>VLOOKUP($A1880,Data!$C$5:$AG$2561,G$4)</f>
        <v>-17.600000000000001</v>
      </c>
    </row>
    <row r="1881" spans="1:3" x14ac:dyDescent="0.25">
      <c r="A1881">
        <v>2024049</v>
      </c>
      <c r="B1881">
        <f>VLOOKUP($A1881,Data!$C$5:$AG$2561,F$4)</f>
        <v>0.4</v>
      </c>
      <c r="C1881">
        <f>VLOOKUP($A1881,Data!$C$5:$AG$2561,G$4)</f>
        <v>-6.1</v>
      </c>
    </row>
    <row r="1882" spans="1:3" x14ac:dyDescent="0.25">
      <c r="A1882">
        <v>2024050</v>
      </c>
      <c r="B1882">
        <f>VLOOKUP($A1882,Data!$C$5:$AG$2561,F$4)</f>
        <v>1.7</v>
      </c>
      <c r="C1882">
        <f>VLOOKUP($A1882,Data!$C$5:$AG$2561,G$4)</f>
        <v>-6.9</v>
      </c>
    </row>
    <row r="1883" spans="1:3" x14ac:dyDescent="0.25">
      <c r="A1883">
        <v>2024051</v>
      </c>
      <c r="B1883">
        <f>VLOOKUP($A1883,Data!$C$5:$AG$2561,F$4)</f>
        <v>4</v>
      </c>
      <c r="C1883">
        <f>VLOOKUP($A1883,Data!$C$5:$AG$2561,G$4)</f>
        <v>-3.8</v>
      </c>
    </row>
    <row r="1884" spans="1:3" x14ac:dyDescent="0.25">
      <c r="A1884">
        <v>2024052</v>
      </c>
      <c r="B1884">
        <f>VLOOKUP($A1884,Data!$C$5:$AG$2561,F$4)</f>
        <v>1.6</v>
      </c>
      <c r="C1884">
        <f>VLOOKUP($A1884,Data!$C$5:$AG$2561,G$4)</f>
        <v>-2.8</v>
      </c>
    </row>
    <row r="1885" spans="1:3" x14ac:dyDescent="0.25">
      <c r="A1885">
        <v>2024053</v>
      </c>
      <c r="B1885">
        <f>VLOOKUP($A1885,Data!$C$5:$AG$2561,F$4)</f>
        <v>3.1</v>
      </c>
      <c r="C1885">
        <f>VLOOKUP($A1885,Data!$C$5:$AG$2561,G$4)</f>
        <v>-4.5</v>
      </c>
    </row>
    <row r="1886" spans="1:3" x14ac:dyDescent="0.25">
      <c r="A1886">
        <v>2024054</v>
      </c>
      <c r="B1886">
        <f>VLOOKUP($A1886,Data!$C$5:$AG$2561,F$4)</f>
        <v>4.9000000000000004</v>
      </c>
      <c r="C1886">
        <f>VLOOKUP($A1886,Data!$C$5:$AG$2561,G$4)</f>
        <v>-10.9</v>
      </c>
    </row>
    <row r="1887" spans="1:3" x14ac:dyDescent="0.25">
      <c r="A1887">
        <v>2024055</v>
      </c>
      <c r="B1887">
        <f>VLOOKUP($A1887,Data!$C$5:$AG$2561,F$4)</f>
        <v>1.5</v>
      </c>
      <c r="C1887">
        <f>VLOOKUP($A1887,Data!$C$5:$AG$2561,G$4)</f>
        <v>-2.2999999999999998</v>
      </c>
    </row>
    <row r="1888" spans="1:3" x14ac:dyDescent="0.25">
      <c r="A1888">
        <v>2024056</v>
      </c>
      <c r="B1888">
        <f>VLOOKUP($A1888,Data!$C$5:$AG$2561,F$4)</f>
        <v>4.3</v>
      </c>
      <c r="C1888">
        <f>VLOOKUP($A1888,Data!$C$5:$AG$2561,G$4)</f>
        <v>-6.5</v>
      </c>
    </row>
    <row r="1889" spans="1:3" x14ac:dyDescent="0.25">
      <c r="A1889">
        <v>2024057</v>
      </c>
      <c r="B1889">
        <f>VLOOKUP($A1889,Data!$C$5:$AG$2561,F$4)</f>
        <v>-3.8</v>
      </c>
      <c r="C1889">
        <f>VLOOKUP($A1889,Data!$C$5:$AG$2561,G$4)</f>
        <v>-12.5</v>
      </c>
    </row>
    <row r="1890" spans="1:3" x14ac:dyDescent="0.25">
      <c r="A1890">
        <v>2024058</v>
      </c>
      <c r="B1890">
        <f>VLOOKUP($A1890,Data!$C$5:$AG$2561,F$4)</f>
        <v>-7.9</v>
      </c>
      <c r="C1890">
        <f>VLOOKUP($A1890,Data!$C$5:$AG$2561,G$4)</f>
        <v>-20.100000000000001</v>
      </c>
    </row>
    <row r="1891" spans="1:3" x14ac:dyDescent="0.25">
      <c r="A1891">
        <v>2024059</v>
      </c>
      <c r="B1891">
        <f>VLOOKUP($A1891,Data!$C$5:$AG$2561,F$4)</f>
        <v>0.7</v>
      </c>
      <c r="C1891">
        <f>VLOOKUP($A1891,Data!$C$5:$AG$2561,G$4)</f>
        <v>-9</v>
      </c>
    </row>
    <row r="1892" spans="1:3" x14ac:dyDescent="0.25">
      <c r="A1892">
        <v>2024060</v>
      </c>
      <c r="B1892">
        <f>VLOOKUP($A1892,Data!$C$5:$AG$2561,F$4)</f>
        <v>0.7</v>
      </c>
      <c r="C1892">
        <f>VLOOKUP($A1892,Data!$C$5:$AG$2561,G$4)</f>
        <v>-13.4</v>
      </c>
    </row>
    <row r="1893" spans="1:3" x14ac:dyDescent="0.25">
      <c r="A1893">
        <v>2024061</v>
      </c>
      <c r="B1893">
        <f>VLOOKUP($A1893,Data!$C$5:$AG$2561,F$4)</f>
        <v>-1.3</v>
      </c>
      <c r="C1893">
        <f>VLOOKUP($A1893,Data!$C$5:$AG$2561,G$4)</f>
        <v>-13.3</v>
      </c>
    </row>
    <row r="1894" spans="1:3" x14ac:dyDescent="0.25">
      <c r="A1894">
        <v>2024062</v>
      </c>
      <c r="B1894">
        <f>VLOOKUP($A1894,Data!$C$5:$AG$2561,F$4)</f>
        <v>-3.1</v>
      </c>
      <c r="C1894">
        <f>VLOOKUP($A1894,Data!$C$5:$AG$2561,G$4)</f>
        <v>-12.9</v>
      </c>
    </row>
    <row r="1895" spans="1:3" x14ac:dyDescent="0.25">
      <c r="A1895">
        <v>2024063</v>
      </c>
      <c r="B1895">
        <f>VLOOKUP($A1895,Data!$C$5:$AG$2561,F$4)</f>
        <v>-1.2</v>
      </c>
      <c r="C1895">
        <f>VLOOKUP($A1895,Data!$C$5:$AG$2561,G$4)</f>
        <v>-16.899999999999999</v>
      </c>
    </row>
    <row r="1896" spans="1:3" x14ac:dyDescent="0.25">
      <c r="A1896">
        <v>2024064</v>
      </c>
      <c r="B1896">
        <f>VLOOKUP($A1896,Data!$C$5:$AG$2561,F$4)</f>
        <v>-4.8</v>
      </c>
      <c r="C1896">
        <f>VLOOKUP($A1896,Data!$C$5:$AG$2561,G$4)</f>
        <v>-14.5</v>
      </c>
    </row>
    <row r="1897" spans="1:3" x14ac:dyDescent="0.25">
      <c r="A1897">
        <v>2024065</v>
      </c>
      <c r="B1897">
        <f>VLOOKUP($A1897,Data!$C$5:$AG$2561,F$4)</f>
        <v>-5.2</v>
      </c>
      <c r="C1897">
        <f>VLOOKUP($A1897,Data!$C$5:$AG$2561,G$4)</f>
        <v>-20.3</v>
      </c>
    </row>
    <row r="1898" spans="1:3" x14ac:dyDescent="0.25">
      <c r="A1898">
        <v>2024066</v>
      </c>
      <c r="B1898">
        <f>VLOOKUP($A1898,Data!$C$5:$AG$2561,F$4)</f>
        <v>-2.4</v>
      </c>
      <c r="C1898">
        <f>VLOOKUP($A1898,Data!$C$5:$AG$2561,G$4)</f>
        <v>-21.9</v>
      </c>
    </row>
    <row r="1899" spans="1:3" x14ac:dyDescent="0.25">
      <c r="A1899">
        <v>2024067</v>
      </c>
      <c r="B1899">
        <f>VLOOKUP($A1899,Data!$C$5:$AG$2561,F$4)</f>
        <v>1.2</v>
      </c>
      <c r="C1899">
        <f>VLOOKUP($A1899,Data!$C$5:$AG$2561,G$4)</f>
        <v>-20.7</v>
      </c>
    </row>
    <row r="1900" spans="1:3" x14ac:dyDescent="0.25">
      <c r="A1900">
        <v>2024068</v>
      </c>
      <c r="B1900">
        <f>VLOOKUP($A1900,Data!$C$5:$AG$2561,F$4)</f>
        <v>2.5</v>
      </c>
      <c r="C1900">
        <f>VLOOKUP($A1900,Data!$C$5:$AG$2561,G$4)</f>
        <v>-9.6</v>
      </c>
    </row>
    <row r="1901" spans="1:3" x14ac:dyDescent="0.25">
      <c r="A1901">
        <v>2024069</v>
      </c>
      <c r="B1901">
        <f>VLOOKUP($A1901,Data!$C$5:$AG$2561,F$4)</f>
        <v>3.7</v>
      </c>
      <c r="C1901">
        <f>VLOOKUP($A1901,Data!$C$5:$AG$2561,G$4)</f>
        <v>-7.3</v>
      </c>
    </row>
    <row r="1902" spans="1:3" x14ac:dyDescent="0.25">
      <c r="A1902">
        <v>2024070</v>
      </c>
      <c r="B1902">
        <f>VLOOKUP($A1902,Data!$C$5:$AG$2561,F$4)</f>
        <v>3.7</v>
      </c>
      <c r="C1902">
        <f>VLOOKUP($A1902,Data!$C$5:$AG$2561,G$4)</f>
        <v>-6.6</v>
      </c>
    </row>
    <row r="1903" spans="1:3" x14ac:dyDescent="0.25">
      <c r="A1903">
        <v>2024071</v>
      </c>
      <c r="B1903">
        <f>VLOOKUP($A1903,Data!$C$5:$AG$2561,F$4)</f>
        <v>1.8</v>
      </c>
      <c r="C1903">
        <f>VLOOKUP($A1903,Data!$C$5:$AG$2561,G$4)</f>
        <v>-8.6</v>
      </c>
    </row>
    <row r="1904" spans="1:3" x14ac:dyDescent="0.25">
      <c r="A1904">
        <v>2024072</v>
      </c>
      <c r="B1904">
        <f>VLOOKUP($A1904,Data!$C$5:$AG$2561,F$4)</f>
        <v>5.0999999999999996</v>
      </c>
      <c r="C1904">
        <f>VLOOKUP($A1904,Data!$C$5:$AG$2561,G$4)</f>
        <v>-8.6</v>
      </c>
    </row>
    <row r="1905" spans="1:3" x14ac:dyDescent="0.25">
      <c r="A1905">
        <v>2024073</v>
      </c>
      <c r="B1905">
        <f>VLOOKUP($A1905,Data!$C$5:$AG$2561,F$4)</f>
        <v>4.0999999999999996</v>
      </c>
      <c r="C1905">
        <f>VLOOKUP($A1905,Data!$C$5:$AG$2561,G$4)</f>
        <v>-12.2</v>
      </c>
    </row>
    <row r="1906" spans="1:3" x14ac:dyDescent="0.25">
      <c r="A1906">
        <v>2024074</v>
      </c>
      <c r="B1906">
        <f>VLOOKUP($A1906,Data!$C$5:$AG$2561,F$4)</f>
        <v>9.4</v>
      </c>
      <c r="C1906">
        <f>VLOOKUP($A1906,Data!$C$5:$AG$2561,G$4)</f>
        <v>-11.8</v>
      </c>
    </row>
    <row r="1907" spans="1:3" x14ac:dyDescent="0.25">
      <c r="A1907">
        <v>2024075</v>
      </c>
      <c r="B1907">
        <f>VLOOKUP($A1907,Data!$C$5:$AG$2561,F$4)</f>
        <v>12.9</v>
      </c>
      <c r="C1907">
        <f>VLOOKUP($A1907,Data!$C$5:$AG$2561,G$4)</f>
        <v>-5.7</v>
      </c>
    </row>
    <row r="1908" spans="1:3" x14ac:dyDescent="0.25">
      <c r="A1908">
        <v>2024076</v>
      </c>
      <c r="B1908">
        <f>VLOOKUP($A1908,Data!$C$5:$AG$2561,F$4)</f>
        <v>16.600000000000001</v>
      </c>
      <c r="C1908">
        <f>VLOOKUP($A1908,Data!$C$5:$AG$2561,G$4)</f>
        <v>-2.4</v>
      </c>
    </row>
    <row r="1909" spans="1:3" x14ac:dyDescent="0.25">
      <c r="A1909">
        <v>2024077</v>
      </c>
      <c r="B1909">
        <f>VLOOKUP($A1909,Data!$C$5:$AG$2561,F$4)</f>
        <v>17</v>
      </c>
      <c r="C1909">
        <f>VLOOKUP($A1909,Data!$C$5:$AG$2561,G$4)</f>
        <v>-3.4</v>
      </c>
    </row>
    <row r="1910" spans="1:3" x14ac:dyDescent="0.25">
      <c r="A1910">
        <v>2024078</v>
      </c>
      <c r="B1910">
        <f>VLOOKUP($A1910,Data!$C$5:$AG$2561,F$4)</f>
        <v>16.5</v>
      </c>
      <c r="C1910">
        <f>VLOOKUP($A1910,Data!$C$5:$AG$2561,G$4)</f>
        <v>-3.5</v>
      </c>
    </row>
    <row r="1911" spans="1:3" x14ac:dyDescent="0.25">
      <c r="A1911">
        <v>2024079</v>
      </c>
      <c r="B1911">
        <f>VLOOKUP($A1911,Data!$C$5:$AG$2561,F$4)</f>
        <v>14.4</v>
      </c>
      <c r="C1911">
        <f>VLOOKUP($A1911,Data!$C$5:$AG$2561,G$4)</f>
        <v>-4.5999999999999996</v>
      </c>
    </row>
    <row r="1912" spans="1:3" x14ac:dyDescent="0.25">
      <c r="A1912">
        <v>2024080</v>
      </c>
      <c r="B1912">
        <f>VLOOKUP($A1912,Data!$C$5:$AG$2561,F$4)</f>
        <v>10.4</v>
      </c>
      <c r="C1912">
        <f>VLOOKUP($A1912,Data!$C$5:$AG$2561,G$4)</f>
        <v>-1.8</v>
      </c>
    </row>
    <row r="1913" spans="1:3" x14ac:dyDescent="0.25">
      <c r="A1913">
        <v>2024081</v>
      </c>
      <c r="B1913">
        <f>VLOOKUP($A1913,Data!$C$5:$AG$2561,F$4)</f>
        <v>5.0999999999999996</v>
      </c>
      <c r="C1913">
        <f>VLOOKUP($A1913,Data!$C$5:$AG$2561,G$4)</f>
        <v>-0.7</v>
      </c>
    </row>
    <row r="1914" spans="1:3" x14ac:dyDescent="0.25">
      <c r="A1914">
        <v>2024082</v>
      </c>
      <c r="B1914">
        <f>VLOOKUP($A1914,Data!$C$5:$AG$2561,F$4)</f>
        <v>4.0999999999999996</v>
      </c>
      <c r="C1914">
        <f>VLOOKUP($A1914,Data!$C$5:$AG$2561,G$4)</f>
        <v>-3.7</v>
      </c>
    </row>
    <row r="1915" spans="1:3" x14ac:dyDescent="0.25">
      <c r="A1915">
        <v>2024083</v>
      </c>
      <c r="B1915">
        <f>VLOOKUP($A1915,Data!$C$5:$AG$2561,F$4)</f>
        <v>1.5</v>
      </c>
      <c r="C1915">
        <f>VLOOKUP($A1915,Data!$C$5:$AG$2561,G$4)</f>
        <v>-2.6</v>
      </c>
    </row>
    <row r="1916" spans="1:3" x14ac:dyDescent="0.25">
      <c r="A1916">
        <v>2024084</v>
      </c>
      <c r="B1916">
        <f>VLOOKUP($A1916,Data!$C$5:$AG$2561,F$4)</f>
        <v>5.8</v>
      </c>
      <c r="C1916">
        <f>VLOOKUP($A1916,Data!$C$5:$AG$2561,G$4)</f>
        <v>-7.7</v>
      </c>
    </row>
    <row r="1917" spans="1:3" x14ac:dyDescent="0.25">
      <c r="A1917">
        <v>2024085</v>
      </c>
      <c r="B1917">
        <f>VLOOKUP($A1917,Data!$C$5:$AG$2561,F$4)</f>
        <v>5.0999999999999996</v>
      </c>
      <c r="C1917">
        <f>VLOOKUP($A1917,Data!$C$5:$AG$2561,G$4)</f>
        <v>-8.6999999999999993</v>
      </c>
    </row>
    <row r="1918" spans="1:3" x14ac:dyDescent="0.25">
      <c r="A1918">
        <v>2024086</v>
      </c>
      <c r="B1918">
        <f>VLOOKUP($A1918,Data!$C$5:$AG$2561,F$4)</f>
        <v>5.0999999999999996</v>
      </c>
      <c r="C1918">
        <f>VLOOKUP($A1918,Data!$C$5:$AG$2561,G$4)</f>
        <v>-7.1</v>
      </c>
    </row>
    <row r="1919" spans="1:3" x14ac:dyDescent="0.25">
      <c r="A1919">
        <v>2024087</v>
      </c>
      <c r="B1919">
        <f>VLOOKUP($A1919,Data!$C$5:$AG$2561,F$4)</f>
        <v>0.2</v>
      </c>
      <c r="C1919">
        <f>VLOOKUP($A1919,Data!$C$5:$AG$2561,G$4)</f>
        <v>-7.9</v>
      </c>
    </row>
    <row r="1920" spans="1:3" x14ac:dyDescent="0.25">
      <c r="A1920">
        <v>2024088</v>
      </c>
      <c r="B1920">
        <f>VLOOKUP($A1920,Data!$C$5:$AG$2561,F$4)</f>
        <v>3.2</v>
      </c>
      <c r="C1920">
        <f>VLOOKUP($A1920,Data!$C$5:$AG$2561,G$4)</f>
        <v>-9.3000000000000007</v>
      </c>
    </row>
    <row r="1921" spans="1:3" x14ac:dyDescent="0.25">
      <c r="A1921">
        <v>2024089</v>
      </c>
      <c r="B1921">
        <f>VLOOKUP($A1921,Data!$C$5:$AG$2561,F$4)</f>
        <v>4.4000000000000004</v>
      </c>
      <c r="C1921">
        <f>VLOOKUP($A1921,Data!$C$5:$AG$2561,G$4)</f>
        <v>-6.9</v>
      </c>
    </row>
    <row r="1922" spans="1:3" x14ac:dyDescent="0.25">
      <c r="A1922">
        <v>2024090</v>
      </c>
      <c r="B1922">
        <f>VLOOKUP($A1922,Data!$C$5:$AG$2561,F$4)</f>
        <v>3.9</v>
      </c>
      <c r="C1922">
        <f>VLOOKUP($A1922,Data!$C$5:$AG$2561,G$4)</f>
        <v>-12.6</v>
      </c>
    </row>
    <row r="1923" spans="1:3" x14ac:dyDescent="0.25">
      <c r="A1923">
        <v>2024091</v>
      </c>
      <c r="B1923">
        <f>VLOOKUP($A1923,Data!$C$5:$AG$2561,F$4)</f>
        <v>6.6</v>
      </c>
      <c r="C1923">
        <f>VLOOKUP($A1923,Data!$C$5:$AG$2561,G$4)</f>
        <v>-6</v>
      </c>
    </row>
    <row r="1924" spans="1:3" x14ac:dyDescent="0.25">
      <c r="A1924">
        <v>2024092</v>
      </c>
      <c r="B1924">
        <f>VLOOKUP($A1924,Data!$C$5:$AG$2561,F$4)</f>
        <v>12.2</v>
      </c>
      <c r="C1924">
        <f>VLOOKUP($A1924,Data!$C$5:$AG$2561,G$4)</f>
        <v>-5.6</v>
      </c>
    </row>
    <row r="1925" spans="1:3" x14ac:dyDescent="0.25">
      <c r="A1925">
        <v>2024093</v>
      </c>
      <c r="B1925">
        <f>VLOOKUP($A1925,Data!$C$5:$AG$2561,F$4)</f>
        <v>14.7</v>
      </c>
      <c r="C1925">
        <f>VLOOKUP($A1925,Data!$C$5:$AG$2561,G$4)</f>
        <v>0.7</v>
      </c>
    </row>
    <row r="1926" spans="1:3" x14ac:dyDescent="0.25">
      <c r="A1926">
        <v>2024094</v>
      </c>
      <c r="B1926">
        <f>VLOOKUP($A1926,Data!$C$5:$AG$2561,F$4)</f>
        <v>4.7</v>
      </c>
      <c r="C1926">
        <f>VLOOKUP($A1926,Data!$C$5:$AG$2561,G$4)</f>
        <v>-2.8</v>
      </c>
    </row>
    <row r="1927" spans="1:3" x14ac:dyDescent="0.25">
      <c r="A1927">
        <v>2024095</v>
      </c>
      <c r="B1927">
        <f>VLOOKUP($A1927,Data!$C$5:$AG$2561,F$4)</f>
        <v>-0.5</v>
      </c>
      <c r="C1927">
        <f>VLOOKUP($A1927,Data!$C$5:$AG$2561,G$4)</f>
        <v>-4.3</v>
      </c>
    </row>
    <row r="1928" spans="1:3" x14ac:dyDescent="0.25">
      <c r="A1928">
        <v>2024096</v>
      </c>
      <c r="B1928">
        <f>VLOOKUP($A1928,Data!$C$5:$AG$2561,F$4)</f>
        <v>0.8</v>
      </c>
      <c r="C1928">
        <f>VLOOKUP($A1928,Data!$C$5:$AG$2561,G$4)</f>
        <v>-2.9</v>
      </c>
    </row>
    <row r="1929" spans="1:3" x14ac:dyDescent="0.25">
      <c r="A1929">
        <v>2024097</v>
      </c>
      <c r="B1929">
        <f>VLOOKUP($A1929,Data!$C$5:$AG$2561,F$4)</f>
        <v>3.4</v>
      </c>
      <c r="C1929">
        <f>VLOOKUP($A1929,Data!$C$5:$AG$2561,G$4)</f>
        <v>-3</v>
      </c>
    </row>
    <row r="1930" spans="1:3" x14ac:dyDescent="0.25">
      <c r="A1930">
        <v>2024098</v>
      </c>
      <c r="B1930">
        <f>VLOOKUP($A1930,Data!$C$5:$AG$2561,F$4)</f>
        <v>6</v>
      </c>
      <c r="C1930">
        <f>VLOOKUP($A1930,Data!$C$5:$AG$2561,G$4)</f>
        <v>-6.3</v>
      </c>
    </row>
    <row r="1931" spans="1:3" x14ac:dyDescent="0.25">
      <c r="A1931">
        <v>2024099</v>
      </c>
      <c r="B1931">
        <f>VLOOKUP($A1931,Data!$C$5:$AG$2561,F$4)</f>
        <v>2.8</v>
      </c>
      <c r="C1931">
        <f>VLOOKUP($A1931,Data!$C$5:$AG$2561,G$4)</f>
        <v>-6.1</v>
      </c>
    </row>
    <row r="1932" spans="1:3" x14ac:dyDescent="0.25">
      <c r="A1932">
        <v>2024100</v>
      </c>
      <c r="B1932">
        <f>VLOOKUP($A1932,Data!$C$5:$AG$2561,F$4)</f>
        <v>4.7</v>
      </c>
      <c r="C1932">
        <f>VLOOKUP($A1932,Data!$C$5:$AG$2561,G$4)</f>
        <v>-6</v>
      </c>
    </row>
    <row r="1933" spans="1:3" x14ac:dyDescent="0.25">
      <c r="A1933">
        <v>2024101</v>
      </c>
      <c r="B1933">
        <f>VLOOKUP($A1933,Data!$C$5:$AG$2561,F$4)</f>
        <v>8.9</v>
      </c>
      <c r="C1933">
        <f>VLOOKUP($A1933,Data!$C$5:$AG$2561,G$4)</f>
        <v>-9.1</v>
      </c>
    </row>
    <row r="1934" spans="1:3" x14ac:dyDescent="0.25">
      <c r="A1934">
        <v>2024102</v>
      </c>
      <c r="B1934">
        <f>VLOOKUP($A1934,Data!$C$5:$AG$2561,F$4)</f>
        <v>7.9</v>
      </c>
      <c r="C1934">
        <f>VLOOKUP($A1934,Data!$C$5:$AG$2561,G$4)</f>
        <v>-2.7</v>
      </c>
    </row>
    <row r="1935" spans="1:3" x14ac:dyDescent="0.25">
      <c r="A1935">
        <v>2024103</v>
      </c>
      <c r="B1935">
        <f>VLOOKUP($A1935,Data!$C$5:$AG$2561,F$4)</f>
        <v>9.8000000000000007</v>
      </c>
      <c r="C1935">
        <f>VLOOKUP($A1935,Data!$C$5:$AG$2561,G$4)</f>
        <v>-3.1</v>
      </c>
    </row>
    <row r="1936" spans="1:3" x14ac:dyDescent="0.25">
      <c r="A1936">
        <v>2024104</v>
      </c>
      <c r="B1936">
        <f>VLOOKUP($A1936,Data!$C$5:$AG$2561,F$4)</f>
        <v>14.3</v>
      </c>
      <c r="C1936">
        <f>VLOOKUP($A1936,Data!$C$5:$AG$2561,G$4)</f>
        <v>-5.7</v>
      </c>
    </row>
    <row r="1937" spans="1:3" x14ac:dyDescent="0.25">
      <c r="A1937">
        <v>2024105</v>
      </c>
      <c r="B1937">
        <f>VLOOKUP($A1937,Data!$C$5:$AG$2561,F$4)</f>
        <v>15.2</v>
      </c>
      <c r="C1937">
        <f>VLOOKUP($A1937,Data!$C$5:$AG$2561,G$4)</f>
        <v>-3.8</v>
      </c>
    </row>
    <row r="1938" spans="1:3" x14ac:dyDescent="0.25">
      <c r="A1938">
        <v>2024106</v>
      </c>
      <c r="B1938">
        <f>VLOOKUP($A1938,Data!$C$5:$AG$2561,F$4)</f>
        <v>8.6999999999999993</v>
      </c>
      <c r="C1938">
        <f>VLOOKUP($A1938,Data!$C$5:$AG$2561,G$4)</f>
        <v>-3.8</v>
      </c>
    </row>
    <row r="1939" spans="1:3" x14ac:dyDescent="0.25">
      <c r="A1939">
        <v>2024107</v>
      </c>
      <c r="B1939">
        <f>VLOOKUP($A1939,Data!$C$5:$AG$2561,F$4)</f>
        <v>2.1</v>
      </c>
      <c r="C1939">
        <f>VLOOKUP($A1939,Data!$C$5:$AG$2561,G$4)</f>
        <v>-6.3</v>
      </c>
    </row>
    <row r="1940" spans="1:3" x14ac:dyDescent="0.25">
      <c r="A1940">
        <v>2024108</v>
      </c>
      <c r="B1940">
        <f>VLOOKUP($A1940,Data!$C$5:$AG$2561,F$4)</f>
        <v>3.5</v>
      </c>
      <c r="C1940">
        <f>VLOOKUP($A1940,Data!$C$5:$AG$2561,G$4)</f>
        <v>-9.3000000000000007</v>
      </c>
    </row>
    <row r="1941" spans="1:3" x14ac:dyDescent="0.25">
      <c r="A1941">
        <v>2024109</v>
      </c>
      <c r="B1941">
        <f>VLOOKUP($A1941,Data!$C$5:$AG$2561,F$4)</f>
        <v>4.9000000000000004</v>
      </c>
      <c r="C1941">
        <f>VLOOKUP($A1941,Data!$C$5:$AG$2561,G$4)</f>
        <v>-11.2</v>
      </c>
    </row>
    <row r="1942" spans="1:3" x14ac:dyDescent="0.25">
      <c r="A1942">
        <v>2024110</v>
      </c>
      <c r="B1942">
        <f>VLOOKUP($A1942,Data!$C$5:$AG$2561,F$4)</f>
        <v>7.4</v>
      </c>
      <c r="C1942">
        <f>VLOOKUP($A1942,Data!$C$5:$AG$2561,G$4)</f>
        <v>-10.4</v>
      </c>
    </row>
    <row r="1943" spans="1:3" x14ac:dyDescent="0.25">
      <c r="A1943">
        <v>2024111</v>
      </c>
      <c r="B1943">
        <f>VLOOKUP($A1943,Data!$C$5:$AG$2561,F$4)</f>
        <v>10.9</v>
      </c>
      <c r="C1943">
        <f>VLOOKUP($A1943,Data!$C$5:$AG$2561,G$4)</f>
        <v>-5.9</v>
      </c>
    </row>
    <row r="1944" spans="1:3" x14ac:dyDescent="0.25">
      <c r="A1944">
        <v>2024112</v>
      </c>
      <c r="B1944">
        <f>VLOOKUP($A1944,Data!$C$5:$AG$2561,F$4)</f>
        <v>4.5999999999999996</v>
      </c>
      <c r="C1944">
        <f>VLOOKUP($A1944,Data!$C$5:$AG$2561,G$4)</f>
        <v>-4.3</v>
      </c>
    </row>
    <row r="1945" spans="1:3" x14ac:dyDescent="0.25">
      <c r="A1945">
        <v>2024113</v>
      </c>
      <c r="B1945">
        <f>VLOOKUP($A1945,Data!$C$5:$AG$2561,F$4)</f>
        <v>7.8</v>
      </c>
      <c r="C1945">
        <f>VLOOKUP($A1945,Data!$C$5:$AG$2561,G$4)</f>
        <v>-6.7</v>
      </c>
    </row>
    <row r="1946" spans="1:3" x14ac:dyDescent="0.25">
      <c r="A1946">
        <v>2024114</v>
      </c>
      <c r="B1946">
        <f>VLOOKUP($A1946,Data!$C$5:$AG$2561,F$4)</f>
        <v>12</v>
      </c>
      <c r="C1946">
        <f>VLOOKUP($A1946,Data!$C$5:$AG$2561,G$4)</f>
        <v>-5.8</v>
      </c>
    </row>
    <row r="1947" spans="1:3" x14ac:dyDescent="0.25">
      <c r="A1947">
        <v>2024115</v>
      </c>
      <c r="B1947">
        <f>VLOOKUP($A1947,Data!$C$5:$AG$2561,F$4)</f>
        <v>8.5</v>
      </c>
      <c r="C1947">
        <f>VLOOKUP($A1947,Data!$C$5:$AG$2561,G$4)</f>
        <v>-2.2000000000000002</v>
      </c>
    </row>
    <row r="1948" spans="1:3" x14ac:dyDescent="0.25">
      <c r="A1948">
        <v>2024116</v>
      </c>
      <c r="B1948">
        <f>VLOOKUP($A1948,Data!$C$5:$AG$2561,F$4)</f>
        <v>4.4000000000000004</v>
      </c>
      <c r="C1948">
        <f>VLOOKUP($A1948,Data!$C$5:$AG$2561,G$4)</f>
        <v>-2.2999999999999998</v>
      </c>
    </row>
    <row r="1949" spans="1:3" x14ac:dyDescent="0.25">
      <c r="A1949">
        <v>2024117</v>
      </c>
      <c r="B1949">
        <f>VLOOKUP($A1949,Data!$C$5:$AG$2561,F$4)</f>
        <v>7.6</v>
      </c>
      <c r="C1949">
        <f>VLOOKUP($A1949,Data!$C$5:$AG$2561,G$4)</f>
        <v>-1.3</v>
      </c>
    </row>
    <row r="1950" spans="1:3" x14ac:dyDescent="0.25">
      <c r="A1950">
        <v>2024118</v>
      </c>
      <c r="B1950">
        <f>VLOOKUP($A1950,Data!$C$5:$AG$2561,F$4)</f>
        <v>7.4</v>
      </c>
      <c r="C1950">
        <f>VLOOKUP($A1950,Data!$C$5:$AG$2561,G$4)</f>
        <v>-0.7</v>
      </c>
    </row>
    <row r="1951" spans="1:3" x14ac:dyDescent="0.25">
      <c r="A1951">
        <v>2024119</v>
      </c>
      <c r="B1951">
        <f>VLOOKUP($A1951,Data!$C$5:$AG$2561,F$4)</f>
        <v>5</v>
      </c>
      <c r="C1951">
        <f>VLOOKUP($A1951,Data!$C$5:$AG$2561,G$4)</f>
        <v>-3.2</v>
      </c>
    </row>
    <row r="1952" spans="1:3" x14ac:dyDescent="0.25">
      <c r="A1952">
        <v>2024120</v>
      </c>
      <c r="B1952">
        <f>VLOOKUP($A1952,Data!$C$5:$AG$2561,F$4)</f>
        <v>3</v>
      </c>
      <c r="C1952">
        <f>VLOOKUP($A1952,Data!$C$5:$AG$2561,G$4)</f>
        <v>-6.5</v>
      </c>
    </row>
    <row r="1953" spans="1:3" x14ac:dyDescent="0.25">
      <c r="A1953">
        <v>2024121</v>
      </c>
      <c r="B1953">
        <f>VLOOKUP($A1953,Data!$C$5:$AG$2561,F$4)</f>
        <v>5.2</v>
      </c>
      <c r="C1953">
        <f>VLOOKUP($A1953,Data!$C$5:$AG$2561,G$4)</f>
        <v>-9.6</v>
      </c>
    </row>
    <row r="1954" spans="1:3" x14ac:dyDescent="0.25">
      <c r="A1954">
        <v>2024122</v>
      </c>
      <c r="B1954">
        <f>VLOOKUP($A1954,Data!$C$5:$AG$2561,F$4)</f>
        <v>7.7</v>
      </c>
      <c r="C1954">
        <f>VLOOKUP($A1954,Data!$C$5:$AG$2561,G$4)</f>
        <v>-7.1</v>
      </c>
    </row>
    <row r="1955" spans="1:3" x14ac:dyDescent="0.25">
      <c r="A1955">
        <v>2024123</v>
      </c>
      <c r="B1955">
        <f>VLOOKUP($A1955,Data!$C$5:$AG$2561,F$4)</f>
        <v>9.9</v>
      </c>
      <c r="C1955">
        <f>VLOOKUP($A1955,Data!$C$5:$AG$2561,G$4)</f>
        <v>-5.2</v>
      </c>
    </row>
    <row r="1956" spans="1:3" x14ac:dyDescent="0.25">
      <c r="A1956">
        <v>2024124</v>
      </c>
      <c r="B1956">
        <f>VLOOKUP($A1956,Data!$C$5:$AG$2561,F$4)</f>
        <v>11.1</v>
      </c>
      <c r="C1956">
        <f>VLOOKUP($A1956,Data!$C$5:$AG$2561,G$4)</f>
        <v>-4.8</v>
      </c>
    </row>
    <row r="1957" spans="1:3" x14ac:dyDescent="0.25">
      <c r="A1957">
        <v>2024125</v>
      </c>
      <c r="B1957">
        <f>VLOOKUP($A1957,Data!$C$5:$AG$2561,F$4)</f>
        <v>10.5</v>
      </c>
      <c r="C1957">
        <f>VLOOKUP($A1957,Data!$C$5:$AG$2561,G$4)</f>
        <v>0.2</v>
      </c>
    </row>
    <row r="1958" spans="1:3" x14ac:dyDescent="0.25">
      <c r="A1958">
        <v>2024126</v>
      </c>
      <c r="B1958">
        <f>VLOOKUP($A1958,Data!$C$5:$AG$2561,F$4)</f>
        <v>12.6</v>
      </c>
      <c r="C1958">
        <f>VLOOKUP($A1958,Data!$C$5:$AG$2561,G$4)</f>
        <v>0</v>
      </c>
    </row>
    <row r="1959" spans="1:3" x14ac:dyDescent="0.25">
      <c r="A1959">
        <v>2024127</v>
      </c>
      <c r="B1959">
        <f>VLOOKUP($A1959,Data!$C$5:$AG$2561,F$4)</f>
        <v>7.8</v>
      </c>
      <c r="C1959">
        <f>VLOOKUP($A1959,Data!$C$5:$AG$2561,G$4)</f>
        <v>-3.2</v>
      </c>
    </row>
    <row r="1960" spans="1:3" x14ac:dyDescent="0.25">
      <c r="A1960">
        <v>2024128</v>
      </c>
      <c r="B1960">
        <f>VLOOKUP($A1960,Data!$C$5:$AG$2561,F$4)</f>
        <v>6.6</v>
      </c>
      <c r="C1960">
        <f>VLOOKUP($A1960,Data!$C$5:$AG$2561,G$4)</f>
        <v>-2.5</v>
      </c>
    </row>
    <row r="1961" spans="1:3" x14ac:dyDescent="0.25">
      <c r="A1961">
        <v>2024129</v>
      </c>
      <c r="B1961">
        <f>VLOOKUP($A1961,Data!$C$5:$AG$2561,F$4)</f>
        <v>13.2</v>
      </c>
      <c r="C1961">
        <f>VLOOKUP($A1961,Data!$C$5:$AG$2561,G$4)</f>
        <v>-2.4</v>
      </c>
    </row>
    <row r="1962" spans="1:3" x14ac:dyDescent="0.25">
      <c r="A1962">
        <v>2024130</v>
      </c>
      <c r="B1962">
        <f>VLOOKUP($A1962,Data!$C$5:$AG$2561,F$4)</f>
        <v>17.5</v>
      </c>
      <c r="C1962">
        <f>VLOOKUP($A1962,Data!$C$5:$AG$2561,G$4)</f>
        <v>-1.4</v>
      </c>
    </row>
    <row r="1963" spans="1:3" x14ac:dyDescent="0.25">
      <c r="A1963">
        <v>2024131</v>
      </c>
      <c r="B1963">
        <f>VLOOKUP($A1963,Data!$C$5:$AG$2561,F$4)</f>
        <v>22.1</v>
      </c>
      <c r="C1963">
        <f>VLOOKUP($A1963,Data!$C$5:$AG$2561,G$4)</f>
        <v>-1.7</v>
      </c>
    </row>
    <row r="1964" spans="1:3" x14ac:dyDescent="0.25">
      <c r="A1964">
        <v>2024132</v>
      </c>
      <c r="B1964">
        <f>VLOOKUP($A1964,Data!$C$5:$AG$2561,F$4)</f>
        <v>21.4</v>
      </c>
      <c r="C1964">
        <f>VLOOKUP($A1964,Data!$C$5:$AG$2561,G$4)</f>
        <v>-0.3</v>
      </c>
    </row>
    <row r="1965" spans="1:3" x14ac:dyDescent="0.25">
      <c r="A1965">
        <v>2024133</v>
      </c>
      <c r="B1965">
        <f>VLOOKUP($A1965,Data!$C$5:$AG$2561,F$4)</f>
        <v>20.399999999999999</v>
      </c>
      <c r="C1965">
        <f>VLOOKUP($A1965,Data!$C$5:$AG$2561,G$4)</f>
        <v>2</v>
      </c>
    </row>
    <row r="1966" spans="1:3" x14ac:dyDescent="0.25">
      <c r="A1966">
        <v>2024134</v>
      </c>
      <c r="B1966">
        <f>VLOOKUP($A1966,Data!$C$5:$AG$2561,F$4)</f>
        <v>11.6</v>
      </c>
      <c r="C1966">
        <f>VLOOKUP($A1966,Data!$C$5:$AG$2561,G$4)</f>
        <v>0.9</v>
      </c>
    </row>
    <row r="1967" spans="1:3" x14ac:dyDescent="0.25">
      <c r="A1967">
        <v>2024135</v>
      </c>
      <c r="B1967">
        <f>VLOOKUP($A1967,Data!$C$5:$AG$2561,F$4)</f>
        <v>15.4</v>
      </c>
      <c r="C1967">
        <f>VLOOKUP($A1967,Data!$C$5:$AG$2561,G$4)</f>
        <v>-0.5</v>
      </c>
    </row>
    <row r="1968" spans="1:3" x14ac:dyDescent="0.25">
      <c r="A1968">
        <v>2024136</v>
      </c>
      <c r="B1968">
        <f>VLOOKUP($A1968,Data!$C$5:$AG$2561,F$4)</f>
        <v>14.9</v>
      </c>
      <c r="C1968">
        <f>VLOOKUP($A1968,Data!$C$5:$AG$2561,G$4)</f>
        <v>-1.2</v>
      </c>
    </row>
    <row r="1969" spans="1:3" x14ac:dyDescent="0.25">
      <c r="A1969">
        <v>2024137</v>
      </c>
      <c r="B1969">
        <f>VLOOKUP($A1969,Data!$C$5:$AG$2561,F$4)</f>
        <v>12.4</v>
      </c>
      <c r="C1969">
        <f>VLOOKUP($A1969,Data!$C$5:$AG$2561,G$4)</f>
        <v>1.3</v>
      </c>
    </row>
    <row r="1970" spans="1:3" x14ac:dyDescent="0.25">
      <c r="A1970">
        <v>2024138</v>
      </c>
      <c r="B1970">
        <f>VLOOKUP($A1970,Data!$C$5:$AG$2561,F$4)</f>
        <v>4.8</v>
      </c>
      <c r="C1970">
        <f>VLOOKUP($A1970,Data!$C$5:$AG$2561,G$4)</f>
        <v>-2</v>
      </c>
    </row>
    <row r="1971" spans="1:3" x14ac:dyDescent="0.25">
      <c r="A1971">
        <v>2024139</v>
      </c>
      <c r="B1971">
        <f>VLOOKUP($A1971,Data!$C$5:$AG$2561,F$4)</f>
        <v>7.2</v>
      </c>
      <c r="C1971">
        <f>VLOOKUP($A1971,Data!$C$5:$AG$2561,G$4)</f>
        <v>-2.8</v>
      </c>
    </row>
    <row r="1972" spans="1:3" x14ac:dyDescent="0.25">
      <c r="A1972">
        <v>2024140</v>
      </c>
      <c r="B1972">
        <f>VLOOKUP($A1972,Data!$C$5:$AG$2561,F$4)</f>
        <v>7</v>
      </c>
      <c r="C1972">
        <f>VLOOKUP($A1972,Data!$C$5:$AG$2561,G$4)</f>
        <v>-1.8</v>
      </c>
    </row>
    <row r="1973" spans="1:3" x14ac:dyDescent="0.25">
      <c r="A1973">
        <v>2024141</v>
      </c>
      <c r="B1973">
        <f>VLOOKUP($A1973,Data!$C$5:$AG$2561,F$4)</f>
        <v>11.7</v>
      </c>
      <c r="C1973">
        <f>VLOOKUP($A1973,Data!$C$5:$AG$2561,G$4)</f>
        <v>-2.8</v>
      </c>
    </row>
    <row r="1974" spans="1:3" x14ac:dyDescent="0.25">
      <c r="A1974">
        <v>2024142</v>
      </c>
      <c r="B1974">
        <f>VLOOKUP($A1974,Data!$C$5:$AG$2561,F$4)</f>
        <v>4.8</v>
      </c>
      <c r="C1974">
        <f>VLOOKUP($A1974,Data!$C$5:$AG$2561,G$4)</f>
        <v>-1.7</v>
      </c>
    </row>
    <row r="1975" spans="1:3" x14ac:dyDescent="0.25">
      <c r="A1975">
        <v>2024143</v>
      </c>
      <c r="B1975">
        <f>VLOOKUP($A1975,Data!$C$5:$AG$2561,F$4)</f>
        <v>6.1</v>
      </c>
      <c r="C1975">
        <f>VLOOKUP($A1975,Data!$C$5:$AG$2561,G$4)</f>
        <v>-0.4</v>
      </c>
    </row>
    <row r="1976" spans="1:3" x14ac:dyDescent="0.25">
      <c r="A1976">
        <v>2024144</v>
      </c>
      <c r="B1976">
        <f>VLOOKUP($A1976,Data!$C$5:$AG$2561,F$4)</f>
        <v>12.2</v>
      </c>
      <c r="C1976">
        <f>VLOOKUP($A1976,Data!$C$5:$AG$2561,G$4)</f>
        <v>-0.5</v>
      </c>
    </row>
    <row r="1977" spans="1:3" x14ac:dyDescent="0.25">
      <c r="A1977">
        <v>2024145</v>
      </c>
      <c r="B1977">
        <f>VLOOKUP($A1977,Data!$C$5:$AG$2561,F$4)</f>
        <v>11.1</v>
      </c>
      <c r="C1977">
        <f>VLOOKUP($A1977,Data!$C$5:$AG$2561,G$4)</f>
        <v>-1.2</v>
      </c>
    </row>
    <row r="1978" spans="1:3" x14ac:dyDescent="0.25">
      <c r="A1978">
        <v>2024146</v>
      </c>
      <c r="B1978">
        <f>VLOOKUP($A1978,Data!$C$5:$AG$2561,F$4)</f>
        <v>8.5</v>
      </c>
      <c r="C1978">
        <f>VLOOKUP($A1978,Data!$C$5:$AG$2561,G$4)</f>
        <v>-1.7</v>
      </c>
    </row>
    <row r="1979" spans="1:3" x14ac:dyDescent="0.25">
      <c r="A1979">
        <v>2024147</v>
      </c>
      <c r="B1979">
        <f>VLOOKUP($A1979,Data!$C$5:$AG$2561,F$4)</f>
        <v>8.4</v>
      </c>
      <c r="C1979">
        <f>VLOOKUP($A1979,Data!$C$5:$AG$2561,G$4)</f>
        <v>-2.6</v>
      </c>
    </row>
    <row r="1980" spans="1:3" x14ac:dyDescent="0.25">
      <c r="A1980">
        <v>2024148</v>
      </c>
      <c r="B1980">
        <f>VLOOKUP($A1980,Data!$C$5:$AG$2561,F$4)</f>
        <v>14.1</v>
      </c>
      <c r="C1980">
        <f>VLOOKUP($A1980,Data!$C$5:$AG$2561,G$4)</f>
        <v>-1.4</v>
      </c>
    </row>
    <row r="1981" spans="1:3" x14ac:dyDescent="0.25">
      <c r="A1981">
        <v>2024149</v>
      </c>
      <c r="B1981">
        <f>VLOOKUP($A1981,Data!$C$5:$AG$2561,F$4)</f>
        <v>13.1</v>
      </c>
      <c r="C1981">
        <f>VLOOKUP($A1981,Data!$C$5:$AG$2561,G$4)</f>
        <v>-0.3</v>
      </c>
    </row>
    <row r="1982" spans="1:3" x14ac:dyDescent="0.25">
      <c r="A1982">
        <v>2024150</v>
      </c>
      <c r="B1982">
        <f>VLOOKUP($A1982,Data!$C$5:$AG$2561,F$4)</f>
        <v>7.9</v>
      </c>
      <c r="C1982">
        <f>VLOOKUP($A1982,Data!$C$5:$AG$2561,G$4)</f>
        <v>-1.2</v>
      </c>
    </row>
    <row r="1983" spans="1:3" x14ac:dyDescent="0.25">
      <c r="A1983">
        <v>2024151</v>
      </c>
      <c r="B1983">
        <f>VLOOKUP($A1983,Data!$C$5:$AG$2561,F$4)</f>
        <v>8.6</v>
      </c>
      <c r="C1983">
        <f>VLOOKUP($A1983,Data!$C$5:$AG$2561,G$4)</f>
        <v>-2.4</v>
      </c>
    </row>
    <row r="1984" spans="1:3" x14ac:dyDescent="0.25">
      <c r="A1984">
        <v>2024152</v>
      </c>
      <c r="B1984">
        <f>VLOOKUP($A1984,Data!$C$5:$AG$2561,F$4)</f>
        <v>15.4</v>
      </c>
      <c r="C1984">
        <f>VLOOKUP($A1984,Data!$C$5:$AG$2561,G$4)</f>
        <v>-3</v>
      </c>
    </row>
    <row r="1985" spans="1:3" x14ac:dyDescent="0.25">
      <c r="A1985">
        <v>2024153</v>
      </c>
      <c r="B1985">
        <f>VLOOKUP($A1985,Data!$C$5:$AG$2561,F$4)</f>
        <v>12.6</v>
      </c>
      <c r="C1985">
        <f>VLOOKUP($A1985,Data!$C$5:$AG$2561,G$4)</f>
        <v>2.4</v>
      </c>
    </row>
    <row r="1986" spans="1:3" x14ac:dyDescent="0.25">
      <c r="A1986">
        <v>2024154</v>
      </c>
      <c r="B1986">
        <f>VLOOKUP($A1986,Data!$C$5:$AG$2561,F$4)</f>
        <v>11</v>
      </c>
      <c r="C1986">
        <f>VLOOKUP($A1986,Data!$C$5:$AG$2561,G$4)</f>
        <v>0.8</v>
      </c>
    </row>
    <row r="1987" spans="1:3" x14ac:dyDescent="0.25">
      <c r="A1987">
        <v>2024155</v>
      </c>
      <c r="B1987">
        <f>VLOOKUP($A1987,Data!$C$5:$AG$2561,F$4)</f>
        <v>8.6999999999999993</v>
      </c>
      <c r="C1987">
        <f>VLOOKUP($A1987,Data!$C$5:$AG$2561,G$4)</f>
        <v>-1.2</v>
      </c>
    </row>
    <row r="1988" spans="1:3" x14ac:dyDescent="0.25">
      <c r="A1988">
        <v>2024156</v>
      </c>
      <c r="B1988">
        <f>VLOOKUP($A1988,Data!$C$5:$AG$2561,F$4)</f>
        <v>11.9</v>
      </c>
      <c r="C1988">
        <f>VLOOKUP($A1988,Data!$C$5:$AG$2561,G$4)</f>
        <v>-1.3</v>
      </c>
    </row>
    <row r="1989" spans="1:3" x14ac:dyDescent="0.25">
      <c r="A1989">
        <v>2024157</v>
      </c>
      <c r="B1989">
        <f>VLOOKUP($A1989,Data!$C$5:$AG$2561,F$4)</f>
        <v>13.5</v>
      </c>
      <c r="C1989">
        <f>VLOOKUP($A1989,Data!$C$5:$AG$2561,G$4)</f>
        <v>-2.1</v>
      </c>
    </row>
    <row r="1990" spans="1:3" x14ac:dyDescent="0.25">
      <c r="A1990">
        <v>2024158</v>
      </c>
      <c r="B1990">
        <f>VLOOKUP($A1990,Data!$C$5:$AG$2561,F$4)</f>
        <v>16.2</v>
      </c>
      <c r="C1990">
        <f>VLOOKUP($A1990,Data!$C$5:$AG$2561,G$4)</f>
        <v>-1.8</v>
      </c>
    </row>
    <row r="1991" spans="1:3" x14ac:dyDescent="0.25">
      <c r="A1991">
        <v>2024159</v>
      </c>
      <c r="B1991">
        <f>VLOOKUP($A1991,Data!$C$5:$AG$2561,F$4)</f>
        <v>17.5</v>
      </c>
      <c r="C1991">
        <f>VLOOKUP($A1991,Data!$C$5:$AG$2561,G$4)</f>
        <v>-1.4</v>
      </c>
    </row>
    <row r="1992" spans="1:3" x14ac:dyDescent="0.25">
      <c r="A1992">
        <v>2024160</v>
      </c>
      <c r="B1992">
        <f>VLOOKUP($A1992,Data!$C$5:$AG$2561,F$4)</f>
        <v>20.399999999999999</v>
      </c>
      <c r="C1992">
        <f>VLOOKUP($A1992,Data!$C$5:$AG$2561,G$4)</f>
        <v>-1.6</v>
      </c>
    </row>
    <row r="1993" spans="1:3" x14ac:dyDescent="0.25">
      <c r="A1993">
        <v>2024161</v>
      </c>
      <c r="B1993">
        <f>VLOOKUP($A1993,Data!$C$5:$AG$2561,F$4)</f>
        <v>21</v>
      </c>
      <c r="C1993">
        <f>VLOOKUP($A1993,Data!$C$5:$AG$2561,G$4)</f>
        <v>3.1</v>
      </c>
    </row>
    <row r="1994" spans="1:3" x14ac:dyDescent="0.25">
      <c r="A1994">
        <v>2024162</v>
      </c>
      <c r="B1994">
        <f>VLOOKUP($A1994,Data!$C$5:$AG$2561,F$4)</f>
        <v>19.8</v>
      </c>
      <c r="C1994">
        <f>VLOOKUP($A1994,Data!$C$5:$AG$2561,G$4)</f>
        <v>2.9</v>
      </c>
    </row>
    <row r="1995" spans="1:3" x14ac:dyDescent="0.25">
      <c r="A1995">
        <v>2024163</v>
      </c>
      <c r="B1995">
        <f>VLOOKUP($A1995,Data!$C$5:$AG$2561,F$4)</f>
        <v>16.899999999999999</v>
      </c>
      <c r="C1995">
        <f>VLOOKUP($A1995,Data!$C$5:$AG$2561,G$4)</f>
        <v>0.9</v>
      </c>
    </row>
    <row r="1996" spans="1:3" x14ac:dyDescent="0.25">
      <c r="A1996">
        <v>2024164</v>
      </c>
      <c r="B1996">
        <f>VLOOKUP($A1996,Data!$C$5:$AG$2561,F$4)</f>
        <v>15.5</v>
      </c>
      <c r="C1996">
        <f>VLOOKUP($A1996,Data!$C$5:$AG$2561,G$4)</f>
        <v>-2.2999999999999998</v>
      </c>
    </row>
    <row r="1997" spans="1:3" x14ac:dyDescent="0.25">
      <c r="A1997">
        <v>2024165</v>
      </c>
      <c r="B1997">
        <f>VLOOKUP($A1997,Data!$C$5:$AG$2561,F$4)</f>
        <v>19.399999999999999</v>
      </c>
      <c r="C1997">
        <f>VLOOKUP($A1997,Data!$C$5:$AG$2561,G$4)</f>
        <v>-1.8</v>
      </c>
    </row>
    <row r="1998" spans="1:3" x14ac:dyDescent="0.25">
      <c r="A1998">
        <v>2024166</v>
      </c>
      <c r="B1998">
        <f>VLOOKUP($A1998,Data!$C$5:$AG$2561,F$4)</f>
        <v>13.9</v>
      </c>
      <c r="C1998">
        <f>VLOOKUP($A1998,Data!$C$5:$AG$2561,G$4)</f>
        <v>0.9</v>
      </c>
    </row>
    <row r="1999" spans="1:3" x14ac:dyDescent="0.25">
      <c r="A1999">
        <v>2024167</v>
      </c>
      <c r="B1999">
        <f>VLOOKUP($A1999,Data!$C$5:$AG$2561,F$4)</f>
        <v>6.9</v>
      </c>
      <c r="C1999">
        <f>VLOOKUP($A1999,Data!$C$5:$AG$2561,G$4)</f>
        <v>0.3</v>
      </c>
    </row>
    <row r="2000" spans="1:3" x14ac:dyDescent="0.25">
      <c r="A2000">
        <v>2024168</v>
      </c>
      <c r="B2000">
        <f>VLOOKUP($A2000,Data!$C$5:$AG$2561,F$4)</f>
        <v>4.0999999999999996</v>
      </c>
      <c r="C2000">
        <f>VLOOKUP($A2000,Data!$C$5:$AG$2561,G$4)</f>
        <v>-0.2</v>
      </c>
    </row>
    <row r="2001" spans="1:3" x14ac:dyDescent="0.25">
      <c r="A2001">
        <v>2024169</v>
      </c>
      <c r="B2001">
        <f>VLOOKUP($A2001,Data!$C$5:$AG$2561,F$4)</f>
        <v>9.6</v>
      </c>
      <c r="C2001">
        <f>VLOOKUP($A2001,Data!$C$5:$AG$2561,G$4)</f>
        <v>0.3</v>
      </c>
    </row>
    <row r="2002" spans="1:3" x14ac:dyDescent="0.25">
      <c r="A2002">
        <v>2024170</v>
      </c>
      <c r="B2002">
        <f>VLOOKUP($A2002,Data!$C$5:$AG$2561,F$4)</f>
        <v>11.9</v>
      </c>
      <c r="C2002">
        <f>VLOOKUP($A2002,Data!$C$5:$AG$2561,G$4)</f>
        <v>-0.9</v>
      </c>
    </row>
    <row r="2003" spans="1:3" x14ac:dyDescent="0.25">
      <c r="A2003">
        <v>2024171</v>
      </c>
      <c r="B2003">
        <f>VLOOKUP($A2003,Data!$C$5:$AG$2561,F$4)</f>
        <v>15.4</v>
      </c>
      <c r="C2003">
        <f>VLOOKUP($A2003,Data!$C$5:$AG$2561,G$4)</f>
        <v>-1.8</v>
      </c>
    </row>
    <row r="2004" spans="1:3" x14ac:dyDescent="0.25">
      <c r="A2004">
        <v>2024172</v>
      </c>
      <c r="B2004">
        <f>VLOOKUP($A2004,Data!$C$5:$AG$2561,F$4)</f>
        <v>18.2</v>
      </c>
      <c r="C2004">
        <f>VLOOKUP($A2004,Data!$C$5:$AG$2561,G$4)</f>
        <v>-0.4</v>
      </c>
    </row>
    <row r="2005" spans="1:3" x14ac:dyDescent="0.25">
      <c r="A2005">
        <v>2024173</v>
      </c>
      <c r="B2005">
        <f>VLOOKUP($A2005,Data!$C$5:$AG$2561,F$4)</f>
        <v>21.8</v>
      </c>
      <c r="C2005">
        <f>VLOOKUP($A2005,Data!$C$5:$AG$2561,G$4)</f>
        <v>0.3</v>
      </c>
    </row>
    <row r="2006" spans="1:3" x14ac:dyDescent="0.25">
      <c r="A2006">
        <v>2024174</v>
      </c>
      <c r="B2006">
        <f>VLOOKUP($A2006,Data!$C$5:$AG$2561,F$4)</f>
        <v>21.9</v>
      </c>
      <c r="C2006">
        <f>VLOOKUP($A2006,Data!$C$5:$AG$2561,G$4)</f>
        <v>4.7</v>
      </c>
    </row>
    <row r="2007" spans="1:3" x14ac:dyDescent="0.25">
      <c r="A2007">
        <v>2024175</v>
      </c>
      <c r="B2007">
        <f>VLOOKUP($A2007,Data!$C$5:$AG$2561,F$4)</f>
        <v>15.1</v>
      </c>
      <c r="C2007">
        <f>VLOOKUP($A2007,Data!$C$5:$AG$2561,G$4)</f>
        <v>2.8</v>
      </c>
    </row>
    <row r="2008" spans="1:3" x14ac:dyDescent="0.25">
      <c r="A2008">
        <v>2024176</v>
      </c>
      <c r="B2008">
        <f>VLOOKUP($A2008,Data!$C$5:$AG$2561,F$4)</f>
        <v>16.5</v>
      </c>
      <c r="C2008">
        <f>VLOOKUP($A2008,Data!$C$5:$AG$2561,G$4)</f>
        <v>-1.6</v>
      </c>
    </row>
    <row r="2009" spans="1:3" x14ac:dyDescent="0.25">
      <c r="A2009">
        <v>2024177</v>
      </c>
      <c r="B2009">
        <f>VLOOKUP($A2009,Data!$C$5:$AG$2561,F$4)</f>
        <v>21.7</v>
      </c>
      <c r="C2009">
        <f>VLOOKUP($A2009,Data!$C$5:$AG$2561,G$4)</f>
        <v>1</v>
      </c>
    </row>
    <row r="2010" spans="1:3" x14ac:dyDescent="0.25">
      <c r="A2010">
        <v>2024178</v>
      </c>
      <c r="B2010">
        <f>VLOOKUP($A2010,Data!$C$5:$AG$2561,F$4)</f>
        <v>21.7</v>
      </c>
      <c r="C2010">
        <f>VLOOKUP($A2010,Data!$C$5:$AG$2561,G$4)</f>
        <v>3.9</v>
      </c>
    </row>
    <row r="2011" spans="1:3" x14ac:dyDescent="0.25">
      <c r="A2011">
        <v>2024179</v>
      </c>
      <c r="B2011">
        <f>VLOOKUP($A2011,Data!$C$5:$AG$2561,F$4)</f>
        <v>11.9</v>
      </c>
      <c r="C2011">
        <f>VLOOKUP($A2011,Data!$C$5:$AG$2561,G$4)</f>
        <v>2.8</v>
      </c>
    </row>
    <row r="2012" spans="1:3" x14ac:dyDescent="0.25">
      <c r="A2012">
        <v>2024180</v>
      </c>
      <c r="B2012">
        <f>VLOOKUP($A2012,Data!$C$5:$AG$2561,F$4)</f>
        <v>18.100000000000001</v>
      </c>
      <c r="C2012">
        <f>VLOOKUP($A2012,Data!$C$5:$AG$2561,G$4)</f>
        <v>-0.7</v>
      </c>
    </row>
    <row r="2013" spans="1:3" x14ac:dyDescent="0.25">
      <c r="A2013">
        <v>2024181</v>
      </c>
      <c r="B2013">
        <f>VLOOKUP($A2013,Data!$C$5:$AG$2561,F$4)</f>
        <v>17.8</v>
      </c>
      <c r="C2013">
        <f>VLOOKUP($A2013,Data!$C$5:$AG$2561,G$4)</f>
        <v>4</v>
      </c>
    </row>
    <row r="2014" spans="1:3" x14ac:dyDescent="0.25">
      <c r="A2014">
        <v>2024182</v>
      </c>
      <c r="B2014">
        <f>VLOOKUP($A2014,Data!$C$5:$AG$2561,F$4)</f>
        <v>14.3</v>
      </c>
      <c r="C2014">
        <f>VLOOKUP($A2014,Data!$C$5:$AG$2561,G$4)</f>
        <v>5.6</v>
      </c>
    </row>
    <row r="2015" spans="1:3" x14ac:dyDescent="0.25">
      <c r="A2015">
        <v>2024183</v>
      </c>
      <c r="B2015">
        <f>VLOOKUP($A2015,Data!$C$5:$AG$2561,F$4)</f>
        <v>16.399999999999999</v>
      </c>
      <c r="C2015">
        <f>VLOOKUP($A2015,Data!$C$5:$AG$2561,G$4)</f>
        <v>4.7</v>
      </c>
    </row>
    <row r="2016" spans="1:3" x14ac:dyDescent="0.25">
      <c r="A2016">
        <v>2024184</v>
      </c>
      <c r="B2016">
        <f>VLOOKUP($A2016,Data!$C$5:$AG$2561,F$4)</f>
        <v>16.3</v>
      </c>
      <c r="C2016">
        <f>VLOOKUP($A2016,Data!$C$5:$AG$2561,G$4)</f>
        <v>6</v>
      </c>
    </row>
    <row r="2017" spans="1:3" x14ac:dyDescent="0.25">
      <c r="A2017">
        <v>2024185</v>
      </c>
      <c r="B2017">
        <f>VLOOKUP($A2017,Data!$C$5:$AG$2561,F$4)</f>
        <v>17.600000000000001</v>
      </c>
      <c r="C2017">
        <f>VLOOKUP($A2017,Data!$C$5:$AG$2561,G$4)</f>
        <v>3.9</v>
      </c>
    </row>
    <row r="2018" spans="1:3" x14ac:dyDescent="0.25">
      <c r="A2018">
        <v>2024186</v>
      </c>
      <c r="B2018">
        <f>VLOOKUP($A2018,Data!$C$5:$AG$2561,F$4)</f>
        <v>22.8</v>
      </c>
      <c r="C2018">
        <f>VLOOKUP($A2018,Data!$C$5:$AG$2561,G$4)</f>
        <v>2.2999999999999998</v>
      </c>
    </row>
    <row r="2019" spans="1:3" x14ac:dyDescent="0.25">
      <c r="A2019">
        <v>2024187</v>
      </c>
      <c r="B2019">
        <f>VLOOKUP($A2019,Data!$C$5:$AG$2561,F$4)</f>
        <v>24.7</v>
      </c>
      <c r="C2019">
        <f>VLOOKUP($A2019,Data!$C$5:$AG$2561,G$4)</f>
        <v>4</v>
      </c>
    </row>
    <row r="2020" spans="1:3" x14ac:dyDescent="0.25">
      <c r="A2020">
        <v>2024188</v>
      </c>
      <c r="B2020">
        <f>VLOOKUP($A2020,Data!$C$5:$AG$2561,F$4)</f>
        <v>23.9</v>
      </c>
      <c r="C2020">
        <f>VLOOKUP($A2020,Data!$C$5:$AG$2561,G$4)</f>
        <v>5.2</v>
      </c>
    </row>
    <row r="2021" spans="1:3" x14ac:dyDescent="0.25">
      <c r="A2021">
        <v>2024189</v>
      </c>
      <c r="B2021">
        <f>VLOOKUP($A2021,Data!$C$5:$AG$2561,F$4)</f>
        <v>28.8</v>
      </c>
      <c r="C2021">
        <f>VLOOKUP($A2021,Data!$C$5:$AG$2561,G$4)</f>
        <v>5</v>
      </c>
    </row>
    <row r="2022" spans="1:3" x14ac:dyDescent="0.25">
      <c r="A2022">
        <v>2024190</v>
      </c>
      <c r="B2022">
        <f>VLOOKUP($A2022,Data!$C$5:$AG$2561,F$4)</f>
        <v>29.8</v>
      </c>
      <c r="C2022">
        <f>VLOOKUP($A2022,Data!$C$5:$AG$2561,G$4)</f>
        <v>5.7</v>
      </c>
    </row>
    <row r="2023" spans="1:3" x14ac:dyDescent="0.25">
      <c r="A2023">
        <v>2024191</v>
      </c>
      <c r="B2023">
        <f>VLOOKUP($A2023,Data!$C$5:$AG$2561,F$4)</f>
        <v>31.6</v>
      </c>
      <c r="C2023">
        <f>VLOOKUP($A2023,Data!$C$5:$AG$2561,G$4)</f>
        <v>8.3000000000000007</v>
      </c>
    </row>
    <row r="2024" spans="1:3" x14ac:dyDescent="0.25">
      <c r="A2024">
        <v>2024192</v>
      </c>
      <c r="B2024">
        <f>VLOOKUP($A2024,Data!$C$5:$AG$2561,F$4)</f>
        <v>30.1</v>
      </c>
      <c r="C2024">
        <f>VLOOKUP($A2024,Data!$C$5:$AG$2561,G$4)</f>
        <v>8.8000000000000007</v>
      </c>
    </row>
    <row r="2025" spans="1:3" x14ac:dyDescent="0.25">
      <c r="A2025">
        <v>2024193</v>
      </c>
      <c r="B2025">
        <f>VLOOKUP($A2025,Data!$C$5:$AG$2561,F$4)</f>
        <v>25.3</v>
      </c>
      <c r="C2025">
        <f>VLOOKUP($A2025,Data!$C$5:$AG$2561,G$4)</f>
        <v>6.4</v>
      </c>
    </row>
    <row r="2026" spans="1:3" x14ac:dyDescent="0.25">
      <c r="A2026">
        <v>2024194</v>
      </c>
      <c r="B2026">
        <f>VLOOKUP($A2026,Data!$C$5:$AG$2561,F$4)</f>
        <v>25.9</v>
      </c>
      <c r="C2026">
        <f>VLOOKUP($A2026,Data!$C$5:$AG$2561,G$4)</f>
        <v>7.4</v>
      </c>
    </row>
    <row r="2027" spans="1:3" x14ac:dyDescent="0.25">
      <c r="A2027">
        <v>2024195</v>
      </c>
      <c r="B2027">
        <f>VLOOKUP($A2027,Data!$C$5:$AG$2561,F$4)</f>
        <v>28.1</v>
      </c>
      <c r="C2027">
        <f>VLOOKUP($A2027,Data!$C$5:$AG$2561,G$4)</f>
        <v>6.9</v>
      </c>
    </row>
    <row r="2028" spans="1:3" x14ac:dyDescent="0.25">
      <c r="A2028">
        <v>2024196</v>
      </c>
      <c r="B2028">
        <f>VLOOKUP($A2028,Data!$C$5:$AG$2561,F$4)</f>
        <v>26.9</v>
      </c>
      <c r="C2028">
        <f>VLOOKUP($A2028,Data!$C$5:$AG$2561,G$4)</f>
        <v>4.9000000000000004</v>
      </c>
    </row>
    <row r="2029" spans="1:3" x14ac:dyDescent="0.25">
      <c r="A2029">
        <v>2024197</v>
      </c>
      <c r="B2029">
        <f>VLOOKUP($A2029,Data!$C$5:$AG$2561,F$4)</f>
        <v>27.8</v>
      </c>
      <c r="C2029">
        <f>VLOOKUP($A2029,Data!$C$5:$AG$2561,G$4)</f>
        <v>4.9000000000000004</v>
      </c>
    </row>
    <row r="2030" spans="1:3" x14ac:dyDescent="0.25">
      <c r="A2030">
        <v>2024198</v>
      </c>
      <c r="B2030">
        <f>VLOOKUP($A2030,Data!$C$5:$AG$2561,F$4)</f>
        <v>29.6</v>
      </c>
      <c r="C2030">
        <f>VLOOKUP($A2030,Data!$C$5:$AG$2561,G$4)</f>
        <v>5.3</v>
      </c>
    </row>
    <row r="2031" spans="1:3" x14ac:dyDescent="0.25">
      <c r="A2031">
        <v>2024199</v>
      </c>
      <c r="B2031">
        <f>VLOOKUP($A2031,Data!$C$5:$AG$2561,F$4)</f>
        <v>30.5</v>
      </c>
      <c r="C2031">
        <f>VLOOKUP($A2031,Data!$C$5:$AG$2561,G$4)</f>
        <v>9.1999999999999993</v>
      </c>
    </row>
    <row r="2032" spans="1:3" x14ac:dyDescent="0.25">
      <c r="A2032">
        <v>2024200</v>
      </c>
      <c r="B2032">
        <f>VLOOKUP($A2032,Data!$C$5:$AG$2561,F$4)</f>
        <v>30.4</v>
      </c>
      <c r="C2032">
        <f>VLOOKUP($A2032,Data!$C$5:$AG$2561,G$4)</f>
        <v>8.1</v>
      </c>
    </row>
    <row r="2033" spans="1:3" x14ac:dyDescent="0.25">
      <c r="A2033">
        <v>2024201</v>
      </c>
      <c r="B2033">
        <f>VLOOKUP($A2033,Data!$C$5:$AG$2561,F$4)</f>
        <v>29</v>
      </c>
      <c r="C2033">
        <f>VLOOKUP($A2033,Data!$C$5:$AG$2561,G$4)</f>
        <v>8.5</v>
      </c>
    </row>
    <row r="2034" spans="1:3" x14ac:dyDescent="0.25">
      <c r="A2034">
        <v>2024202</v>
      </c>
      <c r="B2034">
        <f>VLOOKUP($A2034,Data!$C$5:$AG$2561,F$4)</f>
        <v>31.2</v>
      </c>
      <c r="C2034">
        <f>VLOOKUP($A2034,Data!$C$5:$AG$2561,G$4)</f>
        <v>8.1</v>
      </c>
    </row>
    <row r="2035" spans="1:3" x14ac:dyDescent="0.25">
      <c r="A2035">
        <v>2024203</v>
      </c>
      <c r="B2035">
        <f>VLOOKUP($A2035,Data!$C$5:$AG$2561,F$4)</f>
        <v>33</v>
      </c>
      <c r="C2035">
        <f>VLOOKUP($A2035,Data!$C$5:$AG$2561,G$4)</f>
        <v>8.1</v>
      </c>
    </row>
    <row r="2036" spans="1:3" x14ac:dyDescent="0.25">
      <c r="A2036">
        <v>2024204</v>
      </c>
      <c r="B2036">
        <f>VLOOKUP($A2036,Data!$C$5:$AG$2561,F$4)</f>
        <v>29.7</v>
      </c>
      <c r="C2036">
        <f>VLOOKUP($A2036,Data!$C$5:$AG$2561,G$4)</f>
        <v>11.2</v>
      </c>
    </row>
    <row r="2037" spans="1:3" x14ac:dyDescent="0.25">
      <c r="A2037">
        <v>2024205</v>
      </c>
      <c r="B2037">
        <f>VLOOKUP($A2037,Data!$C$5:$AG$2561,F$4)</f>
        <v>24.3</v>
      </c>
      <c r="C2037">
        <f>VLOOKUP($A2037,Data!$C$5:$AG$2561,G$4)</f>
        <v>4.0999999999999996</v>
      </c>
    </row>
    <row r="2038" spans="1:3" x14ac:dyDescent="0.25">
      <c r="A2038">
        <v>2024206</v>
      </c>
      <c r="B2038">
        <f>VLOOKUP($A2038,Data!$C$5:$AG$2561,F$4)</f>
        <v>25.1</v>
      </c>
      <c r="C2038">
        <f>VLOOKUP($A2038,Data!$C$5:$AG$2561,G$4)</f>
        <v>3.9</v>
      </c>
    </row>
    <row r="2039" spans="1:3" x14ac:dyDescent="0.25">
      <c r="A2039">
        <v>2024207</v>
      </c>
      <c r="B2039">
        <f>VLOOKUP($A2039,Data!$C$5:$AG$2561,F$4)</f>
        <v>13.1</v>
      </c>
      <c r="C2039">
        <f>VLOOKUP($A2039,Data!$C$5:$AG$2561,G$4)</f>
        <v>1.8</v>
      </c>
    </row>
    <row r="2040" spans="1:3" x14ac:dyDescent="0.25">
      <c r="A2040">
        <v>2024208</v>
      </c>
      <c r="B2040">
        <f>VLOOKUP($A2040,Data!$C$5:$AG$2561,F$4)</f>
        <v>19.899999999999999</v>
      </c>
      <c r="C2040">
        <f>VLOOKUP($A2040,Data!$C$5:$AG$2561,G$4)</f>
        <v>-1.1000000000000001</v>
      </c>
    </row>
    <row r="2041" spans="1:3" x14ac:dyDescent="0.25">
      <c r="A2041">
        <v>2024209</v>
      </c>
      <c r="B2041">
        <f>VLOOKUP($A2041,Data!$C$5:$AG$2561,F$4)</f>
        <v>21.2</v>
      </c>
      <c r="C2041">
        <f>VLOOKUP($A2041,Data!$C$5:$AG$2561,G$4)</f>
        <v>3.7</v>
      </c>
    </row>
    <row r="2042" spans="1:3" x14ac:dyDescent="0.25">
      <c r="A2042">
        <v>2024210</v>
      </c>
      <c r="B2042">
        <f>VLOOKUP($A2042,Data!$C$5:$AG$2561,F$4)</f>
        <v>23.5</v>
      </c>
      <c r="C2042">
        <f>VLOOKUP($A2042,Data!$C$5:$AG$2561,G$4)</f>
        <v>7</v>
      </c>
    </row>
    <row r="2043" spans="1:3" x14ac:dyDescent="0.25">
      <c r="A2043">
        <v>2024211</v>
      </c>
      <c r="B2043">
        <f>VLOOKUP($A2043,Data!$C$5:$AG$2561,F$4)</f>
        <v>13.6</v>
      </c>
      <c r="C2043">
        <f>VLOOKUP($A2043,Data!$C$5:$AG$2561,G$4)</f>
        <v>6.2</v>
      </c>
    </row>
    <row r="2044" spans="1:3" x14ac:dyDescent="0.25">
      <c r="A2044">
        <v>2024212</v>
      </c>
      <c r="B2044">
        <f>VLOOKUP($A2044,Data!$C$5:$AG$2561,F$4)</f>
        <v>18.100000000000001</v>
      </c>
      <c r="C2044">
        <f>VLOOKUP($A2044,Data!$C$5:$AG$2561,G$4)</f>
        <v>8.1</v>
      </c>
    </row>
    <row r="2045" spans="1:3" x14ac:dyDescent="0.25">
      <c r="A2045">
        <v>2024213</v>
      </c>
      <c r="B2045">
        <f>VLOOKUP($A2045,Data!$C$5:$AG$2561,F$4)</f>
        <v>24.9</v>
      </c>
      <c r="C2045">
        <f>VLOOKUP($A2045,Data!$C$5:$AG$2561,G$4)</f>
        <v>7.5</v>
      </c>
    </row>
    <row r="2046" spans="1:3" x14ac:dyDescent="0.25">
      <c r="A2046">
        <v>2024214</v>
      </c>
      <c r="B2046">
        <f>VLOOKUP($A2046,Data!$C$5:$AG$2561,F$4)</f>
        <v>29.8</v>
      </c>
      <c r="C2046">
        <f>VLOOKUP($A2046,Data!$C$5:$AG$2561,G$4)</f>
        <v>6.3</v>
      </c>
    </row>
    <row r="2047" spans="1:3" x14ac:dyDescent="0.25">
      <c r="A2047">
        <v>2024215</v>
      </c>
      <c r="B2047">
        <f>VLOOKUP($A2047,Data!$C$5:$AG$2561,F$4)</f>
        <v>30.7</v>
      </c>
      <c r="C2047">
        <f>VLOOKUP($A2047,Data!$C$5:$AG$2561,G$4)</f>
        <v>9</v>
      </c>
    </row>
    <row r="2048" spans="1:3" x14ac:dyDescent="0.25">
      <c r="A2048">
        <v>2024216</v>
      </c>
      <c r="B2048">
        <f>VLOOKUP($A2048,Data!$C$5:$AG$2561,F$4)</f>
        <v>29.5</v>
      </c>
      <c r="C2048">
        <f>VLOOKUP($A2048,Data!$C$5:$AG$2561,G$4)</f>
        <v>9.1</v>
      </c>
    </row>
    <row r="2049" spans="1:3" x14ac:dyDescent="0.25">
      <c r="A2049">
        <v>2024217</v>
      </c>
      <c r="B2049">
        <f>VLOOKUP($A2049,Data!$C$5:$AG$2561,F$4)</f>
        <v>27.8</v>
      </c>
      <c r="C2049">
        <f>VLOOKUP($A2049,Data!$C$5:$AG$2561,G$4)</f>
        <v>10.5</v>
      </c>
    </row>
    <row r="2050" spans="1:3" x14ac:dyDescent="0.25">
      <c r="A2050">
        <v>2024218</v>
      </c>
      <c r="B2050">
        <f>VLOOKUP($A2050,Data!$C$5:$AG$2561,F$4)</f>
        <v>26.3</v>
      </c>
      <c r="C2050">
        <f>VLOOKUP($A2050,Data!$C$5:$AG$2561,G$4)</f>
        <v>8</v>
      </c>
    </row>
    <row r="2051" spans="1:3" x14ac:dyDescent="0.25">
      <c r="A2051">
        <v>2024219</v>
      </c>
      <c r="B2051">
        <f>VLOOKUP($A2051,Data!$C$5:$AG$2561,F$4)</f>
        <v>22.3</v>
      </c>
      <c r="C2051">
        <f>VLOOKUP($A2051,Data!$C$5:$AG$2561,G$4)</f>
        <v>7.5</v>
      </c>
    </row>
    <row r="2052" spans="1:3" x14ac:dyDescent="0.25">
      <c r="A2052">
        <v>2024220</v>
      </c>
      <c r="B2052">
        <f>VLOOKUP($A2052,Data!$C$5:$AG$2561,F$4)</f>
        <v>21.9</v>
      </c>
      <c r="C2052">
        <f>VLOOKUP($A2052,Data!$C$5:$AG$2561,G$4)</f>
        <v>4.0999999999999996</v>
      </c>
    </row>
    <row r="2053" spans="1:3" x14ac:dyDescent="0.25">
      <c r="A2053">
        <v>2024221</v>
      </c>
      <c r="B2053">
        <f>VLOOKUP($A2053,Data!$C$5:$AG$2561,F$4)</f>
        <v>25.7</v>
      </c>
      <c r="C2053">
        <f>VLOOKUP($A2053,Data!$C$5:$AG$2561,G$4)</f>
        <v>3.5</v>
      </c>
    </row>
    <row r="2054" spans="1:3" x14ac:dyDescent="0.25">
      <c r="A2054">
        <v>2024222</v>
      </c>
      <c r="B2054">
        <f>VLOOKUP($A2054,Data!$C$5:$AG$2561,F$4)</f>
        <v>24.1</v>
      </c>
      <c r="C2054">
        <f>VLOOKUP($A2054,Data!$C$5:$AG$2561,G$4)</f>
        <v>6</v>
      </c>
    </row>
    <row r="2055" spans="1:3" x14ac:dyDescent="0.25">
      <c r="A2055">
        <v>2024223</v>
      </c>
      <c r="B2055">
        <f>VLOOKUP($A2055,Data!$C$5:$AG$2561,F$4)</f>
        <v>23.5</v>
      </c>
      <c r="C2055">
        <f>VLOOKUP($A2055,Data!$C$5:$AG$2561,G$4)</f>
        <v>5</v>
      </c>
    </row>
    <row r="2056" spans="1:3" x14ac:dyDescent="0.25">
      <c r="A2056">
        <v>2024224</v>
      </c>
      <c r="B2056">
        <f>VLOOKUP($A2056,Data!$C$5:$AG$2561,F$4)</f>
        <v>23.9</v>
      </c>
      <c r="C2056">
        <f>VLOOKUP($A2056,Data!$C$5:$AG$2561,G$4)</f>
        <v>4.0999999999999996</v>
      </c>
    </row>
    <row r="2057" spans="1:3" x14ac:dyDescent="0.25">
      <c r="A2057">
        <v>2024225</v>
      </c>
      <c r="B2057">
        <f>VLOOKUP($A2057,Data!$C$5:$AG$2561,F$4)</f>
        <v>23.8</v>
      </c>
      <c r="C2057">
        <f>VLOOKUP($A2057,Data!$C$5:$AG$2561,G$4)</f>
        <v>6.8</v>
      </c>
    </row>
    <row r="2058" spans="1:3" x14ac:dyDescent="0.25">
      <c r="A2058">
        <v>2024226</v>
      </c>
      <c r="B2058">
        <f>VLOOKUP($A2058,Data!$C$5:$AG$2561,F$4)</f>
        <v>21</v>
      </c>
      <c r="C2058">
        <f>VLOOKUP($A2058,Data!$C$5:$AG$2561,G$4)</f>
        <v>4.5999999999999996</v>
      </c>
    </row>
    <row r="2059" spans="1:3" x14ac:dyDescent="0.25">
      <c r="A2059">
        <v>2024227</v>
      </c>
      <c r="B2059">
        <f>VLOOKUP($A2059,Data!$C$5:$AG$2561,F$4)</f>
        <v>24.3</v>
      </c>
      <c r="C2059">
        <f>VLOOKUP($A2059,Data!$C$5:$AG$2561,G$4)</f>
        <v>4.4000000000000004</v>
      </c>
    </row>
    <row r="2060" spans="1:3" x14ac:dyDescent="0.25">
      <c r="A2060">
        <v>2024228</v>
      </c>
      <c r="B2060">
        <f>VLOOKUP($A2060,Data!$C$5:$AG$2561,F$4)</f>
        <v>25.8</v>
      </c>
      <c r="C2060">
        <f>VLOOKUP($A2060,Data!$C$5:$AG$2561,G$4)</f>
        <v>5.3</v>
      </c>
    </row>
    <row r="2061" spans="1:3" x14ac:dyDescent="0.25">
      <c r="A2061">
        <v>2024229</v>
      </c>
      <c r="B2061">
        <f>VLOOKUP($A2061,Data!$C$5:$AG$2561,F$4)</f>
        <v>13.8</v>
      </c>
      <c r="C2061">
        <f>VLOOKUP($A2061,Data!$C$5:$AG$2561,G$4)</f>
        <v>6.2</v>
      </c>
    </row>
    <row r="2062" spans="1:3" x14ac:dyDescent="0.25">
      <c r="A2062">
        <v>2024230</v>
      </c>
      <c r="B2062">
        <f>VLOOKUP($A2062,Data!$C$5:$AG$2561,F$4)</f>
        <v>20.8</v>
      </c>
      <c r="C2062">
        <f>VLOOKUP($A2062,Data!$C$5:$AG$2561,G$4)</f>
        <v>4.3</v>
      </c>
    </row>
    <row r="2063" spans="1:3" x14ac:dyDescent="0.25">
      <c r="A2063">
        <v>2024231</v>
      </c>
      <c r="B2063">
        <f>VLOOKUP($A2063,Data!$C$5:$AG$2561,F$4)</f>
        <v>22.1</v>
      </c>
      <c r="C2063">
        <f>VLOOKUP($A2063,Data!$C$5:$AG$2561,G$4)</f>
        <v>4.2</v>
      </c>
    </row>
    <row r="2064" spans="1:3" x14ac:dyDescent="0.25">
      <c r="A2064">
        <v>2024232</v>
      </c>
      <c r="B2064">
        <f>VLOOKUP($A2064,Data!$C$5:$AG$2561,F$4)</f>
        <v>19.8</v>
      </c>
      <c r="C2064">
        <f>VLOOKUP($A2064,Data!$C$5:$AG$2561,G$4)</f>
        <v>0.9</v>
      </c>
    </row>
    <row r="2065" spans="1:3" x14ac:dyDescent="0.25">
      <c r="A2065">
        <v>2024233</v>
      </c>
      <c r="B2065">
        <f>VLOOKUP($A2065,Data!$C$5:$AG$2561,F$4)</f>
        <v>19.7</v>
      </c>
      <c r="C2065">
        <f>VLOOKUP($A2065,Data!$C$5:$AG$2561,G$4)</f>
        <v>2.1</v>
      </c>
    </row>
    <row r="2066" spans="1:3" x14ac:dyDescent="0.25">
      <c r="A2066">
        <v>2024234</v>
      </c>
      <c r="B2066">
        <f>VLOOKUP($A2066,Data!$C$5:$AG$2561,F$4)</f>
        <v>16.399999999999999</v>
      </c>
      <c r="C2066">
        <f>VLOOKUP($A2066,Data!$C$5:$AG$2561,G$4)</f>
        <v>3.6</v>
      </c>
    </row>
    <row r="2067" spans="1:3" x14ac:dyDescent="0.25">
      <c r="A2067">
        <v>2024235</v>
      </c>
      <c r="B2067">
        <f>VLOOKUP($A2067,Data!$C$5:$AG$2561,F$4)</f>
        <v>18.899999999999999</v>
      </c>
      <c r="C2067">
        <f>VLOOKUP($A2067,Data!$C$5:$AG$2561,G$4)</f>
        <v>4.5999999999999996</v>
      </c>
    </row>
    <row r="2068" spans="1:3" x14ac:dyDescent="0.25">
      <c r="A2068">
        <v>2024236</v>
      </c>
      <c r="B2068">
        <f>VLOOKUP($A2068,Data!$C$5:$AG$2561,F$4)</f>
        <v>23.5</v>
      </c>
      <c r="C2068">
        <f>VLOOKUP($A2068,Data!$C$5:$AG$2561,G$4)</f>
        <v>7.1</v>
      </c>
    </row>
    <row r="2069" spans="1:3" x14ac:dyDescent="0.25">
      <c r="A2069">
        <v>2024237</v>
      </c>
      <c r="B2069">
        <f>VLOOKUP($A2069,Data!$C$5:$AG$2561,F$4)</f>
        <v>7.9</v>
      </c>
      <c r="C2069">
        <f>VLOOKUP($A2069,Data!$C$5:$AG$2561,G$4)</f>
        <v>3.8</v>
      </c>
    </row>
    <row r="2070" spans="1:3" x14ac:dyDescent="0.25">
      <c r="A2070">
        <v>2024238</v>
      </c>
      <c r="B2070">
        <f>VLOOKUP($A2070,Data!$C$5:$AG$2561,F$4)</f>
        <v>16.5</v>
      </c>
      <c r="C2070">
        <f>VLOOKUP($A2070,Data!$C$5:$AG$2561,G$4)</f>
        <v>0.8</v>
      </c>
    </row>
    <row r="2071" spans="1:3" x14ac:dyDescent="0.25">
      <c r="A2071">
        <v>2024239</v>
      </c>
      <c r="B2071">
        <f>VLOOKUP($A2071,Data!$C$5:$AG$2561,F$4)</f>
        <v>17.7</v>
      </c>
      <c r="C2071">
        <f>VLOOKUP($A2071,Data!$C$5:$AG$2561,G$4)</f>
        <v>2.1</v>
      </c>
    </row>
    <row r="2072" spans="1:3" x14ac:dyDescent="0.25">
      <c r="A2072">
        <v>2024240</v>
      </c>
      <c r="B2072">
        <f>VLOOKUP($A2072,Data!$C$5:$AG$2561,F$4)</f>
        <v>10.3</v>
      </c>
      <c r="C2072">
        <f>VLOOKUP($A2072,Data!$C$5:$AG$2561,G$4)</f>
        <v>0.9</v>
      </c>
    </row>
    <row r="2073" spans="1:3" x14ac:dyDescent="0.25">
      <c r="A2073">
        <v>2024241</v>
      </c>
      <c r="B2073">
        <f>VLOOKUP($A2073,Data!$C$5:$AG$2561,F$4)</f>
        <v>14.1</v>
      </c>
      <c r="C2073">
        <f>VLOOKUP($A2073,Data!$C$5:$AG$2561,G$4)</f>
        <v>0.6</v>
      </c>
    </row>
    <row r="2074" spans="1:3" x14ac:dyDescent="0.25">
      <c r="A2074">
        <v>2024242</v>
      </c>
      <c r="B2074">
        <f>VLOOKUP($A2074,Data!$C$5:$AG$2561,F$4)</f>
        <v>22.6</v>
      </c>
      <c r="C2074">
        <f>VLOOKUP($A2074,Data!$C$5:$AG$2561,G$4)</f>
        <v>-0.7</v>
      </c>
    </row>
    <row r="2075" spans="1:3" x14ac:dyDescent="0.25">
      <c r="A2075">
        <v>2024243</v>
      </c>
      <c r="B2075">
        <f>VLOOKUP($A2075,Data!$C$5:$AG$2561,F$4)</f>
        <v>24.6</v>
      </c>
      <c r="C2075">
        <f>VLOOKUP($A2075,Data!$C$5:$AG$2561,G$4)</f>
        <v>3.7</v>
      </c>
    </row>
    <row r="2076" spans="1:3" x14ac:dyDescent="0.25">
      <c r="A2076">
        <v>2024244</v>
      </c>
      <c r="B2076">
        <f>VLOOKUP($A2076,Data!$C$5:$AG$2561,F$4)</f>
        <v>26.8</v>
      </c>
      <c r="C2076">
        <f>VLOOKUP($A2076,Data!$C$5:$AG$2561,G$4)</f>
        <v>4.7</v>
      </c>
    </row>
    <row r="2077" spans="1:3" x14ac:dyDescent="0.25">
      <c r="A2077">
        <v>2024245</v>
      </c>
      <c r="B2077">
        <f>VLOOKUP($A2077,Data!$C$5:$AG$2561,F$4)</f>
        <v>29.5</v>
      </c>
      <c r="C2077">
        <f>VLOOKUP($A2077,Data!$C$5:$AG$2561,G$4)</f>
        <v>5.4</v>
      </c>
    </row>
    <row r="2078" spans="1:3" x14ac:dyDescent="0.25">
      <c r="A2078">
        <v>2024246</v>
      </c>
      <c r="B2078">
        <f>VLOOKUP($A2078,Data!$C$5:$AG$2561,F$4)</f>
        <v>23.4</v>
      </c>
      <c r="C2078">
        <f>VLOOKUP($A2078,Data!$C$5:$AG$2561,G$4)</f>
        <v>6.3</v>
      </c>
    </row>
    <row r="2079" spans="1:3" x14ac:dyDescent="0.25">
      <c r="A2079">
        <v>2024247</v>
      </c>
      <c r="B2079">
        <f>VLOOKUP($A2079,Data!$C$5:$AG$2561,F$4)</f>
        <v>22.7</v>
      </c>
      <c r="C2079">
        <f>VLOOKUP($A2079,Data!$C$5:$AG$2561,G$4)</f>
        <v>4.3</v>
      </c>
    </row>
    <row r="2080" spans="1:3" x14ac:dyDescent="0.25">
      <c r="A2080">
        <v>2024248</v>
      </c>
      <c r="B2080">
        <f>VLOOKUP($A2080,Data!$C$5:$AG$2561,F$4)</f>
        <v>23.6</v>
      </c>
      <c r="C2080">
        <f>VLOOKUP($A2080,Data!$C$5:$AG$2561,G$4)</f>
        <v>3.5</v>
      </c>
    </row>
    <row r="2081" spans="1:3" x14ac:dyDescent="0.25">
      <c r="A2081">
        <v>2024249</v>
      </c>
      <c r="B2081">
        <f>VLOOKUP($A2081,Data!$C$5:$AG$2561,F$4)</f>
        <v>27.3</v>
      </c>
      <c r="C2081">
        <f>VLOOKUP($A2081,Data!$C$5:$AG$2561,G$4)</f>
        <v>3.3</v>
      </c>
    </row>
    <row r="2082" spans="1:3" x14ac:dyDescent="0.25">
      <c r="A2082">
        <v>2024250</v>
      </c>
      <c r="B2082">
        <f>VLOOKUP($A2082,Data!$C$5:$AG$2561,F$4)</f>
        <v>28.6</v>
      </c>
      <c r="C2082">
        <f>VLOOKUP($A2082,Data!$C$5:$AG$2561,G$4)</f>
        <v>4.4000000000000004</v>
      </c>
    </row>
    <row r="2083" spans="1:3" x14ac:dyDescent="0.25">
      <c r="A2083">
        <v>2024251</v>
      </c>
      <c r="B2083">
        <f>VLOOKUP($A2083,Data!$C$5:$AG$2561,F$4)</f>
        <v>28.9</v>
      </c>
      <c r="C2083">
        <f>VLOOKUP($A2083,Data!$C$5:$AG$2561,G$4)</f>
        <v>4.9000000000000004</v>
      </c>
    </row>
    <row r="2084" spans="1:3" x14ac:dyDescent="0.25">
      <c r="A2084">
        <v>2024252</v>
      </c>
      <c r="B2084">
        <f>VLOOKUP($A2084,Data!$C$5:$AG$2561,F$4)</f>
        <v>27</v>
      </c>
      <c r="C2084">
        <f>VLOOKUP($A2084,Data!$C$5:$AG$2561,G$4)</f>
        <v>7.2</v>
      </c>
    </row>
    <row r="2085" spans="1:3" x14ac:dyDescent="0.25">
      <c r="A2085">
        <v>2024253</v>
      </c>
      <c r="B2085">
        <f>VLOOKUP($A2085,Data!$C$5:$AG$2561,F$4)</f>
        <v>17.399999999999999</v>
      </c>
      <c r="C2085">
        <f>VLOOKUP($A2085,Data!$C$5:$AG$2561,G$4)</f>
        <v>2.7</v>
      </c>
    </row>
    <row r="2086" spans="1:3" x14ac:dyDescent="0.25">
      <c r="A2086">
        <v>2024254</v>
      </c>
      <c r="B2086">
        <f>VLOOKUP($A2086,Data!$C$5:$AG$2561,F$4)</f>
        <v>17.3</v>
      </c>
      <c r="C2086">
        <f>VLOOKUP($A2086,Data!$C$5:$AG$2561,G$4)</f>
        <v>0.7</v>
      </c>
    </row>
    <row r="2087" spans="1:3" x14ac:dyDescent="0.25">
      <c r="A2087">
        <v>2024255</v>
      </c>
      <c r="B2087">
        <f>VLOOKUP($A2087,Data!$C$5:$AG$2561,F$4)</f>
        <v>10.8</v>
      </c>
      <c r="C2087">
        <f>VLOOKUP($A2087,Data!$C$5:$AG$2561,G$4)</f>
        <v>5.3</v>
      </c>
    </row>
    <row r="2088" spans="1:3" x14ac:dyDescent="0.25">
      <c r="A2088">
        <v>2024256</v>
      </c>
      <c r="B2088">
        <f>VLOOKUP($A2088,Data!$C$5:$AG$2561,F$4)</f>
        <v>14.8</v>
      </c>
      <c r="C2088">
        <f>VLOOKUP($A2088,Data!$C$5:$AG$2561,G$4)</f>
        <v>2.6</v>
      </c>
    </row>
    <row r="2089" spans="1:3" x14ac:dyDescent="0.25">
      <c r="A2089">
        <v>2024257</v>
      </c>
      <c r="B2089">
        <f>VLOOKUP($A2089,Data!$C$5:$AG$2561,F$4)</f>
        <v>17.8</v>
      </c>
      <c r="C2089">
        <f>VLOOKUP($A2089,Data!$C$5:$AG$2561,G$4)</f>
        <v>1</v>
      </c>
    </row>
    <row r="2090" spans="1:3" x14ac:dyDescent="0.25">
      <c r="A2090">
        <v>2024258</v>
      </c>
      <c r="B2090">
        <f>VLOOKUP($A2090,Data!$C$5:$AG$2561,F$4)</f>
        <v>13.9</v>
      </c>
      <c r="C2090">
        <f>VLOOKUP($A2090,Data!$C$5:$AG$2561,G$4)</f>
        <v>1.5</v>
      </c>
    </row>
    <row r="2091" spans="1:3" x14ac:dyDescent="0.25">
      <c r="A2091">
        <v>2024259</v>
      </c>
      <c r="B2091">
        <f>VLOOKUP($A2091,Data!$C$5:$AG$2561,F$4)</f>
        <v>13.6</v>
      </c>
      <c r="C2091">
        <f>VLOOKUP($A2091,Data!$C$5:$AG$2561,G$4)</f>
        <v>-1.2</v>
      </c>
    </row>
    <row r="2092" spans="1:3" x14ac:dyDescent="0.25">
      <c r="A2092">
        <v>2024260</v>
      </c>
      <c r="B2092">
        <f>VLOOKUP($A2092,Data!$C$5:$AG$2561,F$4)</f>
        <v>15.2</v>
      </c>
      <c r="C2092">
        <f>VLOOKUP($A2092,Data!$C$5:$AG$2561,G$4)</f>
        <v>2.2999999999999998</v>
      </c>
    </row>
    <row r="2093" spans="1:3" x14ac:dyDescent="0.25">
      <c r="A2093">
        <v>2024261</v>
      </c>
      <c r="B2093">
        <f>VLOOKUP($A2093,Data!$C$5:$AG$2561,F$4)</f>
        <v>19.399999999999999</v>
      </c>
      <c r="C2093">
        <f>VLOOKUP($A2093,Data!$C$5:$AG$2561,G$4)</f>
        <v>1</v>
      </c>
    </row>
    <row r="2094" spans="1:3" x14ac:dyDescent="0.25">
      <c r="A2094">
        <v>2024262</v>
      </c>
      <c r="B2094">
        <f>VLOOKUP($A2094,Data!$C$5:$AG$2561,F$4)</f>
        <v>15.7</v>
      </c>
      <c r="C2094">
        <f>VLOOKUP($A2094,Data!$C$5:$AG$2561,G$4)</f>
        <v>1.3</v>
      </c>
    </row>
    <row r="2095" spans="1:3" x14ac:dyDescent="0.25">
      <c r="A2095">
        <v>2024263</v>
      </c>
      <c r="B2095">
        <f>VLOOKUP($A2095,Data!$C$5:$AG$2561,F$4)</f>
        <v>15.8</v>
      </c>
      <c r="C2095">
        <f>VLOOKUP($A2095,Data!$C$5:$AG$2561,G$4)</f>
        <v>-0.1</v>
      </c>
    </row>
    <row r="2096" spans="1:3" x14ac:dyDescent="0.25">
      <c r="A2096">
        <v>2024264</v>
      </c>
      <c r="B2096">
        <f>VLOOKUP($A2096,Data!$C$5:$AG$2561,F$4)</f>
        <v>10.9</v>
      </c>
      <c r="C2096">
        <f>VLOOKUP($A2096,Data!$C$5:$AG$2561,G$4)</f>
        <v>-2.8</v>
      </c>
    </row>
    <row r="2097" spans="1:3" x14ac:dyDescent="0.25">
      <c r="A2097">
        <v>2024265</v>
      </c>
      <c r="B2097">
        <f>VLOOKUP($A2097,Data!$C$5:$AG$2561,F$4)</f>
        <v>16.7</v>
      </c>
      <c r="C2097">
        <f>VLOOKUP($A2097,Data!$C$5:$AG$2561,G$4)</f>
        <v>-3.3</v>
      </c>
    </row>
    <row r="2098" spans="1:3" x14ac:dyDescent="0.25">
      <c r="A2098">
        <v>2024266</v>
      </c>
      <c r="B2098">
        <f>VLOOKUP($A2098,Data!$C$5:$AG$2561,F$4)</f>
        <v>14.4</v>
      </c>
      <c r="C2098">
        <f>VLOOKUP($A2098,Data!$C$5:$AG$2561,G$4)</f>
        <v>5.3</v>
      </c>
    </row>
    <row r="2099" spans="1:3" x14ac:dyDescent="0.25">
      <c r="A2099">
        <v>2024267</v>
      </c>
      <c r="B2099">
        <f>VLOOKUP($A2099,Data!$C$5:$AG$2561,F$4)</f>
        <v>19.399999999999999</v>
      </c>
      <c r="C2099">
        <f>VLOOKUP($A2099,Data!$C$5:$AG$2561,G$4)</f>
        <v>8.6</v>
      </c>
    </row>
    <row r="2100" spans="1:3" x14ac:dyDescent="0.25">
      <c r="A2100">
        <v>2024268</v>
      </c>
      <c r="B2100">
        <f>VLOOKUP($A2100,Data!$C$5:$AG$2561,F$4)</f>
        <v>22.9</v>
      </c>
      <c r="C2100">
        <f>VLOOKUP($A2100,Data!$C$5:$AG$2561,G$4)</f>
        <v>5.0999999999999996</v>
      </c>
    </row>
    <row r="2101" spans="1:3" x14ac:dyDescent="0.25">
      <c r="A2101">
        <v>2024269</v>
      </c>
      <c r="B2101">
        <f>VLOOKUP($A2101,Data!$C$5:$AG$2561,F$4)</f>
        <v>20</v>
      </c>
      <c r="C2101">
        <f>VLOOKUP($A2101,Data!$C$5:$AG$2561,G$4)</f>
        <v>4.5</v>
      </c>
    </row>
    <row r="2102" spans="1:3" x14ac:dyDescent="0.25">
      <c r="A2102">
        <v>2024270</v>
      </c>
      <c r="B2102">
        <f>VLOOKUP($A2102,Data!$C$5:$AG$2561,F$4)</f>
        <v>8</v>
      </c>
      <c r="C2102">
        <f>VLOOKUP($A2102,Data!$C$5:$AG$2561,G$4)</f>
        <v>-0.1</v>
      </c>
    </row>
    <row r="2103" spans="1:3" x14ac:dyDescent="0.25">
      <c r="A2103">
        <v>2024271</v>
      </c>
      <c r="B2103">
        <f>VLOOKUP($A2103,Data!$C$5:$AG$2561,F$4)</f>
        <v>14.5</v>
      </c>
      <c r="C2103">
        <f>VLOOKUP($A2103,Data!$C$5:$AG$2561,G$4)</f>
        <v>-0.5</v>
      </c>
    </row>
    <row r="2104" spans="1:3" x14ac:dyDescent="0.25">
      <c r="A2104">
        <v>2024272</v>
      </c>
      <c r="B2104">
        <f>VLOOKUP($A2104,Data!$C$5:$AG$2561,F$4)</f>
        <v>17.600000000000001</v>
      </c>
      <c r="C2104">
        <f>VLOOKUP($A2104,Data!$C$5:$AG$2561,G$4)</f>
        <v>-1.1000000000000001</v>
      </c>
    </row>
    <row r="2105" spans="1:3" x14ac:dyDescent="0.25">
      <c r="A2105">
        <v>2024273</v>
      </c>
      <c r="B2105">
        <f>VLOOKUP($A2105,Data!$C$5:$AG$2561,F$4)</f>
        <v>8</v>
      </c>
      <c r="C2105">
        <f>VLOOKUP($A2105,Data!$C$5:$AG$2561,G$4)</f>
        <v>-0.3</v>
      </c>
    </row>
    <row r="2106" spans="1:3" x14ac:dyDescent="0.25">
      <c r="A2106">
        <v>2024274</v>
      </c>
      <c r="B2106">
        <f>VLOOKUP($A2106,Data!$C$5:$AG$2561,F$4)</f>
        <v>10.4</v>
      </c>
      <c r="C2106">
        <f>VLOOKUP($A2106,Data!$C$5:$AG$2561,G$4)</f>
        <v>-4.4000000000000004</v>
      </c>
    </row>
    <row r="2107" spans="1:3" x14ac:dyDescent="0.25">
      <c r="A2107">
        <v>2024275</v>
      </c>
      <c r="B2107">
        <f>VLOOKUP($A2107,Data!$C$5:$AG$2561,F$4)</f>
        <v>9.1</v>
      </c>
      <c r="C2107">
        <f>VLOOKUP($A2107,Data!$C$5:$AG$2561,G$4)</f>
        <v>-0.5</v>
      </c>
    </row>
    <row r="2108" spans="1:3" x14ac:dyDescent="0.25">
      <c r="A2108">
        <v>2024276</v>
      </c>
      <c r="B2108">
        <f>VLOOKUP($A2108,Data!$C$5:$AG$2561,F$4)</f>
        <v>9.5</v>
      </c>
      <c r="C2108">
        <f>VLOOKUP($A2108,Data!$C$5:$AG$2561,G$4)</f>
        <v>-3.3</v>
      </c>
    </row>
    <row r="2109" spans="1:3" x14ac:dyDescent="0.25">
      <c r="A2109">
        <v>2024277</v>
      </c>
      <c r="B2109">
        <f>VLOOKUP($A2109,Data!$C$5:$AG$2561,F$4)</f>
        <v>11.2</v>
      </c>
      <c r="C2109">
        <f>VLOOKUP($A2109,Data!$C$5:$AG$2561,G$4)</f>
        <v>-5.0999999999999996</v>
      </c>
    </row>
    <row r="2110" spans="1:3" x14ac:dyDescent="0.25">
      <c r="A2110">
        <v>2024278</v>
      </c>
      <c r="B2110">
        <f>VLOOKUP($A2110,Data!$C$5:$AG$2561,F$4)</f>
        <v>8.1999999999999993</v>
      </c>
      <c r="C2110">
        <f>VLOOKUP($A2110,Data!$C$5:$AG$2561,G$4)</f>
        <v>0.5</v>
      </c>
    </row>
    <row r="2111" spans="1:3" x14ac:dyDescent="0.25">
      <c r="A2111">
        <v>2024279</v>
      </c>
      <c r="B2111">
        <f>VLOOKUP($A2111,Data!$C$5:$AG$2561,F$4)</f>
        <v>13.4</v>
      </c>
      <c r="C2111">
        <f>VLOOKUP($A2111,Data!$C$5:$AG$2561,G$4)</f>
        <v>-2.2000000000000002</v>
      </c>
    </row>
    <row r="2112" spans="1:3" x14ac:dyDescent="0.25">
      <c r="A2112">
        <v>2024280</v>
      </c>
      <c r="B2112">
        <f>VLOOKUP($A2112,Data!$C$5:$AG$2561,F$4)</f>
        <v>16.5</v>
      </c>
      <c r="C2112">
        <f>VLOOKUP($A2112,Data!$C$5:$AG$2561,G$4)</f>
        <v>-1.6</v>
      </c>
    </row>
    <row r="2113" spans="1:3" x14ac:dyDescent="0.25">
      <c r="A2113">
        <v>2024281</v>
      </c>
      <c r="B2113">
        <f>VLOOKUP($A2113,Data!$C$5:$AG$2561,F$4)</f>
        <v>18</v>
      </c>
      <c r="C2113">
        <f>VLOOKUP($A2113,Data!$C$5:$AG$2561,G$4)</f>
        <v>-2.4</v>
      </c>
    </row>
    <row r="2114" spans="1:3" x14ac:dyDescent="0.25">
      <c r="A2114">
        <v>2024282</v>
      </c>
      <c r="B2114">
        <f>VLOOKUP($A2114,Data!$C$5:$AG$2561,F$4)</f>
        <v>17</v>
      </c>
      <c r="C2114">
        <f>VLOOKUP($A2114,Data!$C$5:$AG$2561,G$4)</f>
        <v>1.4</v>
      </c>
    </row>
    <row r="2115" spans="1:3" x14ac:dyDescent="0.25">
      <c r="A2115">
        <v>2024283</v>
      </c>
      <c r="B2115">
        <f>VLOOKUP($A2115,Data!$C$5:$AG$2561,F$4)</f>
        <v>10.6</v>
      </c>
      <c r="C2115">
        <f>VLOOKUP($A2115,Data!$C$5:$AG$2561,G$4)</f>
        <v>-2.6</v>
      </c>
    </row>
    <row r="2116" spans="1:3" x14ac:dyDescent="0.25">
      <c r="A2116">
        <v>2024284</v>
      </c>
      <c r="B2116">
        <f>VLOOKUP($A2116,Data!$C$5:$AG$2561,F$4)</f>
        <v>9.8000000000000007</v>
      </c>
      <c r="C2116">
        <f>VLOOKUP($A2116,Data!$C$5:$AG$2561,G$4)</f>
        <v>-3.7</v>
      </c>
    </row>
    <row r="2117" spans="1:3" x14ac:dyDescent="0.25">
      <c r="A2117">
        <v>2024285</v>
      </c>
      <c r="B2117">
        <f>VLOOKUP($A2117,Data!$C$5:$AG$2561,F$4)</f>
        <v>13.3</v>
      </c>
      <c r="C2117">
        <f>VLOOKUP($A2117,Data!$C$5:$AG$2561,G$4)</f>
        <v>-4.4000000000000004</v>
      </c>
    </row>
    <row r="2118" spans="1:3" x14ac:dyDescent="0.25">
      <c r="A2118">
        <v>2024286</v>
      </c>
      <c r="B2118">
        <f>VLOOKUP($A2118,Data!$C$5:$AG$2561,F$4)</f>
        <v>17.399999999999999</v>
      </c>
      <c r="C2118">
        <f>VLOOKUP($A2118,Data!$C$5:$AG$2561,G$4)</f>
        <v>-2.6</v>
      </c>
    </row>
    <row r="2119" spans="1:3" x14ac:dyDescent="0.25">
      <c r="A2119">
        <v>2024287</v>
      </c>
      <c r="B2119">
        <f>VLOOKUP($A2119,Data!$C$5:$AG$2561,F$4)</f>
        <v>18.899999999999999</v>
      </c>
      <c r="C2119">
        <f>VLOOKUP($A2119,Data!$C$5:$AG$2561,G$4)</f>
        <v>-1.5</v>
      </c>
    </row>
    <row r="2120" spans="1:3" x14ac:dyDescent="0.25">
      <c r="A2120">
        <v>2024288</v>
      </c>
      <c r="B2120">
        <f>VLOOKUP($A2120,Data!$C$5:$AG$2561,F$4)</f>
        <v>16.8</v>
      </c>
      <c r="C2120">
        <f>VLOOKUP($A2120,Data!$C$5:$AG$2561,G$4)</f>
        <v>-0.1</v>
      </c>
    </row>
    <row r="2121" spans="1:3" x14ac:dyDescent="0.25">
      <c r="A2121">
        <v>2024289</v>
      </c>
      <c r="B2121">
        <f>VLOOKUP($A2121,Data!$C$5:$AG$2561,F$4)</f>
        <v>11.8</v>
      </c>
      <c r="C2121">
        <f>VLOOKUP($A2121,Data!$C$5:$AG$2561,G$4)</f>
        <v>4.8</v>
      </c>
    </row>
    <row r="2122" spans="1:3" x14ac:dyDescent="0.25">
      <c r="A2122">
        <v>2024290</v>
      </c>
      <c r="B2122">
        <f>VLOOKUP($A2122,Data!$C$5:$AG$2561,F$4)</f>
        <v>7</v>
      </c>
      <c r="C2122">
        <f>VLOOKUP($A2122,Data!$C$5:$AG$2561,G$4)</f>
        <v>-2.1</v>
      </c>
    </row>
    <row r="2123" spans="1:3" x14ac:dyDescent="0.25">
      <c r="A2123">
        <v>2024291</v>
      </c>
      <c r="B2123">
        <f>VLOOKUP($A2123,Data!$C$5:$AG$2561,F$4)</f>
        <v>3.8</v>
      </c>
      <c r="C2123">
        <f>VLOOKUP($A2123,Data!$C$5:$AG$2561,G$4)</f>
        <v>-5.9</v>
      </c>
    </row>
    <row r="2124" spans="1:3" x14ac:dyDescent="0.25">
      <c r="A2124">
        <v>2024292</v>
      </c>
      <c r="B2124">
        <f>VLOOKUP($A2124,Data!$C$5:$AG$2561,F$4)</f>
        <v>0.3</v>
      </c>
      <c r="C2124">
        <f>VLOOKUP($A2124,Data!$C$5:$AG$2561,G$4)</f>
        <v>-7</v>
      </c>
    </row>
    <row r="2125" spans="1:3" x14ac:dyDescent="0.25">
      <c r="A2125">
        <v>2024293</v>
      </c>
      <c r="B2125">
        <f>VLOOKUP($A2125,Data!$C$5:$AG$2561,F$4)</f>
        <v>5.5</v>
      </c>
      <c r="C2125">
        <f>VLOOKUP($A2125,Data!$C$5:$AG$2561,G$4)</f>
        <v>-0.5</v>
      </c>
    </row>
    <row r="2126" spans="1:3" x14ac:dyDescent="0.25">
      <c r="A2126">
        <v>2024294</v>
      </c>
      <c r="B2126">
        <f>VLOOKUP($A2126,Data!$C$5:$AG$2561,F$4)</f>
        <v>10</v>
      </c>
      <c r="C2126">
        <f>VLOOKUP($A2126,Data!$C$5:$AG$2561,G$4)</f>
        <v>2.5</v>
      </c>
    </row>
    <row r="2127" spans="1:3" x14ac:dyDescent="0.25">
      <c r="A2127">
        <v>2024295</v>
      </c>
      <c r="B2127">
        <f>VLOOKUP($A2127,Data!$C$5:$AG$2561,F$4)</f>
        <v>5.8</v>
      </c>
      <c r="C2127">
        <f>VLOOKUP($A2127,Data!$C$5:$AG$2561,G$4)</f>
        <v>-1.3</v>
      </c>
    </row>
    <row r="2128" spans="1:3" x14ac:dyDescent="0.25">
      <c r="A2128">
        <v>2024296</v>
      </c>
      <c r="B2128">
        <f>VLOOKUP($A2128,Data!$C$5:$AG$2561,F$4)</f>
        <v>5.0999999999999996</v>
      </c>
      <c r="C2128">
        <f>VLOOKUP($A2128,Data!$C$5:$AG$2561,G$4)</f>
        <v>-4.4000000000000004</v>
      </c>
    </row>
    <row r="2129" spans="1:3" x14ac:dyDescent="0.25">
      <c r="A2129">
        <v>2024297</v>
      </c>
      <c r="B2129">
        <f>VLOOKUP($A2129,Data!$C$5:$AG$2561,F$4)</f>
        <v>4.7</v>
      </c>
      <c r="C2129">
        <f>VLOOKUP($A2129,Data!$C$5:$AG$2561,G$4)</f>
        <v>-6.2</v>
      </c>
    </row>
    <row r="2130" spans="1:3" x14ac:dyDescent="0.25">
      <c r="A2130">
        <v>2024298</v>
      </c>
      <c r="B2130">
        <f>VLOOKUP($A2130,Data!$C$5:$AG$2561,F$4)</f>
        <v>3.2</v>
      </c>
      <c r="C2130">
        <f>VLOOKUP($A2130,Data!$C$5:$AG$2561,G$4)</f>
        <v>-6.2</v>
      </c>
    </row>
    <row r="2131" spans="1:3" x14ac:dyDescent="0.25">
      <c r="A2131">
        <v>2024299</v>
      </c>
      <c r="B2131">
        <f>VLOOKUP($A2131,Data!$C$5:$AG$2561,F$4)</f>
        <v>2.1</v>
      </c>
      <c r="C2131">
        <f>VLOOKUP($A2131,Data!$C$5:$AG$2561,G$4)</f>
        <v>-6.7</v>
      </c>
    </row>
    <row r="2132" spans="1:3" x14ac:dyDescent="0.25">
      <c r="A2132">
        <v>2024300</v>
      </c>
      <c r="B2132">
        <f>VLOOKUP($A2132,Data!$C$5:$AG$2561,F$4)</f>
        <v>7.8</v>
      </c>
      <c r="C2132">
        <f>VLOOKUP($A2132,Data!$C$5:$AG$2561,G$4)</f>
        <v>1</v>
      </c>
    </row>
    <row r="2133" spans="1:3" x14ac:dyDescent="0.25">
      <c r="A2133">
        <v>2024301</v>
      </c>
      <c r="B2133">
        <f>VLOOKUP($A2133,Data!$C$5:$AG$2561,F$4)</f>
        <v>4.8</v>
      </c>
      <c r="C2133">
        <f>VLOOKUP($A2133,Data!$C$5:$AG$2561,G$4)</f>
        <v>-1.2</v>
      </c>
    </row>
    <row r="2134" spans="1:3" x14ac:dyDescent="0.25">
      <c r="A2134">
        <v>2024302</v>
      </c>
      <c r="B2134">
        <f>VLOOKUP($A2134,Data!$C$5:$AG$2561,F$4)</f>
        <v>2.1</v>
      </c>
      <c r="C2134">
        <f>VLOOKUP($A2134,Data!$C$5:$AG$2561,G$4)</f>
        <v>-1.8</v>
      </c>
    </row>
    <row r="2135" spans="1:3" x14ac:dyDescent="0.25">
      <c r="A2135">
        <v>2024303</v>
      </c>
      <c r="B2135">
        <f>VLOOKUP($A2135,Data!$C$5:$AG$2561,F$4)</f>
        <v>3.3</v>
      </c>
      <c r="C2135">
        <f>VLOOKUP($A2135,Data!$C$5:$AG$2561,G$4)</f>
        <v>-3.5</v>
      </c>
    </row>
    <row r="2136" spans="1:3" x14ac:dyDescent="0.25">
      <c r="A2136">
        <v>2024304</v>
      </c>
      <c r="B2136">
        <f>VLOOKUP($A2136,Data!$C$5:$AG$2561,F$4)</f>
        <v>0.1</v>
      </c>
      <c r="C2136">
        <f>VLOOKUP($A2136,Data!$C$5:$AG$2561,G$4)</f>
        <v>-2</v>
      </c>
    </row>
    <row r="2137" spans="1:3" x14ac:dyDescent="0.25">
      <c r="A2137">
        <v>2024305</v>
      </c>
      <c r="B2137">
        <f>VLOOKUP($A2137,Data!$C$5:$AG$2561,F$4)</f>
        <v>1.3</v>
      </c>
      <c r="C2137">
        <f>VLOOKUP($A2137,Data!$C$5:$AG$2561,G$4)</f>
        <v>-5.6</v>
      </c>
    </row>
    <row r="2138" spans="1:3" x14ac:dyDescent="0.25">
      <c r="A2138">
        <v>2024306</v>
      </c>
      <c r="B2138">
        <f>VLOOKUP($A2138,Data!$C$5:$AG$2561,F$4)</f>
        <v>-0.2</v>
      </c>
      <c r="C2138">
        <f>VLOOKUP($A2138,Data!$C$5:$AG$2561,G$4)</f>
        <v>-2.9</v>
      </c>
    </row>
    <row r="2139" spans="1:3" x14ac:dyDescent="0.25">
      <c r="A2139">
        <v>2024307</v>
      </c>
      <c r="B2139">
        <f>VLOOKUP($A2139,Data!$C$5:$AG$2561,F$4)</f>
        <v>1.1000000000000001</v>
      </c>
      <c r="C2139">
        <f>VLOOKUP($A2139,Data!$C$5:$AG$2561,G$4)</f>
        <v>-4.0999999999999996</v>
      </c>
    </row>
    <row r="2140" spans="1:3" x14ac:dyDescent="0.25">
      <c r="A2140">
        <v>2024308</v>
      </c>
      <c r="B2140">
        <f>VLOOKUP($A2140,Data!$C$5:$AG$2561,F$4)</f>
        <v>0.7</v>
      </c>
      <c r="C2140">
        <f>VLOOKUP($A2140,Data!$C$5:$AG$2561,G$4)</f>
        <v>-5.3</v>
      </c>
    </row>
    <row r="2141" spans="1:3" x14ac:dyDescent="0.25">
      <c r="A2141">
        <v>2024309</v>
      </c>
      <c r="B2141">
        <f>VLOOKUP($A2141,Data!$C$5:$AG$2561,F$4)</f>
        <v>0.6</v>
      </c>
      <c r="C2141">
        <f>VLOOKUP($A2141,Data!$C$5:$AG$2561,G$4)</f>
        <v>-3.3</v>
      </c>
    </row>
    <row r="2142" spans="1:3" x14ac:dyDescent="0.25">
      <c r="A2142">
        <v>2024310</v>
      </c>
      <c r="B2142">
        <f>VLOOKUP($A2142,Data!$C$5:$AG$2561,F$4)</f>
        <v>-2.9</v>
      </c>
      <c r="C2142">
        <f>VLOOKUP($A2142,Data!$C$5:$AG$2561,G$4)</f>
        <v>-12.5</v>
      </c>
    </row>
    <row r="2143" spans="1:3" x14ac:dyDescent="0.25">
      <c r="A2143">
        <v>2024311</v>
      </c>
      <c r="B2143">
        <f>VLOOKUP($A2143,Data!$C$5:$AG$2561,F$4)</f>
        <v>0.8</v>
      </c>
      <c r="C2143">
        <f>VLOOKUP($A2143,Data!$C$5:$AG$2561,G$4)</f>
        <v>-12.8</v>
      </c>
    </row>
    <row r="2144" spans="1:3" x14ac:dyDescent="0.25">
      <c r="A2144">
        <v>2024312</v>
      </c>
      <c r="B2144">
        <f>VLOOKUP($A2144,Data!$C$5:$AG$2561,F$4)</f>
        <v>1</v>
      </c>
      <c r="C2144">
        <f>VLOOKUP($A2144,Data!$C$5:$AG$2561,G$4)</f>
        <v>-6.7</v>
      </c>
    </row>
    <row r="2145" spans="1:3" x14ac:dyDescent="0.25">
      <c r="A2145">
        <v>2024313</v>
      </c>
      <c r="B2145">
        <f>VLOOKUP($A2145,Data!$C$5:$AG$2561,F$4)</f>
        <v>1.8</v>
      </c>
      <c r="C2145">
        <f>VLOOKUP($A2145,Data!$C$5:$AG$2561,G$4)</f>
        <v>-2.8</v>
      </c>
    </row>
    <row r="2146" spans="1:3" x14ac:dyDescent="0.25">
      <c r="A2146">
        <v>2024314</v>
      </c>
      <c r="B2146">
        <f>VLOOKUP($A2146,Data!$C$5:$AG$2561,F$4)</f>
        <v>2.8</v>
      </c>
      <c r="C2146">
        <f>VLOOKUP($A2146,Data!$C$5:$AG$2561,G$4)</f>
        <v>-0.9</v>
      </c>
    </row>
    <row r="2147" spans="1:3" x14ac:dyDescent="0.25">
      <c r="A2147">
        <v>2024315</v>
      </c>
      <c r="B2147">
        <f>VLOOKUP($A2147,Data!$C$5:$AG$2561,F$4)</f>
        <v>1.4</v>
      </c>
      <c r="C2147">
        <f>VLOOKUP($A2147,Data!$C$5:$AG$2561,G$4)</f>
        <v>-2.1</v>
      </c>
    </row>
    <row r="2148" spans="1:3" x14ac:dyDescent="0.25">
      <c r="A2148">
        <v>2024316</v>
      </c>
      <c r="B2148">
        <f>VLOOKUP($A2148,Data!$C$5:$AG$2561,F$4)</f>
        <v>2.4</v>
      </c>
      <c r="C2148">
        <f>VLOOKUP($A2148,Data!$C$5:$AG$2561,G$4)</f>
        <v>-3.3</v>
      </c>
    </row>
    <row r="2149" spans="1:3" x14ac:dyDescent="0.25">
      <c r="A2149">
        <v>2024317</v>
      </c>
      <c r="B2149">
        <f>VLOOKUP($A2149,Data!$C$5:$AG$2561,F$4)</f>
        <v>2.1</v>
      </c>
      <c r="C2149">
        <f>VLOOKUP($A2149,Data!$C$5:$AG$2561,G$4)</f>
        <v>-2.5</v>
      </c>
    </row>
    <row r="2150" spans="1:3" x14ac:dyDescent="0.25">
      <c r="A2150">
        <v>2024318</v>
      </c>
      <c r="B2150">
        <f>VLOOKUP($A2150,Data!$C$5:$AG$2561,F$4)</f>
        <v>0.5</v>
      </c>
      <c r="C2150">
        <f>VLOOKUP($A2150,Data!$C$5:$AG$2561,G$4)</f>
        <v>-1.2</v>
      </c>
    </row>
    <row r="2151" spans="1:3" x14ac:dyDescent="0.25">
      <c r="A2151">
        <v>2024319</v>
      </c>
      <c r="B2151">
        <f>VLOOKUP($A2151,Data!$C$5:$AG$2561,F$4)</f>
        <v>0.9</v>
      </c>
      <c r="C2151">
        <f>VLOOKUP($A2151,Data!$C$5:$AG$2561,G$4)</f>
        <v>-4.5999999999999996</v>
      </c>
    </row>
    <row r="2152" spans="1:3" x14ac:dyDescent="0.25">
      <c r="A2152">
        <v>2024320</v>
      </c>
      <c r="B2152">
        <f>VLOOKUP($A2152,Data!$C$5:$AG$2561,F$4)</f>
        <v>0</v>
      </c>
      <c r="C2152">
        <f>VLOOKUP($A2152,Data!$C$5:$AG$2561,G$4)</f>
        <v>-11.4</v>
      </c>
    </row>
    <row r="2153" spans="1:3" x14ac:dyDescent="0.25">
      <c r="A2153">
        <v>2024321</v>
      </c>
      <c r="B2153">
        <f>VLOOKUP($A2153,Data!$C$5:$AG$2561,F$4)</f>
        <v>-3.3</v>
      </c>
      <c r="C2153">
        <f>VLOOKUP($A2153,Data!$C$5:$AG$2561,G$4)</f>
        <v>-12.7</v>
      </c>
    </row>
    <row r="2154" spans="1:3" x14ac:dyDescent="0.25">
      <c r="A2154">
        <v>2024322</v>
      </c>
      <c r="B2154">
        <f>VLOOKUP($A2154,Data!$C$5:$AG$2561,F$4)</f>
        <v>0</v>
      </c>
      <c r="C2154">
        <f>VLOOKUP($A2154,Data!$C$5:$AG$2561,G$4)</f>
        <v>-5.2</v>
      </c>
    </row>
    <row r="2155" spans="1:3" x14ac:dyDescent="0.25">
      <c r="A2155">
        <v>2024323</v>
      </c>
      <c r="B2155">
        <f>VLOOKUP($A2155,Data!$C$5:$AG$2561,F$4)</f>
        <v>-3.4</v>
      </c>
      <c r="C2155">
        <f>VLOOKUP($A2155,Data!$C$5:$AG$2561,G$4)</f>
        <v>-15.7</v>
      </c>
    </row>
    <row r="2156" spans="1:3" x14ac:dyDescent="0.25">
      <c r="A2156">
        <v>2024324</v>
      </c>
      <c r="B2156">
        <f>VLOOKUP($A2156,Data!$C$5:$AG$2561,F$4)</f>
        <v>-4.0999999999999996</v>
      </c>
      <c r="C2156">
        <f>VLOOKUP($A2156,Data!$C$5:$AG$2561,G$4)</f>
        <v>-16.3</v>
      </c>
    </row>
    <row r="2157" spans="1:3" x14ac:dyDescent="0.25">
      <c r="A2157">
        <v>2024325</v>
      </c>
      <c r="B2157">
        <f>VLOOKUP($A2157,Data!$C$5:$AG$2561,F$4)</f>
        <v>-1.8</v>
      </c>
      <c r="C2157">
        <f>VLOOKUP($A2157,Data!$C$5:$AG$2561,G$4)</f>
        <v>-5.9</v>
      </c>
    </row>
    <row r="2158" spans="1:3" x14ac:dyDescent="0.25">
      <c r="A2158">
        <v>2024326</v>
      </c>
      <c r="B2158">
        <f>VLOOKUP($A2158,Data!$C$5:$AG$2561,F$4)</f>
        <v>-1</v>
      </c>
      <c r="C2158">
        <f>VLOOKUP($A2158,Data!$C$5:$AG$2561,G$4)</f>
        <v>-4.0999999999999996</v>
      </c>
    </row>
    <row r="2159" spans="1:3" x14ac:dyDescent="0.25">
      <c r="A2159">
        <v>2024327</v>
      </c>
      <c r="B2159">
        <f>VLOOKUP($A2159,Data!$C$5:$AG$2561,F$4)</f>
        <v>1.4</v>
      </c>
      <c r="C2159">
        <f>VLOOKUP($A2159,Data!$C$5:$AG$2561,G$4)</f>
        <v>-3.5</v>
      </c>
    </row>
    <row r="2160" spans="1:3" x14ac:dyDescent="0.25">
      <c r="A2160">
        <v>2024328</v>
      </c>
      <c r="B2160">
        <f>VLOOKUP($A2160,Data!$C$5:$AG$2561,F$4)</f>
        <v>0.2</v>
      </c>
      <c r="C2160">
        <f>VLOOKUP($A2160,Data!$C$5:$AG$2561,G$4)</f>
        <v>-8.3000000000000007</v>
      </c>
    </row>
    <row r="2161" spans="1:3" x14ac:dyDescent="0.25">
      <c r="A2161">
        <v>2024329</v>
      </c>
      <c r="B2161">
        <f>VLOOKUP($A2161,Data!$C$5:$AG$2561,F$4)</f>
        <v>-2.2000000000000002</v>
      </c>
      <c r="C2161">
        <f>VLOOKUP($A2161,Data!$C$5:$AG$2561,G$4)</f>
        <v>-11.9</v>
      </c>
    </row>
    <row r="2162" spans="1:3" x14ac:dyDescent="0.25">
      <c r="A2162">
        <v>2024330</v>
      </c>
      <c r="B2162">
        <f>VLOOKUP($A2162,Data!$C$5:$AG$2561,F$4)</f>
        <v>-0.2</v>
      </c>
      <c r="C2162">
        <f>VLOOKUP($A2162,Data!$C$5:$AG$2561,G$4)</f>
        <v>-6.5</v>
      </c>
    </row>
    <row r="2163" spans="1:3" x14ac:dyDescent="0.25">
      <c r="A2163">
        <v>2024331</v>
      </c>
      <c r="B2163">
        <f>VLOOKUP($A2163,Data!$C$5:$AG$2561,F$4)</f>
        <v>-2.2999999999999998</v>
      </c>
      <c r="C2163">
        <f>VLOOKUP($A2163,Data!$C$5:$AG$2561,G$4)</f>
        <v>-14.5</v>
      </c>
    </row>
    <row r="2164" spans="1:3" x14ac:dyDescent="0.25">
      <c r="A2164">
        <v>2024332</v>
      </c>
      <c r="B2164">
        <f>VLOOKUP($A2164,Data!$C$5:$AG$2561,F$4)</f>
        <v>-3.9</v>
      </c>
      <c r="C2164">
        <f>VLOOKUP($A2164,Data!$C$5:$AG$2561,G$4)</f>
        <v>-16.2</v>
      </c>
    </row>
    <row r="2165" spans="1:3" x14ac:dyDescent="0.25">
      <c r="A2165">
        <v>2024333</v>
      </c>
      <c r="B2165">
        <f>VLOOKUP($A2165,Data!$C$5:$AG$2561,F$4)</f>
        <v>-5.0999999999999996</v>
      </c>
      <c r="C2165">
        <f>VLOOKUP($A2165,Data!$C$5:$AG$2561,G$4)</f>
        <v>-12.5</v>
      </c>
    </row>
    <row r="2166" spans="1:3" x14ac:dyDescent="0.25">
      <c r="A2166">
        <v>2024334</v>
      </c>
      <c r="B2166">
        <f>VLOOKUP($A2166,Data!$C$5:$AG$2561,F$4)</f>
        <v>-2</v>
      </c>
      <c r="C2166">
        <f>VLOOKUP($A2166,Data!$C$5:$AG$2561,G$4)</f>
        <v>-15.4</v>
      </c>
    </row>
    <row r="2167" spans="1:3" x14ac:dyDescent="0.25">
      <c r="A2167">
        <v>2024335</v>
      </c>
      <c r="B2167">
        <f>VLOOKUP($A2167,Data!$C$5:$AG$2561,F$4)</f>
        <v>-0.6</v>
      </c>
      <c r="C2167">
        <f>VLOOKUP($A2167,Data!$C$5:$AG$2561,G$4)</f>
        <v>-8.3000000000000007</v>
      </c>
    </row>
    <row r="2168" spans="1:3" x14ac:dyDescent="0.25">
      <c r="A2168">
        <v>2024336</v>
      </c>
      <c r="B2168">
        <f>VLOOKUP($A2168,Data!$C$5:$AG$2561,F$4)</f>
        <v>-0.8</v>
      </c>
      <c r="C2168">
        <f>VLOOKUP($A2168,Data!$C$5:$AG$2561,G$4)</f>
        <v>-11.4</v>
      </c>
    </row>
    <row r="2169" spans="1:3" x14ac:dyDescent="0.25">
      <c r="A2169">
        <v>2024337</v>
      </c>
      <c r="B2169">
        <f>VLOOKUP($A2169,Data!$C$5:$AG$2561,F$4)</f>
        <v>-1.5</v>
      </c>
      <c r="C2169">
        <f>VLOOKUP($A2169,Data!$C$5:$AG$2561,G$4)</f>
        <v>-13.1</v>
      </c>
    </row>
    <row r="2170" spans="1:3" x14ac:dyDescent="0.25">
      <c r="A2170">
        <v>2024338</v>
      </c>
      <c r="B2170">
        <f>VLOOKUP($A2170,Data!$C$5:$AG$2561,F$4)</f>
        <v>3</v>
      </c>
      <c r="C2170">
        <f>VLOOKUP($A2170,Data!$C$5:$AG$2561,G$4)</f>
        <v>-9.9</v>
      </c>
    </row>
    <row r="2171" spans="1:3" x14ac:dyDescent="0.25">
      <c r="A2171">
        <v>2024339</v>
      </c>
      <c r="B2171">
        <f>VLOOKUP($A2171,Data!$C$5:$AG$2561,F$4)</f>
        <v>2.2999999999999998</v>
      </c>
      <c r="C2171">
        <f>VLOOKUP($A2171,Data!$C$5:$AG$2561,G$4)</f>
        <v>-6.1</v>
      </c>
    </row>
    <row r="2172" spans="1:3" x14ac:dyDescent="0.25">
      <c r="A2172">
        <v>2024340</v>
      </c>
      <c r="B2172">
        <f>VLOOKUP($A2172,Data!$C$5:$AG$2561,F$4)</f>
        <v>3.4</v>
      </c>
      <c r="C2172">
        <f>VLOOKUP($A2172,Data!$C$5:$AG$2561,G$4)</f>
        <v>-7.6</v>
      </c>
    </row>
    <row r="2173" spans="1:3" x14ac:dyDescent="0.25">
      <c r="A2173">
        <v>2024341</v>
      </c>
      <c r="B2173">
        <f>VLOOKUP($A2173,Data!$C$5:$AG$2561,F$4)</f>
        <v>-2.1</v>
      </c>
      <c r="C2173">
        <f>VLOOKUP($A2173,Data!$C$5:$AG$2561,G$4)</f>
        <v>-7.2</v>
      </c>
    </row>
    <row r="2174" spans="1:3" x14ac:dyDescent="0.25">
      <c r="A2174">
        <v>2024342</v>
      </c>
      <c r="B2174">
        <f>VLOOKUP($A2174,Data!$C$5:$AG$2561,F$4)</f>
        <v>2</v>
      </c>
      <c r="C2174">
        <f>VLOOKUP($A2174,Data!$C$5:$AG$2561,G$4)</f>
        <v>-6.5</v>
      </c>
    </row>
    <row r="2175" spans="1:3" x14ac:dyDescent="0.25">
      <c r="A2175">
        <v>2024343</v>
      </c>
      <c r="B2175">
        <f>VLOOKUP($A2175,Data!$C$5:$AG$2561,F$4)</f>
        <v>-1.6</v>
      </c>
      <c r="C2175">
        <f>VLOOKUP($A2175,Data!$C$5:$AG$2561,G$4)</f>
        <v>-4.9000000000000004</v>
      </c>
    </row>
    <row r="2176" spans="1:3" x14ac:dyDescent="0.25">
      <c r="A2176">
        <v>2024344</v>
      </c>
      <c r="B2176">
        <f>VLOOKUP($A2176,Data!$C$5:$AG$2561,F$4)</f>
        <v>-1.1000000000000001</v>
      </c>
      <c r="C2176">
        <f>VLOOKUP($A2176,Data!$C$5:$AG$2561,G$4)</f>
        <v>-13.1</v>
      </c>
    </row>
    <row r="2177" spans="1:3" x14ac:dyDescent="0.25">
      <c r="A2177">
        <v>2024345</v>
      </c>
      <c r="B2177">
        <f>VLOOKUP($A2177,Data!$C$5:$AG$2561,F$4)</f>
        <v>-0.2</v>
      </c>
      <c r="C2177">
        <f>VLOOKUP($A2177,Data!$C$5:$AG$2561,G$4)</f>
        <v>-14</v>
      </c>
    </row>
    <row r="2178" spans="1:3" x14ac:dyDescent="0.25">
      <c r="A2178">
        <v>2024346</v>
      </c>
      <c r="B2178">
        <f>VLOOKUP($A2178,Data!$C$5:$AG$2561,F$4)</f>
        <v>-2.7</v>
      </c>
      <c r="C2178">
        <f>VLOOKUP($A2178,Data!$C$5:$AG$2561,G$4)</f>
        <v>-8.6</v>
      </c>
    </row>
    <row r="2179" spans="1:3" x14ac:dyDescent="0.25">
      <c r="A2179">
        <v>2024347</v>
      </c>
      <c r="B2179">
        <f>VLOOKUP($A2179,Data!$C$5:$AG$2561,F$4)</f>
        <v>-1.3</v>
      </c>
      <c r="C2179">
        <f>VLOOKUP($A2179,Data!$C$5:$AG$2561,G$4)</f>
        <v>-8.6</v>
      </c>
    </row>
    <row r="2180" spans="1:3" x14ac:dyDescent="0.25">
      <c r="A2180">
        <v>2024348</v>
      </c>
      <c r="B2180">
        <f>VLOOKUP($A2180,Data!$C$5:$AG$2561,F$4)</f>
        <v>-3</v>
      </c>
      <c r="C2180">
        <f>VLOOKUP($A2180,Data!$C$5:$AG$2561,G$4)</f>
        <v>-5.2</v>
      </c>
    </row>
    <row r="2181" spans="1:3" x14ac:dyDescent="0.25">
      <c r="A2181">
        <v>2024349</v>
      </c>
      <c r="B2181">
        <f>VLOOKUP($A2181,Data!$C$5:$AG$2561,F$4)</f>
        <v>0.9</v>
      </c>
      <c r="C2181">
        <f>VLOOKUP($A2181,Data!$C$5:$AG$2561,G$4)</f>
        <v>-5.8</v>
      </c>
    </row>
    <row r="2182" spans="1:3" x14ac:dyDescent="0.25">
      <c r="A2182">
        <v>2024350</v>
      </c>
      <c r="B2182">
        <f>VLOOKUP($A2182,Data!$C$5:$AG$2561,F$4)</f>
        <v>-2.4</v>
      </c>
      <c r="C2182">
        <f>VLOOKUP($A2182,Data!$C$5:$AG$2561,G$4)</f>
        <v>-13.2</v>
      </c>
    </row>
    <row r="2183" spans="1:3" x14ac:dyDescent="0.25">
      <c r="A2183">
        <v>2024351</v>
      </c>
      <c r="B2183">
        <f>VLOOKUP($A2183,Data!$C$5:$AG$2561,F$4)</f>
        <v>-4.5999999999999996</v>
      </c>
      <c r="C2183">
        <f>VLOOKUP($A2183,Data!$C$5:$AG$2561,G$4)</f>
        <v>-9.1</v>
      </c>
    </row>
    <row r="2184" spans="1:3" x14ac:dyDescent="0.25">
      <c r="A2184">
        <v>2024352</v>
      </c>
      <c r="B2184">
        <f>VLOOKUP($A2184,Data!$C$5:$AG$2561,F$4)</f>
        <v>-4.0999999999999996</v>
      </c>
      <c r="C2184">
        <f>VLOOKUP($A2184,Data!$C$5:$AG$2561,G$4)</f>
        <v>-7.5</v>
      </c>
    </row>
    <row r="2185" spans="1:3" x14ac:dyDescent="0.25">
      <c r="A2185">
        <v>2024353</v>
      </c>
      <c r="B2185">
        <f>VLOOKUP($A2185,Data!$C$5:$AG$2561,F$4)</f>
        <v>0.5</v>
      </c>
      <c r="C2185">
        <f>VLOOKUP($A2185,Data!$C$5:$AG$2561,G$4)</f>
        <v>-7.4</v>
      </c>
    </row>
    <row r="2186" spans="1:3" x14ac:dyDescent="0.25">
      <c r="A2186">
        <v>2024354</v>
      </c>
      <c r="B2186">
        <f>VLOOKUP($A2186,Data!$C$5:$AG$2561,F$4)</f>
        <v>0.6</v>
      </c>
      <c r="C2186">
        <f>VLOOKUP($A2186,Data!$C$5:$AG$2561,G$4)</f>
        <v>-10.8</v>
      </c>
    </row>
    <row r="2187" spans="1:3" x14ac:dyDescent="0.25">
      <c r="A2187">
        <v>2024355</v>
      </c>
      <c r="B2187">
        <f>VLOOKUP($A2187,Data!$C$5:$AG$2561,F$4)</f>
        <v>0.4</v>
      </c>
      <c r="C2187">
        <f>VLOOKUP($A2187,Data!$C$5:$AG$2561,G$4)</f>
        <v>-7.2</v>
      </c>
    </row>
    <row r="2188" spans="1:3" x14ac:dyDescent="0.25">
      <c r="A2188">
        <v>2024356</v>
      </c>
      <c r="B2188">
        <f>VLOOKUP($A2188,Data!$C$5:$AG$2561,F$4)</f>
        <v>1.9</v>
      </c>
      <c r="C2188">
        <f>VLOOKUP($A2188,Data!$C$5:$AG$2561,G$4)</f>
        <v>-6.3</v>
      </c>
    </row>
    <row r="2189" spans="1:3" x14ac:dyDescent="0.25">
      <c r="A2189">
        <v>2024357</v>
      </c>
      <c r="B2189">
        <f>VLOOKUP($A2189,Data!$C$5:$AG$2561,F$4)</f>
        <v>-0.9</v>
      </c>
      <c r="C2189">
        <f>VLOOKUP($A2189,Data!$C$5:$AG$2561,G$4)</f>
        <v>-9.1</v>
      </c>
    </row>
    <row r="2190" spans="1:3" x14ac:dyDescent="0.25">
      <c r="A2190">
        <v>2024358</v>
      </c>
      <c r="B2190">
        <f>VLOOKUP($A2190,Data!$C$5:$AG$2561,F$4)</f>
        <v>0.5</v>
      </c>
      <c r="C2190">
        <f>VLOOKUP($A2190,Data!$C$5:$AG$2561,G$4)</f>
        <v>-4</v>
      </c>
    </row>
    <row r="2191" spans="1:3" x14ac:dyDescent="0.25">
      <c r="A2191">
        <v>2024359</v>
      </c>
      <c r="B2191">
        <f>VLOOKUP($A2191,Data!$C$5:$AG$2561,F$4)</f>
        <v>0.7</v>
      </c>
      <c r="C2191">
        <f>VLOOKUP($A2191,Data!$C$5:$AG$2561,G$4)</f>
        <v>-8.3000000000000007</v>
      </c>
    </row>
    <row r="2192" spans="1:3" x14ac:dyDescent="0.25">
      <c r="A2192">
        <v>2024360</v>
      </c>
      <c r="B2192">
        <f>VLOOKUP($A2192,Data!$C$5:$AG$2561,F$4)</f>
        <v>-4.2</v>
      </c>
      <c r="C2192">
        <f>VLOOKUP($A2192,Data!$C$5:$AG$2561,G$4)</f>
        <v>-13.6</v>
      </c>
    </row>
    <row r="2193" spans="1:3" x14ac:dyDescent="0.25">
      <c r="A2193">
        <v>2024361</v>
      </c>
      <c r="B2193">
        <f>VLOOKUP($A2193,Data!$C$5:$AG$2561,F$4)</f>
        <v>-0.8</v>
      </c>
      <c r="C2193">
        <f>VLOOKUP($A2193,Data!$C$5:$AG$2561,G$4)</f>
        <v>-8.1999999999999993</v>
      </c>
    </row>
    <row r="2194" spans="1:3" x14ac:dyDescent="0.25">
      <c r="A2194">
        <v>2024362</v>
      </c>
      <c r="B2194">
        <f>VLOOKUP($A2194,Data!$C$5:$AG$2561,F$4)</f>
        <v>-1.9</v>
      </c>
      <c r="C2194">
        <f>VLOOKUP($A2194,Data!$C$5:$AG$2561,G$4)</f>
        <v>-12.5</v>
      </c>
    </row>
    <row r="2195" spans="1:3" x14ac:dyDescent="0.25">
      <c r="A2195">
        <v>2024363</v>
      </c>
      <c r="B2195">
        <f>VLOOKUP($A2195,Data!$C$5:$AG$2561,F$4)</f>
        <v>0.1</v>
      </c>
      <c r="C2195">
        <f>VLOOKUP($A2195,Data!$C$5:$AG$2561,G$4)</f>
        <v>-6.1</v>
      </c>
    </row>
    <row r="2196" spans="1:3" x14ac:dyDescent="0.25">
      <c r="A2196">
        <v>2024364</v>
      </c>
      <c r="B2196">
        <f>VLOOKUP($A2196,Data!$C$5:$AG$2561,F$4)</f>
        <v>0.1</v>
      </c>
      <c r="C2196">
        <f>VLOOKUP($A2196,Data!$C$5:$AG$2561,G$4)</f>
        <v>-8.4</v>
      </c>
    </row>
    <row r="2197" spans="1:3" x14ac:dyDescent="0.25">
      <c r="A2197">
        <v>2024365</v>
      </c>
      <c r="B2197">
        <f>VLOOKUP($A2197,Data!$C$5:$AG$2561,F$4)</f>
        <v>-2.6</v>
      </c>
      <c r="C2197">
        <f>VLOOKUP($A2197,Data!$C$5:$AG$2561,G$4)</f>
        <v>-6.1</v>
      </c>
    </row>
    <row r="2198" spans="1:3" x14ac:dyDescent="0.25">
      <c r="A2198">
        <v>2024366</v>
      </c>
      <c r="B2198">
        <f>VLOOKUP($A2198,Data!$C$5:$AG$2561,F$4)</f>
        <v>-2.8</v>
      </c>
      <c r="C2198">
        <f>VLOOKUP($A2198,Data!$C$5:$AG$2561,G$4)</f>
        <v>-12.2</v>
      </c>
    </row>
    <row r="2199" spans="1:3" x14ac:dyDescent="0.25">
      <c r="A2199">
        <v>2025001</v>
      </c>
      <c r="B2199">
        <f>VLOOKUP($A2199,Data!$C$5:$AG$2561,F$4)</f>
        <v>-4.9000000000000004</v>
      </c>
      <c r="C2199">
        <f>VLOOKUP($A2199,Data!$C$5:$AG$2561,G$4)</f>
        <v>-7</v>
      </c>
    </row>
    <row r="2200" spans="1:3" x14ac:dyDescent="0.25">
      <c r="A2200">
        <v>2025002</v>
      </c>
      <c r="B2200">
        <f>VLOOKUP($A2200,Data!$C$5:$AG$2561,F$4)</f>
        <v>-5.7</v>
      </c>
      <c r="C2200">
        <f>VLOOKUP($A2200,Data!$C$5:$AG$2561,G$4)</f>
        <v>-8.4</v>
      </c>
    </row>
    <row r="2201" spans="1:3" x14ac:dyDescent="0.25">
      <c r="A2201">
        <v>2025003</v>
      </c>
      <c r="B2201">
        <f>VLOOKUP($A2201,Data!$C$5:$AG$2561,F$4)</f>
        <v>-2.5</v>
      </c>
      <c r="C2201">
        <f>VLOOKUP($A2201,Data!$C$5:$AG$2561,G$4)</f>
        <v>-6.4</v>
      </c>
    </row>
    <row r="2202" spans="1:3" x14ac:dyDescent="0.25">
      <c r="A2202">
        <v>2025004</v>
      </c>
      <c r="B2202">
        <f>VLOOKUP($A2202,Data!$C$5:$AG$2561,F$4)</f>
        <v>0</v>
      </c>
      <c r="C2202">
        <f>VLOOKUP($A2202,Data!$C$5:$AG$2561,G$4)</f>
        <v>-5.5</v>
      </c>
    </row>
    <row r="2203" spans="1:3" x14ac:dyDescent="0.25">
      <c r="A2203">
        <v>2025005</v>
      </c>
      <c r="B2203">
        <f>VLOOKUP($A2203,Data!$C$5:$AG$2561,F$4)</f>
        <v>0.5</v>
      </c>
      <c r="C2203">
        <f>VLOOKUP($A2203,Data!$C$5:$AG$2561,G$4)</f>
        <v>-7.4</v>
      </c>
    </row>
    <row r="2204" spans="1:3" x14ac:dyDescent="0.25">
      <c r="A2204">
        <v>2025006</v>
      </c>
      <c r="B2204">
        <f>VLOOKUP($A2204,Data!$C$5:$AG$2561,F$4)</f>
        <v>-1.1000000000000001</v>
      </c>
      <c r="C2204">
        <f>VLOOKUP($A2204,Data!$C$5:$AG$2561,G$4)</f>
        <v>-11.3</v>
      </c>
    </row>
    <row r="2205" spans="1:3" x14ac:dyDescent="0.25">
      <c r="A2205">
        <v>2025007</v>
      </c>
      <c r="B2205">
        <f>VLOOKUP($A2205,Data!$C$5:$AG$2561,F$4)</f>
        <v>-4.8</v>
      </c>
      <c r="C2205">
        <f>VLOOKUP($A2205,Data!$C$5:$AG$2561,G$4)</f>
        <v>-13.7</v>
      </c>
    </row>
    <row r="2206" spans="1:3" x14ac:dyDescent="0.25">
      <c r="A2206">
        <v>2025008</v>
      </c>
      <c r="B2206">
        <f>VLOOKUP($A2206,Data!$C$5:$AG$2561,F$4)</f>
        <v>1.3</v>
      </c>
      <c r="C2206">
        <f>VLOOKUP($A2206,Data!$C$5:$AG$2561,G$4)</f>
        <v>-8.6</v>
      </c>
    </row>
    <row r="2207" spans="1:3" x14ac:dyDescent="0.25">
      <c r="A2207">
        <v>2025009</v>
      </c>
      <c r="B2207">
        <f>VLOOKUP($A2207,Data!$C$5:$AG$2561,F$4)</f>
        <v>-1.4</v>
      </c>
      <c r="C2207">
        <f>VLOOKUP($A2207,Data!$C$5:$AG$2561,G$4)</f>
        <v>-9.6999999999999993</v>
      </c>
    </row>
    <row r="2208" spans="1:3" x14ac:dyDescent="0.25">
      <c r="A2208">
        <v>2025010</v>
      </c>
      <c r="B2208">
        <f>VLOOKUP($A2208,Data!$C$5:$AG$2561,F$4)</f>
        <v>-1.6</v>
      </c>
      <c r="C2208">
        <f>VLOOKUP($A2208,Data!$C$5:$AG$2561,G$4)</f>
        <v>-6.6</v>
      </c>
    </row>
    <row r="2209" spans="1:3" x14ac:dyDescent="0.25">
      <c r="A2209">
        <v>2025011</v>
      </c>
      <c r="B2209">
        <f>VLOOKUP($A2209,Data!$C$5:$AG$2561,F$4)</f>
        <v>-2.7</v>
      </c>
      <c r="C2209">
        <f>VLOOKUP($A2209,Data!$C$5:$AG$2561,G$4)</f>
        <v>-5.2</v>
      </c>
    </row>
    <row r="2210" spans="1:3" x14ac:dyDescent="0.25">
      <c r="A2210">
        <v>2025012</v>
      </c>
      <c r="B2210">
        <f>VLOOKUP($A2210,Data!$C$5:$AG$2561,F$4)</f>
        <v>-3.5</v>
      </c>
      <c r="C2210">
        <f>VLOOKUP($A2210,Data!$C$5:$AG$2561,G$4)</f>
        <v>-6.9</v>
      </c>
    </row>
    <row r="2211" spans="1:3" x14ac:dyDescent="0.25">
      <c r="A2211">
        <v>2025013</v>
      </c>
      <c r="B2211">
        <f>VLOOKUP($A2211,Data!$C$5:$AG$2561,F$4)</f>
        <v>-0.3</v>
      </c>
      <c r="C2211">
        <f>VLOOKUP($A2211,Data!$C$5:$AG$2561,G$4)</f>
        <v>-10.9</v>
      </c>
    </row>
    <row r="2212" spans="1:3" x14ac:dyDescent="0.25">
      <c r="A2212">
        <v>2025014</v>
      </c>
      <c r="B2212">
        <f>VLOOKUP($A2212,Data!$C$5:$AG$2561,F$4)</f>
        <v>3.6</v>
      </c>
      <c r="C2212">
        <f>VLOOKUP($A2212,Data!$C$5:$AG$2561,G$4)</f>
        <v>-10.1</v>
      </c>
    </row>
    <row r="2213" spans="1:3" x14ac:dyDescent="0.25">
      <c r="A2213">
        <v>2025015</v>
      </c>
      <c r="B2213">
        <f>VLOOKUP($A2213,Data!$C$5:$AG$2561,F$4)</f>
        <v>4.0999999999999996</v>
      </c>
      <c r="C2213">
        <f>VLOOKUP($A2213,Data!$C$5:$AG$2561,G$4)</f>
        <v>-6</v>
      </c>
    </row>
    <row r="2214" spans="1:3" x14ac:dyDescent="0.25">
      <c r="A2214">
        <v>2025016</v>
      </c>
      <c r="B2214">
        <f>VLOOKUP($A2214,Data!$C$5:$AG$2561,F$4)</f>
        <v>0.5</v>
      </c>
      <c r="C2214">
        <f>VLOOKUP($A2214,Data!$C$5:$AG$2561,G$4)</f>
        <v>-8.6999999999999993</v>
      </c>
    </row>
    <row r="2215" spans="1:3" x14ac:dyDescent="0.25">
      <c r="A2215">
        <v>2025017</v>
      </c>
      <c r="B2215">
        <f>VLOOKUP($A2215,Data!$C$5:$AG$2561,F$4)</f>
        <v>-6</v>
      </c>
      <c r="C2215">
        <f>VLOOKUP($A2215,Data!$C$5:$AG$2561,G$4)</f>
        <v>-10.3</v>
      </c>
    </row>
    <row r="2216" spans="1:3" x14ac:dyDescent="0.25">
      <c r="A2216">
        <v>2025018</v>
      </c>
      <c r="B2216">
        <f>VLOOKUP($A2216,Data!$C$5:$AG$2561,F$4)</f>
        <v>-6.4</v>
      </c>
      <c r="C2216">
        <f>VLOOKUP($A2216,Data!$C$5:$AG$2561,G$4)</f>
        <v>-19</v>
      </c>
    </row>
    <row r="2217" spans="1:3" x14ac:dyDescent="0.25">
      <c r="A2217">
        <v>2025019</v>
      </c>
      <c r="B2217">
        <f>VLOOKUP($A2217,Data!$C$5:$AG$2561,F$4)</f>
        <v>-8.5</v>
      </c>
      <c r="C2217">
        <f>VLOOKUP($A2217,Data!$C$5:$AG$2561,G$4)</f>
        <v>-21.2</v>
      </c>
    </row>
    <row r="2218" spans="1:3" x14ac:dyDescent="0.25">
      <c r="A2218">
        <v>2025020</v>
      </c>
      <c r="B2218">
        <f>VLOOKUP($A2218,Data!$C$5:$AG$2561,F$4)</f>
        <v>-7.2</v>
      </c>
      <c r="C2218">
        <f>VLOOKUP($A2218,Data!$C$5:$AG$2561,G$4)</f>
        <v>-22.2</v>
      </c>
    </row>
    <row r="2219" spans="1:3" x14ac:dyDescent="0.25">
      <c r="A2219">
        <v>2025021</v>
      </c>
      <c r="B2219">
        <f>VLOOKUP($A2219,Data!$C$5:$AG$2561,F$4)</f>
        <v>-2.8</v>
      </c>
      <c r="C2219">
        <f>VLOOKUP($A2219,Data!$C$5:$AG$2561,G$4)</f>
        <v>-14.9</v>
      </c>
    </row>
    <row r="2220" spans="1:3" x14ac:dyDescent="0.25">
      <c r="A2220">
        <v>2025022</v>
      </c>
      <c r="B2220">
        <f>VLOOKUP($A2220,Data!$C$5:$AG$2561,F$4)</f>
        <v>-0.7</v>
      </c>
      <c r="C2220">
        <f>VLOOKUP($A2220,Data!$C$5:$AG$2561,G$4)</f>
        <v>-15.1</v>
      </c>
    </row>
    <row r="2221" spans="1:3" x14ac:dyDescent="0.25">
      <c r="A2221">
        <v>2025023</v>
      </c>
      <c r="B2221">
        <f>VLOOKUP($A2221,Data!$C$5:$AG$2561,F$4)</f>
        <v>-0.9</v>
      </c>
      <c r="C2221">
        <f>VLOOKUP($A2221,Data!$C$5:$AG$2561,G$4)</f>
        <v>-11.8</v>
      </c>
    </row>
    <row r="2222" spans="1:3" x14ac:dyDescent="0.25">
      <c r="A2222">
        <v>2025024</v>
      </c>
      <c r="B2222">
        <f>VLOOKUP($A2222,Data!$C$5:$AG$2561,F$4)</f>
        <v>-6.4</v>
      </c>
      <c r="C2222">
        <f>VLOOKUP($A2222,Data!$C$5:$AG$2561,G$4)</f>
        <v>-12.7</v>
      </c>
    </row>
    <row r="2223" spans="1:3" x14ac:dyDescent="0.25">
      <c r="A2223">
        <v>2025025</v>
      </c>
      <c r="B2223">
        <f>VLOOKUP($A2223,Data!$C$5:$AG$2561,F$4)</f>
        <v>-7.4</v>
      </c>
      <c r="C2223">
        <f>VLOOKUP($A2223,Data!$C$5:$AG$2561,G$4)</f>
        <v>-17.8</v>
      </c>
    </row>
    <row r="2224" spans="1:3" x14ac:dyDescent="0.25">
      <c r="A2224">
        <v>2025026</v>
      </c>
      <c r="B2224">
        <f>VLOOKUP($A2224,Data!$C$5:$AG$2561,F$4)</f>
        <v>-0.3</v>
      </c>
      <c r="C2224">
        <f>VLOOKUP($A2224,Data!$C$5:$AG$2561,G$4)</f>
        <v>-16.100000000000001</v>
      </c>
    </row>
    <row r="2225" spans="1:3" x14ac:dyDescent="0.25">
      <c r="A2225">
        <v>2025027</v>
      </c>
      <c r="B2225">
        <f>VLOOKUP($A2225,Data!$C$5:$AG$2561,F$4)</f>
        <v>4</v>
      </c>
      <c r="C2225">
        <f>VLOOKUP($A2225,Data!$C$5:$AG$2561,G$4)</f>
        <v>-11.6</v>
      </c>
    </row>
    <row r="2226" spans="1:3" x14ac:dyDescent="0.25">
      <c r="A2226">
        <v>2025028</v>
      </c>
      <c r="B2226">
        <f>VLOOKUP($A2226,Data!$C$5:$AG$2561,F$4)</f>
        <v>7.1</v>
      </c>
      <c r="C2226">
        <f>VLOOKUP($A2226,Data!$C$5:$AG$2561,G$4)</f>
        <v>-11</v>
      </c>
    </row>
    <row r="2227" spans="1:3" x14ac:dyDescent="0.25">
      <c r="A2227">
        <v>2025029</v>
      </c>
      <c r="B2227">
        <f>VLOOKUP($A2227,Data!$C$5:$AG$2561,F$4)</f>
        <v>5.2</v>
      </c>
      <c r="C2227">
        <f>VLOOKUP($A2227,Data!$C$5:$AG$2561,G$4)</f>
        <v>-14.1</v>
      </c>
    </row>
    <row r="2228" spans="1:3" x14ac:dyDescent="0.25">
      <c r="A2228">
        <v>2025030</v>
      </c>
      <c r="B2228">
        <f>VLOOKUP($A2228,Data!$C$5:$AG$2561,F$4)</f>
        <v>3.1</v>
      </c>
      <c r="C2228">
        <f>VLOOKUP($A2228,Data!$C$5:$AG$2561,G$4)</f>
        <v>-5.2</v>
      </c>
    </row>
    <row r="2229" spans="1:3" x14ac:dyDescent="0.25">
      <c r="A2229">
        <v>2025031</v>
      </c>
      <c r="B2229">
        <f>VLOOKUP($A2229,Data!$C$5:$AG$2561,F$4)</f>
        <v>-1.3</v>
      </c>
      <c r="C2229">
        <f>VLOOKUP($A2229,Data!$C$5:$AG$2561,G$4)</f>
        <v>-5.6</v>
      </c>
    </row>
    <row r="2230" spans="1:3" x14ac:dyDescent="0.25">
      <c r="A2230">
        <v>2025032</v>
      </c>
      <c r="B2230">
        <f>VLOOKUP($A2230,Data!$C$5:$AG$2561,F$4)</f>
        <v>-2.9</v>
      </c>
      <c r="C2230">
        <f>VLOOKUP($A2230,Data!$C$5:$AG$2561,G$4)</f>
        <v>-12.4</v>
      </c>
    </row>
    <row r="2231" spans="1:3" x14ac:dyDescent="0.25">
      <c r="A2231">
        <v>2025033</v>
      </c>
      <c r="B2231">
        <f>VLOOKUP($A2231,Data!$C$5:$AG$2561,F$4)</f>
        <v>-5.4</v>
      </c>
      <c r="C2231">
        <f>VLOOKUP($A2231,Data!$C$5:$AG$2561,G$4)</f>
        <v>-18.600000000000001</v>
      </c>
    </row>
    <row r="2232" spans="1:3" x14ac:dyDescent="0.25">
      <c r="A2232">
        <v>2025034</v>
      </c>
      <c r="B2232">
        <f>VLOOKUP($A2232,Data!$C$5:$AG$2561,F$4)</f>
        <v>-8.9</v>
      </c>
      <c r="C2232">
        <f>VLOOKUP($A2232,Data!$C$5:$AG$2561,G$4)</f>
        <v>-16.899999999999999</v>
      </c>
    </row>
    <row r="2233" spans="1:3" x14ac:dyDescent="0.25">
      <c r="A2233">
        <v>2025035</v>
      </c>
      <c r="B2233">
        <f>VLOOKUP($A2233,Data!$C$5:$AG$2561,F$4)</f>
        <v>-9.9</v>
      </c>
      <c r="C2233">
        <f>VLOOKUP($A2233,Data!$C$5:$AG$2561,G$4)</f>
        <v>-24.8</v>
      </c>
    </row>
    <row r="2234" spans="1:3" x14ac:dyDescent="0.25">
      <c r="A2234">
        <v>2025036</v>
      </c>
      <c r="B2234">
        <f>VLOOKUP($A2234,Data!$C$5:$AG$2561,F$4)</f>
        <v>-11.4</v>
      </c>
      <c r="C2234">
        <f>VLOOKUP($A2234,Data!$C$5:$AG$2561,G$4)</f>
        <v>-25</v>
      </c>
    </row>
    <row r="2235" spans="1:3" x14ac:dyDescent="0.25">
      <c r="A2235">
        <v>2025037</v>
      </c>
      <c r="B2235">
        <f>VLOOKUP($A2235,Data!$C$5:$AG$2561,F$4)</f>
        <v>-8.6</v>
      </c>
      <c r="C2235">
        <f>VLOOKUP($A2235,Data!$C$5:$AG$2561,G$4)</f>
        <v>-21</v>
      </c>
    </row>
    <row r="2236" spans="1:3" x14ac:dyDescent="0.25">
      <c r="A2236">
        <v>2025038</v>
      </c>
      <c r="B2236">
        <f>VLOOKUP($A2236,Data!$C$5:$AG$2561,F$4)</f>
        <v>-5</v>
      </c>
      <c r="C2236">
        <f>VLOOKUP($A2236,Data!$C$5:$AG$2561,G$4)</f>
        <v>-22.2</v>
      </c>
    </row>
    <row r="2237" spans="1:3" x14ac:dyDescent="0.25">
      <c r="A2237">
        <v>2025039</v>
      </c>
      <c r="B2237">
        <f>VLOOKUP($A2237,Data!$C$5:$AG$2561,F$4)</f>
        <v>-8.6999999999999993</v>
      </c>
      <c r="C2237">
        <f>VLOOKUP($A2237,Data!$C$5:$AG$2561,G$4)</f>
        <v>-20.3</v>
      </c>
    </row>
    <row r="2238" spans="1:3" x14ac:dyDescent="0.25">
      <c r="A2238">
        <v>2025040</v>
      </c>
      <c r="B2238">
        <f>VLOOKUP($A2238,Data!$C$5:$AG$2561,F$4)</f>
        <v>-9.4</v>
      </c>
      <c r="C2238">
        <f>VLOOKUP($A2238,Data!$C$5:$AG$2561,G$4)</f>
        <v>-22.3</v>
      </c>
    </row>
    <row r="2239" spans="1:3" x14ac:dyDescent="0.25">
      <c r="A2239">
        <v>2025041</v>
      </c>
      <c r="B2239">
        <f>VLOOKUP($A2239,Data!$C$5:$AG$2561,F$4)</f>
        <v>-13.3</v>
      </c>
      <c r="C2239">
        <f>VLOOKUP($A2239,Data!$C$5:$AG$2561,G$4)</f>
        <v>-24.3</v>
      </c>
    </row>
    <row r="2240" spans="1:3" x14ac:dyDescent="0.25">
      <c r="A2240">
        <v>2025042</v>
      </c>
      <c r="B2240">
        <f>VLOOKUP($A2240,Data!$C$5:$AG$2561,F$4)</f>
        <v>-12.1</v>
      </c>
      <c r="C2240">
        <f>VLOOKUP($A2240,Data!$C$5:$AG$2561,G$4)</f>
        <v>-25.6</v>
      </c>
    </row>
    <row r="2241" spans="1:3" x14ac:dyDescent="0.25">
      <c r="A2241">
        <v>2025043</v>
      </c>
      <c r="B2241">
        <f>VLOOKUP($A2241,Data!$C$5:$AG$2561,F$4)</f>
        <v>-7.5</v>
      </c>
      <c r="C2241">
        <f>VLOOKUP($A2241,Data!$C$5:$AG$2561,G$4)</f>
        <v>-26.8</v>
      </c>
    </row>
    <row r="2242" spans="1:3" x14ac:dyDescent="0.25">
      <c r="A2242">
        <v>2025044</v>
      </c>
      <c r="B2242">
        <f>VLOOKUP($A2242,Data!$C$5:$AG$2561,F$4)</f>
        <v>-5.9</v>
      </c>
      <c r="C2242">
        <f>VLOOKUP($A2242,Data!$C$5:$AG$2561,G$4)</f>
        <v>-20.5</v>
      </c>
    </row>
    <row r="2243" spans="1:3" x14ac:dyDescent="0.25">
      <c r="A2243">
        <v>2025045</v>
      </c>
      <c r="B2243">
        <f>VLOOKUP($A2243,Data!$C$5:$AG$2561,F$4)</f>
        <v>-4.0999999999999996</v>
      </c>
      <c r="C2243">
        <f>VLOOKUP($A2243,Data!$C$5:$AG$2561,G$4)</f>
        <v>-11.9</v>
      </c>
    </row>
    <row r="2244" spans="1:3" x14ac:dyDescent="0.25">
      <c r="A2244">
        <v>2025046</v>
      </c>
      <c r="B2244">
        <f>VLOOKUP($A2244,Data!$C$5:$AG$2561,F$4)</f>
        <v>-2.2999999999999998</v>
      </c>
      <c r="C2244">
        <f>VLOOKUP($A2244,Data!$C$5:$AG$2561,G$4)</f>
        <v>-8.6999999999999993</v>
      </c>
    </row>
    <row r="2245" spans="1:3" x14ac:dyDescent="0.25">
      <c r="A2245">
        <v>2025047</v>
      </c>
      <c r="B2245">
        <f>VLOOKUP($A2245,Data!$C$5:$AG$2561,F$4)</f>
        <v>-3.7</v>
      </c>
      <c r="C2245">
        <f>VLOOKUP($A2245,Data!$C$5:$AG$2561,G$4)</f>
        <v>-8.3000000000000007</v>
      </c>
    </row>
    <row r="2246" spans="1:3" x14ac:dyDescent="0.25">
      <c r="A2246">
        <v>2025048</v>
      </c>
      <c r="B2246">
        <f>VLOOKUP($A2246,Data!$C$5:$AG$2561,F$4)</f>
        <v>-1.4</v>
      </c>
      <c r="C2246">
        <f>VLOOKUP($A2246,Data!$C$5:$AG$2561,G$4)</f>
        <v>-7.2</v>
      </c>
    </row>
    <row r="2247" spans="1:3" x14ac:dyDescent="0.25">
      <c r="A2247">
        <v>2025049</v>
      </c>
      <c r="B2247">
        <f>VLOOKUP($A2247,Data!$C$5:$AG$2561,F$4)</f>
        <v>-2.2000000000000002</v>
      </c>
      <c r="C2247">
        <f>VLOOKUP($A2247,Data!$C$5:$AG$2561,G$4)</f>
        <v>-6.7</v>
      </c>
    </row>
    <row r="2248" spans="1:3" x14ac:dyDescent="0.25">
      <c r="A2248">
        <v>2025050</v>
      </c>
      <c r="B2248">
        <f>VLOOKUP($A2248,Data!$C$5:$AG$2561,F$4)</f>
        <v>-2.4</v>
      </c>
      <c r="C2248">
        <f>VLOOKUP($A2248,Data!$C$5:$AG$2561,G$4)</f>
        <v>-5.2</v>
      </c>
    </row>
    <row r="2249" spans="1:3" x14ac:dyDescent="0.25">
      <c r="A2249">
        <v>2025051</v>
      </c>
      <c r="B2249">
        <f>VLOOKUP($A2249,Data!$C$5:$AG$2561,F$4)</f>
        <v>1.9</v>
      </c>
      <c r="C2249">
        <f>VLOOKUP($A2249,Data!$C$5:$AG$2561,G$4)</f>
        <v>-6.2</v>
      </c>
    </row>
    <row r="2250" spans="1:3" x14ac:dyDescent="0.25">
      <c r="A2250">
        <v>2025052</v>
      </c>
      <c r="B2250">
        <f>VLOOKUP($A2250,Data!$C$5:$AG$2561,F$4)</f>
        <v>-0.6</v>
      </c>
      <c r="C2250">
        <f>VLOOKUP($A2250,Data!$C$5:$AG$2561,G$4)</f>
        <v>-5</v>
      </c>
    </row>
    <row r="2251" spans="1:3" x14ac:dyDescent="0.25">
      <c r="A2251">
        <v>2025053</v>
      </c>
      <c r="B2251">
        <f>VLOOKUP($A2251,Data!$C$5:$AG$2561,F$4)</f>
        <v>1.7</v>
      </c>
      <c r="C2251">
        <f>VLOOKUP($A2251,Data!$C$5:$AG$2561,G$4)</f>
        <v>-3.5</v>
      </c>
    </row>
    <row r="2252" spans="1:3" x14ac:dyDescent="0.25">
      <c r="A2252">
        <v>2025054</v>
      </c>
      <c r="B2252">
        <f>VLOOKUP($A2252,Data!$C$5:$AG$2561,F$4)</f>
        <v>4.0999999999999996</v>
      </c>
      <c r="C2252">
        <f>VLOOKUP($A2252,Data!$C$5:$AG$2561,G$4)</f>
        <v>-1.8</v>
      </c>
    </row>
    <row r="2253" spans="1:3" x14ac:dyDescent="0.25">
      <c r="A2253">
        <v>2025055</v>
      </c>
      <c r="B2253">
        <f>VLOOKUP($A2253,Data!$C$5:$AG$2561,F$4)</f>
        <v>-0.2</v>
      </c>
      <c r="C2253">
        <f>VLOOKUP($A2253,Data!$C$5:$AG$2561,G$4)</f>
        <v>-6.1</v>
      </c>
    </row>
    <row r="2254" spans="1:3" x14ac:dyDescent="0.25">
      <c r="A2254">
        <v>2025056</v>
      </c>
      <c r="B2254">
        <f>VLOOKUP($A2254,Data!$C$5:$AG$2561,F$4)</f>
        <v>1.8</v>
      </c>
      <c r="C2254">
        <f>VLOOKUP($A2254,Data!$C$5:$AG$2561,G$4)</f>
        <v>-3.2</v>
      </c>
    </row>
    <row r="2255" spans="1:3" x14ac:dyDescent="0.25">
      <c r="A2255">
        <v>2025057</v>
      </c>
      <c r="B2255">
        <f>VLOOKUP($A2255,Data!$C$5:$AG$2561,F$4)</f>
        <v>3.5</v>
      </c>
      <c r="C2255">
        <f>VLOOKUP($A2255,Data!$C$5:$AG$2561,G$4)</f>
        <v>-7</v>
      </c>
    </row>
    <row r="2256" spans="1:3" x14ac:dyDescent="0.25">
      <c r="A2256">
        <v>2025058</v>
      </c>
      <c r="B2256">
        <f>VLOOKUP($A2256,Data!$C$5:$AG$2561,F$4)</f>
        <v>5.7</v>
      </c>
      <c r="C2256">
        <f>VLOOKUP($A2256,Data!$C$5:$AG$2561,G$4)</f>
        <v>-4.7</v>
      </c>
    </row>
    <row r="2257" spans="1:3" x14ac:dyDescent="0.25">
      <c r="A2257">
        <v>2025059</v>
      </c>
      <c r="B2257">
        <f>VLOOKUP($A2257,Data!$C$5:$AG$2561,F$4)</f>
        <v>9.5</v>
      </c>
      <c r="C2257">
        <f>VLOOKUP($A2257,Data!$C$5:$AG$2561,G$4)</f>
        <v>-3.4</v>
      </c>
    </row>
    <row r="2258" spans="1:3" x14ac:dyDescent="0.25">
      <c r="A2258">
        <v>2025060</v>
      </c>
      <c r="B2258">
        <f>VLOOKUP($A2258,Data!$C$5:$AG$2561,F$4)</f>
        <v>9.3000000000000007</v>
      </c>
      <c r="C2258">
        <f>VLOOKUP($A2258,Data!$C$5:$AG$2561,G$4)</f>
        <v>-4.5999999999999996</v>
      </c>
    </row>
    <row r="2259" spans="1:3" x14ac:dyDescent="0.25">
      <c r="A2259">
        <v>2025061</v>
      </c>
      <c r="B2259">
        <f>VLOOKUP($A2259,Data!$C$5:$AG$2561,F$4)</f>
        <v>8.1</v>
      </c>
      <c r="C2259">
        <f>VLOOKUP($A2259,Data!$C$5:$AG$2561,G$4)</f>
        <v>-5.9</v>
      </c>
    </row>
    <row r="2260" spans="1:3" x14ac:dyDescent="0.25">
      <c r="A2260">
        <v>2025062</v>
      </c>
      <c r="B2260">
        <f>VLOOKUP($A2260,Data!$C$5:$AG$2561,F$4)</f>
        <v>3.7</v>
      </c>
      <c r="C2260">
        <f>VLOOKUP($A2260,Data!$C$5:$AG$2561,G$4)</f>
        <v>-7.9</v>
      </c>
    </row>
    <row r="2261" spans="1:3" x14ac:dyDescent="0.25">
      <c r="A2261">
        <v>2025063</v>
      </c>
      <c r="B2261">
        <f>VLOOKUP($A2261,Data!$C$5:$AG$2561,F$4)</f>
        <v>5.2</v>
      </c>
      <c r="C2261">
        <f>VLOOKUP($A2261,Data!$C$5:$AG$2561,G$4)</f>
        <v>-10.6</v>
      </c>
    </row>
    <row r="2262" spans="1:3" x14ac:dyDescent="0.25">
      <c r="A2262">
        <v>2025064</v>
      </c>
      <c r="B2262">
        <f>VLOOKUP($A2262,Data!$C$5:$AG$2561,F$4)</f>
        <v>3.2</v>
      </c>
      <c r="C2262">
        <f>VLOOKUP($A2262,Data!$C$5:$AG$2561,G$4)</f>
        <v>-8.1</v>
      </c>
    </row>
    <row r="2263" spans="1:3" x14ac:dyDescent="0.25">
      <c r="A2263">
        <v>2025065</v>
      </c>
      <c r="B2263">
        <f>VLOOKUP($A2263,Data!$C$5:$AG$2561,F$4)</f>
        <v>1.5</v>
      </c>
      <c r="C2263">
        <f>VLOOKUP($A2263,Data!$C$5:$AG$2561,G$4)</f>
        <v>-11.1</v>
      </c>
    </row>
    <row r="2264" spans="1:3" x14ac:dyDescent="0.25">
      <c r="A2264">
        <v>2025066</v>
      </c>
      <c r="B2264">
        <f>VLOOKUP($A2264,Data!$C$5:$AG$2561,F$4)</f>
        <v>5.8</v>
      </c>
      <c r="C2264">
        <f>VLOOKUP($A2264,Data!$C$5:$AG$2561,G$4)</f>
        <v>-12.4</v>
      </c>
    </row>
    <row r="2265" spans="1:3" x14ac:dyDescent="0.25">
      <c r="A2265">
        <v>2025067</v>
      </c>
      <c r="B2265">
        <f>VLOOKUP($A2265,Data!$C$5:$AG$2561,F$4)</f>
        <v>5.0999999999999996</v>
      </c>
      <c r="C2265">
        <f>VLOOKUP($A2265,Data!$C$5:$AG$2561,G$4)</f>
        <v>-2.8</v>
      </c>
    </row>
    <row r="2266" spans="1:3" x14ac:dyDescent="0.25">
      <c r="A2266">
        <v>2025068</v>
      </c>
      <c r="B2266">
        <f>VLOOKUP($A2266,Data!$C$5:$AG$2561,F$4)</f>
        <v>6.4</v>
      </c>
      <c r="C2266">
        <f>VLOOKUP($A2266,Data!$C$5:$AG$2561,G$4)</f>
        <v>-3.5</v>
      </c>
    </row>
    <row r="2267" spans="1:3" x14ac:dyDescent="0.25">
      <c r="A2267">
        <v>2025069</v>
      </c>
      <c r="B2267">
        <f>VLOOKUP($A2267,Data!$C$5:$AG$2561,F$4)</f>
        <v>1.4</v>
      </c>
      <c r="C2267">
        <f>VLOOKUP($A2267,Data!$C$5:$AG$2561,G$4)</f>
        <v>-7.3</v>
      </c>
    </row>
    <row r="2268" spans="1:3" x14ac:dyDescent="0.25">
      <c r="A2268">
        <v>2025070</v>
      </c>
      <c r="B2268">
        <f>VLOOKUP($A2268,Data!$C$5:$AG$2561,F$4)</f>
        <v>-1.1000000000000001</v>
      </c>
      <c r="C2268">
        <f>VLOOKUP($A2268,Data!$C$5:$AG$2561,G$4)</f>
        <v>-11.4</v>
      </c>
    </row>
    <row r="2269" spans="1:3" x14ac:dyDescent="0.25">
      <c r="A2269">
        <v>2025071</v>
      </c>
      <c r="B2269">
        <f>VLOOKUP($A2269,Data!$C$5:$AG$2561,F$4)</f>
        <v>1.3</v>
      </c>
      <c r="C2269">
        <f>VLOOKUP($A2269,Data!$C$5:$AG$2561,G$4)</f>
        <v>-4.5</v>
      </c>
    </row>
    <row r="2270" spans="1:3" x14ac:dyDescent="0.25">
      <c r="A2270">
        <v>2025072</v>
      </c>
      <c r="B2270">
        <f>VLOOKUP($A2270,Data!$C$5:$AG$2561,F$4)</f>
        <v>-0.4</v>
      </c>
      <c r="C2270">
        <f>VLOOKUP($A2270,Data!$C$5:$AG$2561,G$4)</f>
        <v>-12.3</v>
      </c>
    </row>
    <row r="2271" spans="1:3" x14ac:dyDescent="0.25">
      <c r="A2271">
        <v>2025073</v>
      </c>
      <c r="B2271">
        <f>VLOOKUP($A2271,Data!$C$5:$AG$2561,F$4)</f>
        <v>-0.7</v>
      </c>
      <c r="C2271">
        <f>VLOOKUP($A2271,Data!$C$5:$AG$2561,G$4)</f>
        <v>-16.7</v>
      </c>
    </row>
    <row r="2272" spans="1:3" x14ac:dyDescent="0.25">
      <c r="A2272">
        <v>2025074</v>
      </c>
      <c r="B2272">
        <f>VLOOKUP($A2272,Data!$C$5:$AG$2561,F$4)</f>
        <v>-0.6</v>
      </c>
      <c r="C2272">
        <f>VLOOKUP($A2272,Data!$C$5:$AG$2561,G$4)</f>
        <v>-8.3000000000000007</v>
      </c>
    </row>
    <row r="2273" spans="1:3" x14ac:dyDescent="0.25">
      <c r="A2273">
        <v>2025075</v>
      </c>
      <c r="B2273">
        <f>VLOOKUP($A2273,Data!$C$5:$AG$2561,F$4)</f>
        <v>-0.1</v>
      </c>
      <c r="C2273">
        <f>VLOOKUP($A2273,Data!$C$5:$AG$2561,G$4)</f>
        <v>-8.6</v>
      </c>
    </row>
    <row r="2274" spans="1:3" x14ac:dyDescent="0.25">
      <c r="A2274">
        <v>2025076</v>
      </c>
      <c r="B2274">
        <f>VLOOKUP($A2274,Data!$C$5:$AG$2561,F$4)</f>
        <v>1</v>
      </c>
      <c r="C2274">
        <f>VLOOKUP($A2274,Data!$C$5:$AG$2561,G$4)</f>
        <v>-13.6</v>
      </c>
    </row>
    <row r="2275" spans="1:3" x14ac:dyDescent="0.25">
      <c r="A2275">
        <v>2025077</v>
      </c>
      <c r="B2275">
        <f>VLOOKUP($A2275,Data!$C$5:$AG$2561,F$4)</f>
        <v>0.6</v>
      </c>
      <c r="C2275">
        <f>VLOOKUP($A2275,Data!$C$5:$AG$2561,G$4)</f>
        <v>-13.8</v>
      </c>
    </row>
    <row r="2276" spans="1:3" x14ac:dyDescent="0.25">
      <c r="A2276">
        <v>2025078</v>
      </c>
      <c r="B2276">
        <f>VLOOKUP($A2276,Data!$C$5:$AG$2561,F$4)</f>
        <v>0.3</v>
      </c>
      <c r="C2276">
        <f>VLOOKUP($A2276,Data!$C$5:$AG$2561,G$4)</f>
        <v>-14.6</v>
      </c>
    </row>
    <row r="2277" spans="1:3" x14ac:dyDescent="0.25">
      <c r="A2277">
        <v>2025079</v>
      </c>
      <c r="B2277">
        <f>VLOOKUP($A2277,Data!$C$5:$AG$2561,F$4)</f>
        <v>4.2</v>
      </c>
      <c r="C2277">
        <f>VLOOKUP($A2277,Data!$C$5:$AG$2561,G$4)</f>
        <v>-3.4</v>
      </c>
    </row>
    <row r="2278" spans="1:3" x14ac:dyDescent="0.25">
      <c r="A2278">
        <v>2025080</v>
      </c>
      <c r="B2278">
        <f>VLOOKUP($A2278,Data!$C$5:$AG$2561,F$4)</f>
        <v>4.2</v>
      </c>
      <c r="C2278">
        <f>VLOOKUP($A2278,Data!$C$5:$AG$2561,G$4)</f>
        <v>-6.7</v>
      </c>
    </row>
    <row r="2279" spans="1:3" x14ac:dyDescent="0.25">
      <c r="A2279">
        <v>2025081</v>
      </c>
      <c r="B2279">
        <f>VLOOKUP($A2279,Data!$C$5:$AG$2561,F$4)</f>
        <v>0.7</v>
      </c>
      <c r="C2279">
        <f>VLOOKUP($A2279,Data!$C$5:$AG$2561,G$4)</f>
        <v>-6.7</v>
      </c>
    </row>
    <row r="2280" spans="1:3" x14ac:dyDescent="0.25">
      <c r="A2280">
        <v>2025082</v>
      </c>
      <c r="B2280">
        <f>VLOOKUP($A2280,Data!$C$5:$AG$2561,F$4)</f>
        <v>2.2999999999999998</v>
      </c>
      <c r="C2280">
        <f>VLOOKUP($A2280,Data!$C$5:$AG$2561,G$4)</f>
        <v>-6.1</v>
      </c>
    </row>
    <row r="2281" spans="1:3" x14ac:dyDescent="0.25">
      <c r="A2281">
        <v>2025083</v>
      </c>
      <c r="B2281">
        <f>VLOOKUP($A2281,Data!$C$5:$AG$2561,F$4)</f>
        <v>4.9000000000000004</v>
      </c>
      <c r="C2281">
        <f>VLOOKUP($A2281,Data!$C$5:$AG$2561,G$4)</f>
        <v>0.9</v>
      </c>
    </row>
    <row r="2282" spans="1:3" x14ac:dyDescent="0.25">
      <c r="A2282">
        <v>2025084</v>
      </c>
      <c r="B2282">
        <f>VLOOKUP($A2282,Data!$C$5:$AG$2561,F$4)</f>
        <v>13.6</v>
      </c>
      <c r="C2282">
        <f>VLOOKUP($A2282,Data!$C$5:$AG$2561,G$4)</f>
        <v>-0.6</v>
      </c>
    </row>
    <row r="2283" spans="1:3" x14ac:dyDescent="0.25">
      <c r="A2283">
        <v>2025085</v>
      </c>
      <c r="B2283">
        <f>VLOOKUP($A2283,Data!$C$5:$AG$2561,F$4)</f>
        <v>15.9</v>
      </c>
      <c r="C2283">
        <f>VLOOKUP($A2283,Data!$C$5:$AG$2561,G$4)</f>
        <v>-0.8</v>
      </c>
    </row>
    <row r="2284" spans="1:3" x14ac:dyDescent="0.25">
      <c r="A2284">
        <v>2025086</v>
      </c>
      <c r="B2284">
        <f>VLOOKUP($A2284,Data!$C$5:$AG$2561,F$4)</f>
        <v>7.7</v>
      </c>
      <c r="C2284">
        <f>VLOOKUP($A2284,Data!$C$5:$AG$2561,G$4)</f>
        <v>-1.2</v>
      </c>
    </row>
    <row r="2285" spans="1:3" x14ac:dyDescent="0.25">
      <c r="A2285">
        <v>2025087</v>
      </c>
      <c r="B2285">
        <f>VLOOKUP($A2285,Data!$C$5:$AG$2561,F$4)</f>
        <v>7.7</v>
      </c>
      <c r="C2285">
        <f>VLOOKUP($A2285,Data!$C$5:$AG$2561,G$4)</f>
        <v>-0.3</v>
      </c>
    </row>
    <row r="2286" spans="1:3" x14ac:dyDescent="0.25">
      <c r="A2286">
        <v>2025088</v>
      </c>
      <c r="B2286">
        <f>VLOOKUP($A2286,Data!$C$5:$AG$2561,F$4)</f>
        <v>7.1</v>
      </c>
      <c r="C2286">
        <f>VLOOKUP($A2286,Data!$C$5:$AG$2561,G$4)</f>
        <v>-4.9000000000000004</v>
      </c>
    </row>
    <row r="2287" spans="1:3" x14ac:dyDescent="0.25">
      <c r="A2287">
        <v>2025089</v>
      </c>
      <c r="B2287">
        <f>VLOOKUP($A2287,Data!$C$5:$AG$2561,F$4)</f>
        <v>8.5</v>
      </c>
      <c r="C2287">
        <f>VLOOKUP($A2287,Data!$C$5:$AG$2561,G$4)</f>
        <v>-7.7</v>
      </c>
    </row>
    <row r="2288" spans="1:3" x14ac:dyDescent="0.25">
      <c r="A2288">
        <v>2025090</v>
      </c>
      <c r="B2288">
        <f>VLOOKUP($A2288,Data!$C$5:$AG$2561,F$4)</f>
        <v>3.5</v>
      </c>
      <c r="C2288">
        <f>VLOOKUP($A2288,Data!$C$5:$AG$2561,G$4)</f>
        <v>-2.4</v>
      </c>
    </row>
    <row r="2289" spans="1:3" x14ac:dyDescent="0.25">
      <c r="A2289">
        <v>2025091</v>
      </c>
      <c r="B2289">
        <f>VLOOKUP($A2289,Data!$C$5:$AG$2561,F$4)</f>
        <v>5.9</v>
      </c>
      <c r="C2289">
        <f>VLOOKUP($A2289,Data!$C$5:$AG$2561,G$4)</f>
        <v>-2.6</v>
      </c>
    </row>
    <row r="2290" spans="1:3" x14ac:dyDescent="0.25">
      <c r="A2290">
        <v>2025092</v>
      </c>
      <c r="B2290">
        <f>VLOOKUP($A2290,Data!$C$5:$AG$2561,F$4)</f>
        <v>4</v>
      </c>
      <c r="C2290">
        <f>VLOOKUP($A2290,Data!$C$5:$AG$2561,G$4)</f>
        <v>-2.4</v>
      </c>
    </row>
    <row r="2291" spans="1:3" x14ac:dyDescent="0.25">
      <c r="A2291">
        <v>2025093</v>
      </c>
      <c r="B2291">
        <f>VLOOKUP($A2291,Data!$C$5:$AG$2561,F$4)</f>
        <v>4.5999999999999996</v>
      </c>
      <c r="C2291">
        <f>VLOOKUP($A2291,Data!$C$5:$AG$2561,G$4)</f>
        <v>-8.4</v>
      </c>
    </row>
    <row r="2292" spans="1:3" x14ac:dyDescent="0.25">
      <c r="A2292">
        <v>2025094</v>
      </c>
      <c r="B2292">
        <f>VLOOKUP($A2292,Data!$C$5:$AG$2561,F$4)</f>
        <v>9.1999999999999993</v>
      </c>
      <c r="C2292">
        <f>VLOOKUP($A2292,Data!$C$5:$AG$2561,G$4)</f>
        <v>-9.1999999999999993</v>
      </c>
    </row>
    <row r="2293" spans="1:3" x14ac:dyDescent="0.25">
      <c r="A2293">
        <v>2025095</v>
      </c>
      <c r="B2293">
        <f>VLOOKUP($A2293,Data!$C$5:$AG$2561,F$4)</f>
        <v>12.8</v>
      </c>
      <c r="C2293">
        <f>VLOOKUP($A2293,Data!$C$5:$AG$2561,G$4)</f>
        <v>-6.8</v>
      </c>
    </row>
    <row r="2294" spans="1:3" x14ac:dyDescent="0.25">
      <c r="A2294">
        <v>2025096</v>
      </c>
      <c r="B2294">
        <f>VLOOKUP($A2294,Data!$C$5:$AG$2561,F$4)</f>
        <v>13.7</v>
      </c>
      <c r="C2294">
        <f>VLOOKUP($A2294,Data!$C$5:$AG$2561,G$4)</f>
        <v>-4</v>
      </c>
    </row>
    <row r="2295" spans="1:3" x14ac:dyDescent="0.25">
      <c r="A2295">
        <v>2025097</v>
      </c>
      <c r="B2295">
        <f>VLOOKUP($A2295,Data!$C$5:$AG$2561,F$4)</f>
        <v>8.1</v>
      </c>
      <c r="C2295">
        <f>VLOOKUP($A2295,Data!$C$5:$AG$2561,G$4)</f>
        <v>-0.9</v>
      </c>
    </row>
    <row r="2296" spans="1:3" x14ac:dyDescent="0.25">
      <c r="A2296">
        <v>2025098</v>
      </c>
      <c r="B2296">
        <f>VLOOKUP($A2296,Data!$C$5:$AG$2561,F$4)</f>
        <v>4.9000000000000004</v>
      </c>
      <c r="C2296">
        <f>VLOOKUP($A2296,Data!$C$5:$AG$2561,G$4)</f>
        <v>-3</v>
      </c>
    </row>
    <row r="2297" spans="1:3" x14ac:dyDescent="0.25">
      <c r="A2297">
        <v>2025099</v>
      </c>
      <c r="B2297">
        <f>VLOOKUP($A2297,Data!$C$5:$AG$2561,F$4)</f>
        <v>7.8</v>
      </c>
      <c r="C2297">
        <f>VLOOKUP($A2297,Data!$C$5:$AG$2561,G$4)</f>
        <v>-2.4</v>
      </c>
    </row>
    <row r="2298" spans="1:3" x14ac:dyDescent="0.25">
      <c r="A2298">
        <v>2025100</v>
      </c>
      <c r="B2298">
        <f>VLOOKUP($A2298,Data!$C$5:$AG$2561,F$4)</f>
        <v>9.1999999999999993</v>
      </c>
      <c r="C2298">
        <f>VLOOKUP($A2298,Data!$C$5:$AG$2561,G$4)</f>
        <v>-2.2000000000000002</v>
      </c>
    </row>
    <row r="2299" spans="1:3" x14ac:dyDescent="0.25">
      <c r="A2299">
        <v>2025101</v>
      </c>
      <c r="B2299">
        <f>VLOOKUP($A2299,Data!$C$5:$AG$2561,F$4)</f>
        <v>8.8000000000000007</v>
      </c>
      <c r="C2299">
        <f>VLOOKUP($A2299,Data!$C$5:$AG$2561,G$4)</f>
        <v>-3.2</v>
      </c>
    </row>
    <row r="2300" spans="1:3" x14ac:dyDescent="0.25">
      <c r="A2300">
        <v>2025102</v>
      </c>
      <c r="B2300">
        <f>VLOOKUP($A2300,Data!$C$5:$AG$2561,F$4)</f>
        <v>2.5</v>
      </c>
      <c r="C2300">
        <f>VLOOKUP($A2300,Data!$C$5:$AG$2561,G$4)</f>
        <v>-4.2</v>
      </c>
    </row>
    <row r="2301" spans="1:3" x14ac:dyDescent="0.25">
      <c r="A2301">
        <v>2025103</v>
      </c>
      <c r="B2301">
        <f>VLOOKUP($A2301,Data!$C$5:$AG$2561,F$4)</f>
        <v>7.9</v>
      </c>
      <c r="C2301">
        <f>VLOOKUP($A2301,Data!$C$5:$AG$2561,G$4)</f>
        <v>-10</v>
      </c>
    </row>
    <row r="2302" spans="1:3" x14ac:dyDescent="0.25">
      <c r="A2302">
        <v>2025104</v>
      </c>
      <c r="B2302">
        <f>VLOOKUP($A2302,Data!$C$5:$AG$2561,F$4)</f>
        <v>11.6</v>
      </c>
      <c r="C2302">
        <f>VLOOKUP($A2302,Data!$C$5:$AG$2561,G$4)</f>
        <v>-6.3</v>
      </c>
    </row>
    <row r="2303" spans="1:3" x14ac:dyDescent="0.25">
      <c r="A2303">
        <v>2025105</v>
      </c>
      <c r="B2303">
        <f>VLOOKUP($A2303,Data!$C$5:$AG$2561,F$4)</f>
        <v>13.9</v>
      </c>
      <c r="C2303">
        <f>VLOOKUP($A2303,Data!$C$5:$AG$2561,G$4)</f>
        <v>-3.2</v>
      </c>
    </row>
    <row r="2304" spans="1:3" x14ac:dyDescent="0.25">
      <c r="A2304">
        <v>2025106</v>
      </c>
      <c r="B2304">
        <f>VLOOKUP($A2304,Data!$C$5:$AG$2561,F$4)</f>
        <v>4.7</v>
      </c>
      <c r="C2304">
        <f>VLOOKUP($A2304,Data!$C$5:$AG$2561,G$4)</f>
        <v>-6.1</v>
      </c>
    </row>
    <row r="2305" spans="1:3" x14ac:dyDescent="0.25">
      <c r="A2305">
        <v>2025107</v>
      </c>
      <c r="B2305">
        <f>VLOOKUP($A2305,Data!$C$5:$AG$2561,F$4)</f>
        <v>7.9</v>
      </c>
      <c r="C2305">
        <f>VLOOKUP($A2305,Data!$C$5:$AG$2561,G$4)</f>
        <v>-8.9</v>
      </c>
    </row>
    <row r="2306" spans="1:3" x14ac:dyDescent="0.25">
      <c r="A2306">
        <v>2025108</v>
      </c>
      <c r="B2306">
        <f>VLOOKUP($A2306,Data!$C$5:$AG$2561,F$4)</f>
        <v>16.100000000000001</v>
      </c>
      <c r="C2306">
        <f>VLOOKUP($A2306,Data!$C$5:$AG$2561,G$4)</f>
        <v>-5.7</v>
      </c>
    </row>
    <row r="2307" spans="1:3" x14ac:dyDescent="0.25">
      <c r="A2307">
        <v>2025109</v>
      </c>
      <c r="B2307">
        <f>VLOOKUP($A2307,Data!$C$5:$AG$2561,F$4)</f>
        <v>9.6</v>
      </c>
      <c r="C2307">
        <f>VLOOKUP($A2307,Data!$C$5:$AG$2561,G$4)</f>
        <v>0</v>
      </c>
    </row>
    <row r="2308" spans="1:3" x14ac:dyDescent="0.25">
      <c r="A2308">
        <v>2025110</v>
      </c>
      <c r="B2308">
        <f>VLOOKUP($A2308,Data!$C$5:$AG$2561,F$4)</f>
        <v>5.2</v>
      </c>
      <c r="C2308">
        <f>VLOOKUP($A2308,Data!$C$5:$AG$2561,G$4)</f>
        <v>-2</v>
      </c>
    </row>
    <row r="2309" spans="1:3" x14ac:dyDescent="0.25">
      <c r="A2309">
        <v>2025111</v>
      </c>
      <c r="B2309">
        <f>VLOOKUP($A2309,Data!$C$5:$AG$2561,F$4)</f>
        <v>3.5</v>
      </c>
      <c r="C2309">
        <f>VLOOKUP($A2309,Data!$C$5:$AG$2561,G$4)</f>
        <v>-7.3</v>
      </c>
    </row>
    <row r="2310" spans="1:3" x14ac:dyDescent="0.25">
      <c r="A2310">
        <v>2025112</v>
      </c>
      <c r="B2310">
        <f>VLOOKUP($A2310,Data!$C$5:$AG$2561,F$4)</f>
        <v>6.1</v>
      </c>
      <c r="C2310">
        <f>VLOOKUP($A2310,Data!$C$5:$AG$2561,G$4)</f>
        <v>-8.6999999999999993</v>
      </c>
    </row>
    <row r="2311" spans="1:3" x14ac:dyDescent="0.25">
      <c r="A2311">
        <v>2025113</v>
      </c>
      <c r="B2311">
        <f>VLOOKUP($A2311,Data!$C$5:$AG$2561,F$4)</f>
        <v>9</v>
      </c>
      <c r="C2311">
        <f>VLOOKUP($A2311,Data!$C$5:$AG$2561,G$4)</f>
        <v>-7.2</v>
      </c>
    </row>
    <row r="2312" spans="1:3" x14ac:dyDescent="0.25">
      <c r="A2312">
        <v>2025114</v>
      </c>
      <c r="B2312">
        <f>VLOOKUP($A2312,Data!$C$5:$AG$2561,F$4)</f>
        <v>13.8</v>
      </c>
      <c r="C2312">
        <f>VLOOKUP($A2312,Data!$C$5:$AG$2561,G$4)</f>
        <v>-5.3</v>
      </c>
    </row>
    <row r="2313" spans="1:3" x14ac:dyDescent="0.25">
      <c r="A2313">
        <v>2025115</v>
      </c>
      <c r="B2313">
        <f>VLOOKUP($A2313,Data!$C$5:$AG$2561,F$4)</f>
        <v>16.5</v>
      </c>
      <c r="C2313">
        <f>VLOOKUP($A2313,Data!$C$5:$AG$2561,G$4)</f>
        <v>-2.4</v>
      </c>
    </row>
    <row r="2314" spans="1:3" x14ac:dyDescent="0.25">
      <c r="A2314">
        <v>2025116</v>
      </c>
      <c r="B2314">
        <f>VLOOKUP($A2314,Data!$C$5:$AG$2561,F$4)</f>
        <v>15.3</v>
      </c>
      <c r="C2314">
        <f>VLOOKUP($A2314,Data!$C$5:$AG$2561,G$4)</f>
        <v>-3.2</v>
      </c>
    </row>
    <row r="2315" spans="1:3" x14ac:dyDescent="0.25">
      <c r="A2315">
        <v>2025117</v>
      </c>
      <c r="B2315">
        <f>VLOOKUP($A2315,Data!$C$5:$AG$2561,F$4)</f>
        <v>13</v>
      </c>
      <c r="C2315">
        <f>VLOOKUP($A2315,Data!$C$5:$AG$2561,G$4)</f>
        <v>-2.2999999999999998</v>
      </c>
    </row>
    <row r="2316" spans="1:3" x14ac:dyDescent="0.25">
      <c r="A2316">
        <v>2025118</v>
      </c>
      <c r="B2316">
        <f>VLOOKUP($A2316,Data!$C$5:$AG$2561,F$4)</f>
        <v>8.5</v>
      </c>
      <c r="C2316">
        <f>VLOOKUP($A2316,Data!$C$5:$AG$2561,G$4)</f>
        <v>-3.4</v>
      </c>
    </row>
    <row r="2317" spans="1:3" x14ac:dyDescent="0.25">
      <c r="A2317">
        <v>2025119</v>
      </c>
      <c r="B2317">
        <f>VLOOKUP($A2317,Data!$C$5:$AG$2561,F$4)</f>
        <v>10</v>
      </c>
      <c r="C2317">
        <f>VLOOKUP($A2317,Data!$C$5:$AG$2561,G$4)</f>
        <v>-2.1</v>
      </c>
    </row>
    <row r="2318" spans="1:3" x14ac:dyDescent="0.25">
      <c r="A2318">
        <v>2025120</v>
      </c>
      <c r="B2318">
        <f>VLOOKUP($A2318,Data!$C$5:$AG$2561,F$4)</f>
        <v>12.8</v>
      </c>
      <c r="C2318">
        <f>VLOOKUP($A2318,Data!$C$5:$AG$2561,G$4)</f>
        <v>-3.9</v>
      </c>
    </row>
    <row r="2319" spans="1:3" x14ac:dyDescent="0.25">
      <c r="A2319">
        <v>2025121</v>
      </c>
      <c r="B2319">
        <f>VLOOKUP($A2319,Data!$C$5:$AG$2561,F$4)</f>
        <v>17.2</v>
      </c>
      <c r="C2319">
        <f>VLOOKUP($A2319,Data!$C$5:$AG$2561,G$4)</f>
        <v>-2.8</v>
      </c>
    </row>
    <row r="2320" spans="1:3" x14ac:dyDescent="0.25">
      <c r="A2320">
        <v>2025122</v>
      </c>
      <c r="B2320">
        <f>VLOOKUP($A2320,Data!$C$5:$AG$2561,F$4)</f>
        <v>20</v>
      </c>
      <c r="C2320">
        <f>VLOOKUP($A2320,Data!$C$5:$AG$2561,G$4)</f>
        <v>-1.9</v>
      </c>
    </row>
    <row r="2321" spans="1:3" x14ac:dyDescent="0.25">
      <c r="A2321">
        <v>2025123</v>
      </c>
      <c r="B2321">
        <f>VLOOKUP($A2321,Data!$C$5:$AG$2561,F$4)</f>
        <v>10.1</v>
      </c>
      <c r="C2321">
        <f>VLOOKUP($A2321,Data!$C$5:$AG$2561,G$4)</f>
        <v>-2.2999999999999998</v>
      </c>
    </row>
    <row r="2322" spans="1:3" x14ac:dyDescent="0.25">
      <c r="A2322">
        <v>2025124</v>
      </c>
      <c r="B2322">
        <f>VLOOKUP($A2322,Data!$C$5:$AG$2561,F$4)</f>
        <v>7</v>
      </c>
      <c r="C2322">
        <f>VLOOKUP($A2322,Data!$C$5:$AG$2561,G$4)</f>
        <v>-2.8</v>
      </c>
    </row>
    <row r="2323" spans="1:3" x14ac:dyDescent="0.25">
      <c r="A2323">
        <v>2025125</v>
      </c>
      <c r="B2323">
        <f>VLOOKUP($A2323,Data!$C$5:$AG$2561,F$4)</f>
        <v>12.6</v>
      </c>
      <c r="C2323">
        <f>VLOOKUP($A2323,Data!$C$5:$AG$2561,G$4)</f>
        <v>-5.4</v>
      </c>
    </row>
    <row r="2324" spans="1:3" x14ac:dyDescent="0.25">
      <c r="A2324">
        <v>2025126</v>
      </c>
      <c r="B2324">
        <f>VLOOKUP($A2324,Data!$C$5:$AG$2561,F$4)</f>
        <v>17</v>
      </c>
      <c r="C2324">
        <f>VLOOKUP($A2324,Data!$C$5:$AG$2561,G$4)</f>
        <v>-2.5</v>
      </c>
    </row>
    <row r="2325" spans="1:3" x14ac:dyDescent="0.25">
      <c r="A2325">
        <v>2025127</v>
      </c>
      <c r="B2325">
        <f>VLOOKUP($A2325,Data!$C$5:$AG$2561,F$4)</f>
        <v>16.899999999999999</v>
      </c>
      <c r="C2325">
        <f>VLOOKUP($A2325,Data!$C$5:$AG$2561,G$4)</f>
        <v>0.1</v>
      </c>
    </row>
    <row r="2326" spans="1:3" x14ac:dyDescent="0.25">
      <c r="A2326">
        <v>2025128</v>
      </c>
      <c r="B2326">
        <f>VLOOKUP($A2326,Data!$C$5:$AG$2561,F$4)</f>
        <v>11.5</v>
      </c>
      <c r="C2326">
        <f>VLOOKUP($A2326,Data!$C$5:$AG$2561,G$4)</f>
        <v>-1.7</v>
      </c>
    </row>
    <row r="2327" spans="1:3" x14ac:dyDescent="0.25">
      <c r="A2327">
        <v>2025129</v>
      </c>
      <c r="B2327">
        <f>VLOOKUP($A2327,Data!$C$5:$AG$2561,F$4)</f>
        <v>15.8</v>
      </c>
      <c r="C2327">
        <f>VLOOKUP($A2327,Data!$C$5:$AG$2561,G$4)</f>
        <v>-2.4</v>
      </c>
    </row>
    <row r="2328" spans="1:3" x14ac:dyDescent="0.25">
      <c r="A2328">
        <v>2025130</v>
      </c>
      <c r="B2328">
        <f>VLOOKUP($A2328,Data!$C$5:$AG$2561,F$4)</f>
        <v>11.7</v>
      </c>
      <c r="C2328">
        <f>VLOOKUP($A2328,Data!$C$5:$AG$2561,G$4)</f>
        <v>-1.4</v>
      </c>
    </row>
    <row r="2329" spans="1:3" x14ac:dyDescent="0.25">
      <c r="A2329">
        <v>2025131</v>
      </c>
      <c r="B2329">
        <f>VLOOKUP($A2329,Data!$C$5:$AG$2561,F$4)</f>
        <v>11.8</v>
      </c>
      <c r="C2329">
        <f>VLOOKUP($A2329,Data!$C$5:$AG$2561,G$4)</f>
        <v>-3.3</v>
      </c>
    </row>
    <row r="2330" spans="1:3" x14ac:dyDescent="0.25">
      <c r="A2330">
        <v>2025132</v>
      </c>
      <c r="B2330">
        <f>VLOOKUP($A2330,Data!$C$5:$AG$2561,F$4)</f>
        <v>6.7</v>
      </c>
      <c r="C2330">
        <f>VLOOKUP($A2330,Data!$C$5:$AG$2561,G$4)</f>
        <v>0.5</v>
      </c>
    </row>
    <row r="2331" spans="1:3" x14ac:dyDescent="0.25">
      <c r="A2331">
        <v>2025133</v>
      </c>
      <c r="B2331">
        <f>VLOOKUP($A2331,Data!$C$5:$AG$2561,F$4)</f>
        <v>12.1</v>
      </c>
      <c r="C2331">
        <f>VLOOKUP($A2331,Data!$C$5:$AG$2561,G$4)</f>
        <v>2.5</v>
      </c>
    </row>
    <row r="2332" spans="1:3" x14ac:dyDescent="0.25">
      <c r="A2332">
        <v>2025134</v>
      </c>
      <c r="B2332">
        <f>VLOOKUP($A2332,Data!$C$5:$AG$2561,F$4)</f>
        <v>9.6</v>
      </c>
      <c r="C2332">
        <f>VLOOKUP($A2332,Data!$C$5:$AG$2561,G$4)</f>
        <v>-0.1</v>
      </c>
    </row>
    <row r="2333" spans="1:3" x14ac:dyDescent="0.25">
      <c r="A2333">
        <v>2025135</v>
      </c>
      <c r="B2333">
        <f>VLOOKUP($A2333,Data!$C$5:$AG$2561,F$4)</f>
        <v>10.3</v>
      </c>
      <c r="C2333">
        <f>VLOOKUP($A2333,Data!$C$5:$AG$2561,G$4)</f>
        <v>-1.8</v>
      </c>
    </row>
    <row r="2334" spans="1:3" x14ac:dyDescent="0.25">
      <c r="A2334">
        <v>2025136</v>
      </c>
      <c r="B2334">
        <f>VLOOKUP($A2334,Data!$C$5:$AG$2561,F$4)</f>
        <v>7.5</v>
      </c>
      <c r="C2334">
        <f>VLOOKUP($A2334,Data!$C$5:$AG$2561,G$4)</f>
        <v>0.4</v>
      </c>
    </row>
    <row r="2335" spans="1:3" x14ac:dyDescent="0.25">
      <c r="A2335">
        <v>2025137</v>
      </c>
      <c r="B2335">
        <f>VLOOKUP($A2335,Data!$C$5:$AG$2561,F$4)</f>
        <v>10.6</v>
      </c>
      <c r="C2335">
        <f>VLOOKUP($A2335,Data!$C$5:$AG$2561,G$4)</f>
        <v>0</v>
      </c>
    </row>
    <row r="2336" spans="1:3" x14ac:dyDescent="0.25">
      <c r="A2336">
        <v>2025138</v>
      </c>
      <c r="B2336">
        <f>VLOOKUP($A2336,Data!$C$5:$AG$2561,F$4)</f>
        <v>5.4</v>
      </c>
      <c r="C2336">
        <f>VLOOKUP($A2336,Data!$C$5:$AG$2561,G$4)</f>
        <v>-2.4</v>
      </c>
    </row>
    <row r="2337" spans="1:3" x14ac:dyDescent="0.25">
      <c r="A2337">
        <v>2025139</v>
      </c>
      <c r="B2337">
        <f>VLOOKUP($A2337,Data!$C$5:$AG$2561,F$4)</f>
        <v>2.6</v>
      </c>
      <c r="C2337">
        <f>VLOOKUP($A2337,Data!$C$5:$AG$2561,G$4)</f>
        <v>-3.4</v>
      </c>
    </row>
    <row r="2338" spans="1:3" x14ac:dyDescent="0.25">
      <c r="A2338">
        <v>2025140</v>
      </c>
      <c r="B2338">
        <f>VLOOKUP($A2338,Data!$C$5:$AG$2561,F$4)</f>
        <v>8.4</v>
      </c>
      <c r="C2338">
        <f>VLOOKUP($A2338,Data!$C$5:$AG$2561,G$4)</f>
        <v>-2.4</v>
      </c>
    </row>
    <row r="2339" spans="1:3" x14ac:dyDescent="0.25">
      <c r="A2339">
        <v>2025141</v>
      </c>
      <c r="B2339">
        <f>VLOOKUP($A2339,Data!$C$5:$AG$2561,F$4)</f>
        <v>10.9</v>
      </c>
      <c r="C2339">
        <f>VLOOKUP($A2339,Data!$C$5:$AG$2561,G$4)</f>
        <v>-3</v>
      </c>
    </row>
    <row r="2340" spans="1:3" x14ac:dyDescent="0.25">
      <c r="A2340">
        <v>2025142</v>
      </c>
      <c r="B2340">
        <f>VLOOKUP($A2340,Data!$C$5:$AG$2561,F$4)</f>
        <v>12.2</v>
      </c>
      <c r="C2340">
        <f>VLOOKUP($A2340,Data!$C$5:$AG$2561,G$4)</f>
        <v>-1.5</v>
      </c>
    </row>
    <row r="2341" spans="1:3" x14ac:dyDescent="0.25">
      <c r="A2341">
        <v>2025143</v>
      </c>
      <c r="B2341">
        <f>VLOOKUP($A2341,Data!$C$5:$AG$2561,F$4)</f>
        <v>15.2</v>
      </c>
      <c r="C2341">
        <f>VLOOKUP($A2341,Data!$C$5:$AG$2561,G$4)</f>
        <v>-1.7</v>
      </c>
    </row>
    <row r="2342" spans="1:3" x14ac:dyDescent="0.25">
      <c r="A2342">
        <v>2025144</v>
      </c>
      <c r="B2342">
        <f>VLOOKUP($A2342,Data!$C$5:$AG$2561,F$4)</f>
        <v>18.3</v>
      </c>
      <c r="C2342">
        <f>VLOOKUP($A2342,Data!$C$5:$AG$2561,G$4)</f>
        <v>0.3</v>
      </c>
    </row>
    <row r="2343" spans="1:3" x14ac:dyDescent="0.25">
      <c r="A2343">
        <v>2025145</v>
      </c>
      <c r="B2343">
        <f>VLOOKUP($A2343,Data!$C$5:$AG$2561,F$4)</f>
        <v>22.1</v>
      </c>
      <c r="C2343">
        <f>VLOOKUP($A2343,Data!$C$5:$AG$2561,G$4)</f>
        <v>1.7</v>
      </c>
    </row>
    <row r="2344" spans="1:3" x14ac:dyDescent="0.25">
      <c r="A2344">
        <v>2025146</v>
      </c>
      <c r="B2344">
        <f>VLOOKUP($A2344,Data!$C$5:$AG$2561,F$4)</f>
        <v>13.8</v>
      </c>
      <c r="C2344">
        <f>VLOOKUP($A2344,Data!$C$5:$AG$2561,G$4)</f>
        <v>0.1</v>
      </c>
    </row>
    <row r="2345" spans="1:3" x14ac:dyDescent="0.25">
      <c r="A2345">
        <v>2025147</v>
      </c>
      <c r="B2345">
        <f>VLOOKUP($A2345,Data!$C$5:$AG$2561,F$4)</f>
        <v>19.600000000000001</v>
      </c>
      <c r="C2345">
        <f>VLOOKUP($A2345,Data!$C$5:$AG$2561,G$4)</f>
        <v>-0.5</v>
      </c>
    </row>
    <row r="2346" spans="1:3" x14ac:dyDescent="0.25">
      <c r="A2346">
        <v>2025148</v>
      </c>
      <c r="B2346">
        <f>VLOOKUP($A2346,Data!$C$5:$AG$2561,F$4)</f>
        <v>24.8</v>
      </c>
      <c r="C2346">
        <f>VLOOKUP($A2346,Data!$C$5:$AG$2561,G$4)</f>
        <v>2.7</v>
      </c>
    </row>
    <row r="2347" spans="1:3" x14ac:dyDescent="0.25">
      <c r="A2347">
        <v>2025149</v>
      </c>
      <c r="B2347">
        <f>VLOOKUP($A2347,Data!$C$5:$AG$2561,F$4)</f>
        <v>15.9</v>
      </c>
      <c r="C2347">
        <f>VLOOKUP($A2347,Data!$C$5:$AG$2561,G$4)</f>
        <v>-0.9</v>
      </c>
    </row>
    <row r="2348" spans="1:3" x14ac:dyDescent="0.25">
      <c r="A2348">
        <v>2025150</v>
      </c>
      <c r="B2348">
        <f>VLOOKUP($A2348,Data!$C$5:$AG$2561,F$4)</f>
        <v>21.9</v>
      </c>
      <c r="C2348">
        <f>VLOOKUP($A2348,Data!$C$5:$AG$2561,G$4)</f>
        <v>-1.4</v>
      </c>
    </row>
    <row r="2349" spans="1:3" x14ac:dyDescent="0.25">
      <c r="A2349">
        <v>2025151</v>
      </c>
      <c r="B2349">
        <f>VLOOKUP($A2349,Data!$C$5:$AG$2561,F$4)</f>
        <v>22</v>
      </c>
      <c r="C2349">
        <f>VLOOKUP($A2349,Data!$C$5:$AG$2561,G$4)</f>
        <v>1.3</v>
      </c>
    </row>
    <row r="2350" spans="1:3" x14ac:dyDescent="0.25">
      <c r="A2350">
        <v>2025152</v>
      </c>
      <c r="B2350">
        <f>VLOOKUP($A2350,Data!$C$5:$AG$2561,F$4)</f>
        <v>10.8</v>
      </c>
      <c r="C2350">
        <f>VLOOKUP($A2350,Data!$C$5:$AG$2561,G$4)</f>
        <v>-1.7</v>
      </c>
    </row>
    <row r="2351" spans="1:3" x14ac:dyDescent="0.25">
      <c r="A2351">
        <v>2025153</v>
      </c>
      <c r="B2351">
        <f>VLOOKUP($A2351,Data!$C$5:$AG$2561,F$4)</f>
        <v>13.9</v>
      </c>
      <c r="C2351">
        <f>VLOOKUP($A2351,Data!$C$5:$AG$2561,G$4)</f>
        <v>-2.9</v>
      </c>
    </row>
    <row r="2352" spans="1:3" x14ac:dyDescent="0.25">
      <c r="A2352">
        <v>2025154</v>
      </c>
      <c r="B2352">
        <f>VLOOKUP($A2352,Data!$C$5:$AG$2561,F$4)</f>
        <v>16.3</v>
      </c>
      <c r="C2352">
        <f>VLOOKUP($A2352,Data!$C$5:$AG$2561,G$4)</f>
        <v>1</v>
      </c>
    </row>
    <row r="2353" spans="1:3" x14ac:dyDescent="0.25">
      <c r="A2353">
        <v>2025155</v>
      </c>
      <c r="B2353" t="str">
        <f>VLOOKUP($A2353,Data!$C$5:$AG$2561,F$4)</f>
        <v>NAN</v>
      </c>
      <c r="C2353" t="str">
        <f>VLOOKUP($A2353,Data!$C$5:$AG$2561,G$4)</f>
        <v>NAN</v>
      </c>
    </row>
    <row r="2354" spans="1:3" x14ac:dyDescent="0.25">
      <c r="A2354">
        <v>2025156</v>
      </c>
      <c r="B2354" t="str">
        <f>VLOOKUP($A2354,Data!$C$5:$AG$2561,F$4)</f>
        <v>NAN</v>
      </c>
      <c r="C2354" t="str">
        <f>VLOOKUP($A2354,Data!$C$5:$AG$2561,G$4)</f>
        <v>NAN</v>
      </c>
    </row>
    <row r="2355" spans="1:3" x14ac:dyDescent="0.25">
      <c r="A2355">
        <v>2025157</v>
      </c>
      <c r="B2355" t="str">
        <f>VLOOKUP($A2355,Data!$C$5:$AG$2561,F$4)</f>
        <v>NAN</v>
      </c>
      <c r="C2355" t="str">
        <f>VLOOKUP($A2355,Data!$C$5:$AG$2561,G$4)</f>
        <v>NAN</v>
      </c>
    </row>
    <row r="2356" spans="1:3" x14ac:dyDescent="0.25">
      <c r="A2356">
        <v>2025158</v>
      </c>
      <c r="B2356" t="str">
        <f>VLOOKUP($A2356,Data!$C$5:$AG$2561,F$4)</f>
        <v>NAN</v>
      </c>
      <c r="C2356" t="str">
        <f>VLOOKUP($A2356,Data!$C$5:$AG$2561,G$4)</f>
        <v>NAN</v>
      </c>
    </row>
    <row r="2357" spans="1:3" x14ac:dyDescent="0.25">
      <c r="A2357">
        <v>2025159</v>
      </c>
      <c r="B2357" t="str">
        <f>VLOOKUP($A2357,Data!$C$5:$AG$2561,F$4)</f>
        <v>NAN</v>
      </c>
      <c r="C2357" t="str">
        <f>VLOOKUP($A2357,Data!$C$5:$AG$2561,G$4)</f>
        <v>NAN</v>
      </c>
    </row>
    <row r="2358" spans="1:3" x14ac:dyDescent="0.25">
      <c r="A2358">
        <v>2025160</v>
      </c>
      <c r="B2358" t="str">
        <f>VLOOKUP($A2358,Data!$C$5:$AG$2561,F$4)</f>
        <v>NAN</v>
      </c>
      <c r="C2358" t="str">
        <f>VLOOKUP($A2358,Data!$C$5:$AG$2561,G$4)</f>
        <v>NAN</v>
      </c>
    </row>
    <row r="2359" spans="1:3" x14ac:dyDescent="0.25">
      <c r="A2359">
        <v>2025161</v>
      </c>
      <c r="B2359" t="str">
        <f>VLOOKUP($A2359,Data!$C$5:$AG$2561,F$4)</f>
        <v>NAN</v>
      </c>
      <c r="C2359" t="str">
        <f>VLOOKUP($A2359,Data!$C$5:$AG$2561,G$4)</f>
        <v>NAN</v>
      </c>
    </row>
    <row r="2360" spans="1:3" x14ac:dyDescent="0.25">
      <c r="A2360">
        <v>2025162</v>
      </c>
      <c r="B2360" t="str">
        <f>VLOOKUP($A2360,Data!$C$5:$AG$2561,F$4)</f>
        <v>NAN</v>
      </c>
      <c r="C2360" t="str">
        <f>VLOOKUP($A2360,Data!$C$5:$AG$2561,G$4)</f>
        <v>NAN</v>
      </c>
    </row>
    <row r="2361" spans="1:3" x14ac:dyDescent="0.25">
      <c r="A2361">
        <v>2025163</v>
      </c>
      <c r="B2361" t="str">
        <f>VLOOKUP($A2361,Data!$C$5:$AG$2561,F$4)</f>
        <v>NAN</v>
      </c>
      <c r="C2361" t="str">
        <f>VLOOKUP($A2361,Data!$C$5:$AG$2561,G$4)</f>
        <v>NAN</v>
      </c>
    </row>
    <row r="2362" spans="1:3" x14ac:dyDescent="0.25">
      <c r="A2362">
        <v>2025164</v>
      </c>
      <c r="B2362" t="str">
        <f>VLOOKUP($A2362,Data!$C$5:$AG$2561,F$4)</f>
        <v>NAN</v>
      </c>
      <c r="C2362" t="str">
        <f>VLOOKUP($A2362,Data!$C$5:$AG$2561,G$4)</f>
        <v>NAN</v>
      </c>
    </row>
    <row r="2363" spans="1:3" x14ac:dyDescent="0.25">
      <c r="A2363">
        <v>2025165</v>
      </c>
      <c r="B2363" t="str">
        <f>VLOOKUP($A2363,Data!$C$5:$AG$2561,F$4)</f>
        <v>NAN</v>
      </c>
      <c r="C2363" t="str">
        <f>VLOOKUP($A2363,Data!$C$5:$AG$2561,G$4)</f>
        <v>NAN</v>
      </c>
    </row>
    <row r="2364" spans="1:3" x14ac:dyDescent="0.25">
      <c r="A2364">
        <v>2025166</v>
      </c>
      <c r="B2364" t="str">
        <f>VLOOKUP($A2364,Data!$C$5:$AG$2561,F$4)</f>
        <v>NAN</v>
      </c>
      <c r="C2364" t="str">
        <f>VLOOKUP($A2364,Data!$C$5:$AG$2561,G$4)</f>
        <v>NAN</v>
      </c>
    </row>
    <row r="2365" spans="1:3" x14ac:dyDescent="0.25">
      <c r="A2365">
        <v>2025167</v>
      </c>
      <c r="B2365" t="str">
        <f>VLOOKUP($A2365,Data!$C$5:$AG$2561,F$4)</f>
        <v>NAN</v>
      </c>
      <c r="C2365" t="str">
        <f>VLOOKUP($A2365,Data!$C$5:$AG$2561,G$4)</f>
        <v>NAN</v>
      </c>
    </row>
    <row r="2366" spans="1:3" x14ac:dyDescent="0.25">
      <c r="A2366">
        <v>2025168</v>
      </c>
      <c r="B2366" t="str">
        <f>VLOOKUP($A2366,Data!$C$5:$AG$2561,F$4)</f>
        <v>NAN</v>
      </c>
      <c r="C2366" t="str">
        <f>VLOOKUP($A2366,Data!$C$5:$AG$2561,G$4)</f>
        <v>NAN</v>
      </c>
    </row>
    <row r="2367" spans="1:3" x14ac:dyDescent="0.25">
      <c r="A2367">
        <v>2025169</v>
      </c>
      <c r="B2367" t="str">
        <f>VLOOKUP($A2367,Data!$C$5:$AG$2561,F$4)</f>
        <v>NAN</v>
      </c>
      <c r="C2367" t="str">
        <f>VLOOKUP($A2367,Data!$C$5:$AG$2561,G$4)</f>
        <v>NAN</v>
      </c>
    </row>
    <row r="2368" spans="1:3" x14ac:dyDescent="0.25">
      <c r="A2368">
        <v>2025170</v>
      </c>
      <c r="B2368" t="str">
        <f>VLOOKUP($A2368,Data!$C$5:$AG$2561,F$4)</f>
        <v>NAN</v>
      </c>
      <c r="C2368" t="str">
        <f>VLOOKUP($A2368,Data!$C$5:$AG$2561,G$4)</f>
        <v>NAN</v>
      </c>
    </row>
    <row r="2369" spans="1:3" x14ac:dyDescent="0.25">
      <c r="A2369">
        <v>2025171</v>
      </c>
      <c r="B2369" t="str">
        <f>VLOOKUP($A2369,Data!$C$5:$AG$2561,F$4)</f>
        <v>NAN</v>
      </c>
      <c r="C2369" t="str">
        <f>VLOOKUP($A2369,Data!$C$5:$AG$2561,G$4)</f>
        <v>NAN</v>
      </c>
    </row>
    <row r="2370" spans="1:3" x14ac:dyDescent="0.25">
      <c r="A2370">
        <v>2025172</v>
      </c>
      <c r="B2370" t="str">
        <f>VLOOKUP($A2370,Data!$C$5:$AG$2561,F$4)</f>
        <v>NAN</v>
      </c>
      <c r="C2370" t="str">
        <f>VLOOKUP($A2370,Data!$C$5:$AG$2561,G$4)</f>
        <v>NAN</v>
      </c>
    </row>
    <row r="2371" spans="1:3" x14ac:dyDescent="0.25">
      <c r="A2371">
        <v>2025173</v>
      </c>
      <c r="B2371" t="str">
        <f>VLOOKUP($A2371,Data!$C$5:$AG$2561,F$4)</f>
        <v>NAN</v>
      </c>
      <c r="C2371" t="str">
        <f>VLOOKUP($A2371,Data!$C$5:$AG$2561,G$4)</f>
        <v>NAN</v>
      </c>
    </row>
    <row r="2372" spans="1:3" x14ac:dyDescent="0.25">
      <c r="A2372">
        <v>2025174</v>
      </c>
      <c r="B2372" t="str">
        <f>VLOOKUP($A2372,Data!$C$5:$AG$2561,F$4)</f>
        <v>NAN</v>
      </c>
      <c r="C2372" t="str">
        <f>VLOOKUP($A2372,Data!$C$5:$AG$2561,G$4)</f>
        <v>NAN</v>
      </c>
    </row>
    <row r="2373" spans="1:3" x14ac:dyDescent="0.25">
      <c r="A2373">
        <v>2025175</v>
      </c>
      <c r="B2373" t="str">
        <f>VLOOKUP($A2373,Data!$C$5:$AG$2561,F$4)</f>
        <v>NAN</v>
      </c>
      <c r="C2373" t="str">
        <f>VLOOKUP($A2373,Data!$C$5:$AG$2561,G$4)</f>
        <v>NAN</v>
      </c>
    </row>
    <row r="2374" spans="1:3" x14ac:dyDescent="0.25">
      <c r="A2374">
        <v>2025176</v>
      </c>
      <c r="B2374" t="str">
        <f>VLOOKUP($A2374,Data!$C$5:$AG$2561,F$4)</f>
        <v>NAN</v>
      </c>
      <c r="C2374" t="str">
        <f>VLOOKUP($A2374,Data!$C$5:$AG$2561,G$4)</f>
        <v>NAN</v>
      </c>
    </row>
    <row r="2375" spans="1:3" x14ac:dyDescent="0.25">
      <c r="A2375">
        <v>2025177</v>
      </c>
      <c r="B2375" t="str">
        <f>VLOOKUP($A2375,Data!$C$5:$AG$2561,F$4)</f>
        <v>NAN</v>
      </c>
      <c r="C2375" t="str">
        <f>VLOOKUP($A2375,Data!$C$5:$AG$2561,G$4)</f>
        <v>NAN</v>
      </c>
    </row>
    <row r="2376" spans="1:3" x14ac:dyDescent="0.25">
      <c r="A2376">
        <v>2025178</v>
      </c>
      <c r="B2376" t="str">
        <f>VLOOKUP($A2376,Data!$C$5:$AG$2561,F$4)</f>
        <v>NAN</v>
      </c>
      <c r="C2376" t="str">
        <f>VLOOKUP($A2376,Data!$C$5:$AG$2561,G$4)</f>
        <v>NAN</v>
      </c>
    </row>
    <row r="2377" spans="1:3" x14ac:dyDescent="0.25">
      <c r="A2377">
        <v>2025179</v>
      </c>
      <c r="B2377" t="str">
        <f>VLOOKUP($A2377,Data!$C$5:$AG$2561,F$4)</f>
        <v>NAN</v>
      </c>
      <c r="C2377" t="str">
        <f>VLOOKUP($A2377,Data!$C$5:$AG$2561,G$4)</f>
        <v>NAN</v>
      </c>
    </row>
    <row r="2378" spans="1:3" x14ac:dyDescent="0.25">
      <c r="A2378">
        <v>2025180</v>
      </c>
      <c r="B2378" t="str">
        <f>VLOOKUP($A2378,Data!$C$5:$AG$2561,F$4)</f>
        <v>NAN</v>
      </c>
      <c r="C2378" t="str">
        <f>VLOOKUP($A2378,Data!$C$5:$AG$2561,G$4)</f>
        <v>NAN</v>
      </c>
    </row>
    <row r="2379" spans="1:3" x14ac:dyDescent="0.25">
      <c r="A2379">
        <v>2025181</v>
      </c>
      <c r="B2379" t="str">
        <f>VLOOKUP($A2379,Data!$C$5:$AG$2561,F$4)</f>
        <v>NAN</v>
      </c>
      <c r="C2379" t="str">
        <f>VLOOKUP($A2379,Data!$C$5:$AG$2561,G$4)</f>
        <v>NAN</v>
      </c>
    </row>
    <row r="2380" spans="1:3" x14ac:dyDescent="0.25">
      <c r="A2380">
        <v>2025182</v>
      </c>
      <c r="B2380" t="str">
        <f>VLOOKUP($A2380,Data!$C$5:$AG$2561,F$4)</f>
        <v>NAN</v>
      </c>
      <c r="C2380" t="str">
        <f>VLOOKUP($A2380,Data!$C$5:$AG$2561,G$4)</f>
        <v>NAN</v>
      </c>
    </row>
    <row r="2381" spans="1:3" x14ac:dyDescent="0.25">
      <c r="A2381">
        <v>2025183</v>
      </c>
      <c r="B2381" t="str">
        <f>VLOOKUP($A2381,Data!$C$5:$AG$2561,F$4)</f>
        <v>NAN</v>
      </c>
      <c r="C2381" t="str">
        <f>VLOOKUP($A2381,Data!$C$5:$AG$2561,G$4)</f>
        <v>NAN</v>
      </c>
    </row>
    <row r="2382" spans="1:3" x14ac:dyDescent="0.25">
      <c r="A2382">
        <v>2025184</v>
      </c>
      <c r="B2382" t="str">
        <f>VLOOKUP($A2382,Data!$C$5:$AG$2561,F$4)</f>
        <v>NAN</v>
      </c>
      <c r="C2382" t="str">
        <f>VLOOKUP($A2382,Data!$C$5:$AG$2561,G$4)</f>
        <v>NAN</v>
      </c>
    </row>
    <row r="2383" spans="1:3" x14ac:dyDescent="0.25">
      <c r="A2383">
        <v>2025185</v>
      </c>
      <c r="B2383" t="str">
        <f>VLOOKUP($A2383,Data!$C$5:$AG$2561,F$4)</f>
        <v>NAN</v>
      </c>
      <c r="C2383" t="str">
        <f>VLOOKUP($A2383,Data!$C$5:$AG$2561,G$4)</f>
        <v>NAN</v>
      </c>
    </row>
    <row r="2384" spans="1:3" x14ac:dyDescent="0.25">
      <c r="A2384">
        <v>2025186</v>
      </c>
      <c r="B2384" t="str">
        <f>VLOOKUP($A2384,Data!$C$5:$AG$2561,F$4)</f>
        <v>NAN</v>
      </c>
      <c r="C2384" t="str">
        <f>VLOOKUP($A2384,Data!$C$5:$AG$2561,G$4)</f>
        <v>NAN</v>
      </c>
    </row>
    <row r="2385" spans="1:3" x14ac:dyDescent="0.25">
      <c r="A2385">
        <v>2025187</v>
      </c>
      <c r="B2385" t="str">
        <f>VLOOKUP($A2385,Data!$C$5:$AG$2561,F$4)</f>
        <v>NAN</v>
      </c>
      <c r="C2385" t="str">
        <f>VLOOKUP($A2385,Data!$C$5:$AG$2561,G$4)</f>
        <v>NAN</v>
      </c>
    </row>
    <row r="2386" spans="1:3" x14ac:dyDescent="0.25">
      <c r="A2386">
        <v>2025188</v>
      </c>
      <c r="B2386" t="str">
        <f>VLOOKUP($A2386,Data!$C$5:$AG$2561,F$4)</f>
        <v>NAN</v>
      </c>
      <c r="C2386" t="str">
        <f>VLOOKUP($A2386,Data!$C$5:$AG$2561,G$4)</f>
        <v>NAN</v>
      </c>
    </row>
    <row r="2387" spans="1:3" x14ac:dyDescent="0.25">
      <c r="A2387">
        <v>2025189</v>
      </c>
      <c r="B2387" t="str">
        <f>VLOOKUP($A2387,Data!$C$5:$AG$2561,F$4)</f>
        <v>NAN</v>
      </c>
      <c r="C2387" t="str">
        <f>VLOOKUP($A2387,Data!$C$5:$AG$2561,G$4)</f>
        <v>NAN</v>
      </c>
    </row>
    <row r="2388" spans="1:3" x14ac:dyDescent="0.25">
      <c r="A2388">
        <v>2025190</v>
      </c>
      <c r="B2388" t="str">
        <f>VLOOKUP($A2388,Data!$C$5:$AG$2561,F$4)</f>
        <v>NAN</v>
      </c>
      <c r="C2388" t="str">
        <f>VLOOKUP($A2388,Data!$C$5:$AG$2561,G$4)</f>
        <v>NAN</v>
      </c>
    </row>
    <row r="2389" spans="1:3" x14ac:dyDescent="0.25">
      <c r="A2389">
        <v>2025191</v>
      </c>
      <c r="B2389" t="str">
        <f>VLOOKUP($A2389,Data!$C$5:$AG$2561,F$4)</f>
        <v>NAN</v>
      </c>
      <c r="C2389" t="str">
        <f>VLOOKUP($A2389,Data!$C$5:$AG$2561,G$4)</f>
        <v>NAN</v>
      </c>
    </row>
    <row r="2390" spans="1:3" x14ac:dyDescent="0.25">
      <c r="A2390">
        <v>2025192</v>
      </c>
      <c r="B2390" t="str">
        <f>VLOOKUP($A2390,Data!$C$5:$AG$2561,F$4)</f>
        <v>NAN</v>
      </c>
      <c r="C2390" t="str">
        <f>VLOOKUP($A2390,Data!$C$5:$AG$2561,G$4)</f>
        <v>NAN</v>
      </c>
    </row>
    <row r="2391" spans="1:3" x14ac:dyDescent="0.25">
      <c r="A2391">
        <v>2025193</v>
      </c>
      <c r="B2391" t="str">
        <f>VLOOKUP($A2391,Data!$C$5:$AG$2561,F$4)</f>
        <v>NAN</v>
      </c>
      <c r="C2391" t="str">
        <f>VLOOKUP($A2391,Data!$C$5:$AG$2561,G$4)</f>
        <v>NAN</v>
      </c>
    </row>
    <row r="2392" spans="1:3" x14ac:dyDescent="0.25">
      <c r="A2392">
        <v>2025194</v>
      </c>
      <c r="B2392" t="str">
        <f>VLOOKUP($A2392,Data!$C$5:$AG$2561,F$4)</f>
        <v>NAN</v>
      </c>
      <c r="C2392" t="str">
        <f>VLOOKUP($A2392,Data!$C$5:$AG$2561,G$4)</f>
        <v>NAN</v>
      </c>
    </row>
    <row r="2393" spans="1:3" x14ac:dyDescent="0.25">
      <c r="A2393">
        <v>2025195</v>
      </c>
      <c r="B2393" t="str">
        <f>VLOOKUP($A2393,Data!$C$5:$AG$2561,F$4)</f>
        <v>NAN</v>
      </c>
      <c r="C2393" t="str">
        <f>VLOOKUP($A2393,Data!$C$5:$AG$2561,G$4)</f>
        <v>NAN</v>
      </c>
    </row>
    <row r="2394" spans="1:3" x14ac:dyDescent="0.25">
      <c r="A2394">
        <v>2025196</v>
      </c>
      <c r="B2394" t="str">
        <f>VLOOKUP($A2394,Data!$C$5:$AG$2561,F$4)</f>
        <v>NAN</v>
      </c>
      <c r="C2394" t="str">
        <f>VLOOKUP($A2394,Data!$C$5:$AG$2561,G$4)</f>
        <v>NAN</v>
      </c>
    </row>
    <row r="2395" spans="1:3" x14ac:dyDescent="0.25">
      <c r="A2395">
        <v>2025197</v>
      </c>
      <c r="B2395" t="str">
        <f>VLOOKUP($A2395,Data!$C$5:$AG$2561,F$4)</f>
        <v>NAN</v>
      </c>
      <c r="C2395" t="str">
        <f>VLOOKUP($A2395,Data!$C$5:$AG$2561,G$4)</f>
        <v>NAN</v>
      </c>
    </row>
    <row r="2396" spans="1:3" x14ac:dyDescent="0.25">
      <c r="A2396">
        <v>2025198</v>
      </c>
      <c r="B2396" t="str">
        <f>VLOOKUP($A2396,Data!$C$5:$AG$2561,F$4)</f>
        <v>NAN</v>
      </c>
      <c r="C2396" t="str">
        <f>VLOOKUP($A2396,Data!$C$5:$AG$2561,G$4)</f>
        <v>NAN</v>
      </c>
    </row>
    <row r="2397" spans="1:3" x14ac:dyDescent="0.25">
      <c r="A2397">
        <v>2025199</v>
      </c>
      <c r="B2397" t="str">
        <f>VLOOKUP($A2397,Data!$C$5:$AG$2561,F$4)</f>
        <v>NAN</v>
      </c>
      <c r="C2397" t="str">
        <f>VLOOKUP($A2397,Data!$C$5:$AG$2561,G$4)</f>
        <v>NAN</v>
      </c>
    </row>
    <row r="2398" spans="1:3" x14ac:dyDescent="0.25">
      <c r="A2398">
        <v>2025200</v>
      </c>
      <c r="B2398" t="str">
        <f>VLOOKUP($A2398,Data!$C$5:$AG$2561,F$4)</f>
        <v>NAN</v>
      </c>
      <c r="C2398" t="str">
        <f>VLOOKUP($A2398,Data!$C$5:$AG$2561,G$4)</f>
        <v>NAN</v>
      </c>
    </row>
    <row r="2399" spans="1:3" x14ac:dyDescent="0.25">
      <c r="A2399">
        <v>2025201</v>
      </c>
      <c r="B2399" t="str">
        <f>VLOOKUP($A2399,Data!$C$5:$AG$2561,F$4)</f>
        <v>NAN</v>
      </c>
      <c r="C2399" t="str">
        <f>VLOOKUP($A2399,Data!$C$5:$AG$2561,G$4)</f>
        <v>NAN</v>
      </c>
    </row>
    <row r="2400" spans="1:3" x14ac:dyDescent="0.25">
      <c r="A2400">
        <v>2025202</v>
      </c>
      <c r="B2400" t="str">
        <f>VLOOKUP($A2400,Data!$C$5:$AG$2561,F$4)</f>
        <v>NAN</v>
      </c>
      <c r="C2400" t="str">
        <f>VLOOKUP($A2400,Data!$C$5:$AG$2561,G$4)</f>
        <v>NAN</v>
      </c>
    </row>
    <row r="2401" spans="1:3" x14ac:dyDescent="0.25">
      <c r="A2401">
        <v>2025203</v>
      </c>
      <c r="B2401" t="str">
        <f>VLOOKUP($A2401,Data!$C$5:$AG$2561,F$4)</f>
        <v>NAN</v>
      </c>
      <c r="C2401" t="str">
        <f>VLOOKUP($A2401,Data!$C$5:$AG$2561,G$4)</f>
        <v>NAN</v>
      </c>
    </row>
    <row r="2402" spans="1:3" x14ac:dyDescent="0.25">
      <c r="A2402">
        <v>2025204</v>
      </c>
      <c r="B2402" t="str">
        <f>VLOOKUP($A2402,Data!$C$5:$AG$2561,F$4)</f>
        <v>NAN</v>
      </c>
      <c r="C2402" t="str">
        <f>VLOOKUP($A2402,Data!$C$5:$AG$2561,G$4)</f>
        <v>NAN</v>
      </c>
    </row>
    <row r="2403" spans="1:3" x14ac:dyDescent="0.25">
      <c r="A2403">
        <v>2025205</v>
      </c>
      <c r="B2403" t="str">
        <f>VLOOKUP($A2403,Data!$C$5:$AG$2561,F$4)</f>
        <v>NAN</v>
      </c>
      <c r="C2403" t="str">
        <f>VLOOKUP($A2403,Data!$C$5:$AG$2561,G$4)</f>
        <v>NAN</v>
      </c>
    </row>
    <row r="2404" spans="1:3" x14ac:dyDescent="0.25">
      <c r="A2404">
        <v>2025206</v>
      </c>
      <c r="B2404" t="str">
        <f>VLOOKUP($A2404,Data!$C$5:$AG$2561,F$4)</f>
        <v>NAN</v>
      </c>
      <c r="C2404" t="str">
        <f>VLOOKUP($A2404,Data!$C$5:$AG$2561,G$4)</f>
        <v>NAN</v>
      </c>
    </row>
    <row r="2405" spans="1:3" x14ac:dyDescent="0.25">
      <c r="A2405">
        <v>2025207</v>
      </c>
      <c r="B2405" t="str">
        <f>VLOOKUP($A2405,Data!$C$5:$AG$2561,F$4)</f>
        <v>NAN</v>
      </c>
      <c r="C2405" t="str">
        <f>VLOOKUP($A2405,Data!$C$5:$AG$2561,G$4)</f>
        <v>NAN</v>
      </c>
    </row>
    <row r="2406" spans="1:3" x14ac:dyDescent="0.25">
      <c r="A2406">
        <v>2025208</v>
      </c>
      <c r="B2406" t="str">
        <f>VLOOKUP($A2406,Data!$C$5:$AG$2561,F$4)</f>
        <v>NAN</v>
      </c>
      <c r="C2406" t="str">
        <f>VLOOKUP($A2406,Data!$C$5:$AG$2561,G$4)</f>
        <v>NAN</v>
      </c>
    </row>
    <row r="2407" spans="1:3" x14ac:dyDescent="0.25">
      <c r="A2407">
        <v>2025209</v>
      </c>
      <c r="B2407" t="str">
        <f>VLOOKUP($A2407,Data!$C$5:$AG$2561,F$4)</f>
        <v>NAN</v>
      </c>
      <c r="C2407" t="str">
        <f>VLOOKUP($A2407,Data!$C$5:$AG$2561,G$4)</f>
        <v>NAN</v>
      </c>
    </row>
    <row r="2408" spans="1:3" x14ac:dyDescent="0.25">
      <c r="A2408">
        <v>2025210</v>
      </c>
      <c r="B2408" t="str">
        <f>VLOOKUP($A2408,Data!$C$5:$AG$2561,F$4)</f>
        <v>NAN</v>
      </c>
      <c r="C2408" t="str">
        <f>VLOOKUP($A2408,Data!$C$5:$AG$2561,G$4)</f>
        <v>NAN</v>
      </c>
    </row>
    <row r="2409" spans="1:3" x14ac:dyDescent="0.25">
      <c r="A2409">
        <v>2025211</v>
      </c>
      <c r="B2409" t="str">
        <f>VLOOKUP($A2409,Data!$C$5:$AG$2561,F$4)</f>
        <v>NAN</v>
      </c>
      <c r="C2409" t="str">
        <f>VLOOKUP($A2409,Data!$C$5:$AG$2561,G$4)</f>
        <v>NAN</v>
      </c>
    </row>
    <row r="2410" spans="1:3" x14ac:dyDescent="0.25">
      <c r="A2410">
        <v>2025212</v>
      </c>
      <c r="B2410" t="str">
        <f>VLOOKUP($A2410,Data!$C$5:$AG$2561,F$4)</f>
        <v>NAN</v>
      </c>
      <c r="C2410" t="str">
        <f>VLOOKUP($A2410,Data!$C$5:$AG$2561,G$4)</f>
        <v>NAN</v>
      </c>
    </row>
    <row r="2411" spans="1:3" x14ac:dyDescent="0.25">
      <c r="A2411">
        <v>2025213</v>
      </c>
      <c r="B2411" t="str">
        <f>VLOOKUP($A2411,Data!$C$5:$AG$2561,F$4)</f>
        <v>NAN</v>
      </c>
      <c r="C2411" t="str">
        <f>VLOOKUP($A2411,Data!$C$5:$AG$2561,G$4)</f>
        <v>NAN</v>
      </c>
    </row>
    <row r="2412" spans="1:3" x14ac:dyDescent="0.25">
      <c r="A2412">
        <v>2025214</v>
      </c>
      <c r="B2412" t="str">
        <f>VLOOKUP($A2412,Data!$C$5:$AG$2561,F$4)</f>
        <v>NAN</v>
      </c>
      <c r="C2412" t="str">
        <f>VLOOKUP($A2412,Data!$C$5:$AG$2561,G$4)</f>
        <v>NAN</v>
      </c>
    </row>
    <row r="2413" spans="1:3" x14ac:dyDescent="0.25">
      <c r="A2413">
        <v>2025215</v>
      </c>
      <c r="B2413" t="str">
        <f>VLOOKUP($A2413,Data!$C$5:$AG$2561,F$4)</f>
        <v>NAN</v>
      </c>
      <c r="C2413" t="str">
        <f>VLOOKUP($A2413,Data!$C$5:$AG$2561,G$4)</f>
        <v>NAN</v>
      </c>
    </row>
    <row r="2414" spans="1:3" x14ac:dyDescent="0.25">
      <c r="A2414">
        <v>2025216</v>
      </c>
      <c r="B2414" t="str">
        <f>VLOOKUP($A2414,Data!$C$5:$AG$2561,F$4)</f>
        <v>NAN</v>
      </c>
      <c r="C2414" t="str">
        <f>VLOOKUP($A2414,Data!$C$5:$AG$2561,G$4)</f>
        <v>NAN</v>
      </c>
    </row>
    <row r="2415" spans="1:3" x14ac:dyDescent="0.25">
      <c r="A2415">
        <v>2025217</v>
      </c>
      <c r="B2415" t="str">
        <f>VLOOKUP($A2415,Data!$C$5:$AG$2561,F$4)</f>
        <v>NAN</v>
      </c>
      <c r="C2415" t="str">
        <f>VLOOKUP($A2415,Data!$C$5:$AG$2561,G$4)</f>
        <v>NAN</v>
      </c>
    </row>
    <row r="2416" spans="1:3" x14ac:dyDescent="0.25">
      <c r="A2416">
        <v>2025218</v>
      </c>
      <c r="B2416" t="str">
        <f>VLOOKUP($A2416,Data!$C$5:$AG$2561,F$4)</f>
        <v>NAN</v>
      </c>
      <c r="C2416" t="str">
        <f>VLOOKUP($A2416,Data!$C$5:$AG$2561,G$4)</f>
        <v>NAN</v>
      </c>
    </row>
    <row r="2417" spans="1:3" x14ac:dyDescent="0.25">
      <c r="A2417">
        <v>2025219</v>
      </c>
      <c r="B2417" t="str">
        <f>VLOOKUP($A2417,Data!$C$5:$AG$2561,F$4)</f>
        <v>NAN</v>
      </c>
      <c r="C2417" t="str">
        <f>VLOOKUP($A2417,Data!$C$5:$AG$2561,G$4)</f>
        <v>NAN</v>
      </c>
    </row>
    <row r="2418" spans="1:3" x14ac:dyDescent="0.25">
      <c r="A2418">
        <v>2025220</v>
      </c>
      <c r="B2418" t="str">
        <f>VLOOKUP($A2418,Data!$C$5:$AG$2561,F$4)</f>
        <v>NAN</v>
      </c>
      <c r="C2418" t="str">
        <f>VLOOKUP($A2418,Data!$C$5:$AG$2561,G$4)</f>
        <v>NAN</v>
      </c>
    </row>
    <row r="2419" spans="1:3" x14ac:dyDescent="0.25">
      <c r="A2419">
        <v>2025221</v>
      </c>
      <c r="B2419" t="str">
        <f>VLOOKUP($A2419,Data!$C$5:$AG$2561,F$4)</f>
        <v>NAN</v>
      </c>
      <c r="C2419" t="str">
        <f>VLOOKUP($A2419,Data!$C$5:$AG$2561,G$4)</f>
        <v>NAN</v>
      </c>
    </row>
    <row r="2420" spans="1:3" x14ac:dyDescent="0.25">
      <c r="A2420">
        <v>2025222</v>
      </c>
      <c r="B2420" t="str">
        <f>VLOOKUP($A2420,Data!$C$5:$AG$2561,F$4)</f>
        <v>NAN</v>
      </c>
      <c r="C2420" t="str">
        <f>VLOOKUP($A2420,Data!$C$5:$AG$2561,G$4)</f>
        <v>NAN</v>
      </c>
    </row>
    <row r="2421" spans="1:3" x14ac:dyDescent="0.25">
      <c r="A2421">
        <v>2025223</v>
      </c>
      <c r="B2421" t="str">
        <f>VLOOKUP($A2421,Data!$C$5:$AG$2561,F$4)</f>
        <v>NAN</v>
      </c>
      <c r="C2421" t="str">
        <f>VLOOKUP($A2421,Data!$C$5:$AG$2561,G$4)</f>
        <v>NAN</v>
      </c>
    </row>
    <row r="2422" spans="1:3" x14ac:dyDescent="0.25">
      <c r="A2422">
        <v>2025224</v>
      </c>
      <c r="B2422" t="str">
        <f>VLOOKUP($A2422,Data!$C$5:$AG$2561,F$4)</f>
        <v>NAN</v>
      </c>
      <c r="C2422" t="str">
        <f>VLOOKUP($A2422,Data!$C$5:$AG$2561,G$4)</f>
        <v>NAN</v>
      </c>
    </row>
    <row r="2423" spans="1:3" x14ac:dyDescent="0.25">
      <c r="A2423">
        <v>2025225</v>
      </c>
      <c r="B2423" t="str">
        <f>VLOOKUP($A2423,Data!$C$5:$AG$2561,F$4)</f>
        <v>NAN</v>
      </c>
      <c r="C2423" t="str">
        <f>VLOOKUP($A2423,Data!$C$5:$AG$2561,G$4)</f>
        <v>NAN</v>
      </c>
    </row>
    <row r="2424" spans="1:3" x14ac:dyDescent="0.25">
      <c r="A2424">
        <v>2025226</v>
      </c>
      <c r="B2424" t="str">
        <f>VLOOKUP($A2424,Data!$C$5:$AG$2561,F$4)</f>
        <v>NAN</v>
      </c>
      <c r="C2424" t="str">
        <f>VLOOKUP($A2424,Data!$C$5:$AG$2561,G$4)</f>
        <v>NAN</v>
      </c>
    </row>
    <row r="2425" spans="1:3" x14ac:dyDescent="0.25">
      <c r="A2425">
        <v>2025227</v>
      </c>
      <c r="B2425" t="str">
        <f>VLOOKUP($A2425,Data!$C$5:$AG$2561,F$4)</f>
        <v>NAN</v>
      </c>
      <c r="C2425" t="str">
        <f>VLOOKUP($A2425,Data!$C$5:$AG$2561,G$4)</f>
        <v>NAN</v>
      </c>
    </row>
    <row r="2426" spans="1:3" x14ac:dyDescent="0.25">
      <c r="A2426">
        <v>2025228</v>
      </c>
      <c r="B2426" t="str">
        <f>VLOOKUP($A2426,Data!$C$5:$AG$2561,F$4)</f>
        <v>NAN</v>
      </c>
      <c r="C2426" t="str">
        <f>VLOOKUP($A2426,Data!$C$5:$AG$2561,G$4)</f>
        <v>NAN</v>
      </c>
    </row>
    <row r="2427" spans="1:3" x14ac:dyDescent="0.25">
      <c r="A2427">
        <v>2025229</v>
      </c>
      <c r="B2427" t="str">
        <f>VLOOKUP($A2427,Data!$C$5:$AG$2561,F$4)</f>
        <v>NAN</v>
      </c>
      <c r="C2427" t="str">
        <f>VLOOKUP($A2427,Data!$C$5:$AG$2561,G$4)</f>
        <v>NAN</v>
      </c>
    </row>
    <row r="2428" spans="1:3" x14ac:dyDescent="0.25">
      <c r="A2428">
        <v>2025230</v>
      </c>
      <c r="B2428" t="str">
        <f>VLOOKUP($A2428,Data!$C$5:$AG$2561,F$4)</f>
        <v>NAN</v>
      </c>
      <c r="C2428" t="str">
        <f>VLOOKUP($A2428,Data!$C$5:$AG$2561,G$4)</f>
        <v>NAN</v>
      </c>
    </row>
    <row r="2429" spans="1:3" x14ac:dyDescent="0.25">
      <c r="A2429">
        <v>2025231</v>
      </c>
      <c r="B2429" t="str">
        <f>VLOOKUP($A2429,Data!$C$5:$AG$2561,F$4)</f>
        <v>NAN</v>
      </c>
      <c r="C2429" t="str">
        <f>VLOOKUP($A2429,Data!$C$5:$AG$2561,G$4)</f>
        <v>NAN</v>
      </c>
    </row>
    <row r="2430" spans="1:3" x14ac:dyDescent="0.25">
      <c r="A2430">
        <v>2025232</v>
      </c>
      <c r="B2430" t="str">
        <f>VLOOKUP($A2430,Data!$C$5:$AG$2561,F$4)</f>
        <v>NAN</v>
      </c>
      <c r="C2430" t="str">
        <f>VLOOKUP($A2430,Data!$C$5:$AG$2561,G$4)</f>
        <v>NAN</v>
      </c>
    </row>
    <row r="2431" spans="1:3" x14ac:dyDescent="0.25">
      <c r="A2431">
        <v>2025233</v>
      </c>
      <c r="B2431" t="str">
        <f>VLOOKUP($A2431,Data!$C$5:$AG$2561,F$4)</f>
        <v>NAN</v>
      </c>
      <c r="C2431" t="str">
        <f>VLOOKUP($A2431,Data!$C$5:$AG$2561,G$4)</f>
        <v>NAN</v>
      </c>
    </row>
    <row r="2432" spans="1:3" x14ac:dyDescent="0.25">
      <c r="A2432">
        <v>2025234</v>
      </c>
      <c r="B2432" t="str">
        <f>VLOOKUP($A2432,Data!$C$5:$AG$2561,F$4)</f>
        <v>NAN</v>
      </c>
      <c r="C2432" t="str">
        <f>VLOOKUP($A2432,Data!$C$5:$AG$2561,G$4)</f>
        <v>NAN</v>
      </c>
    </row>
    <row r="2433" spans="1:3" x14ac:dyDescent="0.25">
      <c r="A2433">
        <v>2025235</v>
      </c>
      <c r="B2433" t="str">
        <f>VLOOKUP($A2433,Data!$C$5:$AG$2561,F$4)</f>
        <v>NAN</v>
      </c>
      <c r="C2433" t="str">
        <f>VLOOKUP($A2433,Data!$C$5:$AG$2561,G$4)</f>
        <v>NAN</v>
      </c>
    </row>
    <row r="2434" spans="1:3" x14ac:dyDescent="0.25">
      <c r="A2434">
        <v>2025236</v>
      </c>
      <c r="B2434" t="str">
        <f>VLOOKUP($A2434,Data!$C$5:$AG$2561,F$4)</f>
        <v>NAN</v>
      </c>
      <c r="C2434" t="str">
        <f>VLOOKUP($A2434,Data!$C$5:$AG$2561,G$4)</f>
        <v>NAN</v>
      </c>
    </row>
    <row r="2435" spans="1:3" x14ac:dyDescent="0.25">
      <c r="A2435">
        <v>2025237</v>
      </c>
      <c r="B2435" t="str">
        <f>VLOOKUP($A2435,Data!$C$5:$AG$2561,F$4)</f>
        <v>NAN</v>
      </c>
      <c r="C2435" t="str">
        <f>VLOOKUP($A2435,Data!$C$5:$AG$2561,G$4)</f>
        <v>NAN</v>
      </c>
    </row>
    <row r="2436" spans="1:3" x14ac:dyDescent="0.25">
      <c r="A2436">
        <v>2025238</v>
      </c>
      <c r="B2436" t="str">
        <f>VLOOKUP($A2436,Data!$C$5:$AG$2561,F$4)</f>
        <v>NAN</v>
      </c>
      <c r="C2436" t="str">
        <f>VLOOKUP($A2436,Data!$C$5:$AG$2561,G$4)</f>
        <v>NAN</v>
      </c>
    </row>
    <row r="2437" spans="1:3" x14ac:dyDescent="0.25">
      <c r="A2437">
        <v>2025239</v>
      </c>
      <c r="B2437" t="str">
        <f>VLOOKUP($A2437,Data!$C$5:$AG$2561,F$4)</f>
        <v>NAN</v>
      </c>
      <c r="C2437" t="str">
        <f>VLOOKUP($A2437,Data!$C$5:$AG$2561,G$4)</f>
        <v>NAN</v>
      </c>
    </row>
    <row r="2438" spans="1:3" x14ac:dyDescent="0.25">
      <c r="A2438">
        <v>2025240</v>
      </c>
      <c r="B2438" t="str">
        <f>VLOOKUP($A2438,Data!$C$5:$AG$2561,F$4)</f>
        <v>NAN</v>
      </c>
      <c r="C2438" t="str">
        <f>VLOOKUP($A2438,Data!$C$5:$AG$2561,G$4)</f>
        <v>NAN</v>
      </c>
    </row>
    <row r="2439" spans="1:3" x14ac:dyDescent="0.25">
      <c r="A2439">
        <v>2025241</v>
      </c>
      <c r="B2439" t="str">
        <f>VLOOKUP($A2439,Data!$C$5:$AG$2561,F$4)</f>
        <v>NAN</v>
      </c>
      <c r="C2439" t="str">
        <f>VLOOKUP($A2439,Data!$C$5:$AG$2561,G$4)</f>
        <v>NAN</v>
      </c>
    </row>
    <row r="2440" spans="1:3" x14ac:dyDescent="0.25">
      <c r="A2440">
        <v>2025242</v>
      </c>
      <c r="B2440" t="str">
        <f>VLOOKUP($A2440,Data!$C$5:$AG$2561,F$4)</f>
        <v>NAN</v>
      </c>
      <c r="C2440" t="str">
        <f>VLOOKUP($A2440,Data!$C$5:$AG$2561,G$4)</f>
        <v>NAN</v>
      </c>
    </row>
    <row r="2441" spans="1:3" x14ac:dyDescent="0.25">
      <c r="A2441">
        <v>2025243</v>
      </c>
      <c r="B2441" t="str">
        <f>VLOOKUP($A2441,Data!$C$5:$AG$2561,F$4)</f>
        <v>NAN</v>
      </c>
      <c r="C2441" t="str">
        <f>VLOOKUP($A2441,Data!$C$5:$AG$2561,G$4)</f>
        <v>NAN</v>
      </c>
    </row>
    <row r="2442" spans="1:3" x14ac:dyDescent="0.25">
      <c r="A2442">
        <v>2025244</v>
      </c>
      <c r="B2442" t="str">
        <f>VLOOKUP($A2442,Data!$C$5:$AG$2561,F$4)</f>
        <v>NAN</v>
      </c>
      <c r="C2442" t="str">
        <f>VLOOKUP($A2442,Data!$C$5:$AG$2561,G$4)</f>
        <v>NAN</v>
      </c>
    </row>
    <row r="2443" spans="1:3" x14ac:dyDescent="0.25">
      <c r="A2443">
        <v>2025245</v>
      </c>
      <c r="B2443" t="str">
        <f>VLOOKUP($A2443,Data!$C$5:$AG$2561,F$4)</f>
        <v>NAN</v>
      </c>
      <c r="C2443" t="str">
        <f>VLOOKUP($A2443,Data!$C$5:$AG$2561,G$4)</f>
        <v>NAN</v>
      </c>
    </row>
    <row r="2444" spans="1:3" x14ac:dyDescent="0.25">
      <c r="A2444">
        <v>2025246</v>
      </c>
      <c r="B2444" t="str">
        <f>VLOOKUP($A2444,Data!$C$5:$AG$2561,F$4)</f>
        <v>NAN</v>
      </c>
      <c r="C2444" t="str">
        <f>VLOOKUP($A2444,Data!$C$5:$AG$2561,G$4)</f>
        <v>NAN</v>
      </c>
    </row>
    <row r="2445" spans="1:3" x14ac:dyDescent="0.25">
      <c r="A2445">
        <v>2025247</v>
      </c>
      <c r="B2445" t="str">
        <f>VLOOKUP($A2445,Data!$C$5:$AG$2561,F$4)</f>
        <v>NAN</v>
      </c>
      <c r="C2445" t="str">
        <f>VLOOKUP($A2445,Data!$C$5:$AG$2561,G$4)</f>
        <v>NAN</v>
      </c>
    </row>
    <row r="2446" spans="1:3" x14ac:dyDescent="0.25">
      <c r="A2446">
        <v>2025248</v>
      </c>
      <c r="B2446" t="str">
        <f>VLOOKUP($A2446,Data!$C$5:$AG$2561,F$4)</f>
        <v>NAN</v>
      </c>
      <c r="C2446" t="str">
        <f>VLOOKUP($A2446,Data!$C$5:$AG$2561,G$4)</f>
        <v>NAN</v>
      </c>
    </row>
    <row r="2447" spans="1:3" x14ac:dyDescent="0.25">
      <c r="A2447">
        <v>2025249</v>
      </c>
      <c r="B2447" t="str">
        <f>VLOOKUP($A2447,Data!$C$5:$AG$2561,F$4)</f>
        <v>NAN</v>
      </c>
      <c r="C2447" t="str">
        <f>VLOOKUP($A2447,Data!$C$5:$AG$2561,G$4)</f>
        <v>NAN</v>
      </c>
    </row>
    <row r="2448" spans="1:3" x14ac:dyDescent="0.25">
      <c r="A2448">
        <v>2025250</v>
      </c>
      <c r="B2448" t="str">
        <f>VLOOKUP($A2448,Data!$C$5:$AG$2561,F$4)</f>
        <v>NAN</v>
      </c>
      <c r="C2448" t="str">
        <f>VLOOKUP($A2448,Data!$C$5:$AG$2561,G$4)</f>
        <v>NAN</v>
      </c>
    </row>
    <row r="2449" spans="1:3" x14ac:dyDescent="0.25">
      <c r="A2449">
        <v>2025251</v>
      </c>
      <c r="B2449" t="str">
        <f>VLOOKUP($A2449,Data!$C$5:$AG$2561,F$4)</f>
        <v>NAN</v>
      </c>
      <c r="C2449" t="str">
        <f>VLOOKUP($A2449,Data!$C$5:$AG$2561,G$4)</f>
        <v>NAN</v>
      </c>
    </row>
    <row r="2450" spans="1:3" x14ac:dyDescent="0.25">
      <c r="A2450">
        <v>2025252</v>
      </c>
      <c r="B2450" t="str">
        <f>VLOOKUP($A2450,Data!$C$5:$AG$2561,F$4)</f>
        <v>NAN</v>
      </c>
      <c r="C2450" t="str">
        <f>VLOOKUP($A2450,Data!$C$5:$AG$2561,G$4)</f>
        <v>NAN</v>
      </c>
    </row>
    <row r="2451" spans="1:3" x14ac:dyDescent="0.25">
      <c r="A2451">
        <v>2025253</v>
      </c>
      <c r="B2451" t="str">
        <f>VLOOKUP($A2451,Data!$C$5:$AG$2561,F$4)</f>
        <v>NAN</v>
      </c>
      <c r="C2451" t="str">
        <f>VLOOKUP($A2451,Data!$C$5:$AG$2561,G$4)</f>
        <v>NAN</v>
      </c>
    </row>
    <row r="2452" spans="1:3" x14ac:dyDescent="0.25">
      <c r="A2452">
        <v>2025254</v>
      </c>
      <c r="B2452" t="str">
        <f>VLOOKUP($A2452,Data!$C$5:$AG$2561,F$4)</f>
        <v>NAN</v>
      </c>
      <c r="C2452" t="str">
        <f>VLOOKUP($A2452,Data!$C$5:$AG$2561,G$4)</f>
        <v>NAN</v>
      </c>
    </row>
    <row r="2453" spans="1:3" x14ac:dyDescent="0.25">
      <c r="A2453">
        <v>2025255</v>
      </c>
      <c r="B2453" t="str">
        <f>VLOOKUP($A2453,Data!$C$5:$AG$2561,F$4)</f>
        <v>NAN</v>
      </c>
      <c r="C2453" t="str">
        <f>VLOOKUP($A2453,Data!$C$5:$AG$2561,G$4)</f>
        <v>NAN</v>
      </c>
    </row>
    <row r="2454" spans="1:3" x14ac:dyDescent="0.25">
      <c r="A2454">
        <v>2025256</v>
      </c>
      <c r="B2454" t="str">
        <f>VLOOKUP($A2454,Data!$C$5:$AG$2561,F$4)</f>
        <v>NAN</v>
      </c>
      <c r="C2454" t="str">
        <f>VLOOKUP($A2454,Data!$C$5:$AG$2561,G$4)</f>
        <v>NAN</v>
      </c>
    </row>
    <row r="2455" spans="1:3" x14ac:dyDescent="0.25">
      <c r="A2455">
        <v>2025257</v>
      </c>
      <c r="B2455" t="str">
        <f>VLOOKUP($A2455,Data!$C$5:$AG$2561,F$4)</f>
        <v>NAN</v>
      </c>
      <c r="C2455" t="str">
        <f>VLOOKUP($A2455,Data!$C$5:$AG$2561,G$4)</f>
        <v>NAN</v>
      </c>
    </row>
    <row r="2456" spans="1:3" x14ac:dyDescent="0.25">
      <c r="A2456">
        <v>2025258</v>
      </c>
      <c r="B2456" t="str">
        <f>VLOOKUP($A2456,Data!$C$5:$AG$2561,F$4)</f>
        <v>NAN</v>
      </c>
      <c r="C2456" t="str">
        <f>VLOOKUP($A2456,Data!$C$5:$AG$2561,G$4)</f>
        <v>NAN</v>
      </c>
    </row>
    <row r="2457" spans="1:3" x14ac:dyDescent="0.25">
      <c r="A2457">
        <v>2025259</v>
      </c>
      <c r="B2457" t="str">
        <f>VLOOKUP($A2457,Data!$C$5:$AG$2561,F$4)</f>
        <v>NAN</v>
      </c>
      <c r="C2457" t="str">
        <f>VLOOKUP($A2457,Data!$C$5:$AG$2561,G$4)</f>
        <v>NAN</v>
      </c>
    </row>
    <row r="2458" spans="1:3" x14ac:dyDescent="0.25">
      <c r="A2458">
        <v>2025260</v>
      </c>
      <c r="B2458" t="str">
        <f>VLOOKUP($A2458,Data!$C$5:$AG$2561,F$4)</f>
        <v>NAN</v>
      </c>
      <c r="C2458" t="str">
        <f>VLOOKUP($A2458,Data!$C$5:$AG$2561,G$4)</f>
        <v>NAN</v>
      </c>
    </row>
    <row r="2459" spans="1:3" x14ac:dyDescent="0.25">
      <c r="A2459">
        <v>2025261</v>
      </c>
      <c r="B2459" t="str">
        <f>VLOOKUP($A2459,Data!$C$5:$AG$2561,F$4)</f>
        <v>NAN</v>
      </c>
      <c r="C2459" t="str">
        <f>VLOOKUP($A2459,Data!$C$5:$AG$2561,G$4)</f>
        <v>NAN</v>
      </c>
    </row>
    <row r="2460" spans="1:3" x14ac:dyDescent="0.25">
      <c r="A2460">
        <v>2025262</v>
      </c>
      <c r="B2460" t="str">
        <f>VLOOKUP($A2460,Data!$C$5:$AG$2561,F$4)</f>
        <v>NAN</v>
      </c>
      <c r="C2460" t="str">
        <f>VLOOKUP($A2460,Data!$C$5:$AG$2561,G$4)</f>
        <v>NAN</v>
      </c>
    </row>
    <row r="2461" spans="1:3" x14ac:dyDescent="0.25">
      <c r="A2461">
        <v>2025263</v>
      </c>
      <c r="B2461" t="str">
        <f>VLOOKUP($A2461,Data!$C$5:$AG$2561,F$4)</f>
        <v>NAN</v>
      </c>
      <c r="C2461" t="str">
        <f>VLOOKUP($A2461,Data!$C$5:$AG$2561,G$4)</f>
        <v>NAN</v>
      </c>
    </row>
    <row r="2462" spans="1:3" x14ac:dyDescent="0.25">
      <c r="A2462">
        <v>2025264</v>
      </c>
      <c r="B2462" t="str">
        <f>VLOOKUP($A2462,Data!$C$5:$AG$2561,F$4)</f>
        <v>NAN</v>
      </c>
      <c r="C2462" t="str">
        <f>VLOOKUP($A2462,Data!$C$5:$AG$2561,G$4)</f>
        <v>NAN</v>
      </c>
    </row>
    <row r="2463" spans="1:3" x14ac:dyDescent="0.25">
      <c r="A2463">
        <v>2025265</v>
      </c>
      <c r="B2463" t="str">
        <f>VLOOKUP($A2463,Data!$C$5:$AG$2561,F$4)</f>
        <v>NAN</v>
      </c>
      <c r="C2463" t="str">
        <f>VLOOKUP($A2463,Data!$C$5:$AG$2561,G$4)</f>
        <v>NAN</v>
      </c>
    </row>
    <row r="2464" spans="1:3" x14ac:dyDescent="0.25">
      <c r="A2464">
        <v>2025266</v>
      </c>
      <c r="B2464" t="str">
        <f>VLOOKUP($A2464,Data!$C$5:$AG$2561,F$4)</f>
        <v>NAN</v>
      </c>
      <c r="C2464" t="str">
        <f>VLOOKUP($A2464,Data!$C$5:$AG$2561,G$4)</f>
        <v>NAN</v>
      </c>
    </row>
    <row r="2465" spans="1:3" x14ac:dyDescent="0.25">
      <c r="A2465">
        <v>2025267</v>
      </c>
      <c r="B2465" t="str">
        <f>VLOOKUP($A2465,Data!$C$5:$AG$2561,F$4)</f>
        <v>NAN</v>
      </c>
      <c r="C2465" t="str">
        <f>VLOOKUP($A2465,Data!$C$5:$AG$2561,G$4)</f>
        <v>NAN</v>
      </c>
    </row>
    <row r="2466" spans="1:3" x14ac:dyDescent="0.25">
      <c r="A2466">
        <v>2025268</v>
      </c>
      <c r="B2466" t="str">
        <f>VLOOKUP($A2466,Data!$C$5:$AG$2561,F$4)</f>
        <v>NAN</v>
      </c>
      <c r="C2466" t="str">
        <f>VLOOKUP($A2466,Data!$C$5:$AG$2561,G$4)</f>
        <v>NAN</v>
      </c>
    </row>
    <row r="2467" spans="1:3" x14ac:dyDescent="0.25">
      <c r="A2467">
        <v>2025269</v>
      </c>
      <c r="B2467" t="str">
        <f>VLOOKUP($A2467,Data!$C$5:$AG$2561,F$4)</f>
        <v>NAN</v>
      </c>
      <c r="C2467" t="str">
        <f>VLOOKUP($A2467,Data!$C$5:$AG$2561,G$4)</f>
        <v>NAN</v>
      </c>
    </row>
    <row r="2468" spans="1:3" x14ac:dyDescent="0.25">
      <c r="A2468">
        <v>2025270</v>
      </c>
      <c r="B2468" t="str">
        <f>VLOOKUP($A2468,Data!$C$5:$AG$2561,F$4)</f>
        <v>NAN</v>
      </c>
      <c r="C2468" t="str">
        <f>VLOOKUP($A2468,Data!$C$5:$AG$2561,G$4)</f>
        <v>NAN</v>
      </c>
    </row>
    <row r="2469" spans="1:3" x14ac:dyDescent="0.25">
      <c r="A2469">
        <v>2025271</v>
      </c>
      <c r="B2469" t="str">
        <f>VLOOKUP($A2469,Data!$C$5:$AG$2561,F$4)</f>
        <v>NAN</v>
      </c>
      <c r="C2469" t="str">
        <f>VLOOKUP($A2469,Data!$C$5:$AG$2561,G$4)</f>
        <v>NAN</v>
      </c>
    </row>
    <row r="2470" spans="1:3" x14ac:dyDescent="0.25">
      <c r="A2470">
        <v>2025272</v>
      </c>
      <c r="B2470" t="str">
        <f>VLOOKUP($A2470,Data!$C$5:$AG$2561,F$4)</f>
        <v>NAN</v>
      </c>
      <c r="C2470" t="str">
        <f>VLOOKUP($A2470,Data!$C$5:$AG$2561,G$4)</f>
        <v>NAN</v>
      </c>
    </row>
    <row r="2471" spans="1:3" x14ac:dyDescent="0.25">
      <c r="A2471">
        <v>2025273</v>
      </c>
      <c r="B2471" t="str">
        <f>VLOOKUP($A2471,Data!$C$5:$AG$2561,F$4)</f>
        <v>NAN</v>
      </c>
      <c r="C2471" t="str">
        <f>VLOOKUP($A2471,Data!$C$5:$AG$2561,G$4)</f>
        <v>NAN</v>
      </c>
    </row>
    <row r="2472" spans="1:3" x14ac:dyDescent="0.25">
      <c r="A2472">
        <v>2025274</v>
      </c>
      <c r="B2472" t="str">
        <f>VLOOKUP($A2472,Data!$C$5:$AG$2561,F$4)</f>
        <v>NAN</v>
      </c>
      <c r="C2472" t="str">
        <f>VLOOKUP($A2472,Data!$C$5:$AG$2561,G$4)</f>
        <v>NAN</v>
      </c>
    </row>
    <row r="2473" spans="1:3" x14ac:dyDescent="0.25">
      <c r="A2473">
        <v>2025275</v>
      </c>
      <c r="B2473" t="str">
        <f>VLOOKUP($A2473,Data!$C$5:$AG$2561,F$4)</f>
        <v>NAN</v>
      </c>
      <c r="C2473" t="str">
        <f>VLOOKUP($A2473,Data!$C$5:$AG$2561,G$4)</f>
        <v>NAN</v>
      </c>
    </row>
    <row r="2474" spans="1:3" x14ac:dyDescent="0.25">
      <c r="A2474">
        <v>2025276</v>
      </c>
      <c r="B2474" t="str">
        <f>VLOOKUP($A2474,Data!$C$5:$AG$2561,F$4)</f>
        <v>NAN</v>
      </c>
      <c r="C2474" t="str">
        <f>VLOOKUP($A2474,Data!$C$5:$AG$2561,G$4)</f>
        <v>NAN</v>
      </c>
    </row>
    <row r="2475" spans="1:3" x14ac:dyDescent="0.25">
      <c r="A2475">
        <v>2025277</v>
      </c>
      <c r="B2475" t="str">
        <f>VLOOKUP($A2475,Data!$C$5:$AG$2561,F$4)</f>
        <v>NAN</v>
      </c>
      <c r="C2475" t="str">
        <f>VLOOKUP($A2475,Data!$C$5:$AG$2561,G$4)</f>
        <v>NAN</v>
      </c>
    </row>
    <row r="2476" spans="1:3" x14ac:dyDescent="0.25">
      <c r="A2476">
        <v>2025278</v>
      </c>
      <c r="B2476" t="str">
        <f>VLOOKUP($A2476,Data!$C$5:$AG$2561,F$4)</f>
        <v>NAN</v>
      </c>
      <c r="C2476" t="str">
        <f>VLOOKUP($A2476,Data!$C$5:$AG$2561,G$4)</f>
        <v>NAN</v>
      </c>
    </row>
    <row r="2477" spans="1:3" x14ac:dyDescent="0.25">
      <c r="A2477">
        <v>2025279</v>
      </c>
      <c r="B2477" t="str">
        <f>VLOOKUP($A2477,Data!$C$5:$AG$2561,F$4)</f>
        <v>NAN</v>
      </c>
      <c r="C2477" t="str">
        <f>VLOOKUP($A2477,Data!$C$5:$AG$2561,G$4)</f>
        <v>NAN</v>
      </c>
    </row>
    <row r="2478" spans="1:3" x14ac:dyDescent="0.25">
      <c r="A2478">
        <v>2025280</v>
      </c>
      <c r="B2478" t="str">
        <f>VLOOKUP($A2478,Data!$C$5:$AG$2561,F$4)</f>
        <v>NAN</v>
      </c>
      <c r="C2478" t="str">
        <f>VLOOKUP($A2478,Data!$C$5:$AG$2561,G$4)</f>
        <v>NAN</v>
      </c>
    </row>
    <row r="2479" spans="1:3" x14ac:dyDescent="0.25">
      <c r="A2479">
        <v>2025281</v>
      </c>
      <c r="B2479" t="str">
        <f>VLOOKUP($A2479,Data!$C$5:$AG$2561,F$4)</f>
        <v>NAN</v>
      </c>
      <c r="C2479" t="str">
        <f>VLOOKUP($A2479,Data!$C$5:$AG$2561,G$4)</f>
        <v>NAN</v>
      </c>
    </row>
    <row r="2480" spans="1:3" x14ac:dyDescent="0.25">
      <c r="A2480">
        <v>2025282</v>
      </c>
      <c r="B2480" t="str">
        <f>VLOOKUP($A2480,Data!$C$5:$AG$2561,F$4)</f>
        <v>NAN</v>
      </c>
      <c r="C2480" t="str">
        <f>VLOOKUP($A2480,Data!$C$5:$AG$2561,G$4)</f>
        <v>NAN</v>
      </c>
    </row>
    <row r="2481" spans="1:3" x14ac:dyDescent="0.25">
      <c r="A2481">
        <v>2025283</v>
      </c>
      <c r="B2481" t="str">
        <f>VLOOKUP($A2481,Data!$C$5:$AG$2561,F$4)</f>
        <v>NAN</v>
      </c>
      <c r="C2481" t="str">
        <f>VLOOKUP($A2481,Data!$C$5:$AG$2561,G$4)</f>
        <v>NAN</v>
      </c>
    </row>
    <row r="2482" spans="1:3" x14ac:dyDescent="0.25">
      <c r="A2482">
        <v>2025284</v>
      </c>
      <c r="B2482" t="str">
        <f>VLOOKUP($A2482,Data!$C$5:$AG$2561,F$4)</f>
        <v>NAN</v>
      </c>
      <c r="C2482" t="str">
        <f>VLOOKUP($A2482,Data!$C$5:$AG$2561,G$4)</f>
        <v>NAN</v>
      </c>
    </row>
    <row r="2483" spans="1:3" x14ac:dyDescent="0.25">
      <c r="A2483">
        <v>2025285</v>
      </c>
      <c r="B2483" t="str">
        <f>VLOOKUP($A2483,Data!$C$5:$AG$2561,F$4)</f>
        <v>NAN</v>
      </c>
      <c r="C2483" t="str">
        <f>VLOOKUP($A2483,Data!$C$5:$AG$2561,G$4)</f>
        <v>NAN</v>
      </c>
    </row>
    <row r="2484" spans="1:3" x14ac:dyDescent="0.25">
      <c r="A2484">
        <v>2025286</v>
      </c>
      <c r="B2484" t="str">
        <f>VLOOKUP($A2484,Data!$C$5:$AG$2561,F$4)</f>
        <v>NAN</v>
      </c>
      <c r="C2484" t="str">
        <f>VLOOKUP($A2484,Data!$C$5:$AG$2561,G$4)</f>
        <v>NAN</v>
      </c>
    </row>
    <row r="2485" spans="1:3" x14ac:dyDescent="0.25">
      <c r="A2485">
        <v>2025287</v>
      </c>
      <c r="B2485" t="str">
        <f>VLOOKUP($A2485,Data!$C$5:$AG$2561,F$4)</f>
        <v>NAN</v>
      </c>
      <c r="C2485" t="str">
        <f>VLOOKUP($A2485,Data!$C$5:$AG$2561,G$4)</f>
        <v>NAN</v>
      </c>
    </row>
    <row r="2486" spans="1:3" x14ac:dyDescent="0.25">
      <c r="A2486">
        <v>2025288</v>
      </c>
      <c r="B2486" t="str">
        <f>VLOOKUP($A2486,Data!$C$5:$AG$2561,F$4)</f>
        <v>NAN</v>
      </c>
      <c r="C2486" t="str">
        <f>VLOOKUP($A2486,Data!$C$5:$AG$2561,G$4)</f>
        <v>NAN</v>
      </c>
    </row>
    <row r="2487" spans="1:3" x14ac:dyDescent="0.25">
      <c r="A2487">
        <v>2025289</v>
      </c>
      <c r="B2487" t="str">
        <f>VLOOKUP($A2487,Data!$C$5:$AG$2561,F$4)</f>
        <v>NAN</v>
      </c>
      <c r="C2487" t="str">
        <f>VLOOKUP($A2487,Data!$C$5:$AG$2561,G$4)</f>
        <v>NAN</v>
      </c>
    </row>
    <row r="2488" spans="1:3" x14ac:dyDescent="0.25">
      <c r="A2488">
        <v>2025290</v>
      </c>
      <c r="B2488" t="str">
        <f>VLOOKUP($A2488,Data!$C$5:$AG$2561,F$4)</f>
        <v>NAN</v>
      </c>
      <c r="C2488" t="str">
        <f>VLOOKUP($A2488,Data!$C$5:$AG$2561,G$4)</f>
        <v>NAN</v>
      </c>
    </row>
    <row r="2489" spans="1:3" x14ac:dyDescent="0.25">
      <c r="A2489">
        <v>2025291</v>
      </c>
      <c r="B2489" t="str">
        <f>VLOOKUP($A2489,Data!$C$5:$AG$2561,F$4)</f>
        <v>NAN</v>
      </c>
      <c r="C2489" t="str">
        <f>VLOOKUP($A2489,Data!$C$5:$AG$2561,G$4)</f>
        <v>NAN</v>
      </c>
    </row>
    <row r="2490" spans="1:3" x14ac:dyDescent="0.25">
      <c r="A2490">
        <v>2025292</v>
      </c>
      <c r="B2490" t="str">
        <f>VLOOKUP($A2490,Data!$C$5:$AG$2561,F$4)</f>
        <v>NAN</v>
      </c>
      <c r="C2490" t="str">
        <f>VLOOKUP($A2490,Data!$C$5:$AG$2561,G$4)</f>
        <v>NAN</v>
      </c>
    </row>
    <row r="2491" spans="1:3" x14ac:dyDescent="0.25">
      <c r="A2491">
        <v>2025293</v>
      </c>
      <c r="B2491" t="str">
        <f>VLOOKUP($A2491,Data!$C$5:$AG$2561,F$4)</f>
        <v>NAN</v>
      </c>
      <c r="C2491" t="str">
        <f>VLOOKUP($A2491,Data!$C$5:$AG$2561,G$4)</f>
        <v>NAN</v>
      </c>
    </row>
    <row r="2492" spans="1:3" x14ac:dyDescent="0.25">
      <c r="A2492">
        <v>2025294</v>
      </c>
      <c r="B2492" t="str">
        <f>VLOOKUP($A2492,Data!$C$5:$AG$2561,F$4)</f>
        <v>NAN</v>
      </c>
      <c r="C2492" t="str">
        <f>VLOOKUP($A2492,Data!$C$5:$AG$2561,G$4)</f>
        <v>NAN</v>
      </c>
    </row>
    <row r="2493" spans="1:3" x14ac:dyDescent="0.25">
      <c r="A2493">
        <v>2025295</v>
      </c>
      <c r="B2493" t="str">
        <f>VLOOKUP($A2493,Data!$C$5:$AG$2561,F$4)</f>
        <v>NAN</v>
      </c>
      <c r="C2493" t="str">
        <f>VLOOKUP($A2493,Data!$C$5:$AG$2561,G$4)</f>
        <v>NAN</v>
      </c>
    </row>
    <row r="2494" spans="1:3" x14ac:dyDescent="0.25">
      <c r="A2494">
        <v>2025296</v>
      </c>
      <c r="B2494" t="str">
        <f>VLOOKUP($A2494,Data!$C$5:$AG$2561,F$4)</f>
        <v>NAN</v>
      </c>
      <c r="C2494" t="str">
        <f>VLOOKUP($A2494,Data!$C$5:$AG$2561,G$4)</f>
        <v>NAN</v>
      </c>
    </row>
    <row r="2495" spans="1:3" x14ac:dyDescent="0.25">
      <c r="A2495">
        <v>2025297</v>
      </c>
      <c r="B2495" t="str">
        <f>VLOOKUP($A2495,Data!$C$5:$AG$2561,F$4)</f>
        <v>NAN</v>
      </c>
      <c r="C2495" t="str">
        <f>VLOOKUP($A2495,Data!$C$5:$AG$2561,G$4)</f>
        <v>NAN</v>
      </c>
    </row>
    <row r="2496" spans="1:3" x14ac:dyDescent="0.25">
      <c r="A2496">
        <v>2025298</v>
      </c>
      <c r="B2496" t="str">
        <f>VLOOKUP($A2496,Data!$C$5:$AG$2561,F$4)</f>
        <v>NAN</v>
      </c>
      <c r="C2496" t="str">
        <f>VLOOKUP($A2496,Data!$C$5:$AG$2561,G$4)</f>
        <v>NAN</v>
      </c>
    </row>
    <row r="2497" spans="1:3" x14ac:dyDescent="0.25">
      <c r="A2497">
        <v>2025299</v>
      </c>
      <c r="B2497" t="str">
        <f>VLOOKUP($A2497,Data!$C$5:$AG$2561,F$4)</f>
        <v>NAN</v>
      </c>
      <c r="C2497" t="str">
        <f>VLOOKUP($A2497,Data!$C$5:$AG$2561,G$4)</f>
        <v>NAN</v>
      </c>
    </row>
    <row r="2498" spans="1:3" x14ac:dyDescent="0.25">
      <c r="A2498">
        <v>2025300</v>
      </c>
      <c r="B2498" t="str">
        <f>VLOOKUP($A2498,Data!$C$5:$AG$2561,F$4)</f>
        <v>NAN</v>
      </c>
      <c r="C2498" t="str">
        <f>VLOOKUP($A2498,Data!$C$5:$AG$2561,G$4)</f>
        <v>NAN</v>
      </c>
    </row>
    <row r="2499" spans="1:3" x14ac:dyDescent="0.25">
      <c r="A2499">
        <v>2025301</v>
      </c>
      <c r="B2499" t="str">
        <f>VLOOKUP($A2499,Data!$C$5:$AG$2561,F$4)</f>
        <v>NAN</v>
      </c>
      <c r="C2499" t="str">
        <f>VLOOKUP($A2499,Data!$C$5:$AG$2561,G$4)</f>
        <v>NAN</v>
      </c>
    </row>
    <row r="2500" spans="1:3" x14ac:dyDescent="0.25">
      <c r="A2500">
        <v>2025302</v>
      </c>
      <c r="B2500" t="str">
        <f>VLOOKUP($A2500,Data!$C$5:$AG$2561,F$4)</f>
        <v>NAN</v>
      </c>
      <c r="C2500" t="str">
        <f>VLOOKUP($A2500,Data!$C$5:$AG$2561,G$4)</f>
        <v>NAN</v>
      </c>
    </row>
    <row r="2501" spans="1:3" x14ac:dyDescent="0.25">
      <c r="A2501">
        <v>2025303</v>
      </c>
      <c r="B2501" t="str">
        <f>VLOOKUP($A2501,Data!$C$5:$AG$2561,F$4)</f>
        <v>NAN</v>
      </c>
      <c r="C2501" t="str">
        <f>VLOOKUP($A2501,Data!$C$5:$AG$2561,G$4)</f>
        <v>NAN</v>
      </c>
    </row>
    <row r="2502" spans="1:3" x14ac:dyDescent="0.25">
      <c r="A2502">
        <v>2025304</v>
      </c>
      <c r="B2502" t="str">
        <f>VLOOKUP($A2502,Data!$C$5:$AG$2561,F$4)</f>
        <v>NAN</v>
      </c>
      <c r="C2502" t="str">
        <f>VLOOKUP($A2502,Data!$C$5:$AG$2561,G$4)</f>
        <v>NAN</v>
      </c>
    </row>
    <row r="2503" spans="1:3" x14ac:dyDescent="0.25">
      <c r="A2503">
        <v>2025305</v>
      </c>
      <c r="B2503" t="str">
        <f>VLOOKUP($A2503,Data!$C$5:$AG$2561,F$4)</f>
        <v>NAN</v>
      </c>
      <c r="C2503" t="str">
        <f>VLOOKUP($A2503,Data!$C$5:$AG$2561,G$4)</f>
        <v>NAN</v>
      </c>
    </row>
    <row r="2504" spans="1:3" x14ac:dyDescent="0.25">
      <c r="A2504">
        <v>2025306</v>
      </c>
      <c r="B2504" t="str">
        <f>VLOOKUP($A2504,Data!$C$5:$AG$2561,F$4)</f>
        <v>NAN</v>
      </c>
      <c r="C2504" t="str">
        <f>VLOOKUP($A2504,Data!$C$5:$AG$2561,G$4)</f>
        <v>NAN</v>
      </c>
    </row>
    <row r="2505" spans="1:3" x14ac:dyDescent="0.25">
      <c r="A2505">
        <v>2025307</v>
      </c>
      <c r="B2505" t="str">
        <f>VLOOKUP($A2505,Data!$C$5:$AG$2561,F$4)</f>
        <v>NAN</v>
      </c>
      <c r="C2505" t="str">
        <f>VLOOKUP($A2505,Data!$C$5:$AG$2561,G$4)</f>
        <v>NAN</v>
      </c>
    </row>
    <row r="2506" spans="1:3" x14ac:dyDescent="0.25">
      <c r="A2506">
        <v>2025308</v>
      </c>
      <c r="B2506" t="str">
        <f>VLOOKUP($A2506,Data!$C$5:$AG$2561,F$4)</f>
        <v>NAN</v>
      </c>
      <c r="C2506" t="str">
        <f>VLOOKUP($A2506,Data!$C$5:$AG$2561,G$4)</f>
        <v>NAN</v>
      </c>
    </row>
    <row r="2507" spans="1:3" x14ac:dyDescent="0.25">
      <c r="A2507">
        <v>2025309</v>
      </c>
      <c r="B2507" t="str">
        <f>VLOOKUP($A2507,Data!$C$5:$AG$2561,F$4)</f>
        <v>NAN</v>
      </c>
      <c r="C2507" t="str">
        <f>VLOOKUP($A2507,Data!$C$5:$AG$2561,G$4)</f>
        <v>NAN</v>
      </c>
    </row>
    <row r="2508" spans="1:3" x14ac:dyDescent="0.25">
      <c r="A2508">
        <v>2025310</v>
      </c>
      <c r="B2508" t="str">
        <f>VLOOKUP($A2508,Data!$C$5:$AG$2561,F$4)</f>
        <v>NAN</v>
      </c>
      <c r="C2508" t="str">
        <f>VLOOKUP($A2508,Data!$C$5:$AG$2561,G$4)</f>
        <v>NAN</v>
      </c>
    </row>
    <row r="2509" spans="1:3" x14ac:dyDescent="0.25">
      <c r="A2509">
        <v>2025311</v>
      </c>
      <c r="B2509" t="str">
        <f>VLOOKUP($A2509,Data!$C$5:$AG$2561,F$4)</f>
        <v>NAN</v>
      </c>
      <c r="C2509" t="str">
        <f>VLOOKUP($A2509,Data!$C$5:$AG$2561,G$4)</f>
        <v>NAN</v>
      </c>
    </row>
    <row r="2510" spans="1:3" x14ac:dyDescent="0.25">
      <c r="A2510">
        <v>2025312</v>
      </c>
      <c r="B2510" t="str">
        <f>VLOOKUP($A2510,Data!$C$5:$AG$2561,F$4)</f>
        <v>NAN</v>
      </c>
      <c r="C2510" t="str">
        <f>VLOOKUP($A2510,Data!$C$5:$AG$2561,G$4)</f>
        <v>NAN</v>
      </c>
    </row>
    <row r="2511" spans="1:3" x14ac:dyDescent="0.25">
      <c r="A2511">
        <v>2025313</v>
      </c>
      <c r="B2511" t="str">
        <f>VLOOKUP($A2511,Data!$C$5:$AG$2561,F$4)</f>
        <v>NAN</v>
      </c>
      <c r="C2511" t="str">
        <f>VLOOKUP($A2511,Data!$C$5:$AG$2561,G$4)</f>
        <v>NAN</v>
      </c>
    </row>
    <row r="2512" spans="1:3" x14ac:dyDescent="0.25">
      <c r="A2512">
        <v>2025314</v>
      </c>
      <c r="B2512" t="str">
        <f>VLOOKUP($A2512,Data!$C$5:$AG$2561,F$4)</f>
        <v>NAN</v>
      </c>
      <c r="C2512" t="str">
        <f>VLOOKUP($A2512,Data!$C$5:$AG$2561,G$4)</f>
        <v>NAN</v>
      </c>
    </row>
    <row r="2513" spans="1:3" x14ac:dyDescent="0.25">
      <c r="A2513">
        <v>2025315</v>
      </c>
      <c r="B2513" t="str">
        <f>VLOOKUP($A2513,Data!$C$5:$AG$2561,F$4)</f>
        <v>NAN</v>
      </c>
      <c r="C2513" t="str">
        <f>VLOOKUP($A2513,Data!$C$5:$AG$2561,G$4)</f>
        <v>NAN</v>
      </c>
    </row>
    <row r="2514" spans="1:3" x14ac:dyDescent="0.25">
      <c r="A2514">
        <v>2025316</v>
      </c>
      <c r="B2514" t="str">
        <f>VLOOKUP($A2514,Data!$C$5:$AG$2561,F$4)</f>
        <v>NAN</v>
      </c>
      <c r="C2514" t="str">
        <f>VLOOKUP($A2514,Data!$C$5:$AG$2561,G$4)</f>
        <v>NAN</v>
      </c>
    </row>
    <row r="2515" spans="1:3" x14ac:dyDescent="0.25">
      <c r="A2515">
        <v>2025317</v>
      </c>
      <c r="B2515" t="str">
        <f>VLOOKUP($A2515,Data!$C$5:$AG$2561,F$4)</f>
        <v>NAN</v>
      </c>
      <c r="C2515" t="str">
        <f>VLOOKUP($A2515,Data!$C$5:$AG$2561,G$4)</f>
        <v>NAN</v>
      </c>
    </row>
    <row r="2516" spans="1:3" x14ac:dyDescent="0.25">
      <c r="A2516">
        <v>2025318</v>
      </c>
      <c r="B2516" t="str">
        <f>VLOOKUP($A2516,Data!$C$5:$AG$2561,F$4)</f>
        <v>NAN</v>
      </c>
      <c r="C2516" t="str">
        <f>VLOOKUP($A2516,Data!$C$5:$AG$2561,G$4)</f>
        <v>NAN</v>
      </c>
    </row>
    <row r="2517" spans="1:3" x14ac:dyDescent="0.25">
      <c r="A2517">
        <v>2025319</v>
      </c>
      <c r="B2517" t="str">
        <f>VLOOKUP($A2517,Data!$C$5:$AG$2561,F$4)</f>
        <v>NAN</v>
      </c>
      <c r="C2517" t="str">
        <f>VLOOKUP($A2517,Data!$C$5:$AG$2561,G$4)</f>
        <v>NAN</v>
      </c>
    </row>
    <row r="2518" spans="1:3" x14ac:dyDescent="0.25">
      <c r="A2518">
        <v>2025320</v>
      </c>
      <c r="B2518" t="str">
        <f>VLOOKUP($A2518,Data!$C$5:$AG$2561,F$4)</f>
        <v>NAN</v>
      </c>
      <c r="C2518" t="str">
        <f>VLOOKUP($A2518,Data!$C$5:$AG$2561,G$4)</f>
        <v>NAN</v>
      </c>
    </row>
    <row r="2519" spans="1:3" x14ac:dyDescent="0.25">
      <c r="A2519">
        <v>2025321</v>
      </c>
      <c r="B2519" t="str">
        <f>VLOOKUP($A2519,Data!$C$5:$AG$2561,F$4)</f>
        <v>NAN</v>
      </c>
      <c r="C2519" t="str">
        <f>VLOOKUP($A2519,Data!$C$5:$AG$2561,G$4)</f>
        <v>NAN</v>
      </c>
    </row>
    <row r="2520" spans="1:3" x14ac:dyDescent="0.25">
      <c r="A2520">
        <v>2025322</v>
      </c>
      <c r="B2520" t="str">
        <f>VLOOKUP($A2520,Data!$C$5:$AG$2561,F$4)</f>
        <v>NAN</v>
      </c>
      <c r="C2520" t="str">
        <f>VLOOKUP($A2520,Data!$C$5:$AG$2561,G$4)</f>
        <v>NAN</v>
      </c>
    </row>
    <row r="2521" spans="1:3" x14ac:dyDescent="0.25">
      <c r="A2521">
        <v>2025323</v>
      </c>
      <c r="B2521" t="str">
        <f>VLOOKUP($A2521,Data!$C$5:$AG$2561,F$4)</f>
        <v>NAN</v>
      </c>
      <c r="C2521" t="str">
        <f>VLOOKUP($A2521,Data!$C$5:$AG$2561,G$4)</f>
        <v>NAN</v>
      </c>
    </row>
    <row r="2522" spans="1:3" x14ac:dyDescent="0.25">
      <c r="A2522">
        <v>2025324</v>
      </c>
      <c r="B2522" t="str">
        <f>VLOOKUP($A2522,Data!$C$5:$AG$2561,F$4)</f>
        <v>NAN</v>
      </c>
      <c r="C2522" t="str">
        <f>VLOOKUP($A2522,Data!$C$5:$AG$2561,G$4)</f>
        <v>NAN</v>
      </c>
    </row>
    <row r="2523" spans="1:3" x14ac:dyDescent="0.25">
      <c r="A2523">
        <v>2025325</v>
      </c>
      <c r="B2523" t="str">
        <f>VLOOKUP($A2523,Data!$C$5:$AG$2561,F$4)</f>
        <v>NAN</v>
      </c>
      <c r="C2523" t="str">
        <f>VLOOKUP($A2523,Data!$C$5:$AG$2561,G$4)</f>
        <v>NAN</v>
      </c>
    </row>
    <row r="2524" spans="1:3" x14ac:dyDescent="0.25">
      <c r="A2524">
        <v>2025326</v>
      </c>
      <c r="B2524" t="str">
        <f>VLOOKUP($A2524,Data!$C$5:$AG$2561,F$4)</f>
        <v>NAN</v>
      </c>
      <c r="C2524" t="str">
        <f>VLOOKUP($A2524,Data!$C$5:$AG$2561,G$4)</f>
        <v>NAN</v>
      </c>
    </row>
    <row r="2525" spans="1:3" x14ac:dyDescent="0.25">
      <c r="A2525">
        <v>2025327</v>
      </c>
      <c r="B2525" t="str">
        <f>VLOOKUP($A2525,Data!$C$5:$AG$2561,F$4)</f>
        <v>NAN</v>
      </c>
      <c r="C2525" t="str">
        <f>VLOOKUP($A2525,Data!$C$5:$AG$2561,G$4)</f>
        <v>NAN</v>
      </c>
    </row>
    <row r="2526" spans="1:3" x14ac:dyDescent="0.25">
      <c r="A2526">
        <v>2025328</v>
      </c>
      <c r="B2526" t="str">
        <f>VLOOKUP($A2526,Data!$C$5:$AG$2561,F$4)</f>
        <v>NAN</v>
      </c>
      <c r="C2526" t="str">
        <f>VLOOKUP($A2526,Data!$C$5:$AG$2561,G$4)</f>
        <v>NAN</v>
      </c>
    </row>
    <row r="2527" spans="1:3" x14ac:dyDescent="0.25">
      <c r="A2527">
        <v>2025329</v>
      </c>
      <c r="B2527" t="str">
        <f>VLOOKUP($A2527,Data!$C$5:$AG$2561,F$4)</f>
        <v>NAN</v>
      </c>
      <c r="C2527" t="str">
        <f>VLOOKUP($A2527,Data!$C$5:$AG$2561,G$4)</f>
        <v>NAN</v>
      </c>
    </row>
    <row r="2528" spans="1:3" x14ac:dyDescent="0.25">
      <c r="A2528">
        <v>2025330</v>
      </c>
      <c r="B2528" t="str">
        <f>VLOOKUP($A2528,Data!$C$5:$AG$2561,F$4)</f>
        <v>NAN</v>
      </c>
      <c r="C2528" t="str">
        <f>VLOOKUP($A2528,Data!$C$5:$AG$2561,G$4)</f>
        <v>NAN</v>
      </c>
    </row>
    <row r="2529" spans="1:3" x14ac:dyDescent="0.25">
      <c r="A2529">
        <v>2025331</v>
      </c>
      <c r="B2529" t="str">
        <f>VLOOKUP($A2529,Data!$C$5:$AG$2561,F$4)</f>
        <v>NAN</v>
      </c>
      <c r="C2529" t="str">
        <f>VLOOKUP($A2529,Data!$C$5:$AG$2561,G$4)</f>
        <v>NAN</v>
      </c>
    </row>
    <row r="2530" spans="1:3" x14ac:dyDescent="0.25">
      <c r="A2530">
        <v>2025332</v>
      </c>
      <c r="B2530" t="str">
        <f>VLOOKUP($A2530,Data!$C$5:$AG$2561,F$4)</f>
        <v>NAN</v>
      </c>
      <c r="C2530" t="str">
        <f>VLOOKUP($A2530,Data!$C$5:$AG$2561,G$4)</f>
        <v>NAN</v>
      </c>
    </row>
    <row r="2531" spans="1:3" x14ac:dyDescent="0.25">
      <c r="A2531">
        <v>2025333</v>
      </c>
      <c r="B2531" t="str">
        <f>VLOOKUP($A2531,Data!$C$5:$AG$2561,F$4)</f>
        <v>NAN</v>
      </c>
      <c r="C2531" t="str">
        <f>VLOOKUP($A2531,Data!$C$5:$AG$2561,G$4)</f>
        <v>NAN</v>
      </c>
    </row>
    <row r="2532" spans="1:3" x14ac:dyDescent="0.25">
      <c r="A2532">
        <v>2025334</v>
      </c>
      <c r="B2532" t="str">
        <f>VLOOKUP($A2532,Data!$C$5:$AG$2561,F$4)</f>
        <v>NAN</v>
      </c>
      <c r="C2532" t="str">
        <f>VLOOKUP($A2532,Data!$C$5:$AG$2561,G$4)</f>
        <v>NAN</v>
      </c>
    </row>
    <row r="2533" spans="1:3" x14ac:dyDescent="0.25">
      <c r="A2533">
        <v>2025335</v>
      </c>
      <c r="B2533" t="str">
        <f>VLOOKUP($A2533,Data!$C$5:$AG$2561,F$4)</f>
        <v>NAN</v>
      </c>
      <c r="C2533" t="str">
        <f>VLOOKUP($A2533,Data!$C$5:$AG$2561,G$4)</f>
        <v>NAN</v>
      </c>
    </row>
    <row r="2534" spans="1:3" x14ac:dyDescent="0.25">
      <c r="A2534">
        <v>2025336</v>
      </c>
      <c r="B2534" t="str">
        <f>VLOOKUP($A2534,Data!$C$5:$AG$2561,F$4)</f>
        <v>NAN</v>
      </c>
      <c r="C2534" t="str">
        <f>VLOOKUP($A2534,Data!$C$5:$AG$2561,G$4)</f>
        <v>NAN</v>
      </c>
    </row>
    <row r="2535" spans="1:3" x14ac:dyDescent="0.25">
      <c r="A2535">
        <v>2025337</v>
      </c>
      <c r="B2535" t="str">
        <f>VLOOKUP($A2535,Data!$C$5:$AG$2561,F$4)</f>
        <v>NAN</v>
      </c>
      <c r="C2535" t="str">
        <f>VLOOKUP($A2535,Data!$C$5:$AG$2561,G$4)</f>
        <v>NAN</v>
      </c>
    </row>
    <row r="2536" spans="1:3" x14ac:dyDescent="0.25">
      <c r="A2536">
        <v>2025338</v>
      </c>
      <c r="B2536" t="str">
        <f>VLOOKUP($A2536,Data!$C$5:$AG$2561,F$4)</f>
        <v>NAN</v>
      </c>
      <c r="C2536" t="str">
        <f>VLOOKUP($A2536,Data!$C$5:$AG$2561,G$4)</f>
        <v>NAN</v>
      </c>
    </row>
    <row r="2537" spans="1:3" x14ac:dyDescent="0.25">
      <c r="A2537">
        <v>2025339</v>
      </c>
      <c r="B2537" t="str">
        <f>VLOOKUP($A2537,Data!$C$5:$AG$2561,F$4)</f>
        <v>NAN</v>
      </c>
      <c r="C2537" t="str">
        <f>VLOOKUP($A2537,Data!$C$5:$AG$2561,G$4)</f>
        <v>NAN</v>
      </c>
    </row>
    <row r="2538" spans="1:3" x14ac:dyDescent="0.25">
      <c r="A2538">
        <v>2025340</v>
      </c>
      <c r="B2538" t="str">
        <f>VLOOKUP($A2538,Data!$C$5:$AG$2561,F$4)</f>
        <v>NAN</v>
      </c>
      <c r="C2538" t="str">
        <f>VLOOKUP($A2538,Data!$C$5:$AG$2561,G$4)</f>
        <v>NAN</v>
      </c>
    </row>
    <row r="2539" spans="1:3" x14ac:dyDescent="0.25">
      <c r="A2539">
        <v>2025341</v>
      </c>
      <c r="B2539" t="str">
        <f>VLOOKUP($A2539,Data!$C$5:$AG$2561,F$4)</f>
        <v>NAN</v>
      </c>
      <c r="C2539" t="str">
        <f>VLOOKUP($A2539,Data!$C$5:$AG$2561,G$4)</f>
        <v>NAN</v>
      </c>
    </row>
    <row r="2540" spans="1:3" x14ac:dyDescent="0.25">
      <c r="A2540">
        <v>2025342</v>
      </c>
      <c r="B2540" t="str">
        <f>VLOOKUP($A2540,Data!$C$5:$AG$2561,F$4)</f>
        <v>NAN</v>
      </c>
      <c r="C2540" t="str">
        <f>VLOOKUP($A2540,Data!$C$5:$AG$2561,G$4)</f>
        <v>NAN</v>
      </c>
    </row>
    <row r="2541" spans="1:3" x14ac:dyDescent="0.25">
      <c r="A2541">
        <v>2025343</v>
      </c>
      <c r="B2541" t="str">
        <f>VLOOKUP($A2541,Data!$C$5:$AG$2561,F$4)</f>
        <v>NAN</v>
      </c>
      <c r="C2541" t="str">
        <f>VLOOKUP($A2541,Data!$C$5:$AG$2561,G$4)</f>
        <v>NAN</v>
      </c>
    </row>
    <row r="2542" spans="1:3" x14ac:dyDescent="0.25">
      <c r="A2542">
        <v>2025344</v>
      </c>
      <c r="B2542" t="str">
        <f>VLOOKUP($A2542,Data!$C$5:$AG$2561,F$4)</f>
        <v>NAN</v>
      </c>
      <c r="C2542" t="str">
        <f>VLOOKUP($A2542,Data!$C$5:$AG$2561,G$4)</f>
        <v>NAN</v>
      </c>
    </row>
    <row r="2543" spans="1:3" x14ac:dyDescent="0.25">
      <c r="A2543">
        <v>2025345</v>
      </c>
      <c r="B2543" t="str">
        <f>VLOOKUP($A2543,Data!$C$5:$AG$2561,F$4)</f>
        <v>NAN</v>
      </c>
      <c r="C2543" t="str">
        <f>VLOOKUP($A2543,Data!$C$5:$AG$2561,G$4)</f>
        <v>NAN</v>
      </c>
    </row>
    <row r="2544" spans="1:3" x14ac:dyDescent="0.25">
      <c r="A2544">
        <v>2025346</v>
      </c>
      <c r="B2544" t="str">
        <f>VLOOKUP($A2544,Data!$C$5:$AG$2561,F$4)</f>
        <v>NAN</v>
      </c>
      <c r="C2544" t="str">
        <f>VLOOKUP($A2544,Data!$C$5:$AG$2561,G$4)</f>
        <v>NAN</v>
      </c>
    </row>
    <row r="2545" spans="1:3" x14ac:dyDescent="0.25">
      <c r="A2545">
        <v>2025347</v>
      </c>
      <c r="B2545" t="str">
        <f>VLOOKUP($A2545,Data!$C$5:$AG$2561,F$4)</f>
        <v>NAN</v>
      </c>
      <c r="C2545" t="str">
        <f>VLOOKUP($A2545,Data!$C$5:$AG$2561,G$4)</f>
        <v>NAN</v>
      </c>
    </row>
    <row r="2546" spans="1:3" x14ac:dyDescent="0.25">
      <c r="A2546">
        <v>2025348</v>
      </c>
      <c r="B2546" t="str">
        <f>VLOOKUP($A2546,Data!$C$5:$AG$2561,F$4)</f>
        <v>NAN</v>
      </c>
      <c r="C2546" t="str">
        <f>VLOOKUP($A2546,Data!$C$5:$AG$2561,G$4)</f>
        <v>NAN</v>
      </c>
    </row>
    <row r="2547" spans="1:3" x14ac:dyDescent="0.25">
      <c r="A2547">
        <v>2025349</v>
      </c>
      <c r="B2547" t="str">
        <f>VLOOKUP($A2547,Data!$C$5:$AG$2561,F$4)</f>
        <v>NAN</v>
      </c>
      <c r="C2547" t="str">
        <f>VLOOKUP($A2547,Data!$C$5:$AG$2561,G$4)</f>
        <v>NAN</v>
      </c>
    </row>
    <row r="2548" spans="1:3" x14ac:dyDescent="0.25">
      <c r="A2548">
        <v>2025350</v>
      </c>
      <c r="B2548" t="str">
        <f>VLOOKUP($A2548,Data!$C$5:$AG$2561,F$4)</f>
        <v>NAN</v>
      </c>
      <c r="C2548" t="str">
        <f>VLOOKUP($A2548,Data!$C$5:$AG$2561,G$4)</f>
        <v>NAN</v>
      </c>
    </row>
    <row r="2549" spans="1:3" x14ac:dyDescent="0.25">
      <c r="A2549">
        <v>2025351</v>
      </c>
      <c r="B2549" t="str">
        <f>VLOOKUP($A2549,Data!$C$5:$AG$2561,F$4)</f>
        <v>NAN</v>
      </c>
      <c r="C2549" t="str">
        <f>VLOOKUP($A2549,Data!$C$5:$AG$2561,G$4)</f>
        <v>NAN</v>
      </c>
    </row>
    <row r="2550" spans="1:3" x14ac:dyDescent="0.25">
      <c r="A2550">
        <v>2025352</v>
      </c>
      <c r="B2550" t="str">
        <f>VLOOKUP($A2550,Data!$C$5:$AG$2561,F$4)</f>
        <v>NAN</v>
      </c>
      <c r="C2550" t="str">
        <f>VLOOKUP($A2550,Data!$C$5:$AG$2561,G$4)</f>
        <v>NAN</v>
      </c>
    </row>
    <row r="2551" spans="1:3" x14ac:dyDescent="0.25">
      <c r="A2551">
        <v>2025353</v>
      </c>
      <c r="B2551" t="str">
        <f>VLOOKUP($A2551,Data!$C$5:$AG$2561,F$4)</f>
        <v>NAN</v>
      </c>
      <c r="C2551" t="str">
        <f>VLOOKUP($A2551,Data!$C$5:$AG$2561,G$4)</f>
        <v>NAN</v>
      </c>
    </row>
    <row r="2552" spans="1:3" x14ac:dyDescent="0.25">
      <c r="A2552">
        <v>2025354</v>
      </c>
      <c r="B2552" t="str">
        <f>VLOOKUP($A2552,Data!$C$5:$AG$2561,F$4)</f>
        <v>NAN</v>
      </c>
      <c r="C2552" t="str">
        <f>VLOOKUP($A2552,Data!$C$5:$AG$2561,G$4)</f>
        <v>NAN</v>
      </c>
    </row>
    <row r="2553" spans="1:3" x14ac:dyDescent="0.25">
      <c r="A2553">
        <v>2025355</v>
      </c>
      <c r="B2553" t="str">
        <f>VLOOKUP($A2553,Data!$C$5:$AG$2561,F$4)</f>
        <v>NAN</v>
      </c>
      <c r="C2553" t="str">
        <f>VLOOKUP($A2553,Data!$C$5:$AG$2561,G$4)</f>
        <v>NAN</v>
      </c>
    </row>
    <row r="2554" spans="1:3" x14ac:dyDescent="0.25">
      <c r="A2554">
        <v>2025356</v>
      </c>
      <c r="B2554" t="str">
        <f>VLOOKUP($A2554,Data!$C$5:$AG$2561,F$4)</f>
        <v>NAN</v>
      </c>
      <c r="C2554" t="str">
        <f>VLOOKUP($A2554,Data!$C$5:$AG$2561,G$4)</f>
        <v>NAN</v>
      </c>
    </row>
    <row r="2555" spans="1:3" x14ac:dyDescent="0.25">
      <c r="A2555">
        <v>2025357</v>
      </c>
      <c r="B2555" t="str">
        <f>VLOOKUP($A2555,Data!$C$5:$AG$2561,F$4)</f>
        <v>NAN</v>
      </c>
      <c r="C2555" t="str">
        <f>VLOOKUP($A2555,Data!$C$5:$AG$2561,G$4)</f>
        <v>NAN</v>
      </c>
    </row>
    <row r="2556" spans="1:3" x14ac:dyDescent="0.25">
      <c r="A2556">
        <v>2025358</v>
      </c>
      <c r="B2556" t="str">
        <f>VLOOKUP($A2556,Data!$C$5:$AG$2561,F$4)</f>
        <v>NAN</v>
      </c>
      <c r="C2556" t="str">
        <f>VLOOKUP($A2556,Data!$C$5:$AG$2561,G$4)</f>
        <v>NAN</v>
      </c>
    </row>
    <row r="2557" spans="1:3" x14ac:dyDescent="0.25">
      <c r="A2557">
        <v>2025359</v>
      </c>
      <c r="B2557" t="str">
        <f>VLOOKUP($A2557,Data!$C$5:$AG$2561,F$4)</f>
        <v>NAN</v>
      </c>
      <c r="C2557" t="str">
        <f>VLOOKUP($A2557,Data!$C$5:$AG$2561,G$4)</f>
        <v>NAN</v>
      </c>
    </row>
    <row r="2558" spans="1:3" x14ac:dyDescent="0.25">
      <c r="A2558">
        <v>2025360</v>
      </c>
      <c r="B2558" t="str">
        <f>VLOOKUP($A2558,Data!$C$5:$AG$2561,F$4)</f>
        <v>NAN</v>
      </c>
      <c r="C2558" t="str">
        <f>VLOOKUP($A2558,Data!$C$5:$AG$2561,G$4)</f>
        <v>NAN</v>
      </c>
    </row>
    <row r="2559" spans="1:3" x14ac:dyDescent="0.25">
      <c r="A2559">
        <v>2025361</v>
      </c>
      <c r="B2559" t="str">
        <f>VLOOKUP($A2559,Data!$C$5:$AG$2561,F$4)</f>
        <v>NAN</v>
      </c>
      <c r="C2559" t="str">
        <f>VLOOKUP($A2559,Data!$C$5:$AG$2561,G$4)</f>
        <v>NAN</v>
      </c>
    </row>
    <row r="2560" spans="1:3" x14ac:dyDescent="0.25">
      <c r="A2560">
        <v>2025362</v>
      </c>
      <c r="B2560" t="str">
        <f>VLOOKUP($A2560,Data!$C$5:$AG$2561,F$4)</f>
        <v>NAN</v>
      </c>
      <c r="C2560" t="str">
        <f>VLOOKUP($A2560,Data!$C$5:$AG$2561,G$4)</f>
        <v>NAN</v>
      </c>
    </row>
    <row r="2561" spans="1:3" x14ac:dyDescent="0.25">
      <c r="A2561">
        <v>2025363</v>
      </c>
      <c r="B2561" t="str">
        <f>VLOOKUP($A2561,Data!$C$5:$AG$2561,F$4)</f>
        <v>NAN</v>
      </c>
      <c r="C2561" t="str">
        <f>VLOOKUP($A2561,Data!$C$5:$AG$2561,G$4)</f>
        <v>NAN</v>
      </c>
    </row>
    <row r="2562" spans="1:3" x14ac:dyDescent="0.25">
      <c r="A2562">
        <v>2025364</v>
      </c>
      <c r="B2562" t="str">
        <f>VLOOKUP($A2562,Data!$C$5:$AG$2561,F$4)</f>
        <v>NAN</v>
      </c>
      <c r="C2562" t="str">
        <f>VLOOKUP($A2562,Data!$C$5:$AG$2561,G$4)</f>
        <v>NAN</v>
      </c>
    </row>
    <row r="2563" spans="1:3" x14ac:dyDescent="0.25">
      <c r="A2563">
        <v>2025365</v>
      </c>
      <c r="B2563" t="str">
        <f>VLOOKUP($A2563,Data!$C$5:$AG$2561,F$4)</f>
        <v>NAN</v>
      </c>
      <c r="C2563" t="str">
        <f>VLOOKUP($A2563,Data!$C$5:$AG$2561,G$4)</f>
        <v>NAN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5" x14ac:dyDescent="0.25"/>
  <sheetData>
    <row r="1" spans="1:3" x14ac:dyDescent="0.25">
      <c r="A1" t="s">
        <v>54</v>
      </c>
    </row>
    <row r="2" spans="1:3" x14ac:dyDescent="0.25">
      <c r="A2" t="s">
        <v>43</v>
      </c>
    </row>
    <row r="4" spans="1:3" x14ac:dyDescent="0.25">
      <c r="A4" t="s">
        <v>45</v>
      </c>
    </row>
    <row r="5" spans="1:3" x14ac:dyDescent="0.25">
      <c r="B5" t="s">
        <v>46</v>
      </c>
    </row>
    <row r="6" spans="1:3" x14ac:dyDescent="0.25">
      <c r="C6" t="s">
        <v>47</v>
      </c>
    </row>
    <row r="7" spans="1:3" x14ac:dyDescent="0.25">
      <c r="B7" t="s">
        <v>50</v>
      </c>
    </row>
    <row r="8" spans="1:3" x14ac:dyDescent="0.25">
      <c r="B8" t="s">
        <v>48</v>
      </c>
    </row>
    <row r="10" spans="1:3" x14ac:dyDescent="0.25">
      <c r="A10" t="s">
        <v>49</v>
      </c>
    </row>
    <row r="11" spans="1:3" x14ac:dyDescent="0.25">
      <c r="B11" t="s">
        <v>51</v>
      </c>
    </row>
    <row r="12" spans="1:3" x14ac:dyDescent="0.25">
      <c r="B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2025-12-18T04:05:55Z</dcterms:created>
  <dcterms:modified xsi:type="dcterms:W3CDTF">2026-01-02T21:24:51Z</dcterms:modified>
</cp:coreProperties>
</file>